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icolas.gallo\Downloads\GitHub Desktop\Cruz-Roja-ITQ\"/>
    </mc:Choice>
  </mc:AlternateContent>
  <xr:revisionPtr revIDLastSave="0" documentId="13_ncr:1_{EB1039AD-A4C9-49AD-A77A-AEC99B96C2A6}" xr6:coauthVersionLast="47" xr6:coauthVersionMax="47" xr10:uidLastSave="{00000000-0000-0000-0000-000000000000}"/>
  <bookViews>
    <workbookView xWindow="10140" yWindow="0" windowWidth="10455" windowHeight="10905" xr2:uid="{00000000-000D-0000-FFFF-FFFF00000000}"/>
  </bookViews>
  <sheets>
    <sheet name="Datos voluntarios" sheetId="1" r:id="rId1"/>
    <sheet name="Datos filial" sheetId="2" r:id="rId2"/>
    <sheet name="Sugerencias" sheetId="3" r:id="rId3"/>
    <sheet name="Validación formularios" sheetId="5" r:id="rId4"/>
    <sheet name="Campos desplegables" sheetId="6" r:id="rId5"/>
  </sheets>
  <definedNames>
    <definedName name="_xlnm._FilterDatabase" localSheetId="1" hidden="1">'Datos filial'!$A$1:$BD$146</definedName>
    <definedName name="_xlnm._FilterDatabase" localSheetId="0" hidden="1">'Datos voluntarios'!$A$1:$AL$3100</definedName>
    <definedName name="_xlnm._FilterDatabase" localSheetId="2" hidden="1">Sugerencias!$A$1:$B$113</definedName>
    <definedName name="_xlnm._FilterDatabase" localSheetId="3" hidden="1">'Validación formularios'!$B$16:$D$165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4" i="5" l="1"/>
  <c r="C160" i="5"/>
  <c r="D160" i="5" s="1"/>
  <c r="C159" i="5"/>
  <c r="D159" i="5" s="1"/>
  <c r="C158" i="5"/>
  <c r="D158" i="5" s="1"/>
  <c r="C157" i="5"/>
  <c r="D157" i="5" s="1"/>
  <c r="C156" i="5"/>
  <c r="D156" i="5" s="1"/>
  <c r="C155" i="5"/>
  <c r="D155" i="5" s="1"/>
  <c r="C154" i="5"/>
  <c r="D154" i="5" s="1"/>
  <c r="C153" i="5"/>
  <c r="D153" i="5" s="1"/>
  <c r="C152" i="5"/>
  <c r="D152" i="5" s="1"/>
  <c r="C151" i="5"/>
  <c r="D151" i="5" s="1"/>
  <c r="C150" i="5"/>
  <c r="D150" i="5" s="1"/>
  <c r="C149" i="5"/>
  <c r="D149" i="5" s="1"/>
  <c r="C148" i="5"/>
  <c r="D148" i="5" s="1"/>
  <c r="C147" i="5"/>
  <c r="D147" i="5" s="1"/>
  <c r="C146" i="5"/>
  <c r="D146" i="5" s="1"/>
  <c r="C145" i="5"/>
  <c r="D145" i="5" s="1"/>
  <c r="C144" i="5"/>
  <c r="D144" i="5" s="1"/>
  <c r="C143" i="5"/>
  <c r="D143" i="5" s="1"/>
  <c r="C142" i="5"/>
  <c r="D142" i="5" s="1"/>
  <c r="C141" i="5"/>
  <c r="D141" i="5" s="1"/>
  <c r="C140" i="5"/>
  <c r="D140" i="5" s="1"/>
  <c r="C139" i="5"/>
  <c r="D139" i="5" s="1"/>
  <c r="C138" i="5"/>
  <c r="D138" i="5" s="1"/>
  <c r="C137" i="5"/>
  <c r="D137" i="5" s="1"/>
  <c r="C136" i="5"/>
  <c r="D136" i="5" s="1"/>
  <c r="C135" i="5"/>
  <c r="D135" i="5" s="1"/>
  <c r="C134" i="5"/>
  <c r="D134" i="5" s="1"/>
  <c r="C133" i="5"/>
  <c r="D133" i="5" s="1"/>
  <c r="C132" i="5"/>
  <c r="D132" i="5" s="1"/>
  <c r="C131" i="5"/>
  <c r="D131" i="5" s="1"/>
  <c r="C130" i="5"/>
  <c r="D130" i="5" s="1"/>
  <c r="C129" i="5"/>
  <c r="D129" i="5" s="1"/>
  <c r="C128" i="5"/>
  <c r="D128" i="5" s="1"/>
  <c r="C127" i="5"/>
  <c r="D127" i="5" s="1"/>
  <c r="C126" i="5"/>
  <c r="D126" i="5" s="1"/>
  <c r="C125" i="5"/>
  <c r="D125" i="5" s="1"/>
  <c r="C124" i="5"/>
  <c r="D124" i="5" s="1"/>
  <c r="C123" i="5"/>
  <c r="D123" i="5" s="1"/>
  <c r="C122" i="5"/>
  <c r="D122" i="5" s="1"/>
  <c r="C121" i="5"/>
  <c r="D121" i="5" s="1"/>
  <c r="C120" i="5"/>
  <c r="D120" i="5" s="1"/>
  <c r="C119" i="5"/>
  <c r="D119" i="5" s="1"/>
  <c r="C118" i="5"/>
  <c r="D118" i="5" s="1"/>
  <c r="C117" i="5"/>
  <c r="D117" i="5" s="1"/>
  <c r="C116" i="5"/>
  <c r="D116" i="5" s="1"/>
  <c r="C115" i="5"/>
  <c r="D115" i="5" s="1"/>
  <c r="C114" i="5"/>
  <c r="D114" i="5" s="1"/>
  <c r="C113" i="5"/>
  <c r="D113" i="5" s="1"/>
  <c r="C112" i="5"/>
  <c r="D112" i="5" s="1"/>
  <c r="C111" i="5"/>
  <c r="D111" i="5" s="1"/>
  <c r="C110" i="5"/>
  <c r="D110" i="5" s="1"/>
  <c r="C109" i="5"/>
  <c r="D109" i="5" s="1"/>
  <c r="C108" i="5"/>
  <c r="D108" i="5" s="1"/>
  <c r="C107" i="5"/>
  <c r="D107" i="5" s="1"/>
  <c r="C106" i="5"/>
  <c r="D106" i="5" s="1"/>
  <c r="C105" i="5"/>
  <c r="D105" i="5" s="1"/>
  <c r="C104" i="5"/>
  <c r="D104" i="5" s="1"/>
  <c r="C103" i="5"/>
  <c r="D103" i="5" s="1"/>
  <c r="C102" i="5"/>
  <c r="D102" i="5" s="1"/>
  <c r="C101" i="5"/>
  <c r="D101" i="5" s="1"/>
  <c r="C100" i="5"/>
  <c r="D100" i="5" s="1"/>
  <c r="C99" i="5"/>
  <c r="D99" i="5" s="1"/>
  <c r="C98" i="5"/>
  <c r="D98" i="5" s="1"/>
  <c r="C97" i="5"/>
  <c r="D97" i="5" s="1"/>
  <c r="C96" i="5"/>
  <c r="D96" i="5" s="1"/>
  <c r="C95" i="5"/>
  <c r="D95" i="5" s="1"/>
  <c r="C94" i="5"/>
  <c r="D94" i="5" s="1"/>
  <c r="C93" i="5"/>
  <c r="D93" i="5" s="1"/>
  <c r="C92" i="5"/>
  <c r="D92" i="5" s="1"/>
  <c r="C91" i="5"/>
  <c r="D91" i="5" s="1"/>
  <c r="C90" i="5"/>
  <c r="D90" i="5" s="1"/>
  <c r="C89" i="5"/>
  <c r="D89" i="5" s="1"/>
  <c r="C88" i="5"/>
  <c r="D88" i="5" s="1"/>
  <c r="C87" i="5"/>
  <c r="D87" i="5" s="1"/>
  <c r="C86" i="5"/>
  <c r="D86" i="5" s="1"/>
  <c r="C85" i="5"/>
  <c r="D85" i="5" s="1"/>
  <c r="C84" i="5"/>
  <c r="D84" i="5" s="1"/>
  <c r="C83" i="5"/>
  <c r="D83" i="5" s="1"/>
  <c r="C82" i="5"/>
  <c r="D82" i="5" s="1"/>
  <c r="C81" i="5"/>
  <c r="D81" i="5" s="1"/>
  <c r="C80" i="5"/>
  <c r="D80" i="5" s="1"/>
  <c r="C79" i="5"/>
  <c r="D79" i="5" s="1"/>
  <c r="C78" i="5"/>
  <c r="D78" i="5" s="1"/>
  <c r="C77" i="5"/>
  <c r="D77" i="5" s="1"/>
  <c r="C76" i="5"/>
  <c r="D76" i="5" s="1"/>
  <c r="C75" i="5"/>
  <c r="D75" i="5" s="1"/>
  <c r="C74" i="5"/>
  <c r="D74" i="5" s="1"/>
  <c r="C73" i="5"/>
  <c r="D73" i="5" s="1"/>
  <c r="C72" i="5"/>
  <c r="D72" i="5" s="1"/>
  <c r="C71" i="5"/>
  <c r="D71" i="5" s="1"/>
  <c r="C70" i="5"/>
  <c r="D70" i="5" s="1"/>
  <c r="C69" i="5"/>
  <c r="D69" i="5" s="1"/>
  <c r="C68" i="5"/>
  <c r="D68" i="5" s="1"/>
  <c r="C67" i="5"/>
  <c r="D67" i="5" s="1"/>
  <c r="C66" i="5"/>
  <c r="D66" i="5" s="1"/>
  <c r="C65" i="5"/>
  <c r="D65" i="5" s="1"/>
  <c r="C64" i="5"/>
  <c r="D64" i="5" s="1"/>
  <c r="C63" i="5"/>
  <c r="D63" i="5" s="1"/>
  <c r="C62" i="5"/>
  <c r="D62" i="5" s="1"/>
  <c r="C61" i="5"/>
  <c r="D61" i="5" s="1"/>
  <c r="C60" i="5"/>
  <c r="D60" i="5" s="1"/>
  <c r="C59" i="5"/>
  <c r="D59" i="5" s="1"/>
  <c r="C58" i="5"/>
  <c r="D58" i="5" s="1"/>
  <c r="C57" i="5"/>
  <c r="D57" i="5" s="1"/>
  <c r="C56" i="5"/>
  <c r="D56" i="5" s="1"/>
  <c r="C55" i="5"/>
  <c r="D55" i="5" s="1"/>
  <c r="C54" i="5"/>
  <c r="D54" i="5" s="1"/>
  <c r="C53" i="5"/>
  <c r="D53" i="5" s="1"/>
  <c r="C52" i="5"/>
  <c r="D52" i="5" s="1"/>
  <c r="C51" i="5"/>
  <c r="D51" i="5" s="1"/>
  <c r="C50" i="5"/>
  <c r="D50" i="5" s="1"/>
  <c r="C49" i="5"/>
  <c r="D49" i="5" s="1"/>
  <c r="C48" i="5"/>
  <c r="D48" i="5" s="1"/>
  <c r="C47" i="5"/>
  <c r="D47" i="5" s="1"/>
  <c r="C46" i="5"/>
  <c r="D46" i="5" s="1"/>
  <c r="C45" i="5"/>
  <c r="D45" i="5" s="1"/>
  <c r="C44" i="5"/>
  <c r="D44" i="5" s="1"/>
  <c r="C43" i="5"/>
  <c r="D43" i="5" s="1"/>
  <c r="C42" i="5"/>
  <c r="D42" i="5" s="1"/>
  <c r="C41" i="5"/>
  <c r="D41" i="5" s="1"/>
  <c r="C40" i="5"/>
  <c r="D40" i="5" s="1"/>
  <c r="C39" i="5"/>
  <c r="D39" i="5" s="1"/>
  <c r="C38" i="5"/>
  <c r="D38" i="5" s="1"/>
  <c r="C37" i="5"/>
  <c r="D37" i="5" s="1"/>
  <c r="C36" i="5"/>
  <c r="D36" i="5" s="1"/>
  <c r="C35" i="5"/>
  <c r="D35" i="5" s="1"/>
  <c r="C34" i="5"/>
  <c r="D34" i="5" s="1"/>
  <c r="C33" i="5"/>
  <c r="D33" i="5" s="1"/>
  <c r="C32" i="5"/>
  <c r="D32" i="5" s="1"/>
  <c r="C31" i="5"/>
  <c r="D31" i="5" s="1"/>
  <c r="C30" i="5"/>
  <c r="D30" i="5" s="1"/>
  <c r="C29" i="5"/>
  <c r="D29" i="5" s="1"/>
  <c r="C28" i="5"/>
  <c r="D28" i="5" s="1"/>
  <c r="C27" i="5"/>
  <c r="D27" i="5" s="1"/>
  <c r="C26" i="5"/>
  <c r="D26" i="5" s="1"/>
  <c r="C25" i="5"/>
  <c r="D25" i="5" s="1"/>
  <c r="C24" i="5"/>
  <c r="D24" i="5" s="1"/>
  <c r="C23" i="5"/>
  <c r="D23" i="5" s="1"/>
  <c r="C22" i="5"/>
  <c r="D22" i="5" s="1"/>
  <c r="C21" i="5"/>
  <c r="D21" i="5" s="1"/>
  <c r="C20" i="5"/>
  <c r="D20" i="5" s="1"/>
  <c r="C19" i="5"/>
  <c r="D19" i="5" s="1"/>
  <c r="C18" i="5"/>
  <c r="D18" i="5" s="1"/>
  <c r="C17" i="5"/>
  <c r="D17" i="5" s="1"/>
  <c r="H15" i="5"/>
  <c r="D162" i="5" s="1"/>
  <c r="K6" i="5"/>
  <c r="L6" i="5" s="1"/>
  <c r="K5" i="5"/>
  <c r="L5" i="5" s="1"/>
  <c r="K4" i="5"/>
  <c r="L4" i="5" s="1"/>
  <c r="L3" i="5"/>
  <c r="K3" i="5"/>
  <c r="K2" i="5"/>
  <c r="L2" i="5" s="1"/>
  <c r="O159" i="1"/>
  <c r="N159" i="1"/>
  <c r="M159" i="1"/>
  <c r="O2795" i="1"/>
  <c r="N2795" i="1"/>
  <c r="M2795" i="1"/>
  <c r="O2072" i="1"/>
  <c r="N2072" i="1"/>
  <c r="M2072" i="1"/>
  <c r="O1051" i="1"/>
  <c r="N1051" i="1"/>
  <c r="M1051" i="1"/>
  <c r="O1050" i="1"/>
  <c r="N1050" i="1"/>
  <c r="M1050" i="1"/>
  <c r="O1049" i="1"/>
  <c r="N1049" i="1"/>
  <c r="M1049" i="1"/>
  <c r="O1048" i="1"/>
  <c r="N1048" i="1"/>
  <c r="M1048" i="1"/>
  <c r="O1047" i="1"/>
  <c r="N1047" i="1"/>
  <c r="M1047" i="1"/>
  <c r="O1046" i="1"/>
  <c r="N1046" i="1"/>
  <c r="M1046" i="1"/>
  <c r="O1045" i="1"/>
  <c r="N1045" i="1"/>
  <c r="M1045" i="1"/>
  <c r="O1044" i="1"/>
  <c r="N1044" i="1"/>
  <c r="M1044" i="1"/>
  <c r="O1043" i="1"/>
  <c r="N1043" i="1"/>
  <c r="M1043" i="1"/>
  <c r="O2422" i="1"/>
  <c r="N2422" i="1"/>
  <c r="M2422" i="1"/>
  <c r="O2421" i="1"/>
  <c r="N2421" i="1"/>
  <c r="M2421" i="1"/>
  <c r="O2420" i="1"/>
  <c r="N2420" i="1"/>
  <c r="M2420" i="1"/>
  <c r="O2419" i="1"/>
  <c r="N2419" i="1"/>
  <c r="M2419" i="1"/>
  <c r="O2418" i="1"/>
  <c r="N2418" i="1"/>
  <c r="M2418" i="1"/>
  <c r="O2417" i="1"/>
  <c r="N2417" i="1"/>
  <c r="M2417" i="1"/>
  <c r="O2416" i="1"/>
  <c r="N2416" i="1"/>
  <c r="M2416" i="1"/>
  <c r="O2415" i="1"/>
  <c r="N2415" i="1"/>
  <c r="M2415" i="1"/>
  <c r="O2414" i="1"/>
  <c r="N2414" i="1"/>
  <c r="M2414" i="1"/>
  <c r="O2413" i="1"/>
  <c r="N2413" i="1"/>
  <c r="M2413" i="1"/>
  <c r="O2412" i="1"/>
  <c r="N2412" i="1"/>
  <c r="M2412" i="1"/>
  <c r="O2411" i="1"/>
  <c r="N2411" i="1"/>
  <c r="M2411" i="1"/>
  <c r="O2410" i="1"/>
  <c r="N2410" i="1"/>
  <c r="M2410" i="1"/>
  <c r="O2409" i="1"/>
  <c r="N2409" i="1"/>
  <c r="M2409" i="1"/>
  <c r="O2408" i="1"/>
  <c r="N2408" i="1"/>
  <c r="M2408" i="1"/>
  <c r="O2407" i="1"/>
  <c r="N2407" i="1"/>
  <c r="M2407" i="1"/>
  <c r="O2406" i="1"/>
  <c r="N2406" i="1"/>
  <c r="M2406" i="1"/>
  <c r="O2405" i="1"/>
  <c r="N2405" i="1"/>
  <c r="M2405" i="1"/>
  <c r="O2404" i="1"/>
  <c r="N2404" i="1"/>
  <c r="M2404" i="1"/>
  <c r="O2403" i="1"/>
  <c r="N2403" i="1"/>
  <c r="M2403" i="1"/>
  <c r="O2748" i="1"/>
  <c r="N2748" i="1"/>
  <c r="O23" i="1"/>
  <c r="N23" i="1"/>
  <c r="M23" i="1"/>
  <c r="O43" i="1"/>
  <c r="N43" i="1"/>
  <c r="O2857" i="1"/>
  <c r="N2857" i="1"/>
  <c r="M2857" i="1"/>
  <c r="O2856" i="1"/>
  <c r="N2856" i="1"/>
  <c r="M2856" i="1"/>
  <c r="O2855" i="1"/>
  <c r="N2855" i="1"/>
  <c r="M2855" i="1"/>
  <c r="O2854" i="1"/>
  <c r="N2854" i="1"/>
  <c r="M2854" i="1"/>
  <c r="O2853" i="1"/>
  <c r="N2853" i="1"/>
  <c r="M2853" i="1"/>
  <c r="O2852" i="1"/>
  <c r="N2852" i="1"/>
  <c r="M2852" i="1"/>
  <c r="O2851" i="1"/>
  <c r="N2851" i="1"/>
  <c r="M2851" i="1"/>
  <c r="O2850" i="1"/>
  <c r="N2850" i="1"/>
  <c r="M2850" i="1"/>
  <c r="O2849" i="1"/>
  <c r="N2849" i="1"/>
  <c r="M2849" i="1"/>
  <c r="O2848" i="1"/>
  <c r="N2848" i="1"/>
  <c r="M2848" i="1"/>
  <c r="O642" i="1"/>
  <c r="N642" i="1"/>
  <c r="M642" i="1"/>
  <c r="O2872" i="1"/>
  <c r="N2872" i="1"/>
  <c r="M2872" i="1"/>
  <c r="O2823" i="1"/>
  <c r="N2823" i="1"/>
  <c r="M2823" i="1"/>
  <c r="O486" i="1"/>
  <c r="N486" i="1"/>
  <c r="M486" i="1"/>
  <c r="O1521" i="1"/>
  <c r="N1521" i="1"/>
  <c r="M1521" i="1"/>
  <c r="O643" i="1"/>
  <c r="N643" i="1"/>
  <c r="M643" i="1"/>
  <c r="O640" i="1"/>
  <c r="N640" i="1"/>
  <c r="M640" i="1"/>
  <c r="O208" i="1"/>
  <c r="N208" i="1"/>
  <c r="M208" i="1"/>
  <c r="O77" i="1"/>
  <c r="N77" i="1"/>
  <c r="M77" i="1"/>
  <c r="O2071" i="1"/>
  <c r="N2071" i="1"/>
  <c r="M2071" i="1"/>
  <c r="O2070" i="1"/>
  <c r="N2070" i="1"/>
  <c r="M2070" i="1"/>
  <c r="O2069" i="1"/>
  <c r="N2069" i="1"/>
  <c r="M2069" i="1"/>
  <c r="O2068" i="1"/>
  <c r="N2068" i="1"/>
  <c r="M2068" i="1"/>
  <c r="O2067" i="1"/>
  <c r="N2067" i="1"/>
  <c r="M2067" i="1"/>
  <c r="O2066" i="1"/>
  <c r="N2066" i="1"/>
  <c r="M2066" i="1"/>
  <c r="O2065" i="1"/>
  <c r="N2065" i="1"/>
  <c r="M2065" i="1"/>
  <c r="O2064" i="1"/>
  <c r="N2064" i="1"/>
  <c r="M2064" i="1"/>
  <c r="O2063" i="1"/>
  <c r="N2063" i="1"/>
  <c r="M2063" i="1"/>
  <c r="O2062" i="1"/>
  <c r="N2062" i="1"/>
  <c r="M2062" i="1"/>
  <c r="O2061" i="1"/>
  <c r="N2061" i="1"/>
  <c r="M2061" i="1"/>
  <c r="O2060" i="1"/>
  <c r="N2060" i="1"/>
  <c r="M2060" i="1"/>
  <c r="O2059" i="1"/>
  <c r="N2059" i="1"/>
  <c r="M2059" i="1"/>
  <c r="O2058" i="1"/>
  <c r="N2058" i="1"/>
  <c r="M2058" i="1"/>
  <c r="O2057" i="1"/>
  <c r="N2057" i="1"/>
  <c r="M2057" i="1"/>
  <c r="O2056" i="1"/>
  <c r="N2056" i="1"/>
  <c r="M2056" i="1"/>
  <c r="O2055" i="1"/>
  <c r="N2055" i="1"/>
  <c r="M2055" i="1"/>
  <c r="O2054" i="1"/>
  <c r="N2054" i="1"/>
  <c r="M2054" i="1"/>
  <c r="O2053" i="1"/>
  <c r="N2053" i="1"/>
  <c r="M2053" i="1"/>
  <c r="O2052" i="1"/>
  <c r="N2052" i="1"/>
  <c r="M2052" i="1"/>
  <c r="O2051" i="1"/>
  <c r="N2051" i="1"/>
  <c r="M2051" i="1"/>
  <c r="O2050" i="1"/>
  <c r="N2050" i="1"/>
  <c r="M2050" i="1"/>
  <c r="O2049" i="1"/>
  <c r="N2049" i="1"/>
  <c r="M2049" i="1"/>
  <c r="O2048" i="1"/>
  <c r="N2048" i="1"/>
  <c r="M2048" i="1"/>
  <c r="O2047" i="1"/>
  <c r="N2047" i="1"/>
  <c r="M2047" i="1"/>
  <c r="O2046" i="1"/>
  <c r="N2046" i="1"/>
  <c r="M2046" i="1"/>
  <c r="O2045" i="1"/>
  <c r="N2045" i="1"/>
  <c r="M2045" i="1"/>
  <c r="O2044" i="1"/>
  <c r="N2044" i="1"/>
  <c r="M2044" i="1"/>
  <c r="O2043" i="1"/>
  <c r="N2043" i="1"/>
  <c r="M2043" i="1"/>
  <c r="O2042" i="1"/>
  <c r="N2042" i="1"/>
  <c r="M2042" i="1"/>
  <c r="O2041" i="1"/>
  <c r="N2041" i="1"/>
  <c r="M2041" i="1"/>
  <c r="O2040" i="1"/>
  <c r="N2040" i="1"/>
  <c r="M2040" i="1"/>
  <c r="O2875" i="1"/>
  <c r="N2875" i="1"/>
  <c r="M2875" i="1"/>
  <c r="O2621" i="1"/>
  <c r="N2621" i="1"/>
  <c r="M2621" i="1"/>
  <c r="O610" i="1"/>
  <c r="N610" i="1"/>
  <c r="M610" i="1"/>
  <c r="O2327" i="1"/>
  <c r="N2327" i="1"/>
  <c r="M2327" i="1"/>
  <c r="O1330" i="1"/>
  <c r="N1330" i="1"/>
  <c r="M1330" i="1"/>
  <c r="O2073" i="1"/>
  <c r="N2073" i="1"/>
  <c r="M2073" i="1"/>
  <c r="O17" i="1"/>
  <c r="N17" i="1"/>
  <c r="M17" i="1"/>
  <c r="O16" i="1"/>
  <c r="N16" i="1"/>
  <c r="M16" i="1"/>
  <c r="O15" i="1"/>
  <c r="N15" i="1"/>
  <c r="M15" i="1"/>
  <c r="O14" i="1"/>
  <c r="N14" i="1"/>
  <c r="M14" i="1"/>
  <c r="O13" i="1"/>
  <c r="N13" i="1"/>
  <c r="M13" i="1"/>
  <c r="O12" i="1"/>
  <c r="N12" i="1"/>
  <c r="M12" i="1"/>
  <c r="O11" i="1"/>
  <c r="N11" i="1"/>
  <c r="M11" i="1"/>
  <c r="O10" i="1"/>
  <c r="N10" i="1"/>
  <c r="M10" i="1"/>
  <c r="O9" i="1"/>
  <c r="N9" i="1"/>
  <c r="M9" i="1"/>
  <c r="O2676" i="1"/>
  <c r="N2676" i="1"/>
  <c r="M2676" i="1"/>
  <c r="O2675" i="1"/>
  <c r="N2675" i="1"/>
  <c r="M2675" i="1"/>
  <c r="O2674" i="1"/>
  <c r="N2674" i="1"/>
  <c r="M2674" i="1"/>
  <c r="O2673" i="1"/>
  <c r="N2673" i="1"/>
  <c r="M2673" i="1"/>
  <c r="O2672" i="1"/>
  <c r="N2672" i="1"/>
  <c r="M2672" i="1"/>
  <c r="O2671" i="1"/>
  <c r="N2671" i="1"/>
  <c r="M2671" i="1"/>
  <c r="O2858" i="1"/>
  <c r="N2858" i="1"/>
  <c r="M2858" i="1"/>
  <c r="O2775" i="1"/>
  <c r="N2775" i="1"/>
  <c r="M2775" i="1"/>
  <c r="O2771" i="1"/>
  <c r="N2771" i="1"/>
  <c r="M2771" i="1"/>
  <c r="O2132" i="1"/>
  <c r="N2132" i="1"/>
  <c r="M2132" i="1"/>
  <c r="O1721" i="1"/>
  <c r="N1721" i="1"/>
  <c r="M1721" i="1"/>
  <c r="O1658" i="1"/>
  <c r="N1658" i="1"/>
  <c r="M1658" i="1"/>
  <c r="O1433" i="1"/>
  <c r="N1433" i="1"/>
  <c r="M1433" i="1"/>
  <c r="O714" i="1"/>
  <c r="N714" i="1"/>
  <c r="M714" i="1"/>
  <c r="O74" i="1"/>
  <c r="N74" i="1"/>
  <c r="M74" i="1"/>
  <c r="O602" i="1"/>
  <c r="N602" i="1"/>
  <c r="M602" i="1"/>
  <c r="O601" i="1"/>
  <c r="N601" i="1"/>
  <c r="M601" i="1"/>
  <c r="O600" i="1"/>
  <c r="N600" i="1"/>
  <c r="M600" i="1"/>
  <c r="O599" i="1"/>
  <c r="N599" i="1"/>
  <c r="M599" i="1"/>
  <c r="O598" i="1"/>
  <c r="N598" i="1"/>
  <c r="M598" i="1"/>
  <c r="O597" i="1"/>
  <c r="N597" i="1"/>
  <c r="M597" i="1"/>
  <c r="O596" i="1"/>
  <c r="N596" i="1"/>
  <c r="M596" i="1"/>
  <c r="O595" i="1"/>
  <c r="N595" i="1"/>
  <c r="M595" i="1"/>
  <c r="O594" i="1"/>
  <c r="N594" i="1"/>
  <c r="M594" i="1"/>
  <c r="O593" i="1"/>
  <c r="N593" i="1"/>
  <c r="M593" i="1"/>
  <c r="O592" i="1"/>
  <c r="N592" i="1"/>
  <c r="M592" i="1"/>
  <c r="O591" i="1"/>
  <c r="N591" i="1"/>
  <c r="M591" i="1"/>
  <c r="O590" i="1"/>
  <c r="N590" i="1"/>
  <c r="M590" i="1"/>
  <c r="O589" i="1"/>
  <c r="N589" i="1"/>
  <c r="M589" i="1"/>
  <c r="O1848" i="1"/>
  <c r="N1848" i="1"/>
  <c r="M1848" i="1"/>
  <c r="O1847" i="1"/>
  <c r="N1847" i="1"/>
  <c r="M1847" i="1"/>
  <c r="O1846" i="1"/>
  <c r="N1846" i="1"/>
  <c r="M1846" i="1"/>
  <c r="O1845" i="1"/>
  <c r="N1845" i="1"/>
  <c r="M1845" i="1"/>
  <c r="O1844" i="1"/>
  <c r="N1844" i="1"/>
  <c r="M1844" i="1"/>
  <c r="O1843" i="1"/>
  <c r="N1843" i="1"/>
  <c r="M1843" i="1"/>
  <c r="O1842" i="1"/>
  <c r="N1842" i="1"/>
  <c r="M1842" i="1"/>
  <c r="O1841" i="1"/>
  <c r="N1841" i="1"/>
  <c r="M1841" i="1"/>
  <c r="O1840" i="1"/>
  <c r="N1840" i="1"/>
  <c r="M1840" i="1"/>
  <c r="O1839" i="1"/>
  <c r="N1839" i="1"/>
  <c r="M1839" i="1"/>
  <c r="O1838" i="1"/>
  <c r="N1838" i="1"/>
  <c r="M1838" i="1"/>
  <c r="O1918" i="1"/>
  <c r="N1918" i="1"/>
  <c r="M1918" i="1"/>
  <c r="O894" i="1"/>
  <c r="N894" i="1"/>
  <c r="M894" i="1"/>
  <c r="O893" i="1"/>
  <c r="N893" i="1"/>
  <c r="M893" i="1"/>
  <c r="O892" i="1"/>
  <c r="N892" i="1"/>
  <c r="M892" i="1"/>
  <c r="O891" i="1"/>
  <c r="N891" i="1"/>
  <c r="M891" i="1"/>
  <c r="O890" i="1"/>
  <c r="N890" i="1"/>
  <c r="M890" i="1"/>
  <c r="O889" i="1"/>
  <c r="N889" i="1"/>
  <c r="M889" i="1"/>
  <c r="O888" i="1"/>
  <c r="N888" i="1"/>
  <c r="M888" i="1"/>
  <c r="O887" i="1"/>
  <c r="N887" i="1"/>
  <c r="M887" i="1"/>
  <c r="O886" i="1"/>
  <c r="N886" i="1"/>
  <c r="M886" i="1"/>
  <c r="O2751" i="1"/>
  <c r="N2751" i="1"/>
  <c r="M2751" i="1"/>
  <c r="O2660" i="1"/>
  <c r="N2660" i="1"/>
  <c r="M2660" i="1"/>
  <c r="O1665" i="1"/>
  <c r="N1665" i="1"/>
  <c r="M1665" i="1"/>
  <c r="O446" i="1"/>
  <c r="N446" i="1"/>
  <c r="M446" i="1"/>
  <c r="O445" i="1"/>
  <c r="N445" i="1"/>
  <c r="M445" i="1"/>
  <c r="O444" i="1"/>
  <c r="N444" i="1"/>
  <c r="M444" i="1"/>
  <c r="O443" i="1"/>
  <c r="N443" i="1"/>
  <c r="M443" i="1"/>
  <c r="O442" i="1"/>
  <c r="N442" i="1"/>
  <c r="M442" i="1"/>
  <c r="O441" i="1"/>
  <c r="N441" i="1"/>
  <c r="M441" i="1"/>
  <c r="O440" i="1"/>
  <c r="N440" i="1"/>
  <c r="M440" i="1"/>
  <c r="O439" i="1"/>
  <c r="N439" i="1"/>
  <c r="M439" i="1"/>
  <c r="O438" i="1"/>
  <c r="N438" i="1"/>
  <c r="M438" i="1"/>
  <c r="O437" i="1"/>
  <c r="N437" i="1"/>
  <c r="M437" i="1"/>
  <c r="O436" i="1"/>
  <c r="N436" i="1"/>
  <c r="M436" i="1"/>
  <c r="O435" i="1"/>
  <c r="N435" i="1"/>
  <c r="M435" i="1"/>
  <c r="O434" i="1"/>
  <c r="N434" i="1"/>
  <c r="M434" i="1"/>
  <c r="O433" i="1"/>
  <c r="N433" i="1"/>
  <c r="M433" i="1"/>
  <c r="O432" i="1"/>
  <c r="N432" i="1"/>
  <c r="M432" i="1"/>
  <c r="O431" i="1"/>
  <c r="N431" i="1"/>
  <c r="M431" i="1"/>
  <c r="O430" i="1"/>
  <c r="N430" i="1"/>
  <c r="M430" i="1"/>
  <c r="O429" i="1"/>
  <c r="N429" i="1"/>
  <c r="M429" i="1"/>
  <c r="O428" i="1"/>
  <c r="N428" i="1"/>
  <c r="M428" i="1"/>
  <c r="O427" i="1"/>
  <c r="N427" i="1"/>
  <c r="M427" i="1"/>
  <c r="O426" i="1"/>
  <c r="N426" i="1"/>
  <c r="M426" i="1"/>
  <c r="O425" i="1"/>
  <c r="N425" i="1"/>
  <c r="M425" i="1"/>
  <c r="O424" i="1"/>
  <c r="N424" i="1"/>
  <c r="M424" i="1"/>
  <c r="O423" i="1"/>
  <c r="N423" i="1"/>
  <c r="M423" i="1"/>
  <c r="O1222" i="1"/>
  <c r="N1222" i="1"/>
  <c r="M1222" i="1"/>
  <c r="O1221" i="1"/>
  <c r="N1221" i="1"/>
  <c r="M1221" i="1"/>
  <c r="O1220" i="1"/>
  <c r="N1220" i="1"/>
  <c r="M1220" i="1"/>
  <c r="O1219" i="1"/>
  <c r="N1219" i="1"/>
  <c r="M1219" i="1"/>
  <c r="O1218" i="1"/>
  <c r="N1218" i="1"/>
  <c r="M1218" i="1"/>
  <c r="O1217" i="1"/>
  <c r="N1217" i="1"/>
  <c r="M1217" i="1"/>
  <c r="O1216" i="1"/>
  <c r="N1216" i="1"/>
  <c r="M1216" i="1"/>
  <c r="O1215" i="1"/>
  <c r="N1215" i="1"/>
  <c r="M1215" i="1"/>
  <c r="O1214" i="1"/>
  <c r="N1214" i="1"/>
  <c r="M1214" i="1"/>
  <c r="O1787" i="1"/>
  <c r="N1787" i="1"/>
  <c r="M1787" i="1"/>
  <c r="O1786" i="1"/>
  <c r="N1786" i="1"/>
  <c r="M1786" i="1"/>
  <c r="O1785" i="1"/>
  <c r="N1785" i="1"/>
  <c r="M1785" i="1"/>
  <c r="O1784" i="1"/>
  <c r="N1784" i="1"/>
  <c r="M1784" i="1"/>
  <c r="O1783" i="1"/>
  <c r="N1783" i="1"/>
  <c r="M1783" i="1"/>
  <c r="O1782" i="1"/>
  <c r="N1782" i="1"/>
  <c r="M1782" i="1"/>
  <c r="O1781" i="1"/>
  <c r="N1781" i="1"/>
  <c r="M1781" i="1"/>
  <c r="O2215" i="1"/>
  <c r="N2215" i="1"/>
  <c r="M2215" i="1"/>
  <c r="O1053" i="1"/>
  <c r="N1053" i="1"/>
  <c r="M1053" i="1"/>
  <c r="O2593" i="1"/>
  <c r="N2593" i="1"/>
  <c r="M2593" i="1"/>
  <c r="O2592" i="1"/>
  <c r="N2592" i="1"/>
  <c r="M2592" i="1"/>
  <c r="O2591" i="1"/>
  <c r="N2591" i="1"/>
  <c r="M2591" i="1"/>
  <c r="O2590" i="1"/>
  <c r="N2590" i="1"/>
  <c r="M2590" i="1"/>
  <c r="O2589" i="1"/>
  <c r="N2589" i="1"/>
  <c r="M2589" i="1"/>
  <c r="O2588" i="1"/>
  <c r="N2588" i="1"/>
  <c r="M2588" i="1"/>
  <c r="O2587" i="1"/>
  <c r="N2587" i="1"/>
  <c r="M2587" i="1"/>
  <c r="O2586" i="1"/>
  <c r="N2586" i="1"/>
  <c r="M2586" i="1"/>
  <c r="O2585" i="1"/>
  <c r="N2585" i="1"/>
  <c r="M2585" i="1"/>
  <c r="O2584" i="1"/>
  <c r="N2584" i="1"/>
  <c r="M2584" i="1"/>
  <c r="O2583" i="1"/>
  <c r="N2583" i="1"/>
  <c r="M2583" i="1"/>
  <c r="O2582" i="1"/>
  <c r="N2582" i="1"/>
  <c r="M2582" i="1"/>
  <c r="O2581" i="1"/>
  <c r="N2581" i="1"/>
  <c r="M2581" i="1"/>
  <c r="O2580" i="1"/>
  <c r="N2580" i="1"/>
  <c r="M2580" i="1"/>
  <c r="O2314" i="1"/>
  <c r="N2314" i="1"/>
  <c r="M2314" i="1"/>
  <c r="O2313" i="1"/>
  <c r="N2313" i="1"/>
  <c r="M2313" i="1"/>
  <c r="O2312" i="1"/>
  <c r="N2312" i="1"/>
  <c r="M2312" i="1"/>
  <c r="O2311" i="1"/>
  <c r="N2311" i="1"/>
  <c r="M2311" i="1"/>
  <c r="O2310" i="1"/>
  <c r="N2310" i="1"/>
  <c r="M2310" i="1"/>
  <c r="O2309" i="1"/>
  <c r="N2309" i="1"/>
  <c r="M2309" i="1"/>
  <c r="O2308" i="1"/>
  <c r="N2308" i="1"/>
  <c r="M2308" i="1"/>
  <c r="O2307" i="1"/>
  <c r="N2307" i="1"/>
  <c r="M2307" i="1"/>
  <c r="O2306" i="1"/>
  <c r="N2306" i="1"/>
  <c r="M2306" i="1"/>
  <c r="O1033" i="1"/>
  <c r="N1033" i="1"/>
  <c r="M1033" i="1"/>
  <c r="O403" i="1"/>
  <c r="N403" i="1"/>
  <c r="M403" i="1"/>
  <c r="O34" i="1"/>
  <c r="N34" i="1"/>
  <c r="M34" i="1"/>
  <c r="O1642" i="1"/>
  <c r="N1642" i="1"/>
  <c r="M1642" i="1"/>
  <c r="O1641" i="1"/>
  <c r="N1641" i="1"/>
  <c r="M1641" i="1"/>
  <c r="O1640" i="1"/>
  <c r="N1640" i="1"/>
  <c r="M1640" i="1"/>
  <c r="O1639" i="1"/>
  <c r="N1639" i="1"/>
  <c r="M1639" i="1"/>
  <c r="O1638" i="1"/>
  <c r="N1638" i="1"/>
  <c r="M1638" i="1"/>
  <c r="O1637" i="1"/>
  <c r="N1637" i="1"/>
  <c r="M1637" i="1"/>
  <c r="O1636" i="1"/>
  <c r="N1636" i="1"/>
  <c r="M1636" i="1"/>
  <c r="O1635" i="1"/>
  <c r="N1635" i="1"/>
  <c r="M1635" i="1"/>
  <c r="O1634" i="1"/>
  <c r="N1634" i="1"/>
  <c r="M1634" i="1"/>
  <c r="O1633" i="1"/>
  <c r="N1633" i="1"/>
  <c r="M1633" i="1"/>
  <c r="O1632" i="1"/>
  <c r="N1632" i="1"/>
  <c r="M1632" i="1"/>
  <c r="O2596" i="1"/>
  <c r="N2596" i="1"/>
  <c r="M2596" i="1"/>
  <c r="O202" i="1"/>
  <c r="N202" i="1"/>
  <c r="M202" i="1"/>
  <c r="O982" i="1"/>
  <c r="N982" i="1"/>
  <c r="M982" i="1"/>
  <c r="O981" i="1"/>
  <c r="N981" i="1"/>
  <c r="M981" i="1"/>
  <c r="O980" i="1"/>
  <c r="N980" i="1"/>
  <c r="M980" i="1"/>
  <c r="O979" i="1"/>
  <c r="N979" i="1"/>
  <c r="M979" i="1"/>
  <c r="O978" i="1"/>
  <c r="N978" i="1"/>
  <c r="M978" i="1"/>
  <c r="O977" i="1"/>
  <c r="N977" i="1"/>
  <c r="M977" i="1"/>
  <c r="O976" i="1"/>
  <c r="N976" i="1"/>
  <c r="M976" i="1"/>
  <c r="O975" i="1"/>
  <c r="N975" i="1"/>
  <c r="M975" i="1"/>
  <c r="O974" i="1"/>
  <c r="N974" i="1"/>
  <c r="M974" i="1"/>
  <c r="O973" i="1"/>
  <c r="N973" i="1"/>
  <c r="M973" i="1"/>
  <c r="O972" i="1"/>
  <c r="N972" i="1"/>
  <c r="M972" i="1"/>
  <c r="O971" i="1"/>
  <c r="N971" i="1"/>
  <c r="M971" i="1"/>
  <c r="O970" i="1"/>
  <c r="N970" i="1"/>
  <c r="M970" i="1"/>
  <c r="O969" i="1"/>
  <c r="N969" i="1"/>
  <c r="M969" i="1"/>
  <c r="O968" i="1"/>
  <c r="N968" i="1"/>
  <c r="M968" i="1"/>
  <c r="O967" i="1"/>
  <c r="N967" i="1"/>
  <c r="M967" i="1"/>
  <c r="O966" i="1"/>
  <c r="N966" i="1"/>
  <c r="M966" i="1"/>
  <c r="O965" i="1"/>
  <c r="N965" i="1"/>
  <c r="M965" i="1"/>
  <c r="O964" i="1"/>
  <c r="N964" i="1"/>
  <c r="M964" i="1"/>
  <c r="O963" i="1"/>
  <c r="N963" i="1"/>
  <c r="M963" i="1"/>
  <c r="O32" i="1"/>
  <c r="N32" i="1"/>
  <c r="M32" i="1"/>
  <c r="O31" i="1"/>
  <c r="N31" i="1"/>
  <c r="M31" i="1"/>
  <c r="O30" i="1"/>
  <c r="N30" i="1"/>
  <c r="M30" i="1"/>
  <c r="O29" i="1"/>
  <c r="N29" i="1"/>
  <c r="M29" i="1"/>
  <c r="O28" i="1"/>
  <c r="N28" i="1"/>
  <c r="M28" i="1"/>
  <c r="O27" i="1"/>
  <c r="N27" i="1"/>
  <c r="M27" i="1"/>
  <c r="O26" i="1"/>
  <c r="N26" i="1"/>
  <c r="M26" i="1"/>
  <c r="O25" i="1"/>
  <c r="N25" i="1"/>
  <c r="M25" i="1"/>
  <c r="O24" i="1"/>
  <c r="N24" i="1"/>
  <c r="M24" i="1"/>
  <c r="O1888" i="1"/>
  <c r="N1888" i="1"/>
  <c r="M1888" i="1"/>
  <c r="K1888" i="1"/>
  <c r="O1887" i="1"/>
  <c r="N1887" i="1"/>
  <c r="M1887" i="1"/>
  <c r="K1887" i="1"/>
  <c r="O1886" i="1"/>
  <c r="N1886" i="1"/>
  <c r="M1886" i="1"/>
  <c r="K1886" i="1"/>
  <c r="O1885" i="1"/>
  <c r="N1885" i="1"/>
  <c r="M1885" i="1"/>
  <c r="K1885" i="1"/>
  <c r="O1884" i="1"/>
  <c r="N1884" i="1"/>
  <c r="M1884" i="1"/>
  <c r="K1884" i="1"/>
  <c r="O1883" i="1"/>
  <c r="N1883" i="1"/>
  <c r="M1883" i="1"/>
  <c r="K1883" i="1"/>
  <c r="O1882" i="1"/>
  <c r="N1882" i="1"/>
  <c r="M1882" i="1"/>
  <c r="K1882" i="1"/>
  <c r="O1881" i="1"/>
  <c r="N1881" i="1"/>
  <c r="M1881" i="1"/>
  <c r="K1881" i="1"/>
  <c r="O1880" i="1"/>
  <c r="N1880" i="1"/>
  <c r="M1880" i="1"/>
  <c r="O1879" i="1"/>
  <c r="N1879" i="1"/>
  <c r="M1879" i="1"/>
  <c r="K1879" i="1"/>
  <c r="O1878" i="1"/>
  <c r="N1878" i="1"/>
  <c r="M1878" i="1"/>
  <c r="K1878" i="1"/>
  <c r="O1877" i="1"/>
  <c r="N1877" i="1"/>
  <c r="M1877" i="1"/>
  <c r="K1877" i="1"/>
  <c r="O1876" i="1"/>
  <c r="N1876" i="1"/>
  <c r="M1876" i="1"/>
  <c r="K1876" i="1"/>
  <c r="O1875" i="1"/>
  <c r="N1875" i="1"/>
  <c r="M1875" i="1"/>
  <c r="K1875" i="1"/>
  <c r="O2977" i="1"/>
  <c r="N2977" i="1"/>
  <c r="M2977" i="1"/>
  <c r="O2976" i="1"/>
  <c r="N2976" i="1"/>
  <c r="M2976" i="1"/>
  <c r="O2975" i="1"/>
  <c r="N2975" i="1"/>
  <c r="M2975" i="1"/>
  <c r="O2974" i="1"/>
  <c r="N2974" i="1"/>
  <c r="M2974" i="1"/>
  <c r="O2973" i="1"/>
  <c r="N2973" i="1"/>
  <c r="M2973" i="1"/>
  <c r="O2972" i="1"/>
  <c r="N2972" i="1"/>
  <c r="M2972" i="1"/>
  <c r="O789" i="1"/>
  <c r="N789" i="1"/>
  <c r="M789" i="1"/>
  <c r="O788" i="1"/>
  <c r="N788" i="1"/>
  <c r="M788" i="1"/>
  <c r="O787" i="1"/>
  <c r="N787" i="1"/>
  <c r="M787" i="1"/>
  <c r="O786" i="1"/>
  <c r="N786" i="1"/>
  <c r="M786" i="1"/>
  <c r="O785" i="1"/>
  <c r="N785" i="1"/>
  <c r="M785" i="1"/>
  <c r="O784" i="1"/>
  <c r="N784" i="1"/>
  <c r="M784" i="1"/>
  <c r="O783" i="1"/>
  <c r="N783" i="1"/>
  <c r="M783" i="1"/>
  <c r="O782" i="1"/>
  <c r="N782" i="1"/>
  <c r="M782" i="1"/>
  <c r="O781" i="1"/>
  <c r="N781" i="1"/>
  <c r="M781" i="1"/>
  <c r="O780" i="1"/>
  <c r="N780" i="1"/>
  <c r="M780" i="1"/>
  <c r="O779" i="1"/>
  <c r="N779" i="1"/>
  <c r="M779" i="1"/>
  <c r="O778" i="1"/>
  <c r="N778" i="1"/>
  <c r="M778" i="1"/>
  <c r="O777" i="1"/>
  <c r="N777" i="1"/>
  <c r="M777" i="1"/>
  <c r="O776" i="1"/>
  <c r="N776" i="1"/>
  <c r="M776" i="1"/>
  <c r="O775" i="1"/>
  <c r="N775" i="1"/>
  <c r="M775" i="1"/>
  <c r="O700" i="1"/>
  <c r="N700" i="1"/>
  <c r="M700" i="1"/>
  <c r="O699" i="1"/>
  <c r="N699" i="1"/>
  <c r="M699" i="1"/>
  <c r="O698" i="1"/>
  <c r="N698" i="1"/>
  <c r="M698" i="1"/>
  <c r="O697" i="1"/>
  <c r="N697" i="1"/>
  <c r="M697" i="1"/>
  <c r="O696" i="1"/>
  <c r="N696" i="1"/>
  <c r="M696" i="1"/>
  <c r="O695" i="1"/>
  <c r="N695" i="1"/>
  <c r="M695" i="1"/>
  <c r="O694" i="1"/>
  <c r="N694" i="1"/>
  <c r="M694" i="1"/>
  <c r="O693" i="1"/>
  <c r="N693" i="1"/>
  <c r="M693" i="1"/>
  <c r="O692" i="1"/>
  <c r="N692" i="1"/>
  <c r="M692" i="1"/>
  <c r="O691" i="1"/>
  <c r="N691" i="1"/>
  <c r="M691" i="1"/>
  <c r="O690" i="1"/>
  <c r="N690" i="1"/>
  <c r="M690" i="1"/>
  <c r="O689" i="1"/>
  <c r="N689" i="1"/>
  <c r="M689" i="1"/>
  <c r="O688" i="1"/>
  <c r="N688" i="1"/>
  <c r="M688" i="1"/>
  <c r="O2496" i="1"/>
  <c r="N2496" i="1"/>
  <c r="M2496" i="1"/>
  <c r="O2495" i="1"/>
  <c r="N2495" i="1"/>
  <c r="M2495" i="1"/>
  <c r="O2494" i="1"/>
  <c r="N2494" i="1"/>
  <c r="M2494" i="1"/>
  <c r="O2493" i="1"/>
  <c r="N2493" i="1"/>
  <c r="M2493" i="1"/>
  <c r="O2492" i="1"/>
  <c r="N2492" i="1"/>
  <c r="M2492" i="1"/>
  <c r="O2491" i="1"/>
  <c r="N2491" i="1"/>
  <c r="M2491" i="1"/>
  <c r="O2490" i="1"/>
  <c r="N2490" i="1"/>
  <c r="M2490" i="1"/>
  <c r="O2489" i="1"/>
  <c r="N2489" i="1"/>
  <c r="M2489" i="1"/>
  <c r="O2488" i="1"/>
  <c r="N2488" i="1"/>
  <c r="M2488" i="1"/>
  <c r="O2487" i="1"/>
  <c r="N2487" i="1"/>
  <c r="M2487" i="1"/>
  <c r="O2486" i="1"/>
  <c r="N2486" i="1"/>
  <c r="M2486" i="1"/>
  <c r="O2485" i="1"/>
  <c r="N2485" i="1"/>
  <c r="M2485" i="1"/>
  <c r="O2484" i="1"/>
  <c r="N2484" i="1"/>
  <c r="M2484" i="1"/>
  <c r="O2483" i="1"/>
  <c r="N2483" i="1"/>
  <c r="M2483" i="1"/>
  <c r="O2482" i="1"/>
  <c r="N2482" i="1"/>
  <c r="M2482" i="1"/>
  <c r="O2481" i="1"/>
  <c r="N2481" i="1"/>
  <c r="M2481" i="1"/>
  <c r="O2480" i="1"/>
  <c r="N2480" i="1"/>
  <c r="M2480" i="1"/>
  <c r="O2479" i="1"/>
  <c r="N2479" i="1"/>
  <c r="M2479" i="1"/>
  <c r="O2478" i="1"/>
  <c r="N2478" i="1"/>
  <c r="M2478" i="1"/>
  <c r="O2477" i="1"/>
  <c r="N2477" i="1"/>
  <c r="M2477" i="1"/>
  <c r="O2476" i="1"/>
  <c r="N2476" i="1"/>
  <c r="M2476" i="1"/>
  <c r="O2475" i="1"/>
  <c r="N2475" i="1"/>
  <c r="M2475" i="1"/>
  <c r="O2474" i="1"/>
  <c r="N2474" i="1"/>
  <c r="M2474" i="1"/>
  <c r="O2473" i="1"/>
  <c r="N2473" i="1"/>
  <c r="M2473" i="1"/>
  <c r="O2358" i="1"/>
  <c r="N2358" i="1"/>
  <c r="M2358" i="1"/>
  <c r="O2357" i="1"/>
  <c r="N2357" i="1"/>
  <c r="M2357" i="1"/>
  <c r="O2356" i="1"/>
  <c r="N2356" i="1"/>
  <c r="M2356" i="1"/>
  <c r="O2355" i="1"/>
  <c r="N2355" i="1"/>
  <c r="M2355" i="1"/>
  <c r="O2354" i="1"/>
  <c r="N2354" i="1"/>
  <c r="M2354" i="1"/>
  <c r="O2353" i="1"/>
  <c r="N2353" i="1"/>
  <c r="M2353" i="1"/>
  <c r="O2352" i="1"/>
  <c r="N2352" i="1"/>
  <c r="M2352" i="1"/>
  <c r="O2351" i="1"/>
  <c r="N2351" i="1"/>
  <c r="M2351" i="1"/>
  <c r="O2350" i="1"/>
  <c r="N2350" i="1"/>
  <c r="M2350" i="1"/>
  <c r="O2349" i="1"/>
  <c r="N2349" i="1"/>
  <c r="M2349" i="1"/>
  <c r="O2348" i="1"/>
  <c r="N2348" i="1"/>
  <c r="M2348" i="1"/>
  <c r="O2347" i="1"/>
  <c r="N2347" i="1"/>
  <c r="M2347" i="1"/>
  <c r="O2346" i="1"/>
  <c r="N2346" i="1"/>
  <c r="M2346" i="1"/>
  <c r="O2345" i="1"/>
  <c r="N2345" i="1"/>
  <c r="M2345" i="1"/>
  <c r="O2344" i="1"/>
  <c r="N2344" i="1"/>
  <c r="M2344" i="1"/>
  <c r="O1071" i="1"/>
  <c r="N1071" i="1"/>
  <c r="M1071" i="1"/>
  <c r="O2720" i="1"/>
  <c r="N2720" i="1"/>
  <c r="M2720" i="1"/>
  <c r="O2719" i="1"/>
  <c r="N2719" i="1"/>
  <c r="M2719" i="1"/>
  <c r="O2718" i="1"/>
  <c r="N2718" i="1"/>
  <c r="M2718" i="1"/>
  <c r="O2717" i="1"/>
  <c r="N2717" i="1"/>
  <c r="M2717" i="1"/>
  <c r="O2716" i="1"/>
  <c r="N2716" i="1"/>
  <c r="M2716" i="1"/>
  <c r="O2715" i="1"/>
  <c r="N2715" i="1"/>
  <c r="M2715" i="1"/>
  <c r="O2714" i="1"/>
  <c r="N2714" i="1"/>
  <c r="M2714" i="1"/>
  <c r="O2713" i="1"/>
  <c r="N2713" i="1"/>
  <c r="M2713" i="1"/>
  <c r="O2532" i="1"/>
  <c r="N2532" i="1"/>
  <c r="M2532" i="1"/>
  <c r="O2531" i="1"/>
  <c r="N2531" i="1"/>
  <c r="M2531" i="1"/>
  <c r="O2530" i="1"/>
  <c r="N2530" i="1"/>
  <c r="M2530" i="1"/>
  <c r="O2529" i="1"/>
  <c r="N2529" i="1"/>
  <c r="M2529" i="1"/>
  <c r="O2528" i="1"/>
  <c r="N2528" i="1"/>
  <c r="M2528" i="1"/>
  <c r="O2527" i="1"/>
  <c r="N2527" i="1"/>
  <c r="M2527" i="1"/>
  <c r="O2526" i="1"/>
  <c r="N2526" i="1"/>
  <c r="M2526" i="1"/>
  <c r="O2525" i="1"/>
  <c r="N2525" i="1"/>
  <c r="M2525" i="1"/>
  <c r="O1957" i="1"/>
  <c r="N1957" i="1"/>
  <c r="M1957" i="1"/>
  <c r="O983" i="1"/>
  <c r="N983" i="1"/>
  <c r="M983" i="1"/>
  <c r="O2325" i="1"/>
  <c r="N2325" i="1"/>
  <c r="M2325" i="1"/>
  <c r="O2324" i="1"/>
  <c r="N2324" i="1"/>
  <c r="M2324" i="1"/>
  <c r="O2323" i="1"/>
  <c r="N2323" i="1"/>
  <c r="M2323" i="1"/>
  <c r="O2322" i="1"/>
  <c r="N2322" i="1"/>
  <c r="M2322" i="1"/>
  <c r="O2321" i="1"/>
  <c r="N2321" i="1"/>
  <c r="M2321" i="1"/>
  <c r="O2320" i="1"/>
  <c r="N2320" i="1"/>
  <c r="M2320" i="1"/>
  <c r="O2319" i="1"/>
  <c r="N2319" i="1"/>
  <c r="M2319" i="1"/>
  <c r="O2318" i="1"/>
  <c r="N2318" i="1"/>
  <c r="M2318" i="1"/>
  <c r="O2317" i="1"/>
  <c r="N2317" i="1"/>
  <c r="M2317" i="1"/>
  <c r="O2316" i="1"/>
  <c r="N2316" i="1"/>
  <c r="M2316" i="1"/>
  <c r="O2315" i="1"/>
  <c r="N2315" i="1"/>
  <c r="M2315" i="1"/>
  <c r="O1671" i="1"/>
  <c r="N1671" i="1"/>
  <c r="M1671" i="1"/>
  <c r="O2770" i="1"/>
  <c r="N2770" i="1"/>
  <c r="M2770" i="1"/>
  <c r="O39" i="1"/>
  <c r="N39" i="1"/>
  <c r="M39" i="1"/>
  <c r="O929" i="1"/>
  <c r="N929" i="1"/>
  <c r="M929" i="1"/>
  <c r="O2791" i="1"/>
  <c r="N2791" i="1"/>
  <c r="M2791" i="1"/>
  <c r="O2790" i="1"/>
  <c r="N2790" i="1"/>
  <c r="M2790" i="1"/>
  <c r="O2789" i="1"/>
  <c r="N2789" i="1"/>
  <c r="M2789" i="1"/>
  <c r="O2788" i="1"/>
  <c r="N2788" i="1"/>
  <c r="M2788" i="1"/>
  <c r="O2787" i="1"/>
  <c r="N2787" i="1"/>
  <c r="M2787" i="1"/>
  <c r="O861" i="1"/>
  <c r="N861" i="1"/>
  <c r="M861" i="1"/>
  <c r="O860" i="1"/>
  <c r="N860" i="1"/>
  <c r="O859" i="1"/>
  <c r="N859" i="1"/>
  <c r="M859" i="1"/>
  <c r="O858" i="1"/>
  <c r="N858" i="1"/>
  <c r="O2245" i="1"/>
  <c r="N2245" i="1"/>
  <c r="M2245" i="1"/>
  <c r="O2244" i="1"/>
  <c r="N2244" i="1"/>
  <c r="M2244" i="1"/>
  <c r="O2243" i="1"/>
  <c r="N2243" i="1"/>
  <c r="M2243" i="1"/>
  <c r="O1553" i="1"/>
  <c r="N1553" i="1"/>
  <c r="M1553" i="1"/>
  <c r="O2082" i="1"/>
  <c r="N2082" i="1"/>
  <c r="M2082" i="1"/>
  <c r="O1719" i="1"/>
  <c r="N1719" i="1"/>
  <c r="M1719" i="1"/>
  <c r="O2616" i="1"/>
  <c r="N2616" i="1"/>
  <c r="M2616" i="1"/>
  <c r="O1488" i="1"/>
  <c r="N1488" i="1"/>
  <c r="M1488" i="1"/>
  <c r="O2304" i="1"/>
  <c r="N2304" i="1"/>
  <c r="M2304" i="1"/>
  <c r="O919" i="1"/>
  <c r="N919" i="1"/>
  <c r="M919" i="1"/>
  <c r="O2087" i="1"/>
  <c r="N2087" i="1"/>
  <c r="M2087" i="1"/>
  <c r="O1068" i="1"/>
  <c r="N1068" i="1"/>
  <c r="M1068" i="1"/>
  <c r="O1067" i="1"/>
  <c r="N1067" i="1"/>
  <c r="M1067" i="1"/>
  <c r="O1066" i="1"/>
  <c r="N1066" i="1"/>
  <c r="M1066" i="1"/>
  <c r="O1065" i="1"/>
  <c r="N1065" i="1"/>
  <c r="M1065" i="1"/>
  <c r="O1064" i="1"/>
  <c r="N1064" i="1"/>
  <c r="M1064" i="1"/>
  <c r="O1063" i="1"/>
  <c r="N1063" i="1"/>
  <c r="M1063" i="1"/>
  <c r="O1062" i="1"/>
  <c r="N1062" i="1"/>
  <c r="M1062" i="1"/>
  <c r="O1061" i="1"/>
  <c r="N1061" i="1"/>
  <c r="M1061" i="1"/>
  <c r="O1060" i="1"/>
  <c r="N1060" i="1"/>
  <c r="M1060" i="1"/>
  <c r="O1059" i="1"/>
  <c r="N1059" i="1"/>
  <c r="M1059" i="1"/>
  <c r="O1058" i="1"/>
  <c r="N1058" i="1"/>
  <c r="M1058" i="1"/>
  <c r="O1057" i="1"/>
  <c r="N1057" i="1"/>
  <c r="M1057" i="1"/>
  <c r="O1056" i="1"/>
  <c r="N1056" i="1"/>
  <c r="M1056" i="1"/>
  <c r="O1055" i="1"/>
  <c r="N1055" i="1"/>
  <c r="M1055" i="1"/>
  <c r="O2863" i="1"/>
  <c r="N2863" i="1"/>
  <c r="M2863" i="1"/>
  <c r="O1716" i="1"/>
  <c r="N1716" i="1"/>
  <c r="M1716" i="1"/>
  <c r="O1014" i="1"/>
  <c r="N1014" i="1"/>
  <c r="M1014" i="1"/>
  <c r="O331" i="1"/>
  <c r="N331" i="1"/>
  <c r="M331" i="1"/>
  <c r="O336" i="1"/>
  <c r="N336" i="1"/>
  <c r="M336" i="1"/>
  <c r="O62" i="1"/>
  <c r="N62" i="1"/>
  <c r="M62" i="1"/>
  <c r="O2129" i="1"/>
  <c r="N2129" i="1"/>
  <c r="M2129" i="1"/>
  <c r="O2128" i="1"/>
  <c r="N2128" i="1"/>
  <c r="M2128" i="1"/>
  <c r="O2127" i="1"/>
  <c r="N2127" i="1"/>
  <c r="M2127" i="1"/>
  <c r="O2126" i="1"/>
  <c r="N2126" i="1"/>
  <c r="M2126" i="1"/>
  <c r="O2125" i="1"/>
  <c r="N2125" i="1"/>
  <c r="M2125" i="1"/>
  <c r="O2124" i="1"/>
  <c r="N2124" i="1"/>
  <c r="M2124" i="1"/>
  <c r="O2123" i="1"/>
  <c r="N2123" i="1"/>
  <c r="M2123" i="1"/>
  <c r="O2122" i="1"/>
  <c r="N2122" i="1"/>
  <c r="M2122" i="1"/>
  <c r="O2121" i="1"/>
  <c r="N2121" i="1"/>
  <c r="M2121" i="1"/>
  <c r="O2120" i="1"/>
  <c r="N2120" i="1"/>
  <c r="M2120" i="1"/>
  <c r="O2119" i="1"/>
  <c r="N2119" i="1"/>
  <c r="M2119" i="1"/>
  <c r="O2118" i="1"/>
  <c r="N2118" i="1"/>
  <c r="M2118" i="1"/>
  <c r="O2117" i="1"/>
  <c r="N2117" i="1"/>
  <c r="M2117" i="1"/>
  <c r="O2116" i="1"/>
  <c r="N2116" i="1"/>
  <c r="M2116" i="1"/>
  <c r="O2115" i="1"/>
  <c r="N2115" i="1"/>
  <c r="M2115" i="1"/>
  <c r="O2114" i="1"/>
  <c r="N2114" i="1"/>
  <c r="M2114" i="1"/>
  <c r="O2113" i="1"/>
  <c r="N2113" i="1"/>
  <c r="M2113" i="1"/>
  <c r="O2112" i="1"/>
  <c r="N2112" i="1"/>
  <c r="M2112" i="1"/>
  <c r="O2111" i="1"/>
  <c r="N2111" i="1"/>
  <c r="M2111" i="1"/>
  <c r="O1223" i="1"/>
  <c r="N1223" i="1"/>
  <c r="M1223" i="1"/>
  <c r="O1175" i="1"/>
  <c r="N1175" i="1"/>
  <c r="M1175" i="1"/>
  <c r="O1448" i="1"/>
  <c r="N1448" i="1"/>
  <c r="M1448" i="1"/>
  <c r="O1447" i="1"/>
  <c r="N1447" i="1"/>
  <c r="M1447" i="1"/>
  <c r="O1446" i="1"/>
  <c r="N1446" i="1"/>
  <c r="M1446" i="1"/>
  <c r="O1445" i="1"/>
  <c r="N1445" i="1"/>
  <c r="M1445" i="1"/>
  <c r="O1444" i="1"/>
  <c r="N1444" i="1"/>
  <c r="M1444" i="1"/>
  <c r="O1443" i="1"/>
  <c r="N1443" i="1"/>
  <c r="M1443" i="1"/>
  <c r="O1442" i="1"/>
  <c r="N1442" i="1"/>
  <c r="M1442" i="1"/>
  <c r="O1441" i="1"/>
  <c r="N1441" i="1"/>
  <c r="M1441" i="1"/>
  <c r="O2075" i="1"/>
  <c r="N2075" i="1"/>
  <c r="M2075" i="1"/>
  <c r="O2130" i="1"/>
  <c r="N2130" i="1"/>
  <c r="M2130" i="1"/>
  <c r="O349" i="1"/>
  <c r="N349" i="1"/>
  <c r="M349" i="1"/>
  <c r="O1362" i="1"/>
  <c r="N1362" i="1"/>
  <c r="M1362" i="1"/>
  <c r="O2328" i="1"/>
  <c r="N2328" i="1"/>
  <c r="M2328" i="1"/>
  <c r="O1125" i="1"/>
  <c r="N1125" i="1"/>
  <c r="M1125" i="1"/>
  <c r="O1124" i="1"/>
  <c r="N1124" i="1"/>
  <c r="M1124" i="1"/>
  <c r="O1123" i="1"/>
  <c r="N1123" i="1"/>
  <c r="M1123" i="1"/>
  <c r="O1122" i="1"/>
  <c r="N1122" i="1"/>
  <c r="M1122" i="1"/>
  <c r="O1121" i="1"/>
  <c r="N1121" i="1"/>
  <c r="M1121" i="1"/>
  <c r="O1120" i="1"/>
  <c r="N1120" i="1"/>
  <c r="M1120" i="1"/>
  <c r="O1119" i="1"/>
  <c r="N1119" i="1"/>
  <c r="M1119" i="1"/>
  <c r="O1118" i="1"/>
  <c r="N1118" i="1"/>
  <c r="M1118" i="1"/>
  <c r="O1117" i="1"/>
  <c r="N1117" i="1"/>
  <c r="M1117" i="1"/>
  <c r="O1116" i="1"/>
  <c r="N1116" i="1"/>
  <c r="M1116" i="1"/>
  <c r="O1115" i="1"/>
  <c r="N1115" i="1"/>
  <c r="M1115" i="1"/>
  <c r="O1114" i="1"/>
  <c r="N1114" i="1"/>
  <c r="M1114" i="1"/>
  <c r="O1113" i="1"/>
  <c r="N1113" i="1"/>
  <c r="M1113" i="1"/>
  <c r="O1112" i="1"/>
  <c r="N1112" i="1"/>
  <c r="M1112" i="1"/>
  <c r="O1111" i="1"/>
  <c r="N1111" i="1"/>
  <c r="M1111" i="1"/>
  <c r="O1110" i="1"/>
  <c r="N1110" i="1"/>
  <c r="M1110" i="1"/>
  <c r="O1109" i="1"/>
  <c r="N1109" i="1"/>
  <c r="M1109" i="1"/>
  <c r="O1108" i="1"/>
  <c r="N1108" i="1"/>
  <c r="M1108" i="1"/>
  <c r="O1107" i="1"/>
  <c r="N1107" i="1"/>
  <c r="M1107" i="1"/>
  <c r="O1106" i="1"/>
  <c r="N1106" i="1"/>
  <c r="M1106" i="1"/>
  <c r="O1105" i="1"/>
  <c r="N1105" i="1"/>
  <c r="M1105" i="1"/>
  <c r="O1104" i="1"/>
  <c r="N1104" i="1"/>
  <c r="M1104" i="1"/>
  <c r="O1103" i="1"/>
  <c r="N1103" i="1"/>
  <c r="M1103" i="1"/>
  <c r="O1102" i="1"/>
  <c r="N1102" i="1"/>
  <c r="M1102" i="1"/>
  <c r="O1101" i="1"/>
  <c r="N1101" i="1"/>
  <c r="M1101" i="1"/>
  <c r="O1100" i="1"/>
  <c r="N1100" i="1"/>
  <c r="M1100" i="1"/>
  <c r="O1099" i="1"/>
  <c r="N1099" i="1"/>
  <c r="M1099" i="1"/>
  <c r="O1098" i="1"/>
  <c r="N1098" i="1"/>
  <c r="M1098" i="1"/>
  <c r="O1097" i="1"/>
  <c r="N1097" i="1"/>
  <c r="M1097" i="1"/>
  <c r="O1096" i="1"/>
  <c r="N1096" i="1"/>
  <c r="M1096" i="1"/>
  <c r="O1095" i="1"/>
  <c r="N1095" i="1"/>
  <c r="M1095" i="1"/>
  <c r="O1094" i="1"/>
  <c r="N1094" i="1"/>
  <c r="M1094" i="1"/>
  <c r="O1093" i="1"/>
  <c r="N1093" i="1"/>
  <c r="M1093" i="1"/>
  <c r="O1092" i="1"/>
  <c r="N1092" i="1"/>
  <c r="M1092" i="1"/>
  <c r="O1091" i="1"/>
  <c r="N1091" i="1"/>
  <c r="M1091" i="1"/>
  <c r="O1090" i="1"/>
  <c r="N1090" i="1"/>
  <c r="M1090" i="1"/>
  <c r="O1089" i="1"/>
  <c r="N1089" i="1"/>
  <c r="M1089" i="1"/>
  <c r="O1449" i="1"/>
  <c r="N1449" i="1"/>
  <c r="M1449" i="1"/>
  <c r="O1326" i="1"/>
  <c r="N1326" i="1"/>
  <c r="M1326" i="1"/>
  <c r="O1325" i="1"/>
  <c r="N1325" i="1"/>
  <c r="M1325" i="1"/>
  <c r="O1324" i="1"/>
  <c r="N1324" i="1"/>
  <c r="M1324" i="1"/>
  <c r="O1323" i="1"/>
  <c r="N1323" i="1"/>
  <c r="M1323" i="1"/>
  <c r="O1322" i="1"/>
  <c r="N1322" i="1"/>
  <c r="M1322" i="1"/>
  <c r="O1321" i="1"/>
  <c r="N1321" i="1"/>
  <c r="M1321" i="1"/>
  <c r="O1320" i="1"/>
  <c r="N1320" i="1"/>
  <c r="M1320" i="1"/>
  <c r="O1319" i="1"/>
  <c r="N1319" i="1"/>
  <c r="M1319" i="1"/>
  <c r="O1318" i="1"/>
  <c r="N1318" i="1"/>
  <c r="M1318" i="1"/>
  <c r="O1317" i="1"/>
  <c r="N1317" i="1"/>
  <c r="M1317" i="1"/>
  <c r="O1316" i="1"/>
  <c r="N1316" i="1"/>
  <c r="M1316" i="1"/>
  <c r="O1315" i="1"/>
  <c r="N1315" i="1"/>
  <c r="M1315" i="1"/>
  <c r="O1314" i="1"/>
  <c r="N1314" i="1"/>
  <c r="M1314" i="1"/>
  <c r="O1313" i="1"/>
  <c r="N1313" i="1"/>
  <c r="M1313" i="1"/>
  <c r="O1312" i="1"/>
  <c r="N1312" i="1"/>
  <c r="M1312" i="1"/>
  <c r="O1311" i="1"/>
  <c r="N1311" i="1"/>
  <c r="M1311" i="1"/>
  <c r="O1310" i="1"/>
  <c r="N1310" i="1"/>
  <c r="M1310" i="1"/>
  <c r="O1309" i="1"/>
  <c r="N1309" i="1"/>
  <c r="M1309" i="1"/>
  <c r="O1308" i="1"/>
  <c r="N1308" i="1"/>
  <c r="M1308" i="1"/>
  <c r="O1307" i="1"/>
  <c r="N1307" i="1"/>
  <c r="M1307" i="1"/>
  <c r="O1306" i="1"/>
  <c r="N1306" i="1"/>
  <c r="M1306" i="1"/>
  <c r="O925" i="1"/>
  <c r="N925" i="1"/>
  <c r="M925" i="1"/>
  <c r="O2669" i="1"/>
  <c r="N2669" i="1"/>
  <c r="M2669" i="1"/>
  <c r="O81" i="1"/>
  <c r="N81" i="1"/>
  <c r="M81" i="1"/>
  <c r="O1040" i="1"/>
  <c r="N1040" i="1"/>
  <c r="M1040" i="1"/>
  <c r="O927" i="1"/>
  <c r="N927" i="1"/>
  <c r="M927" i="1"/>
  <c r="O1466" i="1"/>
  <c r="N1466" i="1"/>
  <c r="M1466" i="1"/>
  <c r="O2619" i="1"/>
  <c r="N2619" i="1"/>
  <c r="M2619" i="1"/>
  <c r="O2699" i="1"/>
  <c r="N2699" i="1"/>
  <c r="M2699" i="1"/>
  <c r="O917" i="1"/>
  <c r="N917" i="1"/>
  <c r="M917" i="1"/>
  <c r="O916" i="1"/>
  <c r="N916" i="1"/>
  <c r="M916" i="1"/>
  <c r="O915" i="1"/>
  <c r="N915" i="1"/>
  <c r="M915" i="1"/>
  <c r="O914" i="1"/>
  <c r="N914" i="1"/>
  <c r="M914" i="1"/>
  <c r="O913" i="1"/>
  <c r="N913" i="1"/>
  <c r="M913" i="1"/>
  <c r="O912" i="1"/>
  <c r="N912" i="1"/>
  <c r="M912" i="1"/>
  <c r="O911" i="1"/>
  <c r="N911" i="1"/>
  <c r="M911" i="1"/>
  <c r="O910" i="1"/>
  <c r="N910" i="1"/>
  <c r="M910" i="1"/>
  <c r="O909" i="1"/>
  <c r="N909" i="1"/>
  <c r="M909" i="1"/>
  <c r="O908" i="1"/>
  <c r="N908" i="1"/>
  <c r="M908" i="1"/>
  <c r="O907" i="1"/>
  <c r="N907" i="1"/>
  <c r="M907" i="1"/>
  <c r="O906" i="1"/>
  <c r="N906" i="1"/>
  <c r="M906" i="1"/>
  <c r="O905" i="1"/>
  <c r="N905" i="1"/>
  <c r="M905" i="1"/>
  <c r="O904" i="1"/>
  <c r="N904" i="1"/>
  <c r="M904" i="1"/>
  <c r="O903" i="1"/>
  <c r="N903" i="1"/>
  <c r="M903" i="1"/>
  <c r="O902" i="1"/>
  <c r="N902" i="1"/>
  <c r="M902" i="1"/>
  <c r="O901" i="1"/>
  <c r="N901" i="1"/>
  <c r="M901" i="1"/>
  <c r="O900" i="1"/>
  <c r="N900" i="1"/>
  <c r="M900" i="1"/>
  <c r="O899" i="1"/>
  <c r="N899" i="1"/>
  <c r="M899" i="1"/>
  <c r="O898" i="1"/>
  <c r="N898" i="1"/>
  <c r="M898" i="1"/>
  <c r="O897" i="1"/>
  <c r="N897" i="1"/>
  <c r="M897" i="1"/>
  <c r="O896" i="1"/>
  <c r="N896" i="1"/>
  <c r="M896" i="1"/>
  <c r="O895" i="1"/>
  <c r="N895" i="1"/>
  <c r="M895" i="1"/>
  <c r="O3100" i="1"/>
  <c r="N3100" i="1"/>
  <c r="M3100" i="1"/>
  <c r="O3099" i="1"/>
  <c r="N3099" i="1"/>
  <c r="M3099" i="1"/>
  <c r="O3098" i="1"/>
  <c r="N3098" i="1"/>
  <c r="M3098" i="1"/>
  <c r="O3097" i="1"/>
  <c r="N3097" i="1"/>
  <c r="M3097" i="1"/>
  <c r="O3096" i="1"/>
  <c r="N3096" i="1"/>
  <c r="M3096" i="1"/>
  <c r="O3095" i="1"/>
  <c r="N3095" i="1"/>
  <c r="M3095" i="1"/>
  <c r="O3094" i="1"/>
  <c r="N3094" i="1"/>
  <c r="M3094" i="1"/>
  <c r="O1936" i="1"/>
  <c r="N1936" i="1"/>
  <c r="M1936" i="1"/>
  <c r="O3092" i="1"/>
  <c r="N3092" i="1"/>
  <c r="M3092" i="1"/>
  <c r="O3091" i="1"/>
  <c r="M3091" i="1"/>
  <c r="O1717" i="1"/>
  <c r="O1245" i="1"/>
  <c r="O58" i="1"/>
  <c r="O3087" i="1"/>
  <c r="O3086" i="1"/>
  <c r="O3085" i="1"/>
  <c r="N3085" i="1"/>
  <c r="M3085" i="1"/>
  <c r="O3084" i="1"/>
  <c r="N3084" i="1"/>
  <c r="M3084" i="1"/>
  <c r="O3083" i="1"/>
  <c r="N3083" i="1"/>
  <c r="M3083" i="1"/>
  <c r="O3082" i="1"/>
  <c r="N3082" i="1"/>
  <c r="M3082" i="1"/>
  <c r="O3081" i="1"/>
  <c r="N3081" i="1"/>
  <c r="M3081" i="1"/>
  <c r="O3080" i="1"/>
  <c r="N3080" i="1"/>
  <c r="M3080" i="1"/>
  <c r="O3079" i="1"/>
  <c r="N3079" i="1"/>
  <c r="M3079" i="1"/>
  <c r="O3078" i="1"/>
  <c r="N3078" i="1"/>
  <c r="M3078" i="1"/>
  <c r="O3077" i="1"/>
  <c r="N3077" i="1"/>
  <c r="M3077" i="1"/>
  <c r="O3076" i="1"/>
  <c r="N3076" i="1"/>
  <c r="M3076" i="1"/>
  <c r="O3075" i="1"/>
  <c r="N3075" i="1"/>
  <c r="M3075" i="1"/>
  <c r="O3074" i="1"/>
  <c r="N3074" i="1"/>
  <c r="M3074" i="1"/>
  <c r="O3073" i="1"/>
  <c r="N3073" i="1"/>
  <c r="M3073" i="1"/>
  <c r="O3072" i="1"/>
  <c r="N3072" i="1"/>
  <c r="M3072" i="1"/>
  <c r="O3071" i="1"/>
  <c r="N3071" i="1"/>
  <c r="M3071" i="1"/>
  <c r="O3070" i="1"/>
  <c r="N3070" i="1"/>
  <c r="M3070" i="1"/>
  <c r="O3069" i="1"/>
  <c r="N3069" i="1"/>
  <c r="M3069" i="1"/>
  <c r="O3068" i="1"/>
  <c r="N3068" i="1"/>
  <c r="M3068" i="1"/>
  <c r="O3067" i="1"/>
  <c r="N3067" i="1"/>
  <c r="M3067" i="1"/>
  <c r="O3066" i="1"/>
  <c r="N3066" i="1"/>
  <c r="M3066" i="1"/>
  <c r="O3065" i="1"/>
  <c r="N3065" i="1"/>
  <c r="M3065" i="1"/>
  <c r="O3064" i="1"/>
  <c r="N3064" i="1"/>
  <c r="M3064" i="1"/>
  <c r="O3063" i="1"/>
  <c r="N3063" i="1"/>
  <c r="M3063" i="1"/>
  <c r="O3062" i="1"/>
  <c r="N3062" i="1"/>
  <c r="M3062" i="1"/>
  <c r="O3061" i="1"/>
  <c r="N3061" i="1"/>
  <c r="M3061" i="1"/>
  <c r="O3060" i="1"/>
  <c r="N3060" i="1"/>
  <c r="M3060" i="1"/>
  <c r="O3059" i="1"/>
  <c r="N3059" i="1"/>
  <c r="M3059" i="1"/>
  <c r="O3058" i="1"/>
  <c r="N3058" i="1"/>
  <c r="M3058" i="1"/>
  <c r="O3057" i="1"/>
  <c r="N3057" i="1"/>
  <c r="M3057" i="1"/>
  <c r="O3056" i="1"/>
  <c r="N3056" i="1"/>
  <c r="M3056" i="1"/>
  <c r="O3055" i="1"/>
  <c r="N3055" i="1"/>
  <c r="M3055" i="1"/>
  <c r="O3054" i="1"/>
  <c r="N3054" i="1"/>
  <c r="M3054" i="1"/>
  <c r="O3053" i="1"/>
  <c r="N3053" i="1"/>
  <c r="M3053" i="1"/>
  <c r="O3052" i="1"/>
  <c r="N3052" i="1"/>
  <c r="M3052" i="1"/>
  <c r="O3051" i="1"/>
  <c r="N3051" i="1"/>
  <c r="M3051" i="1"/>
  <c r="O3050" i="1"/>
  <c r="N3050" i="1"/>
  <c r="M3050" i="1"/>
  <c r="O3049" i="1"/>
  <c r="N3049" i="1"/>
  <c r="M3049" i="1"/>
  <c r="O3048" i="1"/>
  <c r="N3048" i="1"/>
  <c r="M3048" i="1"/>
  <c r="O3047" i="1"/>
  <c r="N3047" i="1"/>
  <c r="M3047" i="1"/>
  <c r="O3046" i="1"/>
  <c r="N3046" i="1"/>
  <c r="M3046" i="1"/>
  <c r="O3045" i="1"/>
  <c r="N3045" i="1"/>
  <c r="M3045" i="1"/>
  <c r="O3044" i="1"/>
  <c r="N3044" i="1"/>
  <c r="M3044" i="1"/>
  <c r="O3043" i="1"/>
  <c r="N3043" i="1"/>
  <c r="M3043" i="1"/>
  <c r="O3042" i="1"/>
  <c r="N3042" i="1"/>
  <c r="M3042" i="1"/>
  <c r="O3041" i="1"/>
  <c r="N3041" i="1"/>
  <c r="M3041" i="1"/>
  <c r="O3040" i="1"/>
  <c r="N3040" i="1"/>
  <c r="M3040" i="1"/>
  <c r="O3039" i="1"/>
  <c r="N3039" i="1"/>
  <c r="M3039" i="1"/>
  <c r="O3038" i="1"/>
  <c r="N3038" i="1"/>
  <c r="M3038" i="1"/>
  <c r="O3037" i="1"/>
  <c r="N3037" i="1"/>
  <c r="M3037" i="1"/>
  <c r="O3036" i="1"/>
  <c r="N3036" i="1"/>
  <c r="M3036" i="1"/>
  <c r="O3035" i="1"/>
  <c r="N3035" i="1"/>
  <c r="M3035" i="1"/>
  <c r="O3034" i="1"/>
  <c r="N3034" i="1"/>
  <c r="M3034" i="1"/>
  <c r="O3033" i="1"/>
  <c r="N3033" i="1"/>
  <c r="M3033" i="1"/>
  <c r="O3032" i="1"/>
  <c r="N3032" i="1"/>
  <c r="M3032" i="1"/>
  <c r="O3031" i="1"/>
  <c r="N3031" i="1"/>
  <c r="M3031" i="1"/>
  <c r="O3030" i="1"/>
  <c r="N3030" i="1"/>
  <c r="M3030" i="1"/>
  <c r="O3029" i="1"/>
  <c r="N3029" i="1"/>
  <c r="M3029" i="1"/>
  <c r="O3028" i="1"/>
  <c r="N3028" i="1"/>
  <c r="M3028" i="1"/>
  <c r="O3027" i="1"/>
  <c r="N3027" i="1"/>
  <c r="M3027" i="1"/>
  <c r="O3026" i="1"/>
  <c r="N3026" i="1"/>
  <c r="M3026" i="1"/>
  <c r="O3025" i="1"/>
  <c r="N3025" i="1"/>
  <c r="M3025" i="1"/>
  <c r="O3024" i="1"/>
  <c r="N3024" i="1"/>
  <c r="M3024" i="1"/>
  <c r="O3023" i="1"/>
  <c r="N3023" i="1"/>
  <c r="M3023" i="1"/>
  <c r="O3022" i="1"/>
  <c r="N3022" i="1"/>
  <c r="M3022" i="1"/>
  <c r="O3021" i="1"/>
  <c r="N3021" i="1"/>
  <c r="M3021" i="1"/>
  <c r="O3020" i="1"/>
  <c r="N3020" i="1"/>
  <c r="M3020" i="1"/>
  <c r="O3019" i="1"/>
  <c r="N3019" i="1"/>
  <c r="M3019" i="1"/>
  <c r="O3018" i="1"/>
  <c r="N3018" i="1"/>
  <c r="M3018" i="1"/>
  <c r="O3017" i="1"/>
  <c r="N3017" i="1"/>
  <c r="M3017" i="1"/>
  <c r="O3016" i="1"/>
  <c r="N3016" i="1"/>
  <c r="M3016" i="1"/>
  <c r="O3015" i="1"/>
  <c r="N3015" i="1"/>
  <c r="M3015" i="1"/>
  <c r="O3014" i="1"/>
  <c r="N3014" i="1"/>
  <c r="M3014" i="1"/>
  <c r="O3013" i="1"/>
  <c r="N3013" i="1"/>
  <c r="M3013" i="1"/>
  <c r="O3012" i="1"/>
  <c r="N3012" i="1"/>
  <c r="M3012" i="1"/>
  <c r="O3011" i="1"/>
  <c r="N3011" i="1"/>
  <c r="M3011" i="1"/>
  <c r="O3010" i="1"/>
  <c r="N3010" i="1"/>
  <c r="M3010" i="1"/>
  <c r="O3009" i="1"/>
  <c r="N3009" i="1"/>
  <c r="M3009" i="1"/>
  <c r="O3008" i="1"/>
  <c r="N3008" i="1"/>
  <c r="M3008" i="1"/>
  <c r="O3007" i="1"/>
  <c r="N3007" i="1"/>
  <c r="M3007" i="1"/>
  <c r="O3006" i="1"/>
  <c r="N3006" i="1"/>
  <c r="M3006" i="1"/>
  <c r="O3005" i="1"/>
  <c r="N3005" i="1"/>
  <c r="M3005" i="1"/>
  <c r="O3004" i="1"/>
  <c r="N3004" i="1"/>
  <c r="M3004" i="1"/>
  <c r="O3003" i="1"/>
  <c r="N3003" i="1"/>
  <c r="M3003" i="1"/>
  <c r="O3002" i="1"/>
  <c r="N3002" i="1"/>
  <c r="M3002" i="1"/>
  <c r="O3001" i="1"/>
  <c r="N3001" i="1"/>
  <c r="M3001" i="1"/>
  <c r="O3000" i="1"/>
  <c r="N3000" i="1"/>
  <c r="M3000" i="1"/>
  <c r="O2999" i="1"/>
  <c r="N2999" i="1"/>
  <c r="M2999" i="1"/>
  <c r="O2998" i="1"/>
  <c r="N2998" i="1"/>
  <c r="M2998" i="1"/>
  <c r="O2997" i="1"/>
  <c r="N2997" i="1"/>
  <c r="M2997" i="1"/>
  <c r="O2996" i="1"/>
  <c r="N2996" i="1"/>
  <c r="M2996" i="1"/>
  <c r="O2995" i="1"/>
  <c r="N2995" i="1"/>
  <c r="M2995" i="1"/>
  <c r="O2994" i="1"/>
  <c r="N2994" i="1"/>
  <c r="M2994" i="1"/>
  <c r="O2993" i="1"/>
  <c r="N2993" i="1"/>
  <c r="M2993" i="1"/>
  <c r="O2992" i="1"/>
  <c r="N2992" i="1"/>
  <c r="M2992" i="1"/>
  <c r="O2991" i="1"/>
  <c r="N2991" i="1"/>
  <c r="M2991" i="1"/>
  <c r="O2990" i="1"/>
  <c r="N2990" i="1"/>
  <c r="M2990" i="1"/>
  <c r="O2989" i="1"/>
  <c r="O2988" i="1"/>
  <c r="N2988" i="1"/>
  <c r="M2988" i="1"/>
  <c r="O2987" i="1"/>
  <c r="N2987" i="1"/>
  <c r="M2987" i="1"/>
  <c r="O2986" i="1"/>
  <c r="N2986" i="1"/>
  <c r="M2986" i="1"/>
  <c r="O2985" i="1"/>
  <c r="N2985" i="1"/>
  <c r="M2985" i="1"/>
  <c r="O2984" i="1"/>
  <c r="N2984" i="1"/>
  <c r="M2984" i="1"/>
  <c r="O2983" i="1"/>
  <c r="N2983" i="1"/>
  <c r="M2983" i="1"/>
  <c r="O2982" i="1"/>
  <c r="N2982" i="1"/>
  <c r="M2982" i="1"/>
  <c r="O2981" i="1"/>
  <c r="N2981" i="1"/>
  <c r="M2981" i="1"/>
  <c r="O2980" i="1"/>
  <c r="N2980" i="1"/>
  <c r="M2980" i="1"/>
  <c r="O2659" i="1"/>
  <c r="N2659" i="1"/>
  <c r="M2659" i="1"/>
  <c r="O716" i="1"/>
  <c r="N716" i="1"/>
  <c r="M716" i="1"/>
  <c r="O2971" i="1"/>
  <c r="N2971" i="1"/>
  <c r="M2971" i="1"/>
  <c r="O2970" i="1"/>
  <c r="N2970" i="1"/>
  <c r="M2970" i="1"/>
  <c r="O2969" i="1"/>
  <c r="N2969" i="1"/>
  <c r="M2969" i="1"/>
  <c r="O2968" i="1"/>
  <c r="N2968" i="1"/>
  <c r="M2968" i="1"/>
  <c r="O2967" i="1"/>
  <c r="N2967" i="1"/>
  <c r="M2967" i="1"/>
  <c r="O2966" i="1"/>
  <c r="N2966" i="1"/>
  <c r="M2966" i="1"/>
  <c r="O2965" i="1"/>
  <c r="N2965" i="1"/>
  <c r="M2965" i="1"/>
  <c r="O2964" i="1"/>
  <c r="N2964" i="1"/>
  <c r="M2964" i="1"/>
  <c r="O2963" i="1"/>
  <c r="N2963" i="1"/>
  <c r="M2963" i="1"/>
  <c r="O2962" i="1"/>
  <c r="N2962" i="1"/>
  <c r="M2962" i="1"/>
  <c r="O2961" i="1"/>
  <c r="N2961" i="1"/>
  <c r="M2961" i="1"/>
  <c r="O2960" i="1"/>
  <c r="N2960" i="1"/>
  <c r="M2960" i="1"/>
  <c r="O2959" i="1"/>
  <c r="N2959" i="1"/>
  <c r="M2959" i="1"/>
  <c r="O2958" i="1"/>
  <c r="N2958" i="1"/>
  <c r="M2958" i="1"/>
  <c r="O2957" i="1"/>
  <c r="O2956" i="1"/>
  <c r="N2956" i="1"/>
  <c r="M2956" i="1"/>
  <c r="O2955" i="1"/>
  <c r="N2955" i="1"/>
  <c r="M2955" i="1"/>
  <c r="O2954" i="1"/>
  <c r="N2954" i="1"/>
  <c r="M2954" i="1"/>
  <c r="O2953" i="1"/>
  <c r="N2953" i="1"/>
  <c r="M2953" i="1"/>
  <c r="O2952" i="1"/>
  <c r="N2952" i="1"/>
  <c r="M2952" i="1"/>
  <c r="O2951" i="1"/>
  <c r="N2951" i="1"/>
  <c r="M2951" i="1"/>
  <c r="O2950" i="1"/>
  <c r="N2950" i="1"/>
  <c r="M2950" i="1"/>
  <c r="O2949" i="1"/>
  <c r="N2949" i="1"/>
  <c r="M2949" i="1"/>
  <c r="O2948" i="1"/>
  <c r="N2948" i="1"/>
  <c r="M2948" i="1"/>
  <c r="O2947" i="1"/>
  <c r="N2947" i="1"/>
  <c r="M2947" i="1"/>
  <c r="O2946" i="1"/>
  <c r="N2946" i="1"/>
  <c r="M2946" i="1"/>
  <c r="O922" i="1"/>
  <c r="N922" i="1"/>
  <c r="M922" i="1"/>
  <c r="O2944" i="1"/>
  <c r="N2944" i="1"/>
  <c r="M2944" i="1"/>
  <c r="O2943" i="1"/>
  <c r="N2943" i="1"/>
  <c r="M2943" i="1"/>
  <c r="O2942" i="1"/>
  <c r="N2942" i="1"/>
  <c r="M2942" i="1"/>
  <c r="O2941" i="1"/>
  <c r="N2941" i="1"/>
  <c r="M2941" i="1"/>
  <c r="O2940" i="1"/>
  <c r="N2940" i="1"/>
  <c r="M2940" i="1"/>
  <c r="O2939" i="1"/>
  <c r="N2939" i="1"/>
  <c r="M2939" i="1"/>
  <c r="O2938" i="1"/>
  <c r="N2938" i="1"/>
  <c r="M2938" i="1"/>
  <c r="O2937" i="1"/>
  <c r="N2937" i="1"/>
  <c r="M2937" i="1"/>
  <c r="O2936" i="1"/>
  <c r="N2936" i="1"/>
  <c r="M2936" i="1"/>
  <c r="O2935" i="1"/>
  <c r="N2935" i="1"/>
  <c r="M2935" i="1"/>
  <c r="O2934" i="1"/>
  <c r="N2934" i="1"/>
  <c r="M2934" i="1"/>
  <c r="O2933" i="1"/>
  <c r="N2933" i="1"/>
  <c r="M2933" i="1"/>
  <c r="O2932" i="1"/>
  <c r="N2932" i="1"/>
  <c r="M2932" i="1"/>
  <c r="O2931" i="1"/>
  <c r="N2931" i="1"/>
  <c r="M2931" i="1"/>
  <c r="O2930" i="1"/>
  <c r="N2930" i="1"/>
  <c r="M2930" i="1"/>
  <c r="O2929" i="1"/>
  <c r="N2929" i="1"/>
  <c r="M2929" i="1"/>
  <c r="O2928" i="1"/>
  <c r="N2928" i="1"/>
  <c r="M2928" i="1"/>
  <c r="O2927" i="1"/>
  <c r="N2927" i="1"/>
  <c r="M2927" i="1"/>
  <c r="O2926" i="1"/>
  <c r="N2926" i="1"/>
  <c r="M2926" i="1"/>
  <c r="O2925" i="1"/>
  <c r="N2925" i="1"/>
  <c r="M2925" i="1"/>
  <c r="O2924" i="1"/>
  <c r="N2924" i="1"/>
  <c r="M2924" i="1"/>
  <c r="O2923" i="1"/>
  <c r="N2923" i="1"/>
  <c r="M2923" i="1"/>
  <c r="O2922" i="1"/>
  <c r="N2922" i="1"/>
  <c r="M2922" i="1"/>
  <c r="O2921" i="1"/>
  <c r="N2921" i="1"/>
  <c r="M2921" i="1"/>
  <c r="O2920" i="1"/>
  <c r="N2920" i="1"/>
  <c r="M2920" i="1"/>
  <c r="O2919" i="1"/>
  <c r="N2919" i="1"/>
  <c r="M2919" i="1"/>
  <c r="O2918" i="1"/>
  <c r="N2918" i="1"/>
  <c r="M2918" i="1"/>
  <c r="O2917" i="1"/>
  <c r="N2917" i="1"/>
  <c r="M2917" i="1"/>
  <c r="O2916" i="1"/>
  <c r="N2916" i="1"/>
  <c r="M2916" i="1"/>
  <c r="O1137" i="1"/>
  <c r="N1137" i="1"/>
  <c r="M1137" i="1"/>
  <c r="O2914" i="1"/>
  <c r="N2914" i="1"/>
  <c r="M2914" i="1"/>
  <c r="O2913" i="1"/>
  <c r="N2913" i="1"/>
  <c r="M2913" i="1"/>
  <c r="O485" i="1"/>
  <c r="N485" i="1"/>
  <c r="M485" i="1"/>
  <c r="O2911" i="1"/>
  <c r="N2911" i="1"/>
  <c r="M2911" i="1"/>
  <c r="O2910" i="1"/>
  <c r="N2910" i="1"/>
  <c r="M2910" i="1"/>
  <c r="O2909" i="1"/>
  <c r="N2909" i="1"/>
  <c r="M2909" i="1"/>
  <c r="O187" i="1"/>
  <c r="N187" i="1"/>
  <c r="M187" i="1"/>
  <c r="O256" i="1"/>
  <c r="N256" i="1"/>
  <c r="M256" i="1"/>
  <c r="O2906" i="1"/>
  <c r="N2906" i="1"/>
  <c r="M2906" i="1"/>
  <c r="O2905" i="1"/>
  <c r="N2905" i="1"/>
  <c r="M2905" i="1"/>
  <c r="O2904" i="1"/>
  <c r="N2904" i="1"/>
  <c r="M2904" i="1"/>
  <c r="O2903" i="1"/>
  <c r="N2903" i="1"/>
  <c r="M2903" i="1"/>
  <c r="O2902" i="1"/>
  <c r="N2902" i="1"/>
  <c r="M2902" i="1"/>
  <c r="O2901" i="1"/>
  <c r="N2901" i="1"/>
  <c r="M2901" i="1"/>
  <c r="O1720" i="1"/>
  <c r="N1720" i="1"/>
  <c r="M1720" i="1"/>
  <c r="O2899" i="1"/>
  <c r="N2899" i="1"/>
  <c r="M2899" i="1"/>
  <c r="O2898" i="1"/>
  <c r="N2898" i="1"/>
  <c r="M2898" i="1"/>
  <c r="O2897" i="1"/>
  <c r="N2897" i="1"/>
  <c r="M2897" i="1"/>
  <c r="O2896" i="1"/>
  <c r="N2896" i="1"/>
  <c r="M2896" i="1"/>
  <c r="O1907" i="1"/>
  <c r="N1907" i="1"/>
  <c r="M1907" i="1"/>
  <c r="O2894" i="1"/>
  <c r="N2894" i="1"/>
  <c r="M2894" i="1"/>
  <c r="O2893" i="1"/>
  <c r="N2893" i="1"/>
  <c r="M2893" i="1"/>
  <c r="O2892" i="1"/>
  <c r="N2892" i="1"/>
  <c r="M2892" i="1"/>
  <c r="O2891" i="1"/>
  <c r="N2891" i="1"/>
  <c r="M2891" i="1"/>
  <c r="O2890" i="1"/>
  <c r="N2890" i="1"/>
  <c r="M2890" i="1"/>
  <c r="O2889" i="1"/>
  <c r="N2889" i="1"/>
  <c r="M2889" i="1"/>
  <c r="O2888" i="1"/>
  <c r="N2888" i="1"/>
  <c r="M2888" i="1"/>
  <c r="O2887" i="1"/>
  <c r="N2887" i="1"/>
  <c r="M2887" i="1"/>
  <c r="O2886" i="1"/>
  <c r="N2886" i="1"/>
  <c r="M2886" i="1"/>
  <c r="O2885" i="1"/>
  <c r="N2885" i="1"/>
  <c r="M2885" i="1"/>
  <c r="O2884" i="1"/>
  <c r="N2884" i="1"/>
  <c r="M2884" i="1"/>
  <c r="O2883" i="1"/>
  <c r="N2883" i="1"/>
  <c r="M2883" i="1"/>
  <c r="O2882" i="1"/>
  <c r="N2882" i="1"/>
  <c r="M2882" i="1"/>
  <c r="O2881" i="1"/>
  <c r="N2881" i="1"/>
  <c r="M2881" i="1"/>
  <c r="O2880" i="1"/>
  <c r="N2880" i="1"/>
  <c r="M2880" i="1"/>
  <c r="O2879" i="1"/>
  <c r="N2879" i="1"/>
  <c r="M2879" i="1"/>
  <c r="O2878" i="1"/>
  <c r="N2878" i="1"/>
  <c r="M2878" i="1"/>
  <c r="O2877" i="1"/>
  <c r="N2877" i="1"/>
  <c r="M2877" i="1"/>
  <c r="O2088" i="1"/>
  <c r="N2088" i="1"/>
  <c r="M2088" i="1"/>
  <c r="O1174" i="1"/>
  <c r="N1174" i="1"/>
  <c r="M1174" i="1"/>
  <c r="O2874" i="1"/>
  <c r="N2874" i="1"/>
  <c r="M2874" i="1"/>
  <c r="O2873" i="1"/>
  <c r="N2873" i="1"/>
  <c r="M2873" i="1"/>
  <c r="O80" i="1"/>
  <c r="N80" i="1"/>
  <c r="M80" i="1"/>
  <c r="O2871" i="1"/>
  <c r="N2871" i="1"/>
  <c r="M2871" i="1"/>
  <c r="O2870" i="1"/>
  <c r="N2870" i="1"/>
  <c r="M2870" i="1"/>
  <c r="O2869" i="1"/>
  <c r="N2869" i="1"/>
  <c r="M2869" i="1"/>
  <c r="O1129" i="1"/>
  <c r="N1129" i="1"/>
  <c r="M1129" i="1"/>
  <c r="O2867" i="1"/>
  <c r="N2867" i="1"/>
  <c r="M2867" i="1"/>
  <c r="O2866" i="1"/>
  <c r="N2866" i="1"/>
  <c r="M2866" i="1"/>
  <c r="O1128" i="1"/>
  <c r="N1128" i="1"/>
  <c r="M1128" i="1"/>
  <c r="O2864" i="1"/>
  <c r="N2864" i="1"/>
  <c r="M2864" i="1"/>
  <c r="O189" i="1"/>
  <c r="N189" i="1"/>
  <c r="M189" i="1"/>
  <c r="O1173" i="1"/>
  <c r="N1173" i="1"/>
  <c r="M1173" i="1"/>
  <c r="O1714" i="1"/>
  <c r="N1714" i="1"/>
  <c r="M1714" i="1"/>
  <c r="O2847" i="1"/>
  <c r="N2847" i="1"/>
  <c r="M2847" i="1"/>
  <c r="O2846" i="1"/>
  <c r="N2846" i="1"/>
  <c r="M2846" i="1"/>
  <c r="O2845" i="1"/>
  <c r="N2845" i="1"/>
  <c r="M2845" i="1"/>
  <c r="O2844" i="1"/>
  <c r="N2844" i="1"/>
  <c r="M2844" i="1"/>
  <c r="O2843" i="1"/>
  <c r="N2843" i="1"/>
  <c r="M2843" i="1"/>
  <c r="O2842" i="1"/>
  <c r="N2842" i="1"/>
  <c r="M2842" i="1"/>
  <c r="O2841" i="1"/>
  <c r="N2841" i="1"/>
  <c r="M2841" i="1"/>
  <c r="O2840" i="1"/>
  <c r="N2840" i="1"/>
  <c r="M2840" i="1"/>
  <c r="O2839" i="1"/>
  <c r="N2839" i="1"/>
  <c r="M2839" i="1"/>
  <c r="O2838" i="1"/>
  <c r="N2838" i="1"/>
  <c r="M2838" i="1"/>
  <c r="O2837" i="1"/>
  <c r="N2837" i="1"/>
  <c r="M2837" i="1"/>
  <c r="O2836" i="1"/>
  <c r="N2836" i="1"/>
  <c r="M2836" i="1"/>
  <c r="K2836" i="1"/>
  <c r="O2835" i="1"/>
  <c r="N2835" i="1"/>
  <c r="M2835" i="1"/>
  <c r="O2834" i="1"/>
  <c r="N2834" i="1"/>
  <c r="M2834" i="1"/>
  <c r="O2833" i="1"/>
  <c r="N2833" i="1"/>
  <c r="M2833" i="1"/>
  <c r="O2832" i="1"/>
  <c r="N2832" i="1"/>
  <c r="M2832" i="1"/>
  <c r="O2831" i="1"/>
  <c r="N2831" i="1"/>
  <c r="M2831" i="1"/>
  <c r="O2830" i="1"/>
  <c r="N2830" i="1"/>
  <c r="M2830" i="1"/>
  <c r="O2829" i="1"/>
  <c r="N2829" i="1"/>
  <c r="M2829" i="1"/>
  <c r="O2828" i="1"/>
  <c r="N2828" i="1"/>
  <c r="M2828" i="1"/>
  <c r="O2827" i="1"/>
  <c r="N2827" i="1"/>
  <c r="M2827" i="1"/>
  <c r="O2826" i="1"/>
  <c r="N2826" i="1"/>
  <c r="M2826" i="1"/>
  <c r="O2825" i="1"/>
  <c r="N2825" i="1"/>
  <c r="M2825" i="1"/>
  <c r="O1722" i="1"/>
  <c r="M1722" i="1"/>
  <c r="O2135" i="1"/>
  <c r="M2135" i="1"/>
  <c r="O2822" i="1"/>
  <c r="N2822" i="1"/>
  <c r="M2822" i="1"/>
  <c r="O1041" i="1"/>
  <c r="N1041" i="1"/>
  <c r="M1041" i="1"/>
  <c r="O2820" i="1"/>
  <c r="N2820" i="1"/>
  <c r="M2820" i="1"/>
  <c r="O2819" i="1"/>
  <c r="N2819" i="1"/>
  <c r="M2819" i="1"/>
  <c r="O2818" i="1"/>
  <c r="N2818" i="1"/>
  <c r="M2818" i="1"/>
  <c r="O2817" i="1"/>
  <c r="N2817" i="1"/>
  <c r="M2817" i="1"/>
  <c r="O2816" i="1"/>
  <c r="N2816" i="1"/>
  <c r="M2816" i="1"/>
  <c r="O1523" i="1"/>
  <c r="N1523" i="1"/>
  <c r="M1523" i="1"/>
  <c r="O2814" i="1"/>
  <c r="N2814" i="1"/>
  <c r="M2814" i="1"/>
  <c r="O2813" i="1"/>
  <c r="N2813" i="1"/>
  <c r="M2813" i="1"/>
  <c r="O498" i="1"/>
  <c r="N498" i="1"/>
  <c r="M498" i="1"/>
  <c r="O2811" i="1"/>
  <c r="N2811" i="1"/>
  <c r="M2811" i="1"/>
  <c r="O2810" i="1"/>
  <c r="N2810" i="1"/>
  <c r="M2810" i="1"/>
  <c r="O2809" i="1"/>
  <c r="N2809" i="1"/>
  <c r="M2809" i="1"/>
  <c r="O2808" i="1"/>
  <c r="N2808" i="1"/>
  <c r="M2808" i="1"/>
  <c r="O2978" i="1"/>
  <c r="N2978" i="1"/>
  <c r="M2978" i="1"/>
  <c r="O2806" i="1"/>
  <c r="N2806" i="1"/>
  <c r="M2806" i="1"/>
  <c r="O2805" i="1"/>
  <c r="N2805" i="1"/>
  <c r="M2805" i="1"/>
  <c r="O2804" i="1"/>
  <c r="N2804" i="1"/>
  <c r="M2804" i="1"/>
  <c r="O2861" i="1"/>
  <c r="N2861" i="1"/>
  <c r="M2861" i="1"/>
  <c r="O2802" i="1"/>
  <c r="N2802" i="1"/>
  <c r="M2802" i="1"/>
  <c r="O1456" i="1"/>
  <c r="N1456" i="1"/>
  <c r="M1456" i="1"/>
  <c r="O2800" i="1"/>
  <c r="N2800" i="1"/>
  <c r="M2800" i="1"/>
  <c r="O2799" i="1"/>
  <c r="N2799" i="1"/>
  <c r="M2799" i="1"/>
  <c r="O2798" i="1"/>
  <c r="N2798" i="1"/>
  <c r="M2798" i="1"/>
  <c r="O1489" i="1"/>
  <c r="N1489" i="1"/>
  <c r="M1489" i="1"/>
  <c r="O2796" i="1"/>
  <c r="N2796" i="1"/>
  <c r="M2796" i="1"/>
  <c r="O2786" i="1"/>
  <c r="N2786" i="1"/>
  <c r="M2786" i="1"/>
  <c r="K2786" i="1"/>
  <c r="O2785" i="1"/>
  <c r="N2785" i="1"/>
  <c r="M2785" i="1"/>
  <c r="K2785" i="1"/>
  <c r="O2979" i="1"/>
  <c r="N2979" i="1"/>
  <c r="M2979" i="1"/>
  <c r="O2783" i="1"/>
  <c r="N2783" i="1"/>
  <c r="M2783" i="1"/>
  <c r="K2783" i="1"/>
  <c r="O606" i="1"/>
  <c r="N606" i="1"/>
  <c r="M606" i="1"/>
  <c r="O2781" i="1"/>
  <c r="N2781" i="1"/>
  <c r="M2781" i="1"/>
  <c r="K2781" i="1"/>
  <c r="O2780" i="1"/>
  <c r="N2780" i="1"/>
  <c r="M2780" i="1"/>
  <c r="K2780" i="1"/>
  <c r="O2779" i="1"/>
  <c r="N2779" i="1"/>
  <c r="M2779" i="1"/>
  <c r="K2779" i="1"/>
  <c r="O2778" i="1"/>
  <c r="N2778" i="1"/>
  <c r="M2778" i="1"/>
  <c r="K2778" i="1"/>
  <c r="O2777" i="1"/>
  <c r="N2777" i="1"/>
  <c r="M2777" i="1"/>
  <c r="K2777" i="1"/>
  <c r="O2776" i="1"/>
  <c r="N2776" i="1"/>
  <c r="M2776" i="1"/>
  <c r="K2776" i="1"/>
  <c r="O3088" i="1"/>
  <c r="N3088" i="1"/>
  <c r="M3088" i="1"/>
  <c r="O2774" i="1"/>
  <c r="N2774" i="1"/>
  <c r="M2774" i="1"/>
  <c r="K2774" i="1"/>
  <c r="O2773" i="1"/>
  <c r="N2773" i="1"/>
  <c r="M2773" i="1"/>
  <c r="K2773" i="1"/>
  <c r="O2772" i="1"/>
  <c r="N2772" i="1"/>
  <c r="M2772" i="1"/>
  <c r="K2772" i="1"/>
  <c r="O1138" i="1"/>
  <c r="N1138" i="1"/>
  <c r="M1138" i="1"/>
  <c r="O1537" i="1"/>
  <c r="N1537" i="1"/>
  <c r="M1537" i="1"/>
  <c r="O2769" i="1"/>
  <c r="N2769" i="1"/>
  <c r="M2769" i="1"/>
  <c r="K2769" i="1"/>
  <c r="O2768" i="1"/>
  <c r="N2768" i="1"/>
  <c r="M2768" i="1"/>
  <c r="K2768" i="1"/>
  <c r="O2210" i="1"/>
  <c r="N2210" i="1"/>
  <c r="M2210" i="1"/>
  <c r="O2766" i="1"/>
  <c r="N2766" i="1"/>
  <c r="M2766" i="1"/>
  <c r="K2766" i="1"/>
  <c r="O2765" i="1"/>
  <c r="N2765" i="1"/>
  <c r="M2765" i="1"/>
  <c r="K2765" i="1"/>
  <c r="O1851" i="1"/>
  <c r="N1851" i="1"/>
  <c r="M1851" i="1"/>
  <c r="O1073" i="1"/>
  <c r="N1073" i="1"/>
  <c r="M1073" i="1"/>
  <c r="O2762" i="1"/>
  <c r="O2761" i="1"/>
  <c r="O2760" i="1"/>
  <c r="O2759" i="1"/>
  <c r="O2758" i="1"/>
  <c r="O2757" i="1"/>
  <c r="O2756" i="1"/>
  <c r="O2755" i="1"/>
  <c r="O2754" i="1"/>
  <c r="O2753" i="1"/>
  <c r="O2752" i="1"/>
  <c r="O2305" i="1"/>
  <c r="N2305" i="1"/>
  <c r="M2305" i="1"/>
  <c r="O1718" i="1"/>
  <c r="M1718" i="1"/>
  <c r="O2080" i="1"/>
  <c r="O2821" i="1"/>
  <c r="N2821" i="1"/>
  <c r="M2821" i="1"/>
  <c r="O370" i="1"/>
  <c r="N370" i="1"/>
  <c r="M370" i="1"/>
  <c r="O2746" i="1"/>
  <c r="O2745" i="1"/>
  <c r="N2745" i="1"/>
  <c r="M2745" i="1"/>
  <c r="O2744" i="1"/>
  <c r="N2744" i="1"/>
  <c r="M2744" i="1"/>
  <c r="O2743" i="1"/>
  <c r="N2743" i="1"/>
  <c r="M2743" i="1"/>
  <c r="O2742" i="1"/>
  <c r="N2742" i="1"/>
  <c r="M2742" i="1"/>
  <c r="O2741" i="1"/>
  <c r="N2741" i="1"/>
  <c r="M2741" i="1"/>
  <c r="O2740" i="1"/>
  <c r="N2740" i="1"/>
  <c r="M2740" i="1"/>
  <c r="O2739" i="1"/>
  <c r="N2739" i="1"/>
  <c r="M2739" i="1"/>
  <c r="O2738" i="1"/>
  <c r="N2738" i="1"/>
  <c r="M2738" i="1"/>
  <c r="O2737" i="1"/>
  <c r="N2737" i="1"/>
  <c r="M2737" i="1"/>
  <c r="O2736" i="1"/>
  <c r="M2736" i="1"/>
  <c r="O2735" i="1"/>
  <c r="N2735" i="1"/>
  <c r="M2735" i="1"/>
  <c r="O2734" i="1"/>
  <c r="N2734" i="1"/>
  <c r="M2734" i="1"/>
  <c r="O2733" i="1"/>
  <c r="M2733" i="1"/>
  <c r="O2732" i="1"/>
  <c r="M2732" i="1"/>
  <c r="O2731" i="1"/>
  <c r="N2731" i="1"/>
  <c r="M2731" i="1"/>
  <c r="O2730" i="1"/>
  <c r="N2730" i="1"/>
  <c r="M2730" i="1"/>
  <c r="O2729" i="1"/>
  <c r="N2729" i="1"/>
  <c r="M2729" i="1"/>
  <c r="O2728" i="1"/>
  <c r="O2727" i="1"/>
  <c r="N2727" i="1"/>
  <c r="M2727" i="1"/>
  <c r="O2726" i="1"/>
  <c r="N2726" i="1"/>
  <c r="M2726" i="1"/>
  <c r="O2725" i="1"/>
  <c r="N2725" i="1"/>
  <c r="M2725" i="1"/>
  <c r="O2724" i="1"/>
  <c r="N2724" i="1"/>
  <c r="M2724" i="1"/>
  <c r="O2723" i="1"/>
  <c r="N2723" i="1"/>
  <c r="M2723" i="1"/>
  <c r="O2722" i="1"/>
  <c r="N2722" i="1"/>
  <c r="M2722" i="1"/>
  <c r="O2712" i="1"/>
  <c r="N2712" i="1"/>
  <c r="M2712" i="1"/>
  <c r="O2711" i="1"/>
  <c r="N2711" i="1"/>
  <c r="M2711" i="1"/>
  <c r="O2710" i="1"/>
  <c r="N2710" i="1"/>
  <c r="M2710" i="1"/>
  <c r="O2709" i="1"/>
  <c r="N2709" i="1"/>
  <c r="M2709" i="1"/>
  <c r="O2708" i="1"/>
  <c r="N2708" i="1"/>
  <c r="M2708" i="1"/>
  <c r="O2707" i="1"/>
  <c r="N2707" i="1"/>
  <c r="M2707" i="1"/>
  <c r="O2706" i="1"/>
  <c r="N2706" i="1"/>
  <c r="M2706" i="1"/>
  <c r="O2705" i="1"/>
  <c r="N2705" i="1"/>
  <c r="M2705" i="1"/>
  <c r="O2704" i="1"/>
  <c r="N2704" i="1"/>
  <c r="M2704" i="1"/>
  <c r="O2703" i="1"/>
  <c r="N2703" i="1"/>
  <c r="M2703" i="1"/>
  <c r="K2703" i="1"/>
  <c r="O2702" i="1"/>
  <c r="N2702" i="1"/>
  <c r="M2702" i="1"/>
  <c r="O2701" i="1"/>
  <c r="N2701" i="1"/>
  <c r="M2701" i="1"/>
  <c r="K2701" i="1"/>
  <c r="O2700" i="1"/>
  <c r="N2700" i="1"/>
  <c r="M2700" i="1"/>
  <c r="K2700" i="1"/>
  <c r="O2533" i="1"/>
  <c r="N2533" i="1"/>
  <c r="M2533" i="1"/>
  <c r="O2698" i="1"/>
  <c r="N2698" i="1"/>
  <c r="M2698" i="1"/>
  <c r="O2697" i="1"/>
  <c r="N2697" i="1"/>
  <c r="M2697" i="1"/>
  <c r="O2696" i="1"/>
  <c r="N2696" i="1"/>
  <c r="M2696" i="1"/>
  <c r="O2695" i="1"/>
  <c r="N2695" i="1"/>
  <c r="M2695" i="1"/>
  <c r="O113" i="1"/>
  <c r="N113" i="1"/>
  <c r="M113" i="1"/>
  <c r="O2693" i="1"/>
  <c r="N2693" i="1"/>
  <c r="M2693" i="1"/>
  <c r="O2692" i="1"/>
  <c r="O2691" i="1"/>
  <c r="O2690" i="1"/>
  <c r="N2690" i="1"/>
  <c r="M2690" i="1"/>
  <c r="O1160" i="1"/>
  <c r="O2688" i="1"/>
  <c r="N2688" i="1"/>
  <c r="M2688" i="1"/>
  <c r="O2687" i="1"/>
  <c r="N2687" i="1"/>
  <c r="M2687" i="1"/>
  <c r="O2686" i="1"/>
  <c r="N2686" i="1"/>
  <c r="M2686" i="1"/>
  <c r="O2685" i="1"/>
  <c r="N2685" i="1"/>
  <c r="M2685" i="1"/>
  <c r="O2684" i="1"/>
  <c r="N2684" i="1"/>
  <c r="M2684" i="1"/>
  <c r="O2683" i="1"/>
  <c r="N2683" i="1"/>
  <c r="M2683" i="1"/>
  <c r="O2682" i="1"/>
  <c r="N2682" i="1"/>
  <c r="M2682" i="1"/>
  <c r="O2608" i="1"/>
  <c r="N2608" i="1"/>
  <c r="M2608" i="1"/>
  <c r="O1269" i="1"/>
  <c r="N1269" i="1"/>
  <c r="M1269" i="1"/>
  <c r="O2782" i="1"/>
  <c r="N2782" i="1"/>
  <c r="M2782" i="1"/>
  <c r="O33" i="1"/>
  <c r="N33" i="1"/>
  <c r="M33" i="1"/>
  <c r="O1264" i="1"/>
  <c r="N1264" i="1"/>
  <c r="M1264" i="1"/>
  <c r="O2670" i="1"/>
  <c r="M2670" i="1"/>
  <c r="O1500" i="1"/>
  <c r="N1500" i="1"/>
  <c r="M1500" i="1"/>
  <c r="O2668" i="1"/>
  <c r="N2668" i="1"/>
  <c r="M2668" i="1"/>
  <c r="O42" i="1"/>
  <c r="N42" i="1"/>
  <c r="M42" i="1"/>
  <c r="O2666" i="1"/>
  <c r="N2666" i="1"/>
  <c r="M2666" i="1"/>
  <c r="O2665" i="1"/>
  <c r="N2665" i="1"/>
  <c r="M2665" i="1"/>
  <c r="O1007" i="1"/>
  <c r="N1007" i="1"/>
  <c r="M1007" i="1"/>
  <c r="O2663" i="1"/>
  <c r="N2663" i="1"/>
  <c r="M2663" i="1"/>
  <c r="O2794" i="1"/>
  <c r="N2794" i="1"/>
  <c r="M2794" i="1"/>
  <c r="O2661" i="1"/>
  <c r="N2661" i="1"/>
  <c r="M2661" i="1"/>
  <c r="O1259" i="1"/>
  <c r="N1259" i="1"/>
  <c r="M1259" i="1"/>
  <c r="O258" i="1"/>
  <c r="N258" i="1"/>
  <c r="M258" i="1"/>
  <c r="O1560" i="1"/>
  <c r="N1560" i="1"/>
  <c r="M1560" i="1"/>
  <c r="O2657" i="1"/>
  <c r="N2657" i="1"/>
  <c r="M2657" i="1"/>
  <c r="O2656" i="1"/>
  <c r="N2656" i="1"/>
  <c r="M2656" i="1"/>
  <c r="O2655" i="1"/>
  <c r="N2655" i="1"/>
  <c r="M2655" i="1"/>
  <c r="O2721" i="1"/>
  <c r="N2721" i="1"/>
  <c r="M2721" i="1"/>
  <c r="O2653" i="1"/>
  <c r="N2653" i="1"/>
  <c r="M2653" i="1"/>
  <c r="O2680" i="1"/>
  <c r="N2680" i="1"/>
  <c r="M2680" i="1"/>
  <c r="O924" i="1"/>
  <c r="N924" i="1"/>
  <c r="M924" i="1"/>
  <c r="O2650" i="1"/>
  <c r="N2650" i="1"/>
  <c r="M2650" i="1"/>
  <c r="O1481" i="1"/>
  <c r="N1481" i="1"/>
  <c r="M1481" i="1"/>
  <c r="O2648" i="1"/>
  <c r="N2648" i="1"/>
  <c r="M2648" i="1"/>
  <c r="O2647" i="1"/>
  <c r="M2647" i="1"/>
  <c r="O2646" i="1"/>
  <c r="M2646" i="1"/>
  <c r="O2645" i="1"/>
  <c r="M2645" i="1"/>
  <c r="O2644" i="1"/>
  <c r="M2644" i="1"/>
  <c r="O2643" i="1"/>
  <c r="M2643" i="1"/>
  <c r="O2642" i="1"/>
  <c r="M2642" i="1"/>
  <c r="O2641" i="1"/>
  <c r="M2641" i="1"/>
  <c r="O2640" i="1"/>
  <c r="M2640" i="1"/>
  <c r="O2639" i="1"/>
  <c r="N2639" i="1"/>
  <c r="M2639" i="1"/>
  <c r="O2638" i="1"/>
  <c r="N2638" i="1"/>
  <c r="M2638" i="1"/>
  <c r="O2637" i="1"/>
  <c r="N2637" i="1"/>
  <c r="M2637" i="1"/>
  <c r="O2636" i="1"/>
  <c r="N2636" i="1"/>
  <c r="M2636" i="1"/>
  <c r="O2635" i="1"/>
  <c r="N2635" i="1"/>
  <c r="M2635" i="1"/>
  <c r="O2634" i="1"/>
  <c r="N2634" i="1"/>
  <c r="M2634" i="1"/>
  <c r="O2633" i="1"/>
  <c r="N2633" i="1"/>
  <c r="M2633" i="1"/>
  <c r="O2632" i="1"/>
  <c r="N2632" i="1"/>
  <c r="M2632" i="1"/>
  <c r="O2631" i="1"/>
  <c r="N2631" i="1"/>
  <c r="M2631" i="1"/>
  <c r="O2630" i="1"/>
  <c r="N2630" i="1"/>
  <c r="M2630" i="1"/>
  <c r="O2629" i="1"/>
  <c r="N2629" i="1"/>
  <c r="M2629" i="1"/>
  <c r="O2628" i="1"/>
  <c r="N2628" i="1"/>
  <c r="M2628" i="1"/>
  <c r="O2627" i="1"/>
  <c r="N2627" i="1"/>
  <c r="M2627" i="1"/>
  <c r="O2626" i="1"/>
  <c r="N2626" i="1"/>
  <c r="M2626" i="1"/>
  <c r="O2625" i="1"/>
  <c r="N2625" i="1"/>
  <c r="M2625" i="1"/>
  <c r="O2624" i="1"/>
  <c r="N2624" i="1"/>
  <c r="M2624" i="1"/>
  <c r="O2623" i="1"/>
  <c r="N2623" i="1"/>
  <c r="M2623" i="1"/>
  <c r="O761" i="1"/>
  <c r="N761" i="1"/>
  <c r="M761" i="1"/>
  <c r="O1257" i="1"/>
  <c r="N1257" i="1"/>
  <c r="M1257" i="1"/>
  <c r="O2620" i="1"/>
  <c r="N2620" i="1"/>
  <c r="M2620" i="1"/>
  <c r="O1807" i="1"/>
  <c r="N1807" i="1"/>
  <c r="M1807" i="1"/>
  <c r="O395" i="1"/>
  <c r="N395" i="1"/>
  <c r="M395" i="1"/>
  <c r="O2807" i="1"/>
  <c r="N2807" i="1"/>
  <c r="M2807" i="1"/>
  <c r="O1242" i="1"/>
  <c r="N1242" i="1"/>
  <c r="M1242" i="1"/>
  <c r="O1019" i="1"/>
  <c r="N1019" i="1"/>
  <c r="M1019" i="1"/>
  <c r="O2614" i="1"/>
  <c r="N2614" i="1"/>
  <c r="M2614" i="1"/>
  <c r="O2613" i="1"/>
  <c r="N2613" i="1"/>
  <c r="M2613" i="1"/>
  <c r="O2612" i="1"/>
  <c r="N2612" i="1"/>
  <c r="M2612" i="1"/>
  <c r="O1670" i="1"/>
  <c r="N1670" i="1"/>
  <c r="M1670" i="1"/>
  <c r="O2610" i="1"/>
  <c r="N2610" i="1"/>
  <c r="M2610" i="1"/>
  <c r="O1074" i="1"/>
  <c r="N1074" i="1"/>
  <c r="M1074" i="1"/>
  <c r="O2681" i="1"/>
  <c r="N2681" i="1"/>
  <c r="M2681" i="1"/>
  <c r="O2607" i="1"/>
  <c r="N2607" i="1"/>
  <c r="M2607" i="1"/>
  <c r="O2606" i="1"/>
  <c r="N2606" i="1"/>
  <c r="M2606" i="1"/>
  <c r="O2196" i="1"/>
  <c r="N2196" i="1"/>
  <c r="M2196" i="1"/>
  <c r="O2604" i="1"/>
  <c r="N2604" i="1"/>
  <c r="M2604" i="1"/>
  <c r="O2603" i="1"/>
  <c r="N2603" i="1"/>
  <c r="M2603" i="1"/>
  <c r="O3089" i="1"/>
  <c r="N3089" i="1"/>
  <c r="M3089" i="1"/>
  <c r="O2601" i="1"/>
  <c r="N2601" i="1"/>
  <c r="M2601" i="1"/>
  <c r="O2654" i="1"/>
  <c r="N2654" i="1"/>
  <c r="M2654" i="1"/>
  <c r="O2609" i="1"/>
  <c r="N2609" i="1"/>
  <c r="M2609" i="1"/>
  <c r="O1798" i="1"/>
  <c r="N1798" i="1"/>
  <c r="M1798" i="1"/>
  <c r="O2597" i="1"/>
  <c r="N2597" i="1"/>
  <c r="M2597" i="1"/>
  <c r="O1127" i="1"/>
  <c r="N1127" i="1"/>
  <c r="M1127" i="1"/>
  <c r="O2579" i="1"/>
  <c r="N2579" i="1"/>
  <c r="M2579" i="1"/>
  <c r="O2578" i="1"/>
  <c r="N2578" i="1"/>
  <c r="M2578" i="1"/>
  <c r="O2577" i="1"/>
  <c r="N2577" i="1"/>
  <c r="M2577" i="1"/>
  <c r="O2576" i="1"/>
  <c r="N2576" i="1"/>
  <c r="M2576" i="1"/>
  <c r="O2575" i="1"/>
  <c r="N2575" i="1"/>
  <c r="M2575" i="1"/>
  <c r="O2574" i="1"/>
  <c r="N2574" i="1"/>
  <c r="M2574" i="1"/>
  <c r="O2573" i="1"/>
  <c r="N2573" i="1"/>
  <c r="M2573" i="1"/>
  <c r="O2572" i="1"/>
  <c r="N2572" i="1"/>
  <c r="M2572" i="1"/>
  <c r="O2571" i="1"/>
  <c r="N2571" i="1"/>
  <c r="M2571" i="1"/>
  <c r="O2570" i="1"/>
  <c r="N2570" i="1"/>
  <c r="M2570" i="1"/>
  <c r="O2569" i="1"/>
  <c r="N2569" i="1"/>
  <c r="M2569" i="1"/>
  <c r="O2568" i="1"/>
  <c r="N2568" i="1"/>
  <c r="M2568" i="1"/>
  <c r="O2567" i="1"/>
  <c r="N2567" i="1"/>
  <c r="M2567" i="1"/>
  <c r="O2566" i="1"/>
  <c r="N2566" i="1"/>
  <c r="M2566" i="1"/>
  <c r="O2565" i="1"/>
  <c r="N2565" i="1"/>
  <c r="M2565" i="1"/>
  <c r="O2564" i="1"/>
  <c r="N2564" i="1"/>
  <c r="M2564" i="1"/>
  <c r="O2563" i="1"/>
  <c r="N2563" i="1"/>
  <c r="M2563" i="1"/>
  <c r="O2562" i="1"/>
  <c r="N2562" i="1"/>
  <c r="M2562" i="1"/>
  <c r="O2561" i="1"/>
  <c r="N2561" i="1"/>
  <c r="M2561" i="1"/>
  <c r="O2560" i="1"/>
  <c r="N2560" i="1"/>
  <c r="M2560" i="1"/>
  <c r="O2559" i="1"/>
  <c r="N2559" i="1"/>
  <c r="M2559" i="1"/>
  <c r="O2558" i="1"/>
  <c r="N2558" i="1"/>
  <c r="M2558" i="1"/>
  <c r="O2557" i="1"/>
  <c r="N2557" i="1"/>
  <c r="M2557" i="1"/>
  <c r="O2556" i="1"/>
  <c r="N2556" i="1"/>
  <c r="M2556" i="1"/>
  <c r="O2555" i="1"/>
  <c r="N2555" i="1"/>
  <c r="M2555" i="1"/>
  <c r="O2554" i="1"/>
  <c r="N2554" i="1"/>
  <c r="M2554" i="1"/>
  <c r="O2553" i="1"/>
  <c r="N2553" i="1"/>
  <c r="M2553" i="1"/>
  <c r="O72" i="1"/>
  <c r="N72" i="1"/>
  <c r="M72" i="1"/>
  <c r="O2551" i="1"/>
  <c r="O2550" i="1"/>
  <c r="O2549" i="1"/>
  <c r="O2548" i="1"/>
  <c r="O2547" i="1"/>
  <c r="O2546" i="1"/>
  <c r="O2545" i="1"/>
  <c r="O2544" i="1"/>
  <c r="O2543" i="1"/>
  <c r="O2542" i="1"/>
  <c r="O2541" i="1"/>
  <c r="O2540" i="1"/>
  <c r="O2539" i="1"/>
  <c r="O2538" i="1"/>
  <c r="O2537" i="1"/>
  <c r="O2536" i="1"/>
  <c r="O2535" i="1"/>
  <c r="O2247" i="1"/>
  <c r="N2247" i="1"/>
  <c r="M2247" i="1"/>
  <c r="O1774" i="1"/>
  <c r="N1774" i="1"/>
  <c r="M1774" i="1"/>
  <c r="O2524" i="1"/>
  <c r="N2524" i="1"/>
  <c r="M2524" i="1"/>
  <c r="O2523" i="1"/>
  <c r="N2523" i="1"/>
  <c r="M2523" i="1"/>
  <c r="O2522" i="1"/>
  <c r="N2522" i="1"/>
  <c r="M2522" i="1"/>
  <c r="O2521" i="1"/>
  <c r="N2521" i="1"/>
  <c r="M2521" i="1"/>
  <c r="O2520" i="1"/>
  <c r="N2520" i="1"/>
  <c r="M2520" i="1"/>
  <c r="O2519" i="1"/>
  <c r="N2519" i="1"/>
  <c r="M2519" i="1"/>
  <c r="O2518" i="1"/>
  <c r="N2518" i="1"/>
  <c r="M2518" i="1"/>
  <c r="O2517" i="1"/>
  <c r="N2517" i="1"/>
  <c r="M2517" i="1"/>
  <c r="O2516" i="1"/>
  <c r="N2516" i="1"/>
  <c r="M2516" i="1"/>
  <c r="O2515" i="1"/>
  <c r="N2515" i="1"/>
  <c r="M2515" i="1"/>
  <c r="O2514" i="1"/>
  <c r="N2514" i="1"/>
  <c r="M2514" i="1"/>
  <c r="O2513" i="1"/>
  <c r="N2513" i="1"/>
  <c r="M2513" i="1"/>
  <c r="O2512" i="1"/>
  <c r="N2512" i="1"/>
  <c r="M2512" i="1"/>
  <c r="O2511" i="1"/>
  <c r="N2511" i="1"/>
  <c r="M2511" i="1"/>
  <c r="O2510" i="1"/>
  <c r="N2510" i="1"/>
  <c r="M2510" i="1"/>
  <c r="O2509" i="1"/>
  <c r="N2509" i="1"/>
  <c r="M2509" i="1"/>
  <c r="O2508" i="1"/>
  <c r="N2508" i="1"/>
  <c r="M2508" i="1"/>
  <c r="O2507" i="1"/>
  <c r="N2507" i="1"/>
  <c r="M2507" i="1"/>
  <c r="O2506" i="1"/>
  <c r="N2506" i="1"/>
  <c r="M2506" i="1"/>
  <c r="O2505" i="1"/>
  <c r="N2505" i="1"/>
  <c r="M2505" i="1"/>
  <c r="O2504" i="1"/>
  <c r="N2504" i="1"/>
  <c r="M2504" i="1"/>
  <c r="O2503" i="1"/>
  <c r="N2503" i="1"/>
  <c r="M2503" i="1"/>
  <c r="O2502" i="1"/>
  <c r="N2502" i="1"/>
  <c r="M2502" i="1"/>
  <c r="O2501" i="1"/>
  <c r="N2501" i="1"/>
  <c r="M2501" i="1"/>
  <c r="O2500" i="1"/>
  <c r="N2500" i="1"/>
  <c r="M2500" i="1"/>
  <c r="O2499" i="1"/>
  <c r="N2499" i="1"/>
  <c r="M2499" i="1"/>
  <c r="O2498" i="1"/>
  <c r="N2498" i="1"/>
  <c r="M2498" i="1"/>
  <c r="O2497" i="1"/>
  <c r="N2497" i="1"/>
  <c r="M2497" i="1"/>
  <c r="O2472" i="1"/>
  <c r="M2472" i="1"/>
  <c r="O2471" i="1"/>
  <c r="M2471" i="1"/>
  <c r="O2470" i="1"/>
  <c r="M2470" i="1"/>
  <c r="O2469" i="1"/>
  <c r="M2469" i="1"/>
  <c r="O2468" i="1"/>
  <c r="M2468" i="1"/>
  <c r="O2467" i="1"/>
  <c r="M2467" i="1"/>
  <c r="O2466" i="1"/>
  <c r="N2466" i="1"/>
  <c r="M2466" i="1"/>
  <c r="O2465" i="1"/>
  <c r="N2465" i="1"/>
  <c r="M2465" i="1"/>
  <c r="O2464" i="1"/>
  <c r="N2464" i="1"/>
  <c r="M2464" i="1"/>
  <c r="O2463" i="1"/>
  <c r="N2463" i="1"/>
  <c r="M2463" i="1"/>
  <c r="O2462" i="1"/>
  <c r="N2462" i="1"/>
  <c r="M2462" i="1"/>
  <c r="O2461" i="1"/>
  <c r="N2461" i="1"/>
  <c r="M2461" i="1"/>
  <c r="O2460" i="1"/>
  <c r="N2460" i="1"/>
  <c r="M2460" i="1"/>
  <c r="O2459" i="1"/>
  <c r="N2459" i="1"/>
  <c r="M2459" i="1"/>
  <c r="O2458" i="1"/>
  <c r="N2458" i="1"/>
  <c r="M2458" i="1"/>
  <c r="O2457" i="1"/>
  <c r="N2457" i="1"/>
  <c r="M2457" i="1"/>
  <c r="O2456" i="1"/>
  <c r="N2456" i="1"/>
  <c r="M2456" i="1"/>
  <c r="O2455" i="1"/>
  <c r="N2455" i="1"/>
  <c r="M2455" i="1"/>
  <c r="O2454" i="1"/>
  <c r="N2454" i="1"/>
  <c r="M2454" i="1"/>
  <c r="O2453" i="1"/>
  <c r="N2453" i="1"/>
  <c r="M2453" i="1"/>
  <c r="O2452" i="1"/>
  <c r="N2452" i="1"/>
  <c r="M2452" i="1"/>
  <c r="O2451" i="1"/>
  <c r="N2451" i="1"/>
  <c r="M2451" i="1"/>
  <c r="O2450" i="1"/>
  <c r="N2450" i="1"/>
  <c r="M2450" i="1"/>
  <c r="O2449" i="1"/>
  <c r="N2449" i="1"/>
  <c r="M2449" i="1"/>
  <c r="O2448" i="1"/>
  <c r="N2448" i="1"/>
  <c r="M2448" i="1"/>
  <c r="O2447" i="1"/>
  <c r="N2447" i="1"/>
  <c r="M2447" i="1"/>
  <c r="O2446" i="1"/>
  <c r="N2446" i="1"/>
  <c r="M2446" i="1"/>
  <c r="O2445" i="1"/>
  <c r="N2445" i="1"/>
  <c r="M2445" i="1"/>
  <c r="O2444" i="1"/>
  <c r="N2444" i="1"/>
  <c r="M2444" i="1"/>
  <c r="O2443" i="1"/>
  <c r="N2443" i="1"/>
  <c r="M2443" i="1"/>
  <c r="O2442" i="1"/>
  <c r="N2442" i="1"/>
  <c r="M2442" i="1"/>
  <c r="O2441" i="1"/>
  <c r="N2441" i="1"/>
  <c r="M2441" i="1"/>
  <c r="O2440" i="1"/>
  <c r="N2440" i="1"/>
  <c r="M2440" i="1"/>
  <c r="O2439" i="1"/>
  <c r="N2439" i="1"/>
  <c r="M2439" i="1"/>
  <c r="O2438" i="1"/>
  <c r="O2437" i="1"/>
  <c r="N2437" i="1"/>
  <c r="M2437" i="1"/>
  <c r="O2436" i="1"/>
  <c r="N2436" i="1"/>
  <c r="M2436" i="1"/>
  <c r="O2435" i="1"/>
  <c r="N2435" i="1"/>
  <c r="M2435" i="1"/>
  <c r="O2434" i="1"/>
  <c r="N2434" i="1"/>
  <c r="M2434" i="1"/>
  <c r="O2433" i="1"/>
  <c r="N2433" i="1"/>
  <c r="M2433" i="1"/>
  <c r="O2432" i="1"/>
  <c r="N2432" i="1"/>
  <c r="M2432" i="1"/>
  <c r="O2431" i="1"/>
  <c r="N2431" i="1"/>
  <c r="M2431" i="1"/>
  <c r="O2430" i="1"/>
  <c r="N2430" i="1"/>
  <c r="M2430" i="1"/>
  <c r="O2429" i="1"/>
  <c r="N2429" i="1"/>
  <c r="M2429" i="1"/>
  <c r="O2428" i="1"/>
  <c r="N2428" i="1"/>
  <c r="M2428" i="1"/>
  <c r="O2427" i="1"/>
  <c r="N2427" i="1"/>
  <c r="M2427" i="1"/>
  <c r="O2426" i="1"/>
  <c r="N2426" i="1"/>
  <c r="M2426" i="1"/>
  <c r="O2425" i="1"/>
  <c r="M2425" i="1"/>
  <c r="O2424" i="1"/>
  <c r="N2424" i="1"/>
  <c r="M2424" i="1"/>
  <c r="O2423" i="1"/>
  <c r="N2423" i="1"/>
  <c r="M2423" i="1"/>
  <c r="O2402" i="1"/>
  <c r="N2402" i="1"/>
  <c r="M2402" i="1"/>
  <c r="O2401" i="1"/>
  <c r="N2401" i="1"/>
  <c r="M2401" i="1"/>
  <c r="O2400" i="1"/>
  <c r="N2400" i="1"/>
  <c r="M2400" i="1"/>
  <c r="O2399" i="1"/>
  <c r="N2399" i="1"/>
  <c r="M2399" i="1"/>
  <c r="O2398" i="1"/>
  <c r="N2398" i="1"/>
  <c r="M2398" i="1"/>
  <c r="O2397" i="1"/>
  <c r="N2397" i="1"/>
  <c r="M2397" i="1"/>
  <c r="O2396" i="1"/>
  <c r="N2396" i="1"/>
  <c r="M2396" i="1"/>
  <c r="O2395" i="1"/>
  <c r="N2395" i="1"/>
  <c r="M2395" i="1"/>
  <c r="O2394" i="1"/>
  <c r="N2394" i="1"/>
  <c r="M2394" i="1"/>
  <c r="O2393" i="1"/>
  <c r="N2393" i="1"/>
  <c r="M2393" i="1"/>
  <c r="O2392" i="1"/>
  <c r="N2392" i="1"/>
  <c r="M2392" i="1"/>
  <c r="O2391" i="1"/>
  <c r="N2391" i="1"/>
  <c r="M2391" i="1"/>
  <c r="O2390" i="1"/>
  <c r="N2390" i="1"/>
  <c r="M2390" i="1"/>
  <c r="O2389" i="1"/>
  <c r="N2389" i="1"/>
  <c r="M2389" i="1"/>
  <c r="O2388" i="1"/>
  <c r="N2388" i="1"/>
  <c r="M2388" i="1"/>
  <c r="O2387" i="1"/>
  <c r="N2387" i="1"/>
  <c r="M2387" i="1"/>
  <c r="O2386" i="1"/>
  <c r="N2386" i="1"/>
  <c r="M2386" i="1"/>
  <c r="O2385" i="1"/>
  <c r="N2385" i="1"/>
  <c r="M2385" i="1"/>
  <c r="O2384" i="1"/>
  <c r="N2384" i="1"/>
  <c r="M2384" i="1"/>
  <c r="O2383" i="1"/>
  <c r="N2383" i="1"/>
  <c r="M2383" i="1"/>
  <c r="O2382" i="1"/>
  <c r="O2381" i="1"/>
  <c r="N2381" i="1"/>
  <c r="M2381" i="1"/>
  <c r="O2380" i="1"/>
  <c r="N2380" i="1"/>
  <c r="M2380" i="1"/>
  <c r="O2379" i="1"/>
  <c r="N2379" i="1"/>
  <c r="M2379" i="1"/>
  <c r="O2378" i="1"/>
  <c r="N2378" i="1"/>
  <c r="M2378" i="1"/>
  <c r="O2377" i="1"/>
  <c r="N2377" i="1"/>
  <c r="M2377" i="1"/>
  <c r="O2376" i="1"/>
  <c r="N2376" i="1"/>
  <c r="M2376" i="1"/>
  <c r="O2375" i="1"/>
  <c r="N2375" i="1"/>
  <c r="M2375" i="1"/>
  <c r="O2374" i="1"/>
  <c r="N2374" i="1"/>
  <c r="M2374" i="1"/>
  <c r="O2373" i="1"/>
  <c r="N2373" i="1"/>
  <c r="M2373" i="1"/>
  <c r="O2372" i="1"/>
  <c r="N2372" i="1"/>
  <c r="M2372" i="1"/>
  <c r="O2371" i="1"/>
  <c r="N2371" i="1"/>
  <c r="M2371" i="1"/>
  <c r="O2370" i="1"/>
  <c r="N2370" i="1"/>
  <c r="M2370" i="1"/>
  <c r="O2369" i="1"/>
  <c r="N2369" i="1"/>
  <c r="M2369" i="1"/>
  <c r="O2368" i="1"/>
  <c r="N2368" i="1"/>
  <c r="M2368" i="1"/>
  <c r="O2367" i="1"/>
  <c r="N2367" i="1"/>
  <c r="M2367" i="1"/>
  <c r="O2366" i="1"/>
  <c r="N2366" i="1"/>
  <c r="M2366" i="1"/>
  <c r="O2365" i="1"/>
  <c r="N2365" i="1"/>
  <c r="M2365" i="1"/>
  <c r="O2364" i="1"/>
  <c r="N2364" i="1"/>
  <c r="M2364" i="1"/>
  <c r="O2363" i="1"/>
  <c r="N2363" i="1"/>
  <c r="M2363" i="1"/>
  <c r="O2362" i="1"/>
  <c r="N2362" i="1"/>
  <c r="M2362" i="1"/>
  <c r="O2361" i="1"/>
  <c r="N2361" i="1"/>
  <c r="M2361" i="1"/>
  <c r="O2360" i="1"/>
  <c r="N2360" i="1"/>
  <c r="M2360" i="1"/>
  <c r="O2359" i="1"/>
  <c r="N2359" i="1"/>
  <c r="M2359" i="1"/>
  <c r="O1564" i="1"/>
  <c r="N1564" i="1"/>
  <c r="M1564" i="1"/>
  <c r="O2895" i="1"/>
  <c r="N2895" i="1"/>
  <c r="M2895" i="1"/>
  <c r="O2341" i="1"/>
  <c r="N2341" i="1"/>
  <c r="M2341" i="1"/>
  <c r="O2340" i="1"/>
  <c r="N2340" i="1"/>
  <c r="M2340" i="1"/>
  <c r="O2339" i="1"/>
  <c r="N2339" i="1"/>
  <c r="M2339" i="1"/>
  <c r="O45" i="1"/>
  <c r="N45" i="1"/>
  <c r="M45" i="1"/>
  <c r="O2337" i="1"/>
  <c r="N2337" i="1"/>
  <c r="M2337" i="1"/>
  <c r="O2336" i="1"/>
  <c r="N2336" i="1"/>
  <c r="M2336" i="1"/>
  <c r="O866" i="1"/>
  <c r="N866" i="1"/>
  <c r="M866" i="1"/>
  <c r="O2334" i="1"/>
  <c r="N2334" i="1"/>
  <c r="M2334" i="1"/>
  <c r="O2333" i="1"/>
  <c r="N2333" i="1"/>
  <c r="M2333" i="1"/>
  <c r="O2332" i="1"/>
  <c r="N2332" i="1"/>
  <c r="M2332" i="1"/>
  <c r="O2331" i="1"/>
  <c r="N2331" i="1"/>
  <c r="M2331" i="1"/>
  <c r="O2330" i="1"/>
  <c r="N2330" i="1"/>
  <c r="M2330" i="1"/>
  <c r="O2329" i="1"/>
  <c r="O1130" i="1"/>
  <c r="M1130" i="1"/>
  <c r="O1668" i="1"/>
  <c r="N1668" i="1"/>
  <c r="M1668" i="1"/>
  <c r="O121" i="1"/>
  <c r="N121" i="1"/>
  <c r="M121" i="1"/>
  <c r="O417" i="1"/>
  <c r="N417" i="1"/>
  <c r="M417" i="1"/>
  <c r="O1384" i="1"/>
  <c r="N1384" i="1"/>
  <c r="M1384" i="1"/>
  <c r="O2301" i="1"/>
  <c r="N2301" i="1"/>
  <c r="M2301" i="1"/>
  <c r="K2301" i="1"/>
  <c r="O2300" i="1"/>
  <c r="N2300" i="1"/>
  <c r="M2300" i="1"/>
  <c r="K2300" i="1"/>
  <c r="O2299" i="1"/>
  <c r="N2299" i="1"/>
  <c r="M2299" i="1"/>
  <c r="K2299" i="1"/>
  <c r="O2303" i="1"/>
  <c r="O1270" i="1"/>
  <c r="O1234" i="1"/>
  <c r="O1828" i="1"/>
  <c r="O1136" i="1"/>
  <c r="O2293" i="1"/>
  <c r="N2293" i="1"/>
  <c r="M2293" i="1"/>
  <c r="K2293" i="1"/>
  <c r="O2292" i="1"/>
  <c r="N2292" i="1"/>
  <c r="M2292" i="1"/>
  <c r="K2292" i="1"/>
  <c r="O1860" i="1"/>
  <c r="N1860" i="1"/>
  <c r="M1860" i="1"/>
  <c r="O2290" i="1"/>
  <c r="N2290" i="1"/>
  <c r="M2290" i="1"/>
  <c r="K2290" i="1"/>
  <c r="O2289" i="1"/>
  <c r="N2289" i="1"/>
  <c r="M2289" i="1"/>
  <c r="K2289" i="1"/>
  <c r="O2288" i="1"/>
  <c r="N2288" i="1"/>
  <c r="M2288" i="1"/>
  <c r="K2288" i="1"/>
  <c r="O2287" i="1"/>
  <c r="N2287" i="1"/>
  <c r="M2287" i="1"/>
  <c r="O2286" i="1"/>
  <c r="N2286" i="1"/>
  <c r="M2286" i="1"/>
  <c r="O2285" i="1"/>
  <c r="N2285" i="1"/>
  <c r="M2285" i="1"/>
  <c r="O2284" i="1"/>
  <c r="N2284" i="1"/>
  <c r="M2284" i="1"/>
  <c r="O2283" i="1"/>
  <c r="N2283" i="1"/>
  <c r="M2283" i="1"/>
  <c r="O2282" i="1"/>
  <c r="N2282" i="1"/>
  <c r="M2282" i="1"/>
  <c r="O2281" i="1"/>
  <c r="N2281" i="1"/>
  <c r="M2281" i="1"/>
  <c r="O2280" i="1"/>
  <c r="N2280" i="1"/>
  <c r="M2280" i="1"/>
  <c r="O2279" i="1"/>
  <c r="N2279" i="1"/>
  <c r="M2279" i="1"/>
  <c r="O2278" i="1"/>
  <c r="N2278" i="1"/>
  <c r="M2278" i="1"/>
  <c r="O1025" i="1"/>
  <c r="N1025" i="1"/>
  <c r="M1025" i="1"/>
  <c r="O2276" i="1"/>
  <c r="N2276" i="1"/>
  <c r="M2276" i="1"/>
  <c r="O2275" i="1"/>
  <c r="N2275" i="1"/>
  <c r="M2275" i="1"/>
  <c r="O2274" i="1"/>
  <c r="N2274" i="1"/>
  <c r="M2274" i="1"/>
  <c r="O2273" i="1"/>
  <c r="N2273" i="1"/>
  <c r="M2273" i="1"/>
  <c r="O2272" i="1"/>
  <c r="N2272" i="1"/>
  <c r="M2272" i="1"/>
  <c r="O2271" i="1"/>
  <c r="N2271" i="1"/>
  <c r="M2271" i="1"/>
  <c r="O2270" i="1"/>
  <c r="N2270" i="1"/>
  <c r="M2270" i="1"/>
  <c r="O1471" i="1"/>
  <c r="N1471" i="1"/>
  <c r="M1471" i="1"/>
  <c r="O1470" i="1"/>
  <c r="N1470" i="1"/>
  <c r="M1470" i="1"/>
  <c r="O1619" i="1"/>
  <c r="N1619" i="1"/>
  <c r="M1619" i="1"/>
  <c r="O2266" i="1"/>
  <c r="N2266" i="1"/>
  <c r="M2266" i="1"/>
  <c r="K2266" i="1"/>
  <c r="O2265" i="1"/>
  <c r="N2265" i="1"/>
  <c r="M2265" i="1"/>
  <c r="O2264" i="1"/>
  <c r="N2264" i="1"/>
  <c r="M2264" i="1"/>
  <c r="K2264" i="1"/>
  <c r="O2263" i="1"/>
  <c r="N2263" i="1"/>
  <c r="M2263" i="1"/>
  <c r="K2263" i="1"/>
  <c r="O2262" i="1"/>
  <c r="N2262" i="1"/>
  <c r="M2262" i="1"/>
  <c r="O2261" i="1"/>
  <c r="N2261" i="1"/>
  <c r="M2261" i="1"/>
  <c r="O414" i="1"/>
  <c r="N414" i="1"/>
  <c r="M414" i="1"/>
  <c r="O2677" i="1"/>
  <c r="N2677" i="1"/>
  <c r="M2677" i="1"/>
  <c r="O613" i="1"/>
  <c r="N613" i="1"/>
  <c r="M613" i="1"/>
  <c r="O2257" i="1"/>
  <c r="N2257" i="1"/>
  <c r="M2257" i="1"/>
  <c r="O570" i="1"/>
  <c r="N570" i="1"/>
  <c r="M570" i="1"/>
  <c r="O2255" i="1"/>
  <c r="N2255" i="1"/>
  <c r="M2255" i="1"/>
  <c r="K2255" i="1"/>
  <c r="O2078" i="1"/>
  <c r="N2078" i="1"/>
  <c r="M2078" i="1"/>
  <c r="O2253" i="1"/>
  <c r="N2253" i="1"/>
  <c r="M2253" i="1"/>
  <c r="O2252" i="1"/>
  <c r="N2252" i="1"/>
  <c r="M2252" i="1"/>
  <c r="O1459" i="1"/>
  <c r="N1459" i="1"/>
  <c r="M1459" i="1"/>
  <c r="O2250" i="1"/>
  <c r="N2250" i="1"/>
  <c r="M2250" i="1"/>
  <c r="O2249" i="1"/>
  <c r="N2249" i="1"/>
  <c r="M2249" i="1"/>
  <c r="K2249" i="1"/>
  <c r="O2248" i="1"/>
  <c r="N2248" i="1"/>
  <c r="M2248" i="1"/>
  <c r="O1814" i="1"/>
  <c r="N1814" i="1"/>
  <c r="M1814" i="1"/>
  <c r="O2246" i="1"/>
  <c r="N2246" i="1"/>
  <c r="M2246" i="1"/>
  <c r="O2242" i="1"/>
  <c r="N2242" i="1"/>
  <c r="M2242" i="1"/>
  <c r="O2241" i="1"/>
  <c r="M2241" i="1"/>
  <c r="O2240" i="1"/>
  <c r="N2240" i="1"/>
  <c r="M2240" i="1"/>
  <c r="O2239" i="1"/>
  <c r="N2239" i="1"/>
  <c r="M2239" i="1"/>
  <c r="O2238" i="1"/>
  <c r="N2238" i="1"/>
  <c r="M2238" i="1"/>
  <c r="O2237" i="1"/>
  <c r="N2237" i="1"/>
  <c r="M2237" i="1"/>
  <c r="O2236" i="1"/>
  <c r="N2236" i="1"/>
  <c r="M2236" i="1"/>
  <c r="O2235" i="1"/>
  <c r="N2235" i="1"/>
  <c r="M2235" i="1"/>
  <c r="O2234" i="1"/>
  <c r="N2234" i="1"/>
  <c r="M2234" i="1"/>
  <c r="O2233" i="1"/>
  <c r="N2233" i="1"/>
  <c r="M2233" i="1"/>
  <c r="O2232" i="1"/>
  <c r="N2232" i="1"/>
  <c r="M2232" i="1"/>
  <c r="O2231" i="1"/>
  <c r="N2231" i="1"/>
  <c r="M2231" i="1"/>
  <c r="O2230" i="1"/>
  <c r="N2230" i="1"/>
  <c r="M2230" i="1"/>
  <c r="O2229" i="1"/>
  <c r="N2229" i="1"/>
  <c r="M2229" i="1"/>
  <c r="O2228" i="1"/>
  <c r="N2228" i="1"/>
  <c r="M2228" i="1"/>
  <c r="O2227" i="1"/>
  <c r="N2227" i="1"/>
  <c r="M2227" i="1"/>
  <c r="O2226" i="1"/>
  <c r="N2226" i="1"/>
  <c r="M2226" i="1"/>
  <c r="O2225" i="1"/>
  <c r="N2225" i="1"/>
  <c r="M2225" i="1"/>
  <c r="O2224" i="1"/>
  <c r="N2224" i="1"/>
  <c r="M2224" i="1"/>
  <c r="O2223" i="1"/>
  <c r="N2223" i="1"/>
  <c r="M2223" i="1"/>
  <c r="O1133" i="1"/>
  <c r="N1133" i="1"/>
  <c r="M1133" i="1"/>
  <c r="O2221" i="1"/>
  <c r="N2221" i="1"/>
  <c r="M2221" i="1"/>
  <c r="O2220" i="1"/>
  <c r="N2220" i="1"/>
  <c r="M2220" i="1"/>
  <c r="O2219" i="1"/>
  <c r="N2219" i="1"/>
  <c r="M2219" i="1"/>
  <c r="O2218" i="1"/>
  <c r="N2218" i="1"/>
  <c r="M2218" i="1"/>
  <c r="O2217" i="1"/>
  <c r="N2217" i="1"/>
  <c r="M2217" i="1"/>
  <c r="O2216" i="1"/>
  <c r="N2216" i="1"/>
  <c r="M2216" i="1"/>
  <c r="O2749" i="1"/>
  <c r="N2749" i="1"/>
  <c r="M2749" i="1"/>
  <c r="O2214" i="1"/>
  <c r="N2214" i="1"/>
  <c r="M2214" i="1"/>
  <c r="O2213" i="1"/>
  <c r="N2213" i="1"/>
  <c r="M2213" i="1"/>
  <c r="O2212" i="1"/>
  <c r="N2212" i="1"/>
  <c r="M2212" i="1"/>
  <c r="O2211" i="1"/>
  <c r="N2211" i="1"/>
  <c r="M2211" i="1"/>
  <c r="O257" i="1"/>
  <c r="N257" i="1"/>
  <c r="M257" i="1"/>
  <c r="O2209" i="1"/>
  <c r="N2209" i="1"/>
  <c r="M2209" i="1"/>
  <c r="O2208" i="1"/>
  <c r="N2208" i="1"/>
  <c r="M2208" i="1"/>
  <c r="O2667" i="1"/>
  <c r="N2667" i="1"/>
  <c r="M2667" i="1"/>
  <c r="O2206" i="1"/>
  <c r="N2206" i="1"/>
  <c r="M2206" i="1"/>
  <c r="O2205" i="1"/>
  <c r="N2205" i="1"/>
  <c r="M2205" i="1"/>
  <c r="O2204" i="1"/>
  <c r="N2204" i="1"/>
  <c r="M2204" i="1"/>
  <c r="O2203" i="1"/>
  <c r="N2203" i="1"/>
  <c r="M2203" i="1"/>
  <c r="O2202" i="1"/>
  <c r="N2202" i="1"/>
  <c r="M2202" i="1"/>
  <c r="O2201" i="1"/>
  <c r="N2201" i="1"/>
  <c r="M2201" i="1"/>
  <c r="O2200" i="1"/>
  <c r="N2200" i="1"/>
  <c r="M2200" i="1"/>
  <c r="O2199" i="1"/>
  <c r="N2199" i="1"/>
  <c r="M2199" i="1"/>
  <c r="O2198" i="1"/>
  <c r="N2198" i="1"/>
  <c r="M2198" i="1"/>
  <c r="O255" i="1"/>
  <c r="N255" i="1"/>
  <c r="M255" i="1"/>
  <c r="O412" i="1"/>
  <c r="N412" i="1"/>
  <c r="M412" i="1"/>
  <c r="O2195" i="1"/>
  <c r="N2195" i="1"/>
  <c r="M2195" i="1"/>
  <c r="O2194" i="1"/>
  <c r="N2194" i="1"/>
  <c r="M2194" i="1"/>
  <c r="O2193" i="1"/>
  <c r="N2193" i="1"/>
  <c r="M2193" i="1"/>
  <c r="O2192" i="1"/>
  <c r="N2192" i="1"/>
  <c r="M2192" i="1"/>
  <c r="O2191" i="1"/>
  <c r="N2191" i="1"/>
  <c r="M2191" i="1"/>
  <c r="O2190" i="1"/>
  <c r="N2190" i="1"/>
  <c r="M2190" i="1"/>
  <c r="O2189" i="1"/>
  <c r="N2189" i="1"/>
  <c r="M2189" i="1"/>
  <c r="O2188" i="1"/>
  <c r="N2188" i="1"/>
  <c r="M2188" i="1"/>
  <c r="O2187" i="1"/>
  <c r="N2187" i="1"/>
  <c r="M2187" i="1"/>
  <c r="O2186" i="1"/>
  <c r="N2186" i="1"/>
  <c r="M2186" i="1"/>
  <c r="O2185" i="1"/>
  <c r="N2185" i="1"/>
  <c r="M2185" i="1"/>
  <c r="O2184" i="1"/>
  <c r="N2184" i="1"/>
  <c r="M2184" i="1"/>
  <c r="O2183" i="1"/>
  <c r="N2183" i="1"/>
  <c r="M2183" i="1"/>
  <c r="O2182" i="1"/>
  <c r="N2182" i="1"/>
  <c r="M2182" i="1"/>
  <c r="O2181" i="1"/>
  <c r="N2181" i="1"/>
  <c r="M2181" i="1"/>
  <c r="O2180" i="1"/>
  <c r="N2180" i="1"/>
  <c r="M2180" i="1"/>
  <c r="O2179" i="1"/>
  <c r="N2179" i="1"/>
  <c r="M2179" i="1"/>
  <c r="O2178" i="1"/>
  <c r="N2178" i="1"/>
  <c r="M2178" i="1"/>
  <c r="O2177" i="1"/>
  <c r="N2177" i="1"/>
  <c r="M2177" i="1"/>
  <c r="O2176" i="1"/>
  <c r="N2176" i="1"/>
  <c r="M2176" i="1"/>
  <c r="O2175" i="1"/>
  <c r="N2175" i="1"/>
  <c r="M2175" i="1"/>
  <c r="O2174" i="1"/>
  <c r="N2174" i="1"/>
  <c r="M2174" i="1"/>
  <c r="O2173" i="1"/>
  <c r="N2173" i="1"/>
  <c r="M2173" i="1"/>
  <c r="O2172" i="1"/>
  <c r="N2172" i="1"/>
  <c r="M2172" i="1"/>
  <c r="O2171" i="1"/>
  <c r="N2171" i="1"/>
  <c r="M2171" i="1"/>
  <c r="O2170" i="1"/>
  <c r="N2170" i="1"/>
  <c r="M2170" i="1"/>
  <c r="O2169" i="1"/>
  <c r="N2169" i="1"/>
  <c r="M2169" i="1"/>
  <c r="O2168" i="1"/>
  <c r="N2168" i="1"/>
  <c r="M2168" i="1"/>
  <c r="O2167" i="1"/>
  <c r="N2167" i="1"/>
  <c r="M2167" i="1"/>
  <c r="O2166" i="1"/>
  <c r="N2166" i="1"/>
  <c r="M2166" i="1"/>
  <c r="O2165" i="1"/>
  <c r="N2165" i="1"/>
  <c r="M2165" i="1"/>
  <c r="O2164" i="1"/>
  <c r="N2164" i="1"/>
  <c r="M2164" i="1"/>
  <c r="O2163" i="1"/>
  <c r="N2163" i="1"/>
  <c r="M2163" i="1"/>
  <c r="O2162" i="1"/>
  <c r="N2162" i="1"/>
  <c r="M2162" i="1"/>
  <c r="O2161" i="1"/>
  <c r="N2161" i="1"/>
  <c r="M2161" i="1"/>
  <c r="O2160" i="1"/>
  <c r="N2160" i="1"/>
  <c r="M2160" i="1"/>
  <c r="O2159" i="1"/>
  <c r="N2159" i="1"/>
  <c r="M2159" i="1"/>
  <c r="O2158" i="1"/>
  <c r="N2158" i="1"/>
  <c r="M2158" i="1"/>
  <c r="O2157" i="1"/>
  <c r="N2157" i="1"/>
  <c r="M2157" i="1"/>
  <c r="O2156" i="1"/>
  <c r="N2156" i="1"/>
  <c r="M2156" i="1"/>
  <c r="O2155" i="1"/>
  <c r="N2155" i="1"/>
  <c r="M2155" i="1"/>
  <c r="O2154" i="1"/>
  <c r="N2154" i="1"/>
  <c r="M2154" i="1"/>
  <c r="O2153" i="1"/>
  <c r="N2153" i="1"/>
  <c r="M2153" i="1"/>
  <c r="O2152" i="1"/>
  <c r="M2152" i="1"/>
  <c r="O2151" i="1"/>
  <c r="N2151" i="1"/>
  <c r="M2151" i="1"/>
  <c r="O2150" i="1"/>
  <c r="N2150" i="1"/>
  <c r="M2150" i="1"/>
  <c r="O2149" i="1"/>
  <c r="N2149" i="1"/>
  <c r="M2149" i="1"/>
  <c r="O2148" i="1"/>
  <c r="N2148" i="1"/>
  <c r="M2148" i="1"/>
  <c r="O2147" i="1"/>
  <c r="N2147" i="1"/>
  <c r="M2147" i="1"/>
  <c r="O2146" i="1"/>
  <c r="N2146" i="1"/>
  <c r="M2146" i="1"/>
  <c r="O2145" i="1"/>
  <c r="N2145" i="1"/>
  <c r="M2145" i="1"/>
  <c r="O2144" i="1"/>
  <c r="N2144" i="1"/>
  <c r="M2144" i="1"/>
  <c r="O2143" i="1"/>
  <c r="N2143" i="1"/>
  <c r="M2143" i="1"/>
  <c r="O2142" i="1"/>
  <c r="N2142" i="1"/>
  <c r="M2142" i="1"/>
  <c r="O2141" i="1"/>
  <c r="N2141" i="1"/>
  <c r="M2141" i="1"/>
  <c r="O2140" i="1"/>
  <c r="N2140" i="1"/>
  <c r="M2140" i="1"/>
  <c r="O2139" i="1"/>
  <c r="N2139" i="1"/>
  <c r="M2139" i="1"/>
  <c r="O2138" i="1"/>
  <c r="N2138" i="1"/>
  <c r="M2138" i="1"/>
  <c r="O2137" i="1"/>
  <c r="N2137" i="1"/>
  <c r="M2137" i="1"/>
  <c r="O2136" i="1"/>
  <c r="N2136" i="1"/>
  <c r="M2136" i="1"/>
  <c r="O2110" i="1"/>
  <c r="N2110" i="1"/>
  <c r="M2110" i="1"/>
  <c r="O2109" i="1"/>
  <c r="N2109" i="1"/>
  <c r="M2109" i="1"/>
  <c r="O2108" i="1"/>
  <c r="N2108" i="1"/>
  <c r="M2108" i="1"/>
  <c r="O2107" i="1"/>
  <c r="N2107" i="1"/>
  <c r="M2107" i="1"/>
  <c r="O2106" i="1"/>
  <c r="N2106" i="1"/>
  <c r="M2106" i="1"/>
  <c r="O2105" i="1"/>
  <c r="N2105" i="1"/>
  <c r="M2105" i="1"/>
  <c r="O2104" i="1"/>
  <c r="N2104" i="1"/>
  <c r="M2104" i="1"/>
  <c r="O2103" i="1"/>
  <c r="N2103" i="1"/>
  <c r="M2103" i="1"/>
  <c r="O2102" i="1"/>
  <c r="N2102" i="1"/>
  <c r="M2102" i="1"/>
  <c r="O2101" i="1"/>
  <c r="N2101" i="1"/>
  <c r="M2101" i="1"/>
  <c r="O2100" i="1"/>
  <c r="N2100" i="1"/>
  <c r="M2100" i="1"/>
  <c r="O2099" i="1"/>
  <c r="N2099" i="1"/>
  <c r="M2099" i="1"/>
  <c r="O2098" i="1"/>
  <c r="N2098" i="1"/>
  <c r="M2098" i="1"/>
  <c r="O2097" i="1"/>
  <c r="N2097" i="1"/>
  <c r="M2097" i="1"/>
  <c r="O2096" i="1"/>
  <c r="N2096" i="1"/>
  <c r="M2096" i="1"/>
  <c r="O2095" i="1"/>
  <c r="N2095" i="1"/>
  <c r="M2095" i="1"/>
  <c r="O2094" i="1"/>
  <c r="N2094" i="1"/>
  <c r="M2094" i="1"/>
  <c r="O2093" i="1"/>
  <c r="N2093" i="1"/>
  <c r="M2093" i="1"/>
  <c r="O2092" i="1"/>
  <c r="N2092" i="1"/>
  <c r="M2092" i="1"/>
  <c r="O2091" i="1"/>
  <c r="N2091" i="1"/>
  <c r="M2091" i="1"/>
  <c r="O2090" i="1"/>
  <c r="N2090" i="1"/>
  <c r="M2090" i="1"/>
  <c r="O2089" i="1"/>
  <c r="N2089" i="1"/>
  <c r="M2089" i="1"/>
  <c r="O2900" i="1"/>
  <c r="N2900" i="1"/>
  <c r="M2900" i="1"/>
  <c r="O1085" i="1"/>
  <c r="N1085" i="1"/>
  <c r="M1085" i="1"/>
  <c r="O2086" i="1"/>
  <c r="N2086" i="1"/>
  <c r="M2086" i="1"/>
  <c r="O2085" i="1"/>
  <c r="N2085" i="1"/>
  <c r="M2085" i="1"/>
  <c r="O2084" i="1"/>
  <c r="N2084" i="1"/>
  <c r="M2084" i="1"/>
  <c r="O2083" i="1"/>
  <c r="N2083" i="1"/>
  <c r="M2083" i="1"/>
  <c r="O2295" i="1"/>
  <c r="N2295" i="1"/>
  <c r="M2295" i="1"/>
  <c r="O2081" i="1"/>
  <c r="N2081" i="1"/>
  <c r="M2081" i="1"/>
  <c r="O2039" i="1"/>
  <c r="N2039" i="1"/>
  <c r="M2039" i="1"/>
  <c r="O2038" i="1"/>
  <c r="N2038" i="1"/>
  <c r="M2038" i="1"/>
  <c r="O2037" i="1"/>
  <c r="N2037" i="1"/>
  <c r="M2037" i="1"/>
  <c r="O2036" i="1"/>
  <c r="O2035" i="1"/>
  <c r="N2035" i="1"/>
  <c r="M2035" i="1"/>
  <c r="O2034" i="1"/>
  <c r="N2034" i="1"/>
  <c r="M2034" i="1"/>
  <c r="O2033" i="1"/>
  <c r="N2033" i="1"/>
  <c r="M2033" i="1"/>
  <c r="O2032" i="1"/>
  <c r="N2032" i="1"/>
  <c r="M2032" i="1"/>
  <c r="O2031" i="1"/>
  <c r="N2031" i="1"/>
  <c r="M2031" i="1"/>
  <c r="O2030" i="1"/>
  <c r="N2030" i="1"/>
  <c r="M2030" i="1"/>
  <c r="O2029" i="1"/>
  <c r="N2029" i="1"/>
  <c r="M2029" i="1"/>
  <c r="O2028" i="1"/>
  <c r="N2028" i="1"/>
  <c r="M2028" i="1"/>
  <c r="O2027" i="1"/>
  <c r="N2027" i="1"/>
  <c r="M2027" i="1"/>
  <c r="O2026" i="1"/>
  <c r="N2026" i="1"/>
  <c r="M2026" i="1"/>
  <c r="O2025" i="1"/>
  <c r="N2025" i="1"/>
  <c r="M2025" i="1"/>
  <c r="O2024" i="1"/>
  <c r="N2024" i="1"/>
  <c r="M2024" i="1"/>
  <c r="O2023" i="1"/>
  <c r="N2023" i="1"/>
  <c r="M2023" i="1"/>
  <c r="O2022" i="1"/>
  <c r="N2022" i="1"/>
  <c r="M2022" i="1"/>
  <c r="O2021" i="1"/>
  <c r="N2021" i="1"/>
  <c r="M2021" i="1"/>
  <c r="O2020" i="1"/>
  <c r="N2020" i="1"/>
  <c r="M2020" i="1"/>
  <c r="O2019" i="1"/>
  <c r="N2019" i="1"/>
  <c r="M2019" i="1"/>
  <c r="O2018" i="1"/>
  <c r="N2018" i="1"/>
  <c r="M2018" i="1"/>
  <c r="O2017" i="1"/>
  <c r="N2017" i="1"/>
  <c r="M2017" i="1"/>
  <c r="O2016" i="1"/>
  <c r="N2016" i="1"/>
  <c r="M2016" i="1"/>
  <c r="O2015" i="1"/>
  <c r="N2015" i="1"/>
  <c r="M2015" i="1"/>
  <c r="O2014" i="1"/>
  <c r="N2014" i="1"/>
  <c r="M2014" i="1"/>
  <c r="O2013" i="1"/>
  <c r="N2013" i="1"/>
  <c r="M2013" i="1"/>
  <c r="O2012" i="1"/>
  <c r="N2012" i="1"/>
  <c r="M2012" i="1"/>
  <c r="O2011" i="1"/>
  <c r="N2011" i="1"/>
  <c r="M2011" i="1"/>
  <c r="O2010" i="1"/>
  <c r="N2010" i="1"/>
  <c r="M2010" i="1"/>
  <c r="O2009" i="1"/>
  <c r="N2009" i="1"/>
  <c r="M2009" i="1"/>
  <c r="O2008" i="1"/>
  <c r="N2008" i="1"/>
  <c r="M2008" i="1"/>
  <c r="O2007" i="1"/>
  <c r="N2007" i="1"/>
  <c r="M2007" i="1"/>
  <c r="O2006" i="1"/>
  <c r="N2006" i="1"/>
  <c r="M2006" i="1"/>
  <c r="O2005" i="1"/>
  <c r="N2005" i="1"/>
  <c r="M2005" i="1"/>
  <c r="O2004" i="1"/>
  <c r="N2004" i="1"/>
  <c r="M2004" i="1"/>
  <c r="O2003" i="1"/>
  <c r="N2003" i="1"/>
  <c r="M2003" i="1"/>
  <c r="O2002" i="1"/>
  <c r="N2002" i="1"/>
  <c r="M2002" i="1"/>
  <c r="O2001" i="1"/>
  <c r="N2001" i="1"/>
  <c r="M2001" i="1"/>
  <c r="O2000" i="1"/>
  <c r="N2000" i="1"/>
  <c r="M2000" i="1"/>
  <c r="O1999" i="1"/>
  <c r="N1999" i="1"/>
  <c r="M1999" i="1"/>
  <c r="O1998" i="1"/>
  <c r="N1998" i="1"/>
  <c r="M1998" i="1"/>
  <c r="O1997" i="1"/>
  <c r="N1997" i="1"/>
  <c r="M1997" i="1"/>
  <c r="O1996" i="1"/>
  <c r="N1996" i="1"/>
  <c r="M1996" i="1"/>
  <c r="O1995" i="1"/>
  <c r="N1995" i="1"/>
  <c r="M1995" i="1"/>
  <c r="O1994" i="1"/>
  <c r="N1994" i="1"/>
  <c r="M1994" i="1"/>
  <c r="O1993" i="1"/>
  <c r="N1993" i="1"/>
  <c r="M1993" i="1"/>
  <c r="O1992" i="1"/>
  <c r="N1992" i="1"/>
  <c r="M1992" i="1"/>
  <c r="O1991" i="1"/>
  <c r="N1991" i="1"/>
  <c r="M1991" i="1"/>
  <c r="O1990" i="1"/>
  <c r="M1990" i="1"/>
  <c r="O1989" i="1"/>
  <c r="M1989" i="1"/>
  <c r="O1988" i="1"/>
  <c r="N1988" i="1"/>
  <c r="M1988" i="1"/>
  <c r="O1987" i="1"/>
  <c r="N1987" i="1"/>
  <c r="M1987" i="1"/>
  <c r="O1986" i="1"/>
  <c r="N1986" i="1"/>
  <c r="M1986" i="1"/>
  <c r="O1985" i="1"/>
  <c r="N1985" i="1"/>
  <c r="M1985" i="1"/>
  <c r="O1984" i="1"/>
  <c r="N1984" i="1"/>
  <c r="M1984" i="1"/>
  <c r="O1983" i="1"/>
  <c r="N1983" i="1"/>
  <c r="M1983" i="1"/>
  <c r="O1982" i="1"/>
  <c r="N1982" i="1"/>
  <c r="M1982" i="1"/>
  <c r="O1981" i="1"/>
  <c r="N1981" i="1"/>
  <c r="M1981" i="1"/>
  <c r="O1980" i="1"/>
  <c r="N1980" i="1"/>
  <c r="M1980" i="1"/>
  <c r="O1979" i="1"/>
  <c r="N1979" i="1"/>
  <c r="M1979" i="1"/>
  <c r="O1978" i="1"/>
  <c r="N1978" i="1"/>
  <c r="M1978" i="1"/>
  <c r="O1977" i="1"/>
  <c r="N1977" i="1"/>
  <c r="M1977" i="1"/>
  <c r="O1976" i="1"/>
  <c r="N1976" i="1"/>
  <c r="M1976" i="1"/>
  <c r="O1975" i="1"/>
  <c r="N1975" i="1"/>
  <c r="M1975" i="1"/>
  <c r="O1974" i="1"/>
  <c r="N1974" i="1"/>
  <c r="M1974" i="1"/>
  <c r="O1973" i="1"/>
  <c r="N1973" i="1"/>
  <c r="M1973" i="1"/>
  <c r="O1972" i="1"/>
  <c r="N1972" i="1"/>
  <c r="M1972" i="1"/>
  <c r="O1971" i="1"/>
  <c r="N1971" i="1"/>
  <c r="M1971" i="1"/>
  <c r="O1970" i="1"/>
  <c r="N1970" i="1"/>
  <c r="M1970" i="1"/>
  <c r="O1969" i="1"/>
  <c r="N1969" i="1"/>
  <c r="M1969" i="1"/>
  <c r="O1968" i="1"/>
  <c r="N1968" i="1"/>
  <c r="M1968" i="1"/>
  <c r="O1967" i="1"/>
  <c r="N1967" i="1"/>
  <c r="M1967" i="1"/>
  <c r="O1966" i="1"/>
  <c r="N1966" i="1"/>
  <c r="M1966" i="1"/>
  <c r="O1965" i="1"/>
  <c r="N1965" i="1"/>
  <c r="M1965" i="1"/>
  <c r="O1964" i="1"/>
  <c r="N1964" i="1"/>
  <c r="M1964" i="1"/>
  <c r="O1963" i="1"/>
  <c r="N1963" i="1"/>
  <c r="M1963" i="1"/>
  <c r="O1962" i="1"/>
  <c r="N1962" i="1"/>
  <c r="M1962" i="1"/>
  <c r="O1961" i="1"/>
  <c r="N1961" i="1"/>
  <c r="M1961" i="1"/>
  <c r="O1960" i="1"/>
  <c r="N1960" i="1"/>
  <c r="M1960" i="1"/>
  <c r="O1959" i="1"/>
  <c r="N1959" i="1"/>
  <c r="M1959" i="1"/>
  <c r="O1958" i="1"/>
  <c r="N1958" i="1"/>
  <c r="M1958" i="1"/>
  <c r="O132" i="1"/>
  <c r="N132" i="1"/>
  <c r="M132" i="1"/>
  <c r="O1956" i="1"/>
  <c r="N1956" i="1"/>
  <c r="M1956" i="1"/>
  <c r="O2600" i="1"/>
  <c r="N2600" i="1"/>
  <c r="M2600" i="1"/>
  <c r="O717" i="1"/>
  <c r="N717" i="1"/>
  <c r="M717" i="1"/>
  <c r="O1953" i="1"/>
  <c r="N1953" i="1"/>
  <c r="M1953" i="1"/>
  <c r="O1952" i="1"/>
  <c r="N1952" i="1"/>
  <c r="M1952" i="1"/>
  <c r="O1951" i="1"/>
  <c r="N1951" i="1"/>
  <c r="M1951" i="1"/>
  <c r="O1950" i="1"/>
  <c r="N1950" i="1"/>
  <c r="M1950" i="1"/>
  <c r="O1949" i="1"/>
  <c r="N1949" i="1"/>
  <c r="M1949" i="1"/>
  <c r="O1948" i="1"/>
  <c r="N1948" i="1"/>
  <c r="M1948" i="1"/>
  <c r="O1947" i="1"/>
  <c r="N1947" i="1"/>
  <c r="M1947" i="1"/>
  <c r="O1946" i="1"/>
  <c r="N1946" i="1"/>
  <c r="M1946" i="1"/>
  <c r="O125" i="1"/>
  <c r="N125" i="1"/>
  <c r="M125" i="1"/>
  <c r="O1944" i="1"/>
  <c r="N1944" i="1"/>
  <c r="M1944" i="1"/>
  <c r="O1943" i="1"/>
  <c r="N1943" i="1"/>
  <c r="M1943" i="1"/>
  <c r="O1942" i="1"/>
  <c r="N1942" i="1"/>
  <c r="M1942" i="1"/>
  <c r="O1941" i="1"/>
  <c r="N1941" i="1"/>
  <c r="M1941" i="1"/>
  <c r="O1940" i="1"/>
  <c r="N1940" i="1"/>
  <c r="M1940" i="1"/>
  <c r="O1939" i="1"/>
  <c r="N1939" i="1"/>
  <c r="M1939" i="1"/>
  <c r="O1938" i="1"/>
  <c r="N1938" i="1"/>
  <c r="M1938" i="1"/>
  <c r="O1937" i="1"/>
  <c r="N1937" i="1"/>
  <c r="M1937" i="1"/>
  <c r="O1069" i="1"/>
  <c r="N1069" i="1"/>
  <c r="M1069" i="1"/>
  <c r="O1935" i="1"/>
  <c r="N1935" i="1"/>
  <c r="M1935" i="1"/>
  <c r="O1934" i="1"/>
  <c r="N1934" i="1"/>
  <c r="M1934" i="1"/>
  <c r="O1933" i="1"/>
  <c r="N1933" i="1"/>
  <c r="M1933" i="1"/>
  <c r="O1932" i="1"/>
  <c r="N1932" i="1"/>
  <c r="M1932" i="1"/>
  <c r="O1931" i="1"/>
  <c r="N1931" i="1"/>
  <c r="M1931" i="1"/>
  <c r="O1930" i="1"/>
  <c r="N1930" i="1"/>
  <c r="M1930" i="1"/>
  <c r="O1929" i="1"/>
  <c r="N1929" i="1"/>
  <c r="M1929" i="1"/>
  <c r="O1928" i="1"/>
  <c r="N1928" i="1"/>
  <c r="M1928" i="1"/>
  <c r="O1927" i="1"/>
  <c r="N1927" i="1"/>
  <c r="M1927" i="1"/>
  <c r="O1926" i="1"/>
  <c r="N1926" i="1"/>
  <c r="M1926" i="1"/>
  <c r="O1925" i="1"/>
  <c r="N1925" i="1"/>
  <c r="M1925" i="1"/>
  <c r="O1418" i="1"/>
  <c r="N1418" i="1"/>
  <c r="M1418" i="1"/>
  <c r="O1923" i="1"/>
  <c r="N1923" i="1"/>
  <c r="M1923" i="1"/>
  <c r="O1922" i="1"/>
  <c r="N1922" i="1"/>
  <c r="M1922" i="1"/>
  <c r="O1921" i="1"/>
  <c r="N1921" i="1"/>
  <c r="M1921" i="1"/>
  <c r="O1920" i="1"/>
  <c r="N1920" i="1"/>
  <c r="M1920" i="1"/>
  <c r="O1919" i="1"/>
  <c r="N1919" i="1"/>
  <c r="M1919" i="1"/>
  <c r="O764" i="1"/>
  <c r="N764" i="1"/>
  <c r="M764" i="1"/>
  <c r="O1917" i="1"/>
  <c r="N1917" i="1"/>
  <c r="M1917" i="1"/>
  <c r="O1916" i="1"/>
  <c r="N1916" i="1"/>
  <c r="M1916" i="1"/>
  <c r="O1915" i="1"/>
  <c r="N1915" i="1"/>
  <c r="M1915" i="1"/>
  <c r="O2908" i="1"/>
  <c r="N2908" i="1"/>
  <c r="M2908" i="1"/>
  <c r="O85" i="1"/>
  <c r="N85" i="1"/>
  <c r="M85" i="1"/>
  <c r="O1912" i="1"/>
  <c r="N1912" i="1"/>
  <c r="M1912" i="1"/>
  <c r="O1911" i="1"/>
  <c r="N1911" i="1"/>
  <c r="M1911" i="1"/>
  <c r="O1910" i="1"/>
  <c r="N1910" i="1"/>
  <c r="M1910" i="1"/>
  <c r="O1909" i="1"/>
  <c r="N1909" i="1"/>
  <c r="M1909" i="1"/>
  <c r="O1908" i="1"/>
  <c r="N1908" i="1"/>
  <c r="M1908" i="1"/>
  <c r="O1021" i="1"/>
  <c r="N1021" i="1"/>
  <c r="M1021" i="1"/>
  <c r="O1906" i="1"/>
  <c r="N1906" i="1"/>
  <c r="M1906" i="1"/>
  <c r="O1905" i="1"/>
  <c r="N1905" i="1"/>
  <c r="M1905" i="1"/>
  <c r="O1904" i="1"/>
  <c r="N1904" i="1"/>
  <c r="M1904" i="1"/>
  <c r="O1903" i="1"/>
  <c r="N1903" i="1"/>
  <c r="M1903" i="1"/>
  <c r="O1902" i="1"/>
  <c r="N1902" i="1"/>
  <c r="M1902" i="1"/>
  <c r="O1901" i="1"/>
  <c r="N1901" i="1"/>
  <c r="M1901" i="1"/>
  <c r="O1900" i="1"/>
  <c r="N1900" i="1"/>
  <c r="M1900" i="1"/>
  <c r="O1899" i="1"/>
  <c r="N1899" i="1"/>
  <c r="M1899" i="1"/>
  <c r="O1898" i="1"/>
  <c r="N1898" i="1"/>
  <c r="M1898" i="1"/>
  <c r="O1897" i="1"/>
  <c r="N1897" i="1"/>
  <c r="M1897" i="1"/>
  <c r="O111" i="1"/>
  <c r="N111" i="1"/>
  <c r="M111" i="1"/>
  <c r="O1895" i="1"/>
  <c r="N1895" i="1"/>
  <c r="M1895" i="1"/>
  <c r="O1894" i="1"/>
  <c r="N1894" i="1"/>
  <c r="M1894" i="1"/>
  <c r="O1893" i="1"/>
  <c r="N1893" i="1"/>
  <c r="M1893" i="1"/>
  <c r="O1892" i="1"/>
  <c r="N1892" i="1"/>
  <c r="M1892" i="1"/>
  <c r="O1891" i="1"/>
  <c r="N1891" i="1"/>
  <c r="M1891" i="1"/>
  <c r="O1890" i="1"/>
  <c r="N1890" i="1"/>
  <c r="M1890" i="1"/>
  <c r="O1889" i="1"/>
  <c r="M1889" i="1"/>
  <c r="O1874" i="1"/>
  <c r="N1874" i="1"/>
  <c r="M1874" i="1"/>
  <c r="O1873" i="1"/>
  <c r="N1873" i="1"/>
  <c r="M1873" i="1"/>
  <c r="O1872" i="1"/>
  <c r="N1872" i="1"/>
  <c r="M1872" i="1"/>
  <c r="O1871" i="1"/>
  <c r="N1871" i="1"/>
  <c r="M1871" i="1"/>
  <c r="O1870" i="1"/>
  <c r="N1870" i="1"/>
  <c r="M1870" i="1"/>
  <c r="O1869" i="1"/>
  <c r="N1869" i="1"/>
  <c r="M1869" i="1"/>
  <c r="O1868" i="1"/>
  <c r="N1868" i="1"/>
  <c r="M1868" i="1"/>
  <c r="O1867" i="1"/>
  <c r="N1867" i="1"/>
  <c r="M1867" i="1"/>
  <c r="O1866" i="1"/>
  <c r="N1866" i="1"/>
  <c r="M1866" i="1"/>
  <c r="O1865" i="1"/>
  <c r="N1865" i="1"/>
  <c r="M1865" i="1"/>
  <c r="O1864" i="1"/>
  <c r="N1864" i="1"/>
  <c r="M1864" i="1"/>
  <c r="O1863" i="1"/>
  <c r="N1863" i="1"/>
  <c r="M1863" i="1"/>
  <c r="O1862" i="1"/>
  <c r="N1862" i="1"/>
  <c r="M1862" i="1"/>
  <c r="O1861" i="1"/>
  <c r="N1861" i="1"/>
  <c r="M1861" i="1"/>
  <c r="O2912" i="1"/>
  <c r="O1859" i="1"/>
  <c r="O1858" i="1"/>
  <c r="O1857" i="1"/>
  <c r="O1856" i="1"/>
  <c r="O1855" i="1"/>
  <c r="O1854" i="1"/>
  <c r="N1854" i="1"/>
  <c r="M1854" i="1"/>
  <c r="O1853" i="1"/>
  <c r="N1853" i="1"/>
  <c r="M1853" i="1"/>
  <c r="O1852" i="1"/>
  <c r="N1852" i="1"/>
  <c r="M1852" i="1"/>
  <c r="O1643" i="1"/>
  <c r="N1643" i="1"/>
  <c r="M1643" i="1"/>
  <c r="O1850" i="1"/>
  <c r="N1850" i="1"/>
  <c r="M1850" i="1"/>
  <c r="O1849" i="1"/>
  <c r="N1849" i="1"/>
  <c r="M1849" i="1"/>
  <c r="O1836" i="1"/>
  <c r="N1836" i="1"/>
  <c r="M1836" i="1"/>
  <c r="O1835" i="1"/>
  <c r="N1835" i="1"/>
  <c r="M1835" i="1"/>
  <c r="O1834" i="1"/>
  <c r="N1834" i="1"/>
  <c r="M1834" i="1"/>
  <c r="O1833" i="1"/>
  <c r="N1833" i="1"/>
  <c r="M1833" i="1"/>
  <c r="O1832" i="1"/>
  <c r="N1832" i="1"/>
  <c r="M1832" i="1"/>
  <c r="O1831" i="1"/>
  <c r="N1831" i="1"/>
  <c r="M1831" i="1"/>
  <c r="O1830" i="1"/>
  <c r="N1830" i="1"/>
  <c r="M1830" i="1"/>
  <c r="O1829" i="1"/>
  <c r="N1829" i="1"/>
  <c r="M1829" i="1"/>
  <c r="O571" i="1"/>
  <c r="N571" i="1"/>
  <c r="M571" i="1"/>
  <c r="O1827" i="1"/>
  <c r="N1827" i="1"/>
  <c r="M1827" i="1"/>
  <c r="O1826" i="1"/>
  <c r="N1826" i="1"/>
  <c r="M1826" i="1"/>
  <c r="O1825" i="1"/>
  <c r="N1825" i="1"/>
  <c r="M1825" i="1"/>
  <c r="O1824" i="1"/>
  <c r="N1824" i="1"/>
  <c r="M1824" i="1"/>
  <c r="O1924" i="1"/>
  <c r="N1924" i="1"/>
  <c r="M1924" i="1"/>
  <c r="O1822" i="1"/>
  <c r="N1822" i="1"/>
  <c r="M1822" i="1"/>
  <c r="O1954" i="1"/>
  <c r="N1954" i="1"/>
  <c r="M1954" i="1"/>
  <c r="O1820" i="1"/>
  <c r="N1820" i="1"/>
  <c r="M1820" i="1"/>
  <c r="O1819" i="1"/>
  <c r="N1819" i="1"/>
  <c r="M1819" i="1"/>
  <c r="O1818" i="1"/>
  <c r="N1818" i="1"/>
  <c r="M1818" i="1"/>
  <c r="O1817" i="1"/>
  <c r="N1817" i="1"/>
  <c r="M1817" i="1"/>
  <c r="O1816" i="1"/>
  <c r="N1816" i="1"/>
  <c r="M1816" i="1"/>
  <c r="O1815" i="1"/>
  <c r="N1815" i="1"/>
  <c r="M1815" i="1"/>
  <c r="O1651" i="1"/>
  <c r="N1651" i="1"/>
  <c r="M1651" i="1"/>
  <c r="O1813" i="1"/>
  <c r="N1813" i="1"/>
  <c r="M1813" i="1"/>
  <c r="O1812" i="1"/>
  <c r="N1812" i="1"/>
  <c r="M1812" i="1"/>
  <c r="O1811" i="1"/>
  <c r="N1811" i="1"/>
  <c r="M1811" i="1"/>
  <c r="O1810" i="1"/>
  <c r="N1810" i="1"/>
  <c r="M1810" i="1"/>
  <c r="O1809" i="1"/>
  <c r="N1809" i="1"/>
  <c r="M1809" i="1"/>
  <c r="O1808" i="1"/>
  <c r="N1808" i="1"/>
  <c r="M1808" i="1"/>
  <c r="O1070" i="1"/>
  <c r="N1070" i="1"/>
  <c r="M1070" i="1"/>
  <c r="O1806" i="1"/>
  <c r="N1806" i="1"/>
  <c r="M1806" i="1"/>
  <c r="O1805" i="1"/>
  <c r="N1805" i="1"/>
  <c r="M1805" i="1"/>
  <c r="O1804" i="1"/>
  <c r="N1804" i="1"/>
  <c r="M1804" i="1"/>
  <c r="O186" i="1"/>
  <c r="N186" i="1"/>
  <c r="M186" i="1"/>
  <c r="O1802" i="1"/>
  <c r="N1802" i="1"/>
  <c r="M1802" i="1"/>
  <c r="O1801" i="1"/>
  <c r="N1801" i="1"/>
  <c r="M1801" i="1"/>
  <c r="O1800" i="1"/>
  <c r="N1800" i="1"/>
  <c r="M1800" i="1"/>
  <c r="O1799" i="1"/>
  <c r="N1799" i="1"/>
  <c r="M1799" i="1"/>
  <c r="O1653" i="1"/>
  <c r="N1653" i="1"/>
  <c r="M1653" i="1"/>
  <c r="O1797" i="1"/>
  <c r="N1797" i="1"/>
  <c r="M1797" i="1"/>
  <c r="O1796" i="1"/>
  <c r="O1795" i="1"/>
  <c r="N1795" i="1"/>
  <c r="M1795" i="1"/>
  <c r="O1794" i="1"/>
  <c r="N1794" i="1"/>
  <c r="M1794" i="1"/>
  <c r="O1793" i="1"/>
  <c r="N1793" i="1"/>
  <c r="M1793" i="1"/>
  <c r="O1792" i="1"/>
  <c r="N1792" i="1"/>
  <c r="M1792" i="1"/>
  <c r="O1791" i="1"/>
  <c r="N1791" i="1"/>
  <c r="M1791" i="1"/>
  <c r="O1790" i="1"/>
  <c r="N1790" i="1"/>
  <c r="M1790" i="1"/>
  <c r="O1789" i="1"/>
  <c r="N1789" i="1"/>
  <c r="M1789" i="1"/>
  <c r="O1788" i="1"/>
  <c r="N1788" i="1"/>
  <c r="M1788" i="1"/>
  <c r="O1780" i="1"/>
  <c r="M1780" i="1"/>
  <c r="O1779" i="1"/>
  <c r="M1779" i="1"/>
  <c r="O2296" i="1"/>
  <c r="N2296" i="1"/>
  <c r="M2296" i="1"/>
  <c r="O1777" i="1"/>
  <c r="N1777" i="1"/>
  <c r="M1777" i="1"/>
  <c r="O575" i="1"/>
  <c r="N575" i="1"/>
  <c r="M575" i="1"/>
  <c r="O1775" i="1"/>
  <c r="N1775" i="1"/>
  <c r="M1775" i="1"/>
  <c r="O37" i="1"/>
  <c r="O1773" i="1"/>
  <c r="O1772" i="1"/>
  <c r="N1772" i="1"/>
  <c r="M1772" i="1"/>
  <c r="O1771" i="1"/>
  <c r="N1771" i="1"/>
  <c r="M1771" i="1"/>
  <c r="O1770" i="1"/>
  <c r="N1770" i="1"/>
  <c r="M1770" i="1"/>
  <c r="O1769" i="1"/>
  <c r="N1769" i="1"/>
  <c r="M1769" i="1"/>
  <c r="O1768" i="1"/>
  <c r="N1768" i="1"/>
  <c r="M1768" i="1"/>
  <c r="O1767" i="1"/>
  <c r="N1767" i="1"/>
  <c r="M1767" i="1"/>
  <c r="O1766" i="1"/>
  <c r="N1766" i="1"/>
  <c r="M1766" i="1"/>
  <c r="O1765" i="1"/>
  <c r="N1765" i="1"/>
  <c r="M1765" i="1"/>
  <c r="O1764" i="1"/>
  <c r="N1764" i="1"/>
  <c r="M1764" i="1"/>
  <c r="O1763" i="1"/>
  <c r="N1763" i="1"/>
  <c r="M1763" i="1"/>
  <c r="O1762" i="1"/>
  <c r="N1762" i="1"/>
  <c r="M1762" i="1"/>
  <c r="O1761" i="1"/>
  <c r="N1761" i="1"/>
  <c r="M1761" i="1"/>
  <c r="O1760" i="1"/>
  <c r="N1760" i="1"/>
  <c r="M1760" i="1"/>
  <c r="O1759" i="1"/>
  <c r="N1759" i="1"/>
  <c r="M1759" i="1"/>
  <c r="O1758" i="1"/>
  <c r="N1758" i="1"/>
  <c r="M1758" i="1"/>
  <c r="O1757" i="1"/>
  <c r="N1757" i="1"/>
  <c r="M1757" i="1"/>
  <c r="O1756" i="1"/>
  <c r="N1756" i="1"/>
  <c r="M1756" i="1"/>
  <c r="O2197" i="1"/>
  <c r="N2197" i="1"/>
  <c r="M2197" i="1"/>
  <c r="O1754" i="1"/>
  <c r="N1754" i="1"/>
  <c r="M1754" i="1"/>
  <c r="O1753" i="1"/>
  <c r="N1753" i="1"/>
  <c r="M1753" i="1"/>
  <c r="O1752" i="1"/>
  <c r="N1752" i="1"/>
  <c r="M1752" i="1"/>
  <c r="O1751" i="1"/>
  <c r="N1751" i="1"/>
  <c r="M1751" i="1"/>
  <c r="O1750" i="1"/>
  <c r="N1750" i="1"/>
  <c r="M1750" i="1"/>
  <c r="O1749" i="1"/>
  <c r="N1749" i="1"/>
  <c r="M1749" i="1"/>
  <c r="O1748" i="1"/>
  <c r="N1748" i="1"/>
  <c r="M1748" i="1"/>
  <c r="O1747" i="1"/>
  <c r="N1747" i="1"/>
  <c r="M1747" i="1"/>
  <c r="O1746" i="1"/>
  <c r="N1746" i="1"/>
  <c r="M1746" i="1"/>
  <c r="O1745" i="1"/>
  <c r="N1745" i="1"/>
  <c r="M1745" i="1"/>
  <c r="O1744" i="1"/>
  <c r="N1744" i="1"/>
  <c r="M1744" i="1"/>
  <c r="O1743" i="1"/>
  <c r="N1743" i="1"/>
  <c r="M1743" i="1"/>
  <c r="O1742" i="1"/>
  <c r="N1742" i="1"/>
  <c r="M1742" i="1"/>
  <c r="O1741" i="1"/>
  <c r="N1741" i="1"/>
  <c r="M1741" i="1"/>
  <c r="O1740" i="1"/>
  <c r="N1740" i="1"/>
  <c r="M1740" i="1"/>
  <c r="O1739" i="1"/>
  <c r="N1739" i="1"/>
  <c r="M1739" i="1"/>
  <c r="O1738" i="1"/>
  <c r="N1738" i="1"/>
  <c r="M1738" i="1"/>
  <c r="O1737" i="1"/>
  <c r="N1737" i="1"/>
  <c r="M1737" i="1"/>
  <c r="O1736" i="1"/>
  <c r="N1736" i="1"/>
  <c r="M1736" i="1"/>
  <c r="O1735" i="1"/>
  <c r="N1735" i="1"/>
  <c r="M1735" i="1"/>
  <c r="O1734" i="1"/>
  <c r="N1734" i="1"/>
  <c r="M1734" i="1"/>
  <c r="O1733" i="1"/>
  <c r="N1733" i="1"/>
  <c r="M1733" i="1"/>
  <c r="O1732" i="1"/>
  <c r="N1732" i="1"/>
  <c r="M1732" i="1"/>
  <c r="O1731" i="1"/>
  <c r="N1731" i="1"/>
  <c r="M1731" i="1"/>
  <c r="O1730" i="1"/>
  <c r="N1730" i="1"/>
  <c r="M1730" i="1"/>
  <c r="O1729" i="1"/>
  <c r="N1729" i="1"/>
  <c r="M1729" i="1"/>
  <c r="O1728" i="1"/>
  <c r="N1728" i="1"/>
  <c r="M1728" i="1"/>
  <c r="O1076" i="1"/>
  <c r="N1076" i="1"/>
  <c r="M1076" i="1"/>
  <c r="O2618" i="1"/>
  <c r="N2618" i="1"/>
  <c r="M2618" i="1"/>
  <c r="O2207" i="1"/>
  <c r="N2207" i="1"/>
  <c r="M2207" i="1"/>
  <c r="O474" i="1"/>
  <c r="N474" i="1"/>
  <c r="M474" i="1"/>
  <c r="O1723" i="1"/>
  <c r="N1723" i="1"/>
  <c r="M1723" i="1"/>
  <c r="O2797" i="1"/>
  <c r="O2595" i="1"/>
  <c r="O2335" i="1"/>
  <c r="O2291" i="1"/>
  <c r="O2222" i="1"/>
  <c r="O2134" i="1"/>
  <c r="O1823" i="1"/>
  <c r="O1422" i="1"/>
  <c r="O920" i="1"/>
  <c r="O720" i="1"/>
  <c r="O106"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375" i="1"/>
  <c r="N375" i="1"/>
  <c r="M375" i="1"/>
  <c r="O2258" i="1"/>
  <c r="N2258" i="1"/>
  <c r="M2258" i="1"/>
  <c r="O1554" i="1"/>
  <c r="N1554" i="1"/>
  <c r="M1554" i="1"/>
  <c r="O1669" i="1"/>
  <c r="N1669" i="1"/>
  <c r="M1669" i="1"/>
  <c r="O1134" i="1"/>
  <c r="N1134" i="1"/>
  <c r="M1134" i="1"/>
  <c r="O1667" i="1"/>
  <c r="N1667" i="1"/>
  <c r="M1667" i="1"/>
  <c r="O1666" i="1"/>
  <c r="N1666" i="1"/>
  <c r="M1666" i="1"/>
  <c r="O2617" i="1"/>
  <c r="N2617" i="1"/>
  <c r="M2617" i="1"/>
  <c r="O1664" i="1"/>
  <c r="N1664" i="1"/>
  <c r="M1664" i="1"/>
  <c r="O1663" i="1"/>
  <c r="N1663" i="1"/>
  <c r="M1663" i="1"/>
  <c r="O1662" i="1"/>
  <c r="N1662" i="1"/>
  <c r="M1662" i="1"/>
  <c r="O1661" i="1"/>
  <c r="N1661" i="1"/>
  <c r="M1661" i="1"/>
  <c r="O1660" i="1"/>
  <c r="N1660" i="1"/>
  <c r="M1660" i="1"/>
  <c r="O1659" i="1"/>
  <c r="N1659" i="1"/>
  <c r="M1659" i="1"/>
  <c r="O1450" i="1"/>
  <c r="N1450" i="1"/>
  <c r="M1450" i="1"/>
  <c r="O1657" i="1"/>
  <c r="N1657" i="1"/>
  <c r="M1657" i="1"/>
  <c r="O1656" i="1"/>
  <c r="N1656" i="1"/>
  <c r="M1656" i="1"/>
  <c r="O1655" i="1"/>
  <c r="N1655" i="1"/>
  <c r="M1655" i="1"/>
  <c r="O1672" i="1"/>
  <c r="N1672" i="1"/>
  <c r="M1672" i="1"/>
  <c r="O2750" i="1"/>
  <c r="N2750" i="1"/>
  <c r="M2750" i="1"/>
  <c r="O1652" i="1"/>
  <c r="N1652" i="1"/>
  <c r="M1652" i="1"/>
  <c r="O2801" i="1"/>
  <c r="N2801" i="1"/>
  <c r="M2801" i="1"/>
  <c r="O1650" i="1"/>
  <c r="N1650" i="1"/>
  <c r="M1650" i="1"/>
  <c r="O1649" i="1"/>
  <c r="N1649" i="1"/>
  <c r="M1649" i="1"/>
  <c r="O1648" i="1"/>
  <c r="N1648" i="1"/>
  <c r="M1648" i="1"/>
  <c r="O1647" i="1"/>
  <c r="O1646" i="1"/>
  <c r="N1646" i="1"/>
  <c r="M1646" i="1"/>
  <c r="O1631" i="1"/>
  <c r="N1631" i="1"/>
  <c r="M1631" i="1"/>
  <c r="O1630" i="1"/>
  <c r="N1630" i="1"/>
  <c r="M1630" i="1"/>
  <c r="O1629" i="1"/>
  <c r="N1629" i="1"/>
  <c r="M1629" i="1"/>
  <c r="O1628" i="1"/>
  <c r="N1628" i="1"/>
  <c r="M1628" i="1"/>
  <c r="O1627" i="1"/>
  <c r="N1627" i="1"/>
  <c r="M1627" i="1"/>
  <c r="O1626" i="1"/>
  <c r="N1626" i="1"/>
  <c r="M1626" i="1"/>
  <c r="O1625" i="1"/>
  <c r="N1625" i="1"/>
  <c r="M1625" i="1"/>
  <c r="O1624" i="1"/>
  <c r="N1624" i="1"/>
  <c r="M1624" i="1"/>
  <c r="O1623" i="1"/>
  <c r="N1623" i="1"/>
  <c r="M1623" i="1"/>
  <c r="O1622" i="1"/>
  <c r="N1622" i="1"/>
  <c r="M1622" i="1"/>
  <c r="O1621" i="1"/>
  <c r="N1621" i="1"/>
  <c r="M1621" i="1"/>
  <c r="O1620" i="1"/>
  <c r="N1620" i="1"/>
  <c r="M1620" i="1"/>
  <c r="O2074" i="1"/>
  <c r="N2074" i="1"/>
  <c r="M2074" i="1"/>
  <c r="O1618" i="1"/>
  <c r="N1618" i="1"/>
  <c r="M1618" i="1"/>
  <c r="O1617" i="1"/>
  <c r="N1617" i="1"/>
  <c r="M1617" i="1"/>
  <c r="O1616" i="1"/>
  <c r="N1616" i="1"/>
  <c r="M1616" i="1"/>
  <c r="O1615" i="1"/>
  <c r="N1615" i="1"/>
  <c r="M1615" i="1"/>
  <c r="O1614" i="1"/>
  <c r="N1614" i="1"/>
  <c r="M1614" i="1"/>
  <c r="O1613" i="1"/>
  <c r="N1613" i="1"/>
  <c r="M1613" i="1"/>
  <c r="O1612" i="1"/>
  <c r="N1612" i="1"/>
  <c r="M1612" i="1"/>
  <c r="O1611" i="1"/>
  <c r="N1611" i="1"/>
  <c r="M1611" i="1"/>
  <c r="O1610" i="1"/>
  <c r="N1610" i="1"/>
  <c r="M1610" i="1"/>
  <c r="O1609" i="1"/>
  <c r="N1609" i="1"/>
  <c r="M1609" i="1"/>
  <c r="O1608" i="1"/>
  <c r="N1608" i="1"/>
  <c r="M1608" i="1"/>
  <c r="O1607" i="1"/>
  <c r="N1607" i="1"/>
  <c r="M1607" i="1"/>
  <c r="O1606" i="1"/>
  <c r="N1606" i="1"/>
  <c r="M1606" i="1"/>
  <c r="O1605" i="1"/>
  <c r="N1605" i="1"/>
  <c r="M1605" i="1"/>
  <c r="O1604" i="1"/>
  <c r="N1604" i="1"/>
  <c r="M1604" i="1"/>
  <c r="O1603" i="1"/>
  <c r="N1603" i="1"/>
  <c r="M1603" i="1"/>
  <c r="O1602" i="1"/>
  <c r="N1602" i="1"/>
  <c r="M1602" i="1"/>
  <c r="O1601" i="1"/>
  <c r="N1601" i="1"/>
  <c r="M1601" i="1"/>
  <c r="O1600" i="1"/>
  <c r="N1600" i="1"/>
  <c r="M1600" i="1"/>
  <c r="O1599" i="1"/>
  <c r="N1599" i="1"/>
  <c r="M1599" i="1"/>
  <c r="O1598" i="1"/>
  <c r="N1598" i="1"/>
  <c r="M1598" i="1"/>
  <c r="O1597" i="1"/>
  <c r="N1597" i="1"/>
  <c r="M1597" i="1"/>
  <c r="O1596" i="1"/>
  <c r="N1596" i="1"/>
  <c r="M1596" i="1"/>
  <c r="O1595" i="1"/>
  <c r="N1595" i="1"/>
  <c r="M1595" i="1"/>
  <c r="O1594" i="1"/>
  <c r="N1594" i="1"/>
  <c r="M1594" i="1"/>
  <c r="O1593" i="1"/>
  <c r="N1593" i="1"/>
  <c r="M1593" i="1"/>
  <c r="O1592" i="1"/>
  <c r="N1592" i="1"/>
  <c r="M1592" i="1"/>
  <c r="O1591" i="1"/>
  <c r="N1591" i="1"/>
  <c r="M1591" i="1"/>
  <c r="O1590" i="1"/>
  <c r="N1590" i="1"/>
  <c r="M1590" i="1"/>
  <c r="O1589" i="1"/>
  <c r="N1589" i="1"/>
  <c r="M1589" i="1"/>
  <c r="O1588" i="1"/>
  <c r="N1588" i="1"/>
  <c r="M1588" i="1"/>
  <c r="O1587" i="1"/>
  <c r="N1587" i="1"/>
  <c r="M1587" i="1"/>
  <c r="O1586" i="1"/>
  <c r="N1586" i="1"/>
  <c r="M1586" i="1"/>
  <c r="O1585" i="1"/>
  <c r="N1585" i="1"/>
  <c r="M1585" i="1"/>
  <c r="O1584" i="1"/>
  <c r="N1584" i="1"/>
  <c r="M1584" i="1"/>
  <c r="O1583" i="1"/>
  <c r="N1583" i="1"/>
  <c r="M1583" i="1"/>
  <c r="O1582" i="1"/>
  <c r="N1582" i="1"/>
  <c r="M1582" i="1"/>
  <c r="O1581" i="1"/>
  <c r="N1581" i="1"/>
  <c r="M1581" i="1"/>
  <c r="O1580" i="1"/>
  <c r="N1580" i="1"/>
  <c r="M1580" i="1"/>
  <c r="O1579" i="1"/>
  <c r="O1578" i="1"/>
  <c r="N1578" i="1"/>
  <c r="M1578" i="1"/>
  <c r="O1577" i="1"/>
  <c r="N1577" i="1"/>
  <c r="M1577" i="1"/>
  <c r="O1576" i="1"/>
  <c r="N1576" i="1"/>
  <c r="M1576" i="1"/>
  <c r="O2824" i="1"/>
  <c r="N2824" i="1"/>
  <c r="M2824" i="1"/>
  <c r="O1574" i="1"/>
  <c r="N1574" i="1"/>
  <c r="M1574" i="1"/>
  <c r="O1573" i="1"/>
  <c r="N1573" i="1"/>
  <c r="M1573" i="1"/>
  <c r="O1572" i="1"/>
  <c r="N1572" i="1"/>
  <c r="M1572" i="1"/>
  <c r="O1571" i="1"/>
  <c r="N1571" i="1"/>
  <c r="M1571" i="1"/>
  <c r="O1570" i="1"/>
  <c r="N1570" i="1"/>
  <c r="M1570" i="1"/>
  <c r="O1569" i="1"/>
  <c r="N1569" i="1"/>
  <c r="M1569" i="1"/>
  <c r="O1568" i="1"/>
  <c r="N1568" i="1"/>
  <c r="M1568" i="1"/>
  <c r="O1567" i="1"/>
  <c r="N1567" i="1"/>
  <c r="M1567" i="1"/>
  <c r="O2622" i="1"/>
  <c r="N2622" i="1"/>
  <c r="M2622" i="1"/>
  <c r="O1565" i="1"/>
  <c r="N1565" i="1"/>
  <c r="M1565" i="1"/>
  <c r="O2131" i="1"/>
  <c r="N2131" i="1"/>
  <c r="M2131" i="1"/>
  <c r="O1563" i="1"/>
  <c r="N1563" i="1"/>
  <c r="M1563" i="1"/>
  <c r="O2784" i="1"/>
  <c r="N2784" i="1"/>
  <c r="M2784" i="1"/>
  <c r="O1561" i="1"/>
  <c r="N1561" i="1"/>
  <c r="M1561" i="1"/>
  <c r="O3090" i="1"/>
  <c r="N3090" i="1"/>
  <c r="M3090" i="1"/>
  <c r="O1559" i="1"/>
  <c r="N1559" i="1"/>
  <c r="M1559" i="1"/>
  <c r="O1530" i="1"/>
  <c r="N1530" i="1"/>
  <c r="M1530" i="1"/>
  <c r="O614" i="1"/>
  <c r="N614" i="1"/>
  <c r="M614" i="1"/>
  <c r="O1556" i="1"/>
  <c r="N1556" i="1"/>
  <c r="M1556" i="1"/>
  <c r="O1555" i="1"/>
  <c r="N1555" i="1"/>
  <c r="M1555" i="1"/>
  <c r="O605" i="1"/>
  <c r="N605" i="1"/>
  <c r="M605" i="1"/>
  <c r="O2298" i="1"/>
  <c r="N2298" i="1"/>
  <c r="M2298" i="1"/>
  <c r="O1552" i="1"/>
  <c r="N1552" i="1"/>
  <c r="M1552" i="1"/>
  <c r="O1551" i="1"/>
  <c r="M1551" i="1"/>
  <c r="O1550" i="1"/>
  <c r="N1550" i="1"/>
  <c r="M1550" i="1"/>
  <c r="O1549" i="1"/>
  <c r="N1549" i="1"/>
  <c r="M1549" i="1"/>
  <c r="O1548" i="1"/>
  <c r="N1548" i="1"/>
  <c r="M1548" i="1"/>
  <c r="O1547" i="1"/>
  <c r="N1547" i="1"/>
  <c r="M1547" i="1"/>
  <c r="O1546" i="1"/>
  <c r="N1546" i="1"/>
  <c r="M1546" i="1"/>
  <c r="O1545" i="1"/>
  <c r="N1545" i="1"/>
  <c r="M1545" i="1"/>
  <c r="O1544" i="1"/>
  <c r="N1544" i="1"/>
  <c r="M1544" i="1"/>
  <c r="O1543" i="1"/>
  <c r="N1543" i="1"/>
  <c r="M1543" i="1"/>
  <c r="O1542" i="1"/>
  <c r="N1542" i="1"/>
  <c r="M1542" i="1"/>
  <c r="O1541" i="1"/>
  <c r="N1541" i="1"/>
  <c r="M1541" i="1"/>
  <c r="O1540" i="1"/>
  <c r="N1540" i="1"/>
  <c r="M1540" i="1"/>
  <c r="O1539" i="1"/>
  <c r="N1539" i="1"/>
  <c r="M1539" i="1"/>
  <c r="O1538" i="1"/>
  <c r="N1538" i="1"/>
  <c r="M1538" i="1"/>
  <c r="O2602" i="1"/>
  <c r="N2602" i="1"/>
  <c r="M2602" i="1"/>
  <c r="O1536" i="1"/>
  <c r="N1536" i="1"/>
  <c r="M1536" i="1"/>
  <c r="O1535" i="1"/>
  <c r="N1535" i="1"/>
  <c r="M1535" i="1"/>
  <c r="O1534" i="1"/>
  <c r="N1534" i="1"/>
  <c r="M1534" i="1"/>
  <c r="O572" i="1"/>
  <c r="N572" i="1"/>
  <c r="M572" i="1"/>
  <c r="O1532" i="1"/>
  <c r="N1532" i="1"/>
  <c r="M1532" i="1"/>
  <c r="O1531" i="1"/>
  <c r="N1531" i="1"/>
  <c r="M1531" i="1"/>
  <c r="O131" i="1"/>
  <c r="N131" i="1"/>
  <c r="M131" i="1"/>
  <c r="O871" i="1"/>
  <c r="N871" i="1"/>
  <c r="M871" i="1"/>
  <c r="O1452" i="1"/>
  <c r="N1452" i="1"/>
  <c r="M1452" i="1"/>
  <c r="O1527" i="1"/>
  <c r="N1527" i="1"/>
  <c r="M1527" i="1"/>
  <c r="O1526" i="1"/>
  <c r="N1526" i="1"/>
  <c r="M1526" i="1"/>
  <c r="O1525" i="1"/>
  <c r="N1525" i="1"/>
  <c r="M1525" i="1"/>
  <c r="O1524" i="1"/>
  <c r="N1524" i="1"/>
  <c r="M1524" i="1"/>
  <c r="O721" i="1"/>
  <c r="N721" i="1"/>
  <c r="M721" i="1"/>
  <c r="O1522" i="1"/>
  <c r="N1522" i="1"/>
  <c r="M1522" i="1"/>
  <c r="O1724" i="1"/>
  <c r="N1724" i="1"/>
  <c r="M1724" i="1"/>
  <c r="O1520" i="1"/>
  <c r="N1520" i="1"/>
  <c r="M1520" i="1"/>
  <c r="O1519" i="1"/>
  <c r="N1519" i="1"/>
  <c r="M1519" i="1"/>
  <c r="O1518" i="1"/>
  <c r="N1518" i="1"/>
  <c r="M1518" i="1"/>
  <c r="O1517" i="1"/>
  <c r="N1517" i="1"/>
  <c r="M1517" i="1"/>
  <c r="O1516" i="1"/>
  <c r="N1516" i="1"/>
  <c r="M1516" i="1"/>
  <c r="O1515" i="1"/>
  <c r="N1515" i="1"/>
  <c r="M1515" i="1"/>
  <c r="O1514" i="1"/>
  <c r="M1514" i="1"/>
  <c r="O1513" i="1"/>
  <c r="M1513" i="1"/>
  <c r="O1512" i="1"/>
  <c r="N1512" i="1"/>
  <c r="M1512" i="1"/>
  <c r="O1511" i="1"/>
  <c r="N1511" i="1"/>
  <c r="M1511" i="1"/>
  <c r="O1510" i="1"/>
  <c r="O1509" i="1"/>
  <c r="O1508" i="1"/>
  <c r="N1508" i="1"/>
  <c r="M1508" i="1"/>
  <c r="O1507" i="1"/>
  <c r="N1507" i="1"/>
  <c r="M1507" i="1"/>
  <c r="O1506" i="1"/>
  <c r="N1506" i="1"/>
  <c r="M1506" i="1"/>
  <c r="O1505" i="1"/>
  <c r="N1505" i="1"/>
  <c r="M1505" i="1"/>
  <c r="O1368" i="1"/>
  <c r="N1368" i="1"/>
  <c r="M1368" i="1"/>
  <c r="O1503" i="1"/>
  <c r="N1503" i="1"/>
  <c r="M1503" i="1"/>
  <c r="O1502" i="1"/>
  <c r="N1502" i="1"/>
  <c r="M1502" i="1"/>
  <c r="O1501" i="1"/>
  <c r="N1501" i="1"/>
  <c r="M1501" i="1"/>
  <c r="O1803" i="1"/>
  <c r="N1803" i="1"/>
  <c r="M1803" i="1"/>
  <c r="O1499" i="1"/>
  <c r="N1499" i="1"/>
  <c r="M1499" i="1"/>
  <c r="O1498" i="1"/>
  <c r="N1498" i="1"/>
  <c r="M1498" i="1"/>
  <c r="O1497" i="1"/>
  <c r="N1497" i="1"/>
  <c r="M1497" i="1"/>
  <c r="O73" i="1"/>
  <c r="N73" i="1"/>
  <c r="M73" i="1"/>
  <c r="O1495" i="1"/>
  <c r="N1495" i="1"/>
  <c r="M1495" i="1"/>
  <c r="O1494" i="1"/>
  <c r="N1494" i="1"/>
  <c r="M1494" i="1"/>
  <c r="O1493" i="1"/>
  <c r="N1493" i="1"/>
  <c r="M1493" i="1"/>
  <c r="O1492" i="1"/>
  <c r="N1492" i="1"/>
  <c r="M1492" i="1"/>
  <c r="O1491" i="1"/>
  <c r="N1491" i="1"/>
  <c r="M1491" i="1"/>
  <c r="O1490" i="1"/>
  <c r="N1490" i="1"/>
  <c r="M1490" i="1"/>
  <c r="O70" i="1"/>
  <c r="M70" i="1"/>
  <c r="O618" i="1"/>
  <c r="N618" i="1"/>
  <c r="M618" i="1"/>
  <c r="O1487" i="1"/>
  <c r="N1487" i="1"/>
  <c r="M1487" i="1"/>
  <c r="O1486" i="1"/>
  <c r="N1486" i="1"/>
  <c r="M1486" i="1"/>
  <c r="O1485" i="1"/>
  <c r="N1485" i="1"/>
  <c r="M1485" i="1"/>
  <c r="O1484" i="1"/>
  <c r="N1484" i="1"/>
  <c r="M1484" i="1"/>
  <c r="O1483" i="1"/>
  <c r="N1483" i="1"/>
  <c r="M1483" i="1"/>
  <c r="O1482" i="1"/>
  <c r="N1482" i="1"/>
  <c r="M1482" i="1"/>
  <c r="O2812" i="1"/>
  <c r="N2812" i="1"/>
  <c r="M2812" i="1"/>
  <c r="O1480" i="1"/>
  <c r="N1480" i="1"/>
  <c r="M1480" i="1"/>
  <c r="O1479" i="1"/>
  <c r="N1479" i="1"/>
  <c r="M1479" i="1"/>
  <c r="O1478" i="1"/>
  <c r="N1478" i="1"/>
  <c r="M1478" i="1"/>
  <c r="O1477" i="1"/>
  <c r="N1477" i="1"/>
  <c r="M1477" i="1"/>
  <c r="O1476" i="1"/>
  <c r="N1476" i="1"/>
  <c r="M1476" i="1"/>
  <c r="O1475" i="1"/>
  <c r="N1475" i="1"/>
  <c r="M1475" i="1"/>
  <c r="O1474" i="1"/>
  <c r="N1474" i="1"/>
  <c r="M1474" i="1"/>
  <c r="O1363" i="1"/>
  <c r="O2599" i="1"/>
  <c r="O1468" i="1"/>
  <c r="O1010" i="1"/>
  <c r="O1469" i="1"/>
  <c r="N1469" i="1"/>
  <c r="M1469" i="1"/>
  <c r="O636" i="1"/>
  <c r="N636" i="1"/>
  <c r="M636" i="1"/>
  <c r="O1467" i="1"/>
  <c r="N1467" i="1"/>
  <c r="M1467" i="1"/>
  <c r="O2679" i="1"/>
  <c r="N2679" i="1"/>
  <c r="M2679" i="1"/>
  <c r="O1465" i="1"/>
  <c r="N1465" i="1"/>
  <c r="M1465" i="1"/>
  <c r="O1464" i="1"/>
  <c r="N1464" i="1"/>
  <c r="M1464" i="1"/>
  <c r="O2251" i="1"/>
  <c r="N2251" i="1"/>
  <c r="M2251" i="1"/>
  <c r="O1462" i="1"/>
  <c r="N1462" i="1"/>
  <c r="M1462" i="1"/>
  <c r="O1461" i="1"/>
  <c r="N1461" i="1"/>
  <c r="M1461" i="1"/>
  <c r="O1460" i="1"/>
  <c r="N1460" i="1"/>
  <c r="M1460" i="1"/>
  <c r="O102" i="1"/>
  <c r="N102" i="1"/>
  <c r="M102" i="1"/>
  <c r="O1458" i="1"/>
  <c r="N1458" i="1"/>
  <c r="M1458" i="1"/>
  <c r="O1457" i="1"/>
  <c r="N1457" i="1"/>
  <c r="M1457" i="1"/>
  <c r="O21" i="1"/>
  <c r="N21" i="1"/>
  <c r="M21" i="1"/>
  <c r="O1455" i="1"/>
  <c r="N1455" i="1"/>
  <c r="M1455" i="1"/>
  <c r="O1454" i="1"/>
  <c r="N1454" i="1"/>
  <c r="M1454" i="1"/>
  <c r="O2652" i="1"/>
  <c r="N2652" i="1"/>
  <c r="M2652" i="1"/>
  <c r="O53" i="1"/>
  <c r="N53" i="1"/>
  <c r="M53" i="1"/>
  <c r="O1451" i="1"/>
  <c r="N1451" i="1"/>
  <c r="M1451" i="1"/>
  <c r="O1440" i="1"/>
  <c r="N1440" i="1"/>
  <c r="M1440" i="1"/>
  <c r="O1439" i="1"/>
  <c r="N1439" i="1"/>
  <c r="M1439" i="1"/>
  <c r="O1438" i="1"/>
  <c r="N1438" i="1"/>
  <c r="M1438" i="1"/>
  <c r="O1437" i="1"/>
  <c r="N1437" i="1"/>
  <c r="M1437" i="1"/>
  <c r="O1436" i="1"/>
  <c r="N1436" i="1"/>
  <c r="M1436" i="1"/>
  <c r="O1435" i="1"/>
  <c r="N1435" i="1"/>
  <c r="M1435" i="1"/>
  <c r="O1434" i="1"/>
  <c r="N1434" i="1"/>
  <c r="M1434" i="1"/>
  <c r="O69" i="1"/>
  <c r="M69" i="1"/>
  <c r="O1432" i="1"/>
  <c r="N1432" i="1"/>
  <c r="M1432" i="1"/>
  <c r="O1431" i="1"/>
  <c r="N1431" i="1"/>
  <c r="M1431" i="1"/>
  <c r="O1430" i="1"/>
  <c r="N1430" i="1"/>
  <c r="M1430" i="1"/>
  <c r="O1429" i="1"/>
  <c r="N1429" i="1"/>
  <c r="M1429" i="1"/>
  <c r="O1428" i="1"/>
  <c r="N1428" i="1"/>
  <c r="M1428" i="1"/>
  <c r="O1427" i="1"/>
  <c r="N1427" i="1"/>
  <c r="M1427" i="1"/>
  <c r="O1426" i="1"/>
  <c r="N1426" i="1"/>
  <c r="M1426" i="1"/>
  <c r="O1425" i="1"/>
  <c r="N1425" i="1"/>
  <c r="M1425" i="1"/>
  <c r="O1424" i="1"/>
  <c r="N1424" i="1"/>
  <c r="M1424" i="1"/>
  <c r="O1423" i="1"/>
  <c r="N1423" i="1"/>
  <c r="M1423" i="1"/>
  <c r="O1725" i="1"/>
  <c r="N1725" i="1"/>
  <c r="M1725" i="1"/>
  <c r="O1421" i="1"/>
  <c r="N1421" i="1"/>
  <c r="M1421" i="1"/>
  <c r="O1420" i="1"/>
  <c r="N1420" i="1"/>
  <c r="M1420" i="1"/>
  <c r="O66" i="1"/>
  <c r="N66" i="1"/>
  <c r="M66" i="1"/>
  <c r="O2605" i="1"/>
  <c r="N2605" i="1"/>
  <c r="M2605" i="1"/>
  <c r="O1417" i="1"/>
  <c r="N1417" i="1"/>
  <c r="M1417" i="1"/>
  <c r="O984" i="1"/>
  <c r="O1415" i="1"/>
  <c r="N1415" i="1"/>
  <c r="M1415" i="1"/>
  <c r="O1414" i="1"/>
  <c r="N1414" i="1"/>
  <c r="M1414" i="1"/>
  <c r="O1413" i="1"/>
  <c r="N1413" i="1"/>
  <c r="M1413" i="1"/>
  <c r="O1412" i="1"/>
  <c r="N1412" i="1"/>
  <c r="M1412" i="1"/>
  <c r="O1411" i="1"/>
  <c r="N1411" i="1"/>
  <c r="M1411" i="1"/>
  <c r="O1410" i="1"/>
  <c r="N1410" i="1"/>
  <c r="M1410" i="1"/>
  <c r="O1409" i="1"/>
  <c r="N1409" i="1"/>
  <c r="M1409" i="1"/>
  <c r="O1408" i="1"/>
  <c r="N1408" i="1"/>
  <c r="M1408" i="1"/>
  <c r="O1407" i="1"/>
  <c r="N1407" i="1"/>
  <c r="M1407" i="1"/>
  <c r="O1406" i="1"/>
  <c r="N1406" i="1"/>
  <c r="M1406" i="1"/>
  <c r="O1405" i="1"/>
  <c r="N1405" i="1"/>
  <c r="M1405" i="1"/>
  <c r="O1404" i="1"/>
  <c r="N1404" i="1"/>
  <c r="M1404" i="1"/>
  <c r="O1403" i="1"/>
  <c r="N1403" i="1"/>
  <c r="M1403" i="1"/>
  <c r="O1402" i="1"/>
  <c r="N1402" i="1"/>
  <c r="M1402" i="1"/>
  <c r="O1401" i="1"/>
  <c r="N1401" i="1"/>
  <c r="M1401" i="1"/>
  <c r="O1400" i="1"/>
  <c r="N1400" i="1"/>
  <c r="M1400" i="1"/>
  <c r="O1399" i="1"/>
  <c r="N1399" i="1"/>
  <c r="M1399" i="1"/>
  <c r="O1398" i="1"/>
  <c r="N1398" i="1"/>
  <c r="M1398" i="1"/>
  <c r="O1397" i="1"/>
  <c r="N1397" i="1"/>
  <c r="M1397" i="1"/>
  <c r="O1396" i="1"/>
  <c r="N1396" i="1"/>
  <c r="M1396" i="1"/>
  <c r="O1395" i="1"/>
  <c r="N1395" i="1"/>
  <c r="M1395" i="1"/>
  <c r="O1394" i="1"/>
  <c r="N1394" i="1"/>
  <c r="M1394" i="1"/>
  <c r="O1393" i="1"/>
  <c r="N1393" i="1"/>
  <c r="M1393" i="1"/>
  <c r="O1392" i="1"/>
  <c r="N1392" i="1"/>
  <c r="M1392" i="1"/>
  <c r="O1391" i="1"/>
  <c r="O1390" i="1"/>
  <c r="O122" i="1"/>
  <c r="O118" i="1"/>
  <c r="O169" i="1"/>
  <c r="O2792" i="1"/>
  <c r="O38" i="1"/>
  <c r="O2598" i="1"/>
  <c r="O126" i="1"/>
  <c r="O449" i="1"/>
  <c r="O1381" i="1"/>
  <c r="O1380" i="1"/>
  <c r="O1379" i="1"/>
  <c r="O1378" i="1"/>
  <c r="O1377" i="1"/>
  <c r="O1376" i="1"/>
  <c r="O1375" i="1"/>
  <c r="O1374" i="1"/>
  <c r="O1373" i="1"/>
  <c r="O1372" i="1"/>
  <c r="O1371" i="1"/>
  <c r="O1370" i="1"/>
  <c r="N1370" i="1"/>
  <c r="M1370" i="1"/>
  <c r="O1369" i="1"/>
  <c r="N1369" i="1"/>
  <c r="M1369" i="1"/>
  <c r="O713" i="1"/>
  <c r="N713" i="1"/>
  <c r="M713" i="1"/>
  <c r="O1367" i="1"/>
  <c r="N1367" i="1"/>
  <c r="M1367" i="1"/>
  <c r="O1366" i="1"/>
  <c r="N1366" i="1"/>
  <c r="M1366" i="1"/>
  <c r="O1365" i="1"/>
  <c r="N1365" i="1"/>
  <c r="M1365" i="1"/>
  <c r="O769" i="1"/>
  <c r="N769" i="1"/>
  <c r="M769" i="1"/>
  <c r="O2611" i="1"/>
  <c r="N2611" i="1"/>
  <c r="M2611" i="1"/>
  <c r="O409" i="1"/>
  <c r="N409" i="1"/>
  <c r="M409" i="1"/>
  <c r="O1361" i="1"/>
  <c r="N1361" i="1"/>
  <c r="M1361" i="1"/>
  <c r="O1360" i="1"/>
  <c r="N1360" i="1"/>
  <c r="M1360" i="1"/>
  <c r="O1359" i="1"/>
  <c r="N1359" i="1"/>
  <c r="M1359" i="1"/>
  <c r="O1358" i="1"/>
  <c r="N1358" i="1"/>
  <c r="M1358" i="1"/>
  <c r="O1357" i="1"/>
  <c r="N1357" i="1"/>
  <c r="M1357" i="1"/>
  <c r="O1356" i="1"/>
  <c r="N1356" i="1"/>
  <c r="M1356" i="1"/>
  <c r="O2302" i="1"/>
  <c r="N2302" i="1"/>
  <c r="M2302" i="1"/>
  <c r="O1354" i="1"/>
  <c r="N1354" i="1"/>
  <c r="M1354" i="1"/>
  <c r="O1353" i="1"/>
  <c r="N1353" i="1"/>
  <c r="M1353" i="1"/>
  <c r="O1352" i="1"/>
  <c r="N1352" i="1"/>
  <c r="M1352" i="1"/>
  <c r="O1351" i="1"/>
  <c r="N1351" i="1"/>
  <c r="M1351" i="1"/>
  <c r="O1350" i="1"/>
  <c r="N1350" i="1"/>
  <c r="M1350" i="1"/>
  <c r="O1349" i="1"/>
  <c r="N1349" i="1"/>
  <c r="M1349" i="1"/>
  <c r="O1348" i="1"/>
  <c r="N1348" i="1"/>
  <c r="M1348" i="1"/>
  <c r="O1347" i="1"/>
  <c r="N1347" i="1"/>
  <c r="M1347" i="1"/>
  <c r="O1346" i="1"/>
  <c r="N1346" i="1"/>
  <c r="M1346" i="1"/>
  <c r="O1345" i="1"/>
  <c r="N1345" i="1"/>
  <c r="M1345" i="1"/>
  <c r="O1344" i="1"/>
  <c r="N1344" i="1"/>
  <c r="M1344" i="1"/>
  <c r="O1343" i="1"/>
  <c r="N1343" i="1"/>
  <c r="M1343" i="1"/>
  <c r="O1342" i="1"/>
  <c r="N1342" i="1"/>
  <c r="M1342" i="1"/>
  <c r="O1341" i="1"/>
  <c r="N1341" i="1"/>
  <c r="M1341" i="1"/>
  <c r="O1340" i="1"/>
  <c r="N1340" i="1"/>
  <c r="M1340" i="1"/>
  <c r="O1339" i="1"/>
  <c r="N1339" i="1"/>
  <c r="M1339" i="1"/>
  <c r="O1338" i="1"/>
  <c r="N1338" i="1"/>
  <c r="M1338" i="1"/>
  <c r="O1337" i="1"/>
  <c r="N1337" i="1"/>
  <c r="M1337" i="1"/>
  <c r="O1336" i="1"/>
  <c r="N1336" i="1"/>
  <c r="M1336" i="1"/>
  <c r="O1335" i="1"/>
  <c r="N1335" i="1"/>
  <c r="M1335" i="1"/>
  <c r="O1334" i="1"/>
  <c r="N1334" i="1"/>
  <c r="M1334" i="1"/>
  <c r="O1333" i="1"/>
  <c r="N1333" i="1"/>
  <c r="M1333" i="1"/>
  <c r="O1332" i="1"/>
  <c r="N1332" i="1"/>
  <c r="M1332" i="1"/>
  <c r="O1331" i="1"/>
  <c r="N1331" i="1"/>
  <c r="M1331" i="1"/>
  <c r="O1778" i="1"/>
  <c r="N1778" i="1"/>
  <c r="M1778" i="1"/>
  <c r="O1329" i="1"/>
  <c r="N1329" i="1"/>
  <c r="M1329" i="1"/>
  <c r="O1328" i="1"/>
  <c r="N1328" i="1"/>
  <c r="M1328" i="1"/>
  <c r="O1305" i="1"/>
  <c r="M1305" i="1"/>
  <c r="O1304" i="1"/>
  <c r="M1304" i="1"/>
  <c r="O1303" i="1"/>
  <c r="M1303" i="1"/>
  <c r="O1302" i="1"/>
  <c r="N1302" i="1"/>
  <c r="M1302" i="1"/>
  <c r="O1301" i="1"/>
  <c r="N1301" i="1"/>
  <c r="M1301" i="1"/>
  <c r="O1300" i="1"/>
  <c r="O1299" i="1"/>
  <c r="N1299" i="1"/>
  <c r="M1299" i="1"/>
  <c r="O1298" i="1"/>
  <c r="N1298" i="1"/>
  <c r="M1298" i="1"/>
  <c r="O1297" i="1"/>
  <c r="N1297" i="1"/>
  <c r="M1297" i="1"/>
  <c r="O1296" i="1"/>
  <c r="N1296" i="1"/>
  <c r="M1296" i="1"/>
  <c r="O1295" i="1"/>
  <c r="N1295" i="1"/>
  <c r="M1295" i="1"/>
  <c r="O1294" i="1"/>
  <c r="N1294" i="1"/>
  <c r="M1294" i="1"/>
  <c r="O1293" i="1"/>
  <c r="N1293" i="1"/>
  <c r="M1293" i="1"/>
  <c r="O1292" i="1"/>
  <c r="N1292" i="1"/>
  <c r="M1292" i="1"/>
  <c r="O1291" i="1"/>
  <c r="N1291" i="1"/>
  <c r="M1291" i="1"/>
  <c r="O1290" i="1"/>
  <c r="N1290" i="1"/>
  <c r="M1290" i="1"/>
  <c r="O1289" i="1"/>
  <c r="N1289" i="1"/>
  <c r="M1289" i="1"/>
  <c r="O1288" i="1"/>
  <c r="N1288" i="1"/>
  <c r="M1288" i="1"/>
  <c r="O1287" i="1"/>
  <c r="N1287" i="1"/>
  <c r="M1287" i="1"/>
  <c r="O1286" i="1"/>
  <c r="N1286" i="1"/>
  <c r="M1286" i="1"/>
  <c r="O1285" i="1"/>
  <c r="N1285" i="1"/>
  <c r="M1285" i="1"/>
  <c r="O1284" i="1"/>
  <c r="N1284" i="1"/>
  <c r="M1284" i="1"/>
  <c r="O1283" i="1"/>
  <c r="N1283" i="1"/>
  <c r="M1283" i="1"/>
  <c r="O1282" i="1"/>
  <c r="N1282" i="1"/>
  <c r="M1282" i="1"/>
  <c r="O1281" i="1"/>
  <c r="N1281" i="1"/>
  <c r="M1281" i="1"/>
  <c r="O1280" i="1"/>
  <c r="N1280" i="1"/>
  <c r="M1280" i="1"/>
  <c r="O1279" i="1"/>
  <c r="N1279" i="1"/>
  <c r="M1279" i="1"/>
  <c r="O1278" i="1"/>
  <c r="N1278" i="1"/>
  <c r="M1278" i="1"/>
  <c r="O1277" i="1"/>
  <c r="O1276" i="1"/>
  <c r="O1275" i="1"/>
  <c r="O1274" i="1"/>
  <c r="N1274" i="1"/>
  <c r="M1274" i="1"/>
  <c r="O1273" i="1"/>
  <c r="N1273" i="1"/>
  <c r="M1273" i="1"/>
  <c r="O1272" i="1"/>
  <c r="N1272" i="1"/>
  <c r="M1272" i="1"/>
  <c r="O1271" i="1"/>
  <c r="N1271" i="1"/>
  <c r="M1271" i="1"/>
  <c r="O1896" i="1"/>
  <c r="N1896" i="1"/>
  <c r="M1896" i="1"/>
  <c r="O1566" i="1"/>
  <c r="N1566" i="1"/>
  <c r="M1566" i="1"/>
  <c r="O1268" i="1"/>
  <c r="N1268" i="1"/>
  <c r="M1268" i="1"/>
  <c r="O1267" i="1"/>
  <c r="N1267" i="1"/>
  <c r="M1267" i="1"/>
  <c r="O1266" i="1"/>
  <c r="N1266" i="1"/>
  <c r="M1266" i="1"/>
  <c r="O1265" i="1"/>
  <c r="N1265" i="1"/>
  <c r="M1265" i="1"/>
  <c r="O1156" i="1"/>
  <c r="N1156" i="1"/>
  <c r="M1156" i="1"/>
  <c r="O1263" i="1"/>
  <c r="N1263" i="1"/>
  <c r="M1263" i="1"/>
  <c r="O1262" i="1"/>
  <c r="N1262" i="1"/>
  <c r="M1262" i="1"/>
  <c r="O1261" i="1"/>
  <c r="N1261" i="1"/>
  <c r="M1261" i="1"/>
  <c r="O1260" i="1"/>
  <c r="N1260" i="1"/>
  <c r="M1260" i="1"/>
  <c r="O1031" i="1"/>
  <c r="N1031" i="1"/>
  <c r="M1031" i="1"/>
  <c r="O1258" i="1"/>
  <c r="N1258" i="1"/>
  <c r="M1258" i="1"/>
  <c r="O144" i="1"/>
  <c r="N144" i="1"/>
  <c r="M144" i="1"/>
  <c r="O1256" i="1"/>
  <c r="N1256" i="1"/>
  <c r="M1256" i="1"/>
  <c r="O1255" i="1"/>
  <c r="N1255" i="1"/>
  <c r="M1255" i="1"/>
  <c r="O1254" i="1"/>
  <c r="N1254" i="1"/>
  <c r="M1254" i="1"/>
  <c r="O64" i="1"/>
  <c r="N64" i="1"/>
  <c r="M64" i="1"/>
  <c r="O1252" i="1"/>
  <c r="N1252" i="1"/>
  <c r="M1252" i="1"/>
  <c r="O1251" i="1"/>
  <c r="N1251" i="1"/>
  <c r="M1251" i="1"/>
  <c r="O1250" i="1"/>
  <c r="N1250" i="1"/>
  <c r="M1250" i="1"/>
  <c r="O1249" i="1"/>
  <c r="N1249" i="1"/>
  <c r="M1249" i="1"/>
  <c r="O1248" i="1"/>
  <c r="N1248" i="1"/>
  <c r="M1248" i="1"/>
  <c r="O1247" i="1"/>
  <c r="N1247" i="1"/>
  <c r="M1247" i="1"/>
  <c r="O1246" i="1"/>
  <c r="N1246" i="1"/>
  <c r="M1246" i="1"/>
  <c r="O581" i="1"/>
  <c r="N581" i="1"/>
  <c r="M581" i="1"/>
  <c r="O1244" i="1"/>
  <c r="N1244" i="1"/>
  <c r="M1244" i="1"/>
  <c r="O1243" i="1"/>
  <c r="N1243" i="1"/>
  <c r="M1243" i="1"/>
  <c r="O20" i="1"/>
  <c r="N20" i="1"/>
  <c r="M20" i="1"/>
  <c r="O1241" i="1"/>
  <c r="N1241" i="1"/>
  <c r="M1241" i="1"/>
  <c r="O1240" i="1"/>
  <c r="N1240" i="1"/>
  <c r="M1240" i="1"/>
  <c r="O1239" i="1"/>
  <c r="N1239" i="1"/>
  <c r="M1239" i="1"/>
  <c r="O1238" i="1"/>
  <c r="N1238" i="1"/>
  <c r="M1238" i="1"/>
  <c r="O1237" i="1"/>
  <c r="N1237" i="1"/>
  <c r="M1237" i="1"/>
  <c r="O1236" i="1"/>
  <c r="N1236" i="1"/>
  <c r="M1236" i="1"/>
  <c r="O1235" i="1"/>
  <c r="N1235" i="1"/>
  <c r="M1235" i="1"/>
  <c r="O1003" i="1"/>
  <c r="N1003" i="1"/>
  <c r="M1003" i="1"/>
  <c r="O1233" i="1"/>
  <c r="N1233" i="1"/>
  <c r="M1233" i="1"/>
  <c r="O1232" i="1"/>
  <c r="N1232" i="1"/>
  <c r="M1232" i="1"/>
  <c r="O1231" i="1"/>
  <c r="N1231" i="1"/>
  <c r="M1231" i="1"/>
  <c r="O1230" i="1"/>
  <c r="N1230" i="1"/>
  <c r="M1230" i="1"/>
  <c r="O1229" i="1"/>
  <c r="N1229" i="1"/>
  <c r="M1229" i="1"/>
  <c r="O1228" i="1"/>
  <c r="N1228" i="1"/>
  <c r="M1228" i="1"/>
  <c r="O1227" i="1"/>
  <c r="N1227" i="1"/>
  <c r="M1227" i="1"/>
  <c r="O1226" i="1"/>
  <c r="N1226" i="1"/>
  <c r="M1226" i="1"/>
  <c r="O1225" i="1"/>
  <c r="N1225" i="1"/>
  <c r="M1225" i="1"/>
  <c r="O1224" i="1"/>
  <c r="N1224" i="1"/>
  <c r="M1224" i="1"/>
  <c r="O767" i="1"/>
  <c r="N767" i="1"/>
  <c r="M767" i="1"/>
  <c r="O1213" i="1"/>
  <c r="N1213" i="1"/>
  <c r="M1213" i="1"/>
  <c r="O1212" i="1"/>
  <c r="N1212" i="1"/>
  <c r="M1212" i="1"/>
  <c r="O1211" i="1"/>
  <c r="N1211" i="1"/>
  <c r="M1211" i="1"/>
  <c r="O1210" i="1"/>
  <c r="N1210" i="1"/>
  <c r="M1210" i="1"/>
  <c r="O1209" i="1"/>
  <c r="N1209" i="1"/>
  <c r="M1209" i="1"/>
  <c r="O1208" i="1"/>
  <c r="N1208" i="1"/>
  <c r="M1208" i="1"/>
  <c r="O1207" i="1"/>
  <c r="N1207" i="1"/>
  <c r="M1207" i="1"/>
  <c r="O1206" i="1"/>
  <c r="N1206" i="1"/>
  <c r="M1206" i="1"/>
  <c r="O1205" i="1"/>
  <c r="N1205" i="1"/>
  <c r="M1205" i="1"/>
  <c r="O1204" i="1"/>
  <c r="N1204" i="1"/>
  <c r="M1204" i="1"/>
  <c r="O1203" i="1"/>
  <c r="N1203" i="1"/>
  <c r="M1203" i="1"/>
  <c r="O1202" i="1"/>
  <c r="N1202" i="1"/>
  <c r="M1202" i="1"/>
  <c r="O1201" i="1"/>
  <c r="N1201" i="1"/>
  <c r="M1201" i="1"/>
  <c r="O1200" i="1"/>
  <c r="N1200" i="1"/>
  <c r="M1200" i="1"/>
  <c r="O1199" i="1"/>
  <c r="N1199" i="1"/>
  <c r="M1199" i="1"/>
  <c r="O1198" i="1"/>
  <c r="N1198" i="1"/>
  <c r="M1198" i="1"/>
  <c r="O1197" i="1"/>
  <c r="N1197" i="1"/>
  <c r="M1197" i="1"/>
  <c r="O1196" i="1"/>
  <c r="N1196" i="1"/>
  <c r="M1196" i="1"/>
  <c r="O1195" i="1"/>
  <c r="N1195" i="1"/>
  <c r="M1195" i="1"/>
  <c r="O1194" i="1"/>
  <c r="N1194" i="1"/>
  <c r="M1194" i="1"/>
  <c r="O1193" i="1"/>
  <c r="N1193" i="1"/>
  <c r="M1193" i="1"/>
  <c r="O1192" i="1"/>
  <c r="N1192" i="1"/>
  <c r="M1192" i="1"/>
  <c r="O1191" i="1"/>
  <c r="N1191" i="1"/>
  <c r="M1191" i="1"/>
  <c r="O1190" i="1"/>
  <c r="N1190" i="1"/>
  <c r="M1190" i="1"/>
  <c r="O1189" i="1"/>
  <c r="N1189" i="1"/>
  <c r="M1189" i="1"/>
  <c r="O1188" i="1"/>
  <c r="N1188" i="1"/>
  <c r="M1188" i="1"/>
  <c r="O1187" i="1"/>
  <c r="N1187" i="1"/>
  <c r="M1187" i="1"/>
  <c r="O1186" i="1"/>
  <c r="N1186" i="1"/>
  <c r="M1186" i="1"/>
  <c r="O1185" i="1"/>
  <c r="N1185" i="1"/>
  <c r="M1185" i="1"/>
  <c r="O1184" i="1"/>
  <c r="N1184" i="1"/>
  <c r="M1184" i="1"/>
  <c r="O1183" i="1"/>
  <c r="N1183" i="1"/>
  <c r="M1183" i="1"/>
  <c r="O1182" i="1"/>
  <c r="N1182" i="1"/>
  <c r="M1182" i="1"/>
  <c r="O1181" i="1"/>
  <c r="N1181" i="1"/>
  <c r="M1181" i="1"/>
  <c r="O1180" i="1"/>
  <c r="N1180" i="1"/>
  <c r="M1180" i="1"/>
  <c r="O1179" i="1"/>
  <c r="N1179" i="1"/>
  <c r="M1179" i="1"/>
  <c r="O1178" i="1"/>
  <c r="N1178" i="1"/>
  <c r="M1178" i="1"/>
  <c r="O1177" i="1"/>
  <c r="N1177" i="1"/>
  <c r="M1177" i="1"/>
  <c r="O1176" i="1"/>
  <c r="M1176" i="1"/>
  <c r="O188" i="1"/>
  <c r="M188" i="1"/>
  <c r="O110" i="1"/>
  <c r="M110" i="1"/>
  <c r="O109" i="1"/>
  <c r="M109" i="1"/>
  <c r="O1131" i="1"/>
  <c r="M1131" i="1"/>
  <c r="O1171" i="1"/>
  <c r="M1171" i="1"/>
  <c r="O1170" i="1"/>
  <c r="N1170" i="1"/>
  <c r="M1170" i="1"/>
  <c r="O1169" i="1"/>
  <c r="N1169" i="1"/>
  <c r="M1169" i="1"/>
  <c r="O1168" i="1"/>
  <c r="N1168" i="1"/>
  <c r="M1168" i="1"/>
  <c r="O1167" i="1"/>
  <c r="N1167" i="1"/>
  <c r="M1167" i="1"/>
  <c r="O1166" i="1"/>
  <c r="N1166" i="1"/>
  <c r="M1166" i="1"/>
  <c r="O1165" i="1"/>
  <c r="N1165" i="1"/>
  <c r="M1165" i="1"/>
  <c r="O1164" i="1"/>
  <c r="N1164" i="1"/>
  <c r="M1164" i="1"/>
  <c r="O1163" i="1"/>
  <c r="N1163" i="1"/>
  <c r="M1163" i="1"/>
  <c r="O923" i="1"/>
  <c r="N923" i="1"/>
  <c r="M923" i="1"/>
  <c r="O1161" i="1"/>
  <c r="N1161" i="1"/>
  <c r="M1161" i="1"/>
  <c r="O712" i="1"/>
  <c r="N712" i="1"/>
  <c r="M712" i="1"/>
  <c r="O1159" i="1"/>
  <c r="N1159" i="1"/>
  <c r="M1159" i="1"/>
  <c r="O1158" i="1"/>
  <c r="N1158" i="1"/>
  <c r="M1158" i="1"/>
  <c r="O1157" i="1"/>
  <c r="N1157" i="1"/>
  <c r="M1157" i="1"/>
  <c r="O2326" i="1"/>
  <c r="O222" i="1"/>
  <c r="O1154" i="1"/>
  <c r="N1154" i="1"/>
  <c r="M1154" i="1"/>
  <c r="O1153" i="1"/>
  <c r="O1152" i="1"/>
  <c r="O1143" i="1"/>
  <c r="N1143" i="1"/>
  <c r="M1143" i="1"/>
  <c r="O650" i="1"/>
  <c r="N650" i="1"/>
  <c r="M650" i="1"/>
  <c r="O1149" i="1"/>
  <c r="N1149" i="1"/>
  <c r="M1149" i="1"/>
  <c r="O1148" i="1"/>
  <c r="N1148" i="1"/>
  <c r="M1148" i="1"/>
  <c r="O1147" i="1"/>
  <c r="N1147" i="1"/>
  <c r="M1147" i="1"/>
  <c r="O1146" i="1"/>
  <c r="N1146" i="1"/>
  <c r="M1146" i="1"/>
  <c r="O2077" i="1"/>
  <c r="N2077" i="1"/>
  <c r="M2077" i="1"/>
  <c r="O1144" i="1"/>
  <c r="N1144" i="1"/>
  <c r="M1144" i="1"/>
  <c r="O1018" i="1"/>
  <c r="N1018" i="1"/>
  <c r="M1018" i="1"/>
  <c r="O1142" i="1"/>
  <c r="N1142" i="1"/>
  <c r="M1142" i="1"/>
  <c r="O1141" i="1"/>
  <c r="N1141" i="1"/>
  <c r="M1141" i="1"/>
  <c r="O1140" i="1"/>
  <c r="N1140" i="1"/>
  <c r="M1140" i="1"/>
  <c r="O1139" i="1"/>
  <c r="N1139" i="1"/>
  <c r="M1139" i="1"/>
  <c r="O651" i="1"/>
  <c r="N651" i="1"/>
  <c r="M651" i="1"/>
  <c r="O47" i="1"/>
  <c r="N47" i="1"/>
  <c r="M47" i="1"/>
  <c r="O60" i="1"/>
  <c r="N60" i="1"/>
  <c r="M60" i="1"/>
  <c r="O711" i="1"/>
  <c r="N711" i="1"/>
  <c r="M711" i="1"/>
  <c r="O1013" i="1"/>
  <c r="N1013" i="1"/>
  <c r="M1013" i="1"/>
  <c r="O1052" i="1"/>
  <c r="N1052" i="1"/>
  <c r="M1052" i="1"/>
  <c r="O2862" i="1"/>
  <c r="N2862" i="1"/>
  <c r="M2862" i="1"/>
  <c r="O1042" i="1"/>
  <c r="N1042" i="1"/>
  <c r="M1042" i="1"/>
  <c r="O1088" i="1"/>
  <c r="N1088" i="1"/>
  <c r="M1088" i="1"/>
  <c r="O1087" i="1"/>
  <c r="N1087" i="1"/>
  <c r="M1087" i="1"/>
  <c r="O1086" i="1"/>
  <c r="N1086" i="1"/>
  <c r="M1086" i="1"/>
  <c r="O1955" i="1"/>
  <c r="N1955" i="1"/>
  <c r="M1955" i="1"/>
  <c r="O1084" i="1"/>
  <c r="N1084" i="1"/>
  <c r="M1084" i="1"/>
  <c r="O1083" i="1"/>
  <c r="N1083" i="1"/>
  <c r="M1083" i="1"/>
  <c r="O1082" i="1"/>
  <c r="N1082" i="1"/>
  <c r="M1082" i="1"/>
  <c r="O1081" i="1"/>
  <c r="N1081" i="1"/>
  <c r="M1081" i="1"/>
  <c r="O1080" i="1"/>
  <c r="N1080" i="1"/>
  <c r="M1080" i="1"/>
  <c r="O1079" i="1"/>
  <c r="N1079" i="1"/>
  <c r="M1079" i="1"/>
  <c r="O1078" i="1"/>
  <c r="N1078" i="1"/>
  <c r="M1078" i="1"/>
  <c r="O1077" i="1"/>
  <c r="N1077" i="1"/>
  <c r="M1077" i="1"/>
  <c r="O2860" i="1"/>
  <c r="M2860" i="1"/>
  <c r="O2763" i="1"/>
  <c r="M2763" i="1"/>
  <c r="O1463" i="1"/>
  <c r="N1463" i="1"/>
  <c r="M1463" i="1"/>
  <c r="O1039" i="1"/>
  <c r="N1039" i="1"/>
  <c r="M1039" i="1"/>
  <c r="O145" i="1"/>
  <c r="N145" i="1"/>
  <c r="M145" i="1"/>
  <c r="O1037" i="1"/>
  <c r="N1037" i="1"/>
  <c r="M1037" i="1"/>
  <c r="O1036" i="1"/>
  <c r="N1036" i="1"/>
  <c r="M1036" i="1"/>
  <c r="O1035" i="1"/>
  <c r="N1035" i="1"/>
  <c r="M1035" i="1"/>
  <c r="O1034" i="1"/>
  <c r="N1034" i="1"/>
  <c r="M1034" i="1"/>
  <c r="O1945" i="1"/>
  <c r="N1945" i="1"/>
  <c r="M1945" i="1"/>
  <c r="O1032" i="1"/>
  <c r="N1032" i="1"/>
  <c r="M1032" i="1"/>
  <c r="O147" i="1"/>
  <c r="N147" i="1"/>
  <c r="M147" i="1"/>
  <c r="O1030" i="1"/>
  <c r="N1030" i="1"/>
  <c r="M1030" i="1"/>
  <c r="O1029" i="1"/>
  <c r="N1029" i="1"/>
  <c r="M1029" i="1"/>
  <c r="O1028" i="1"/>
  <c r="N1028" i="1"/>
  <c r="M1028" i="1"/>
  <c r="O1027" i="1"/>
  <c r="N1027" i="1"/>
  <c r="M1027" i="1"/>
  <c r="O1026" i="1"/>
  <c r="N1026" i="1"/>
  <c r="M1026" i="1"/>
  <c r="O1017" i="1"/>
  <c r="N1017" i="1"/>
  <c r="M1017" i="1"/>
  <c r="O1024" i="1"/>
  <c r="N1024" i="1"/>
  <c r="M1024" i="1"/>
  <c r="O1023" i="1"/>
  <c r="N1023" i="1"/>
  <c r="M1023" i="1"/>
  <c r="O1022" i="1"/>
  <c r="N1022" i="1"/>
  <c r="M1022" i="1"/>
  <c r="O212" i="1"/>
  <c r="N212" i="1"/>
  <c r="M212" i="1"/>
  <c r="O1020" i="1"/>
  <c r="N1020" i="1"/>
  <c r="M1020" i="1"/>
  <c r="O108" i="1"/>
  <c r="N108" i="1"/>
  <c r="M108" i="1"/>
  <c r="O22" i="1"/>
  <c r="N22" i="1"/>
  <c r="M22" i="1"/>
  <c r="O1713" i="1"/>
  <c r="O2865" i="1"/>
  <c r="N2865" i="1"/>
  <c r="M2865" i="1"/>
  <c r="O2747" i="1"/>
  <c r="N2747" i="1"/>
  <c r="M2747" i="1"/>
  <c r="O105" i="1"/>
  <c r="M105" i="1"/>
  <c r="O1355" i="1"/>
  <c r="N1355" i="1"/>
  <c r="M1355" i="1"/>
  <c r="O1012" i="1"/>
  <c r="N1012" i="1"/>
  <c r="M1012" i="1"/>
  <c r="O1011" i="1"/>
  <c r="N1011" i="1"/>
  <c r="M1011" i="1"/>
  <c r="O985" i="1"/>
  <c r="N985" i="1"/>
  <c r="M985" i="1"/>
  <c r="O1009" i="1"/>
  <c r="N1009" i="1"/>
  <c r="M1009" i="1"/>
  <c r="O1008" i="1"/>
  <c r="N1008" i="1"/>
  <c r="M1008" i="1"/>
  <c r="O400" i="1"/>
  <c r="N400" i="1"/>
  <c r="M400" i="1"/>
  <c r="O1006" i="1"/>
  <c r="N1006" i="1"/>
  <c r="M1006" i="1"/>
  <c r="O648" i="1"/>
  <c r="N648" i="1"/>
  <c r="M648" i="1"/>
  <c r="O1004" i="1"/>
  <c r="N1004" i="1"/>
  <c r="M1004" i="1"/>
  <c r="O207" i="1"/>
  <c r="N207" i="1"/>
  <c r="M207" i="1"/>
  <c r="O1002" i="1"/>
  <c r="N1002" i="1"/>
  <c r="M1002" i="1"/>
  <c r="O2767" i="1"/>
  <c r="N2767" i="1"/>
  <c r="M2767" i="1"/>
  <c r="O1000" i="1"/>
  <c r="N1000" i="1"/>
  <c r="M1000" i="1"/>
  <c r="O999" i="1"/>
  <c r="N999" i="1"/>
  <c r="M999" i="1"/>
  <c r="O2689" i="1"/>
  <c r="N2689" i="1"/>
  <c r="M2689" i="1"/>
  <c r="O997" i="1"/>
  <c r="N997" i="1"/>
  <c r="M997" i="1"/>
  <c r="O996" i="1"/>
  <c r="N996" i="1"/>
  <c r="M996" i="1"/>
  <c r="O995" i="1"/>
  <c r="N995" i="1"/>
  <c r="M995" i="1"/>
  <c r="O994" i="1"/>
  <c r="N994" i="1"/>
  <c r="M994" i="1"/>
  <c r="O993" i="1"/>
  <c r="N993" i="1"/>
  <c r="M993" i="1"/>
  <c r="O992" i="1"/>
  <c r="N992" i="1"/>
  <c r="M992" i="1"/>
  <c r="O991" i="1"/>
  <c r="N991" i="1"/>
  <c r="M991" i="1"/>
  <c r="O990" i="1"/>
  <c r="N990" i="1"/>
  <c r="M990" i="1"/>
  <c r="O989" i="1"/>
  <c r="N989" i="1"/>
  <c r="M989" i="1"/>
  <c r="O988" i="1"/>
  <c r="N988" i="1"/>
  <c r="M988" i="1"/>
  <c r="O987" i="1"/>
  <c r="N987" i="1"/>
  <c r="M987" i="1"/>
  <c r="O986" i="1"/>
  <c r="N986" i="1"/>
  <c r="M986" i="1"/>
  <c r="O2664" i="1"/>
  <c r="N2664" i="1"/>
  <c r="M2664" i="1"/>
  <c r="O962" i="1"/>
  <c r="O961" i="1"/>
  <c r="O960" i="1"/>
  <c r="O959" i="1"/>
  <c r="O958" i="1"/>
  <c r="O957" i="1"/>
  <c r="O956" i="1"/>
  <c r="O955" i="1"/>
  <c r="O954" i="1"/>
  <c r="O953" i="1"/>
  <c r="O952" i="1"/>
  <c r="N952" i="1"/>
  <c r="M952" i="1"/>
  <c r="O951" i="1"/>
  <c r="N951" i="1"/>
  <c r="M951" i="1"/>
  <c r="O950" i="1"/>
  <c r="N950" i="1"/>
  <c r="M950" i="1"/>
  <c r="O949" i="1"/>
  <c r="N949" i="1"/>
  <c r="M949" i="1"/>
  <c r="O948" i="1"/>
  <c r="N948" i="1"/>
  <c r="M948" i="1"/>
  <c r="O947" i="1"/>
  <c r="N947" i="1"/>
  <c r="M947" i="1"/>
  <c r="O946" i="1"/>
  <c r="N946" i="1"/>
  <c r="M946" i="1"/>
  <c r="O945" i="1"/>
  <c r="N945" i="1"/>
  <c r="M945" i="1"/>
  <c r="O944" i="1"/>
  <c r="N944" i="1"/>
  <c r="M944" i="1"/>
  <c r="O943" i="1"/>
  <c r="N943" i="1"/>
  <c r="M943" i="1"/>
  <c r="O942" i="1"/>
  <c r="N942" i="1"/>
  <c r="M942" i="1"/>
  <c r="O941" i="1"/>
  <c r="M941" i="1"/>
  <c r="O940" i="1"/>
  <c r="N940" i="1"/>
  <c r="M940" i="1"/>
  <c r="O939" i="1"/>
  <c r="N939" i="1"/>
  <c r="M939" i="1"/>
  <c r="O938" i="1"/>
  <c r="N938" i="1"/>
  <c r="M938" i="1"/>
  <c r="O937" i="1"/>
  <c r="N937" i="1"/>
  <c r="M937" i="1"/>
  <c r="O936" i="1"/>
  <c r="N936" i="1"/>
  <c r="M936" i="1"/>
  <c r="O935" i="1"/>
  <c r="N935" i="1"/>
  <c r="M935" i="1"/>
  <c r="O934" i="1"/>
  <c r="N934" i="1"/>
  <c r="M934" i="1"/>
  <c r="O933" i="1"/>
  <c r="N933" i="1"/>
  <c r="M933" i="1"/>
  <c r="O932" i="1"/>
  <c r="N932" i="1"/>
  <c r="M932" i="1"/>
  <c r="O1327" i="1"/>
  <c r="O930" i="1"/>
  <c r="N930" i="1"/>
  <c r="M930" i="1"/>
  <c r="O1150" i="1"/>
  <c r="N1150" i="1"/>
  <c r="M1150" i="1"/>
  <c r="O928" i="1"/>
  <c r="N928" i="1"/>
  <c r="M928" i="1"/>
  <c r="O1151" i="1"/>
  <c r="N1151" i="1"/>
  <c r="M1151" i="1"/>
  <c r="O926" i="1"/>
  <c r="N926" i="1"/>
  <c r="M926" i="1"/>
  <c r="O885" i="1"/>
  <c r="M885" i="1"/>
  <c r="O884" i="1"/>
  <c r="N884" i="1"/>
  <c r="M884" i="1"/>
  <c r="O883" i="1"/>
  <c r="M883" i="1"/>
  <c r="O882" i="1"/>
  <c r="N882" i="1"/>
  <c r="M882" i="1"/>
  <c r="O881" i="1"/>
  <c r="N881" i="1"/>
  <c r="M881" i="1"/>
  <c r="O880" i="1"/>
  <c r="N880" i="1"/>
  <c r="M880" i="1"/>
  <c r="O879" i="1"/>
  <c r="N879" i="1"/>
  <c r="M879" i="1"/>
  <c r="O878" i="1"/>
  <c r="N878" i="1"/>
  <c r="M878" i="1"/>
  <c r="O877" i="1"/>
  <c r="N877" i="1"/>
  <c r="M877" i="1"/>
  <c r="O876" i="1"/>
  <c r="N876" i="1"/>
  <c r="M876" i="1"/>
  <c r="O875" i="1"/>
  <c r="N875" i="1"/>
  <c r="M875" i="1"/>
  <c r="K875" i="1"/>
  <c r="O874" i="1"/>
  <c r="N874" i="1"/>
  <c r="M874" i="1"/>
  <c r="K874" i="1"/>
  <c r="O873" i="1"/>
  <c r="N873" i="1"/>
  <c r="M873" i="1"/>
  <c r="K873" i="1"/>
  <c r="O872" i="1"/>
  <c r="N872" i="1"/>
  <c r="M872" i="1"/>
  <c r="K872" i="1"/>
  <c r="O771" i="1"/>
  <c r="N771" i="1"/>
  <c r="M771" i="1"/>
  <c r="O870" i="1"/>
  <c r="N870" i="1"/>
  <c r="M870" i="1"/>
  <c r="K870" i="1"/>
  <c r="O869" i="1"/>
  <c r="N869" i="1"/>
  <c r="M869" i="1"/>
  <c r="K869" i="1"/>
  <c r="O1473" i="1"/>
  <c r="N1473" i="1"/>
  <c r="M1473" i="1"/>
  <c r="O867" i="1"/>
  <c r="N867" i="1"/>
  <c r="M867" i="1"/>
  <c r="K867" i="1"/>
  <c r="O1472" i="1"/>
  <c r="N1472" i="1"/>
  <c r="M1472" i="1"/>
  <c r="O865" i="1"/>
  <c r="N865" i="1"/>
  <c r="M865" i="1"/>
  <c r="K865" i="1"/>
  <c r="O864" i="1"/>
  <c r="N864" i="1"/>
  <c r="M864" i="1"/>
  <c r="K864" i="1"/>
  <c r="O863" i="1"/>
  <c r="N863" i="1"/>
  <c r="M863" i="1"/>
  <c r="K863" i="1"/>
  <c r="O862" i="1"/>
  <c r="N862" i="1"/>
  <c r="M862" i="1"/>
  <c r="K862" i="1"/>
  <c r="O857" i="1"/>
  <c r="N857" i="1"/>
  <c r="M857" i="1"/>
  <c r="O856" i="1"/>
  <c r="N856" i="1"/>
  <c r="M856" i="1"/>
  <c r="O855" i="1"/>
  <c r="N855" i="1"/>
  <c r="M855" i="1"/>
  <c r="O854" i="1"/>
  <c r="N854" i="1"/>
  <c r="M854" i="1"/>
  <c r="O853" i="1"/>
  <c r="N853" i="1"/>
  <c r="M853" i="1"/>
  <c r="O852" i="1"/>
  <c r="N852" i="1"/>
  <c r="M852" i="1"/>
  <c r="O851" i="1"/>
  <c r="N851" i="1"/>
  <c r="M851" i="1"/>
  <c r="O850" i="1"/>
  <c r="N850" i="1"/>
  <c r="M850" i="1"/>
  <c r="O849" i="1"/>
  <c r="N849" i="1"/>
  <c r="M849" i="1"/>
  <c r="O848" i="1"/>
  <c r="N848" i="1"/>
  <c r="M848" i="1"/>
  <c r="O847" i="1"/>
  <c r="N847" i="1"/>
  <c r="M847" i="1"/>
  <c r="O846" i="1"/>
  <c r="N846" i="1"/>
  <c r="M846" i="1"/>
  <c r="O845" i="1"/>
  <c r="N845" i="1"/>
  <c r="M845" i="1"/>
  <c r="O844" i="1"/>
  <c r="N844" i="1"/>
  <c r="M844" i="1"/>
  <c r="O843" i="1"/>
  <c r="N843" i="1"/>
  <c r="M843" i="1"/>
  <c r="O842" i="1"/>
  <c r="N842" i="1"/>
  <c r="M842" i="1"/>
  <c r="O841" i="1"/>
  <c r="N841" i="1"/>
  <c r="M841" i="1"/>
  <c r="O840" i="1"/>
  <c r="N840" i="1"/>
  <c r="M840" i="1"/>
  <c r="O839" i="1"/>
  <c r="N839" i="1"/>
  <c r="M839" i="1"/>
  <c r="O838" i="1"/>
  <c r="N838" i="1"/>
  <c r="M838" i="1"/>
  <c r="O837" i="1"/>
  <c r="N837" i="1"/>
  <c r="M837" i="1"/>
  <c r="O836" i="1"/>
  <c r="N836" i="1"/>
  <c r="M836" i="1"/>
  <c r="O835" i="1"/>
  <c r="N835" i="1"/>
  <c r="M835" i="1"/>
  <c r="O834" i="1"/>
  <c r="N834" i="1"/>
  <c r="M834" i="1"/>
  <c r="O833" i="1"/>
  <c r="N833" i="1"/>
  <c r="M833" i="1"/>
  <c r="O832" i="1"/>
  <c r="N832" i="1"/>
  <c r="M832" i="1"/>
  <c r="O831" i="1"/>
  <c r="N831" i="1"/>
  <c r="M831" i="1"/>
  <c r="O830" i="1"/>
  <c r="N830" i="1"/>
  <c r="M830" i="1"/>
  <c r="O829" i="1"/>
  <c r="N829" i="1"/>
  <c r="M829" i="1"/>
  <c r="O828" i="1"/>
  <c r="N828" i="1"/>
  <c r="M828" i="1"/>
  <c r="O827" i="1"/>
  <c r="N827" i="1"/>
  <c r="M827" i="1"/>
  <c r="O826" i="1"/>
  <c r="N826" i="1"/>
  <c r="M826" i="1"/>
  <c r="O825" i="1"/>
  <c r="N825" i="1"/>
  <c r="M825" i="1"/>
  <c r="O824" i="1"/>
  <c r="N824" i="1"/>
  <c r="M824" i="1"/>
  <c r="O823" i="1"/>
  <c r="N823" i="1"/>
  <c r="M823" i="1"/>
  <c r="O822" i="1"/>
  <c r="N822" i="1"/>
  <c r="M822" i="1"/>
  <c r="O821" i="1"/>
  <c r="N821" i="1"/>
  <c r="M821" i="1"/>
  <c r="O820" i="1"/>
  <c r="N820" i="1"/>
  <c r="M820" i="1"/>
  <c r="O819" i="1"/>
  <c r="N819" i="1"/>
  <c r="M819" i="1"/>
  <c r="O818" i="1"/>
  <c r="N818" i="1"/>
  <c r="M818" i="1"/>
  <c r="O817" i="1"/>
  <c r="N817" i="1"/>
  <c r="M817" i="1"/>
  <c r="O816" i="1"/>
  <c r="N816" i="1"/>
  <c r="M816" i="1"/>
  <c r="O815" i="1"/>
  <c r="N815" i="1"/>
  <c r="M815" i="1"/>
  <c r="O814" i="1"/>
  <c r="N814" i="1"/>
  <c r="M814" i="1"/>
  <c r="O813" i="1"/>
  <c r="N813" i="1"/>
  <c r="M813" i="1"/>
  <c r="O812" i="1"/>
  <c r="N812" i="1"/>
  <c r="M812" i="1"/>
  <c r="O811" i="1"/>
  <c r="N811" i="1"/>
  <c r="M811" i="1"/>
  <c r="O810" i="1"/>
  <c r="N810" i="1"/>
  <c r="M810" i="1"/>
  <c r="O809" i="1"/>
  <c r="N809" i="1"/>
  <c r="M809" i="1"/>
  <c r="O808" i="1"/>
  <c r="N808" i="1"/>
  <c r="M808" i="1"/>
  <c r="O807" i="1"/>
  <c r="N807" i="1"/>
  <c r="M807" i="1"/>
  <c r="O806" i="1"/>
  <c r="N806" i="1"/>
  <c r="M806" i="1"/>
  <c r="O805" i="1"/>
  <c r="N805" i="1"/>
  <c r="M805" i="1"/>
  <c r="O804" i="1"/>
  <c r="N804" i="1"/>
  <c r="M804" i="1"/>
  <c r="O803" i="1"/>
  <c r="N803" i="1"/>
  <c r="M803" i="1"/>
  <c r="O802" i="1"/>
  <c r="N802" i="1"/>
  <c r="M802" i="1"/>
  <c r="O801" i="1"/>
  <c r="N801" i="1"/>
  <c r="M801" i="1"/>
  <c r="O800" i="1"/>
  <c r="N800" i="1"/>
  <c r="M800" i="1"/>
  <c r="O799" i="1"/>
  <c r="N799" i="1"/>
  <c r="M799" i="1"/>
  <c r="O798" i="1"/>
  <c r="N798" i="1"/>
  <c r="M798" i="1"/>
  <c r="O797" i="1"/>
  <c r="N797" i="1"/>
  <c r="M797" i="1"/>
  <c r="O796" i="1"/>
  <c r="N796" i="1"/>
  <c r="M796" i="1"/>
  <c r="O795" i="1"/>
  <c r="N795" i="1"/>
  <c r="M795" i="1"/>
  <c r="O794" i="1"/>
  <c r="N794" i="1"/>
  <c r="M794" i="1"/>
  <c r="O793" i="1"/>
  <c r="N793" i="1"/>
  <c r="M793" i="1"/>
  <c r="O792" i="1"/>
  <c r="N792" i="1"/>
  <c r="M792" i="1"/>
  <c r="O791" i="1"/>
  <c r="N791" i="1"/>
  <c r="M791" i="1"/>
  <c r="O790" i="1"/>
  <c r="N790" i="1"/>
  <c r="M790" i="1"/>
  <c r="O1562" i="1"/>
  <c r="N1562" i="1"/>
  <c r="M1562" i="1"/>
  <c r="O2076" i="1"/>
  <c r="N2076" i="1"/>
  <c r="M2076" i="1"/>
  <c r="O2764" i="1"/>
  <c r="N2764" i="1"/>
  <c r="M2764" i="1"/>
  <c r="O1364" i="1"/>
  <c r="N1364" i="1"/>
  <c r="M1364" i="1"/>
  <c r="O770" i="1"/>
  <c r="N770" i="1"/>
  <c r="M770" i="1"/>
  <c r="O1054" i="1"/>
  <c r="N1054" i="1"/>
  <c r="M1054" i="1"/>
  <c r="O768" i="1"/>
  <c r="N768" i="1"/>
  <c r="M768" i="1"/>
  <c r="O1727" i="1"/>
  <c r="N1727" i="1"/>
  <c r="M1727" i="1"/>
  <c r="O2552" i="1"/>
  <c r="N2552" i="1"/>
  <c r="M2552" i="1"/>
  <c r="O765" i="1"/>
  <c r="N765" i="1"/>
  <c r="M765" i="1"/>
  <c r="O1837" i="1"/>
  <c r="N1837" i="1"/>
  <c r="M1837" i="1"/>
  <c r="O114" i="1"/>
  <c r="N114" i="1"/>
  <c r="M114" i="1"/>
  <c r="O3093" i="1"/>
  <c r="N3093" i="1"/>
  <c r="M3093" i="1"/>
  <c r="O2079" i="1"/>
  <c r="N2079" i="1"/>
  <c r="M2079" i="1"/>
  <c r="O918" i="1"/>
  <c r="N918" i="1"/>
  <c r="M918" i="1"/>
  <c r="O759" i="1"/>
  <c r="O758" i="1"/>
  <c r="N758" i="1"/>
  <c r="M758" i="1"/>
  <c r="O757" i="1"/>
  <c r="N757" i="1"/>
  <c r="M757" i="1"/>
  <c r="O756" i="1"/>
  <c r="N756" i="1"/>
  <c r="M756" i="1"/>
  <c r="O755" i="1"/>
  <c r="N755" i="1"/>
  <c r="M755" i="1"/>
  <c r="O754" i="1"/>
  <c r="N754" i="1"/>
  <c r="M754" i="1"/>
  <c r="O753" i="1"/>
  <c r="N753" i="1"/>
  <c r="M753" i="1"/>
  <c r="O752" i="1"/>
  <c r="N752" i="1"/>
  <c r="M752" i="1"/>
  <c r="O751" i="1"/>
  <c r="N751" i="1"/>
  <c r="M751" i="1"/>
  <c r="O750" i="1"/>
  <c r="N750" i="1"/>
  <c r="M750" i="1"/>
  <c r="O749" i="1"/>
  <c r="N749" i="1"/>
  <c r="M749" i="1"/>
  <c r="O748" i="1"/>
  <c r="N748" i="1"/>
  <c r="M748" i="1"/>
  <c r="O747" i="1"/>
  <c r="N747" i="1"/>
  <c r="M747" i="1"/>
  <c r="O746" i="1"/>
  <c r="N746" i="1"/>
  <c r="M746" i="1"/>
  <c r="O745" i="1"/>
  <c r="N745" i="1"/>
  <c r="M745" i="1"/>
  <c r="O744" i="1"/>
  <c r="N744" i="1"/>
  <c r="M744" i="1"/>
  <c r="O743" i="1"/>
  <c r="N743" i="1"/>
  <c r="M743" i="1"/>
  <c r="O742" i="1"/>
  <c r="N742" i="1"/>
  <c r="M742" i="1"/>
  <c r="O741" i="1"/>
  <c r="N741" i="1"/>
  <c r="M741" i="1"/>
  <c r="O740" i="1"/>
  <c r="N740" i="1"/>
  <c r="M740" i="1"/>
  <c r="O739" i="1"/>
  <c r="N739" i="1"/>
  <c r="M739" i="1"/>
  <c r="O738" i="1"/>
  <c r="N738" i="1"/>
  <c r="M738" i="1"/>
  <c r="O2793" i="1"/>
  <c r="N2793" i="1"/>
  <c r="M2793" i="1"/>
  <c r="O736" i="1"/>
  <c r="N736" i="1"/>
  <c r="M736" i="1"/>
  <c r="O735" i="1"/>
  <c r="N735" i="1"/>
  <c r="M735" i="1"/>
  <c r="O734" i="1"/>
  <c r="N734" i="1"/>
  <c r="M734" i="1"/>
  <c r="O733" i="1"/>
  <c r="N733" i="1"/>
  <c r="M733" i="1"/>
  <c r="O732" i="1"/>
  <c r="N732" i="1"/>
  <c r="M732" i="1"/>
  <c r="O731" i="1"/>
  <c r="N731" i="1"/>
  <c r="M731" i="1"/>
  <c r="O730" i="1"/>
  <c r="N730" i="1"/>
  <c r="M730" i="1"/>
  <c r="O729" i="1"/>
  <c r="N729" i="1"/>
  <c r="M729" i="1"/>
  <c r="O728" i="1"/>
  <c r="N728" i="1"/>
  <c r="M728" i="1"/>
  <c r="O727" i="1"/>
  <c r="N727" i="1"/>
  <c r="M727" i="1"/>
  <c r="O726" i="1"/>
  <c r="N726" i="1"/>
  <c r="M726" i="1"/>
  <c r="O725" i="1"/>
  <c r="N725" i="1"/>
  <c r="M725" i="1"/>
  <c r="O724" i="1"/>
  <c r="N724" i="1"/>
  <c r="M724" i="1"/>
  <c r="O723" i="1"/>
  <c r="N723" i="1"/>
  <c r="M723" i="1"/>
  <c r="O722" i="1"/>
  <c r="N722" i="1"/>
  <c r="M722" i="1"/>
  <c r="O1386" i="1"/>
  <c r="N1386" i="1"/>
  <c r="M1386" i="1"/>
  <c r="O1645" i="1"/>
  <c r="N1645" i="1"/>
  <c r="M1645" i="1"/>
  <c r="O719" i="1"/>
  <c r="N719" i="1"/>
  <c r="M719" i="1"/>
  <c r="O1388" i="1"/>
  <c r="N1388" i="1"/>
  <c r="M1388" i="1"/>
  <c r="O71" i="1"/>
  <c r="N71" i="1"/>
  <c r="M71" i="1"/>
  <c r="O135" i="1"/>
  <c r="N135" i="1"/>
  <c r="M135" i="1"/>
  <c r="O715" i="1"/>
  <c r="N715" i="1"/>
  <c r="M715" i="1"/>
  <c r="O1387" i="1"/>
  <c r="N1387" i="1"/>
  <c r="M1387" i="1"/>
  <c r="O1644" i="1"/>
  <c r="N1644" i="1"/>
  <c r="M1644" i="1"/>
  <c r="O2254" i="1"/>
  <c r="N2254" i="1"/>
  <c r="M2254" i="1"/>
  <c r="O8" i="1"/>
  <c r="N8" i="1"/>
  <c r="M8" i="1"/>
  <c r="O710" i="1"/>
  <c r="N710" i="1"/>
  <c r="M710" i="1"/>
  <c r="O709" i="1"/>
  <c r="N709" i="1"/>
  <c r="M709" i="1"/>
  <c r="O708" i="1"/>
  <c r="N708" i="1"/>
  <c r="M708" i="1"/>
  <c r="O707" i="1"/>
  <c r="N707" i="1"/>
  <c r="M707" i="1"/>
  <c r="O706" i="1"/>
  <c r="N706" i="1"/>
  <c r="M706" i="1"/>
  <c r="O705" i="1"/>
  <c r="N705" i="1"/>
  <c r="M705" i="1"/>
  <c r="O704" i="1"/>
  <c r="N704" i="1"/>
  <c r="M704" i="1"/>
  <c r="O703" i="1"/>
  <c r="N703" i="1"/>
  <c r="M703" i="1"/>
  <c r="O702" i="1"/>
  <c r="N702" i="1"/>
  <c r="M702" i="1"/>
  <c r="O701" i="1"/>
  <c r="N701" i="1"/>
  <c r="M701" i="1"/>
  <c r="O687" i="1"/>
  <c r="N687" i="1"/>
  <c r="M687" i="1"/>
  <c r="O686" i="1"/>
  <c r="N686" i="1"/>
  <c r="M686" i="1"/>
  <c r="O685" i="1"/>
  <c r="N685" i="1"/>
  <c r="M685" i="1"/>
  <c r="O684" i="1"/>
  <c r="N684" i="1"/>
  <c r="M684" i="1"/>
  <c r="O683" i="1"/>
  <c r="O682" i="1"/>
  <c r="O681" i="1"/>
  <c r="O680" i="1"/>
  <c r="N680" i="1"/>
  <c r="M680" i="1"/>
  <c r="O679" i="1"/>
  <c r="N679" i="1"/>
  <c r="M679" i="1"/>
  <c r="O678" i="1"/>
  <c r="N678" i="1"/>
  <c r="M678" i="1"/>
  <c r="O677" i="1"/>
  <c r="N677" i="1"/>
  <c r="M677" i="1"/>
  <c r="O676" i="1"/>
  <c r="N676" i="1"/>
  <c r="M676" i="1"/>
  <c r="O675" i="1"/>
  <c r="N675" i="1"/>
  <c r="M675" i="1"/>
  <c r="O674" i="1"/>
  <c r="N674" i="1"/>
  <c r="M674" i="1"/>
  <c r="O673" i="1"/>
  <c r="N673" i="1"/>
  <c r="M673" i="1"/>
  <c r="O672" i="1"/>
  <c r="N672" i="1"/>
  <c r="M672" i="1"/>
  <c r="O671" i="1"/>
  <c r="N671" i="1"/>
  <c r="M671" i="1"/>
  <c r="O670" i="1"/>
  <c r="N670" i="1"/>
  <c r="M670" i="1"/>
  <c r="O669" i="1"/>
  <c r="N669" i="1"/>
  <c r="M669" i="1"/>
  <c r="O668" i="1"/>
  <c r="N668" i="1"/>
  <c r="M668" i="1"/>
  <c r="O667" i="1"/>
  <c r="N667" i="1"/>
  <c r="M667" i="1"/>
  <c r="O666" i="1"/>
  <c r="N666" i="1"/>
  <c r="M666" i="1"/>
  <c r="O665" i="1"/>
  <c r="N665" i="1"/>
  <c r="M665" i="1"/>
  <c r="O44" i="1"/>
  <c r="M44" i="1"/>
  <c r="O663" i="1"/>
  <c r="N663" i="1"/>
  <c r="M663" i="1"/>
  <c r="O662" i="1"/>
  <c r="N662" i="1"/>
  <c r="M662" i="1"/>
  <c r="O661" i="1"/>
  <c r="N661" i="1"/>
  <c r="M661" i="1"/>
  <c r="O660" i="1"/>
  <c r="N660" i="1"/>
  <c r="M660" i="1"/>
  <c r="O659" i="1"/>
  <c r="N659" i="1"/>
  <c r="M659" i="1"/>
  <c r="O658" i="1"/>
  <c r="N658" i="1"/>
  <c r="M658" i="1"/>
  <c r="O657" i="1"/>
  <c r="N657" i="1"/>
  <c r="M657" i="1"/>
  <c r="O585" i="1"/>
  <c r="N585" i="1"/>
  <c r="M585" i="1"/>
  <c r="O2338" i="1"/>
  <c r="N2338" i="1"/>
  <c r="M2338" i="1"/>
  <c r="O654" i="1"/>
  <c r="N654" i="1"/>
  <c r="M654" i="1"/>
  <c r="O653" i="1"/>
  <c r="N653" i="1"/>
  <c r="M653" i="1"/>
  <c r="O2297" i="1"/>
  <c r="N2297" i="1"/>
  <c r="M2297" i="1"/>
  <c r="O2615" i="1"/>
  <c r="N2615" i="1"/>
  <c r="M2615" i="1"/>
  <c r="O1038" i="1"/>
  <c r="N1038" i="1"/>
  <c r="M1038" i="1"/>
  <c r="O649" i="1"/>
  <c r="N649" i="1"/>
  <c r="M649" i="1"/>
  <c r="O603" i="1"/>
  <c r="N603" i="1"/>
  <c r="M603" i="1"/>
  <c r="O647" i="1"/>
  <c r="N647" i="1"/>
  <c r="M647" i="1"/>
  <c r="O646" i="1"/>
  <c r="N646" i="1"/>
  <c r="M646" i="1"/>
  <c r="O645" i="1"/>
  <c r="N645" i="1"/>
  <c r="M645" i="1"/>
  <c r="O644" i="1"/>
  <c r="N644" i="1"/>
  <c r="M644" i="1"/>
  <c r="O150" i="1"/>
  <c r="N150" i="1"/>
  <c r="M150" i="1"/>
  <c r="O1533" i="1"/>
  <c r="N1533" i="1"/>
  <c r="M1533" i="1"/>
  <c r="O641" i="1"/>
  <c r="N641" i="1"/>
  <c r="M641" i="1"/>
  <c r="O607" i="1"/>
  <c r="N607" i="1"/>
  <c r="M607" i="1"/>
  <c r="O639" i="1"/>
  <c r="N639" i="1"/>
  <c r="M639" i="1"/>
  <c r="O638" i="1"/>
  <c r="N638" i="1"/>
  <c r="M638" i="1"/>
  <c r="O637" i="1"/>
  <c r="N637" i="1"/>
  <c r="M637" i="1"/>
  <c r="O608" i="1"/>
  <c r="N608" i="1"/>
  <c r="M608" i="1"/>
  <c r="O635" i="1"/>
  <c r="N635" i="1"/>
  <c r="M635" i="1"/>
  <c r="O634" i="1"/>
  <c r="N634" i="1"/>
  <c r="M634" i="1"/>
  <c r="O633" i="1"/>
  <c r="N633" i="1"/>
  <c r="M633" i="1"/>
  <c r="O632" i="1"/>
  <c r="N632" i="1"/>
  <c r="M632" i="1"/>
  <c r="O631" i="1"/>
  <c r="N631" i="1"/>
  <c r="M631" i="1"/>
  <c r="O630" i="1"/>
  <c r="N630" i="1"/>
  <c r="M630" i="1"/>
  <c r="O629" i="1"/>
  <c r="N629" i="1"/>
  <c r="M629" i="1"/>
  <c r="O628" i="1"/>
  <c r="N628" i="1"/>
  <c r="M628" i="1"/>
  <c r="O627" i="1"/>
  <c r="N627" i="1"/>
  <c r="M627" i="1"/>
  <c r="O626" i="1"/>
  <c r="N626" i="1"/>
  <c r="M626" i="1"/>
  <c r="O625" i="1"/>
  <c r="N625" i="1"/>
  <c r="M625" i="1"/>
  <c r="O624" i="1"/>
  <c r="N624" i="1"/>
  <c r="M624" i="1"/>
  <c r="O623" i="1"/>
  <c r="N623" i="1"/>
  <c r="M623" i="1"/>
  <c r="O622" i="1"/>
  <c r="N622" i="1"/>
  <c r="M622" i="1"/>
  <c r="O621" i="1"/>
  <c r="N621" i="1"/>
  <c r="M621" i="1"/>
  <c r="O620" i="1"/>
  <c r="N620" i="1"/>
  <c r="M620" i="1"/>
  <c r="O619" i="1"/>
  <c r="N619" i="1"/>
  <c r="M619" i="1"/>
  <c r="O569" i="1"/>
  <c r="N569" i="1"/>
  <c r="M569" i="1"/>
  <c r="O2267" i="1"/>
  <c r="N2267" i="1"/>
  <c r="M2267" i="1"/>
  <c r="O1145" i="1"/>
  <c r="N1145" i="1"/>
  <c r="M1145" i="1"/>
  <c r="O615" i="1"/>
  <c r="N615" i="1"/>
  <c r="M615" i="1"/>
  <c r="O664" i="1"/>
  <c r="N664" i="1"/>
  <c r="M664" i="1"/>
  <c r="O1654" i="1"/>
  <c r="N1654" i="1"/>
  <c r="M1654" i="1"/>
  <c r="O612" i="1"/>
  <c r="N612" i="1"/>
  <c r="M612" i="1"/>
  <c r="O588" i="1"/>
  <c r="N588" i="1"/>
  <c r="M588" i="1"/>
  <c r="O587" i="1"/>
  <c r="N587" i="1"/>
  <c r="M587" i="1"/>
  <c r="O586" i="1"/>
  <c r="N586" i="1"/>
  <c r="M586" i="1"/>
  <c r="O1821" i="1"/>
  <c r="N1821" i="1"/>
  <c r="M1821" i="1"/>
  <c r="O584" i="1"/>
  <c r="N584" i="1"/>
  <c r="M584" i="1"/>
  <c r="O583" i="1"/>
  <c r="N583" i="1"/>
  <c r="M583" i="1"/>
  <c r="O582" i="1"/>
  <c r="N582" i="1"/>
  <c r="M582" i="1"/>
  <c r="O2534" i="1"/>
  <c r="N2534" i="1"/>
  <c r="M2534" i="1"/>
  <c r="O580" i="1"/>
  <c r="N580" i="1"/>
  <c r="M580" i="1"/>
  <c r="O579" i="1"/>
  <c r="N579" i="1"/>
  <c r="M579" i="1"/>
  <c r="O578" i="1"/>
  <c r="N578" i="1"/>
  <c r="M578" i="1"/>
  <c r="O577" i="1"/>
  <c r="N577" i="1"/>
  <c r="M577" i="1"/>
  <c r="O576" i="1"/>
  <c r="N576" i="1"/>
  <c r="M576" i="1"/>
  <c r="O233" i="1"/>
  <c r="N233" i="1"/>
  <c r="M233" i="1"/>
  <c r="O1005" i="1"/>
  <c r="N1005" i="1"/>
  <c r="M1005" i="1"/>
  <c r="O573" i="1"/>
  <c r="N573" i="1"/>
  <c r="M573" i="1"/>
  <c r="O1913" i="1"/>
  <c r="N1913" i="1"/>
  <c r="M1913" i="1"/>
  <c r="O2678" i="1"/>
  <c r="N2678" i="1"/>
  <c r="M2678" i="1"/>
  <c r="O604" i="1"/>
  <c r="N604" i="1"/>
  <c r="M604" i="1"/>
  <c r="O2859" i="1"/>
  <c r="N2859" i="1"/>
  <c r="M2859" i="1"/>
  <c r="O568" i="1"/>
  <c r="N568" i="1"/>
  <c r="M568" i="1"/>
  <c r="O567" i="1"/>
  <c r="N567" i="1"/>
  <c r="M567" i="1"/>
  <c r="O566" i="1"/>
  <c r="N566" i="1"/>
  <c r="M566" i="1"/>
  <c r="O565" i="1"/>
  <c r="N565" i="1"/>
  <c r="M565" i="1"/>
  <c r="O564" i="1"/>
  <c r="N564" i="1"/>
  <c r="M564" i="1"/>
  <c r="O563" i="1"/>
  <c r="N563" i="1"/>
  <c r="M563" i="1"/>
  <c r="O562" i="1"/>
  <c r="N562" i="1"/>
  <c r="M562" i="1"/>
  <c r="O561" i="1"/>
  <c r="N561" i="1"/>
  <c r="M561" i="1"/>
  <c r="O560" i="1"/>
  <c r="N560" i="1"/>
  <c r="M560" i="1"/>
  <c r="O559" i="1"/>
  <c r="N559" i="1"/>
  <c r="M559" i="1"/>
  <c r="O558" i="1"/>
  <c r="N558" i="1"/>
  <c r="M558" i="1"/>
  <c r="O557" i="1"/>
  <c r="N557" i="1"/>
  <c r="M557" i="1"/>
  <c r="O556" i="1"/>
  <c r="N556" i="1"/>
  <c r="M556" i="1"/>
  <c r="O555" i="1"/>
  <c r="N555" i="1"/>
  <c r="M555" i="1"/>
  <c r="O554" i="1"/>
  <c r="N554" i="1"/>
  <c r="M554" i="1"/>
  <c r="O553" i="1"/>
  <c r="N553" i="1"/>
  <c r="M553" i="1"/>
  <c r="O552" i="1"/>
  <c r="N552" i="1"/>
  <c r="M552" i="1"/>
  <c r="O551" i="1"/>
  <c r="N551" i="1"/>
  <c r="M551" i="1"/>
  <c r="O550" i="1"/>
  <c r="N550" i="1"/>
  <c r="M550" i="1"/>
  <c r="O549" i="1"/>
  <c r="N549" i="1"/>
  <c r="M549" i="1"/>
  <c r="O548" i="1"/>
  <c r="N548" i="1"/>
  <c r="M548" i="1"/>
  <c r="O547" i="1"/>
  <c r="N547" i="1"/>
  <c r="M547" i="1"/>
  <c r="O546" i="1"/>
  <c r="N546" i="1"/>
  <c r="M546" i="1"/>
  <c r="O545" i="1"/>
  <c r="N545" i="1"/>
  <c r="M545" i="1"/>
  <c r="O544" i="1"/>
  <c r="N544" i="1"/>
  <c r="M544" i="1"/>
  <c r="O543" i="1"/>
  <c r="N543" i="1"/>
  <c r="M543" i="1"/>
  <c r="O542" i="1"/>
  <c r="N542" i="1"/>
  <c r="M542" i="1"/>
  <c r="O541" i="1"/>
  <c r="N541" i="1"/>
  <c r="M541" i="1"/>
  <c r="O540" i="1"/>
  <c r="N540" i="1"/>
  <c r="M540" i="1"/>
  <c r="O136" i="1"/>
  <c r="N136" i="1"/>
  <c r="M136" i="1"/>
  <c r="O538" i="1"/>
  <c r="N538" i="1"/>
  <c r="M538" i="1"/>
  <c r="O537" i="1"/>
  <c r="N537" i="1"/>
  <c r="M537" i="1"/>
  <c r="O536" i="1"/>
  <c r="N536" i="1"/>
  <c r="M536" i="1"/>
  <c r="O535" i="1"/>
  <c r="N535" i="1"/>
  <c r="M535" i="1"/>
  <c r="O534" i="1"/>
  <c r="N534" i="1"/>
  <c r="M534" i="1"/>
  <c r="O533" i="1"/>
  <c r="N533" i="1"/>
  <c r="M533" i="1"/>
  <c r="O532" i="1"/>
  <c r="N532" i="1"/>
  <c r="M532" i="1"/>
  <c r="O531" i="1"/>
  <c r="N531" i="1"/>
  <c r="M531" i="1"/>
  <c r="O530" i="1"/>
  <c r="N530" i="1"/>
  <c r="M530" i="1"/>
  <c r="O529" i="1"/>
  <c r="N529" i="1"/>
  <c r="M529" i="1"/>
  <c r="O528" i="1"/>
  <c r="N528" i="1"/>
  <c r="M528" i="1"/>
  <c r="O527" i="1"/>
  <c r="N527" i="1"/>
  <c r="M527" i="1"/>
  <c r="O526" i="1"/>
  <c r="N526" i="1"/>
  <c r="M526" i="1"/>
  <c r="O525" i="1"/>
  <c r="N525" i="1"/>
  <c r="M525" i="1"/>
  <c r="O524" i="1"/>
  <c r="N524" i="1"/>
  <c r="M524" i="1"/>
  <c r="O523" i="1"/>
  <c r="N523" i="1"/>
  <c r="M523" i="1"/>
  <c r="O522" i="1"/>
  <c r="N522" i="1"/>
  <c r="M522" i="1"/>
  <c r="O521" i="1"/>
  <c r="N521" i="1"/>
  <c r="M521" i="1"/>
  <c r="O520" i="1"/>
  <c r="N520" i="1"/>
  <c r="M520" i="1"/>
  <c r="O519" i="1"/>
  <c r="N519" i="1"/>
  <c r="M519" i="1"/>
  <c r="O518" i="1"/>
  <c r="N518" i="1"/>
  <c r="M518" i="1"/>
  <c r="O517" i="1"/>
  <c r="N517" i="1"/>
  <c r="M517" i="1"/>
  <c r="O516" i="1"/>
  <c r="N516" i="1"/>
  <c r="M516" i="1"/>
  <c r="O515" i="1"/>
  <c r="N515" i="1"/>
  <c r="M515" i="1"/>
  <c r="O514" i="1"/>
  <c r="N514" i="1"/>
  <c r="M514" i="1"/>
  <c r="O513" i="1"/>
  <c r="N513" i="1"/>
  <c r="M513" i="1"/>
  <c r="O512" i="1"/>
  <c r="N512" i="1"/>
  <c r="M512" i="1"/>
  <c r="O511" i="1"/>
  <c r="N511" i="1"/>
  <c r="M511" i="1"/>
  <c r="O510" i="1"/>
  <c r="N510" i="1"/>
  <c r="M510" i="1"/>
  <c r="O509" i="1"/>
  <c r="N509" i="1"/>
  <c r="M509" i="1"/>
  <c r="O508" i="1"/>
  <c r="N508" i="1"/>
  <c r="M508" i="1"/>
  <c r="O507" i="1"/>
  <c r="N507" i="1"/>
  <c r="M507" i="1"/>
  <c r="O506" i="1"/>
  <c r="N506" i="1"/>
  <c r="M506" i="1"/>
  <c r="O505" i="1"/>
  <c r="N505" i="1"/>
  <c r="M505" i="1"/>
  <c r="O504" i="1"/>
  <c r="N504" i="1"/>
  <c r="M504" i="1"/>
  <c r="O503" i="1"/>
  <c r="N503" i="1"/>
  <c r="M503" i="1"/>
  <c r="O502" i="1"/>
  <c r="N502" i="1"/>
  <c r="M502" i="1"/>
  <c r="O501" i="1"/>
  <c r="N501" i="1"/>
  <c r="M501" i="1"/>
  <c r="O500" i="1"/>
  <c r="N500" i="1"/>
  <c r="M500" i="1"/>
  <c r="O499" i="1"/>
  <c r="N499" i="1"/>
  <c r="M499" i="1"/>
  <c r="O19" i="1"/>
  <c r="N19" i="1"/>
  <c r="M19" i="1"/>
  <c r="O497" i="1"/>
  <c r="N497" i="1"/>
  <c r="M497" i="1"/>
  <c r="O496" i="1"/>
  <c r="N496" i="1"/>
  <c r="M496" i="1"/>
  <c r="O495" i="1"/>
  <c r="N495" i="1"/>
  <c r="M495" i="1"/>
  <c r="O494" i="1"/>
  <c r="N494" i="1"/>
  <c r="M494" i="1"/>
  <c r="O493" i="1"/>
  <c r="N493" i="1"/>
  <c r="M493" i="1"/>
  <c r="O492" i="1"/>
  <c r="N492" i="1"/>
  <c r="M492" i="1"/>
  <c r="O491" i="1"/>
  <c r="N491" i="1"/>
  <c r="M491" i="1"/>
  <c r="O490" i="1"/>
  <c r="N490" i="1"/>
  <c r="M490" i="1"/>
  <c r="O489" i="1"/>
  <c r="N489" i="1"/>
  <c r="M489" i="1"/>
  <c r="O488" i="1"/>
  <c r="N488" i="1"/>
  <c r="M488" i="1"/>
  <c r="O2651" i="1"/>
  <c r="N2651" i="1"/>
  <c r="M2651" i="1"/>
  <c r="O234" i="1"/>
  <c r="N234" i="1"/>
  <c r="M234" i="1"/>
  <c r="O229" i="1"/>
  <c r="N229" i="1"/>
  <c r="M229" i="1"/>
  <c r="O484" i="1"/>
  <c r="N484" i="1"/>
  <c r="M484" i="1"/>
  <c r="O483" i="1"/>
  <c r="N483" i="1"/>
  <c r="M483" i="1"/>
  <c r="O482" i="1"/>
  <c r="N482" i="1"/>
  <c r="M482" i="1"/>
  <c r="O481" i="1"/>
  <c r="N481" i="1"/>
  <c r="M481" i="1"/>
  <c r="O480" i="1"/>
  <c r="O479" i="1"/>
  <c r="O478" i="1"/>
  <c r="N478" i="1"/>
  <c r="M478" i="1"/>
  <c r="O477" i="1"/>
  <c r="N477" i="1"/>
  <c r="M477" i="1"/>
  <c r="O476" i="1"/>
  <c r="N476" i="1"/>
  <c r="M476" i="1"/>
  <c r="O475" i="1"/>
  <c r="N475" i="1"/>
  <c r="M475" i="1"/>
  <c r="O2260" i="1"/>
  <c r="N2260" i="1"/>
  <c r="M2260" i="1"/>
  <c r="O473" i="1"/>
  <c r="N473" i="1"/>
  <c r="M473" i="1"/>
  <c r="O472" i="1"/>
  <c r="N472" i="1"/>
  <c r="M472" i="1"/>
  <c r="O471" i="1"/>
  <c r="N471" i="1"/>
  <c r="M471" i="1"/>
  <c r="O470" i="1"/>
  <c r="N470" i="1"/>
  <c r="M470" i="1"/>
  <c r="O469" i="1"/>
  <c r="N469" i="1"/>
  <c r="M469" i="1"/>
  <c r="O468" i="1"/>
  <c r="N468" i="1"/>
  <c r="M468" i="1"/>
  <c r="O467" i="1"/>
  <c r="N467" i="1"/>
  <c r="M467" i="1"/>
  <c r="O466" i="1"/>
  <c r="N466" i="1"/>
  <c r="M466" i="1"/>
  <c r="O465" i="1"/>
  <c r="N465" i="1"/>
  <c r="M465" i="1"/>
  <c r="O464" i="1"/>
  <c r="N464" i="1"/>
  <c r="M464" i="1"/>
  <c r="O463" i="1"/>
  <c r="N463" i="1"/>
  <c r="M463" i="1"/>
  <c r="O462" i="1"/>
  <c r="N462" i="1"/>
  <c r="M462" i="1"/>
  <c r="O461" i="1"/>
  <c r="N461" i="1"/>
  <c r="M461" i="1"/>
  <c r="O460" i="1"/>
  <c r="N460" i="1"/>
  <c r="M460" i="1"/>
  <c r="O459" i="1"/>
  <c r="N459" i="1"/>
  <c r="M459" i="1"/>
  <c r="O458" i="1"/>
  <c r="N458" i="1"/>
  <c r="M458" i="1"/>
  <c r="O457" i="1"/>
  <c r="N457" i="1"/>
  <c r="M457" i="1"/>
  <c r="O456" i="1"/>
  <c r="N456" i="1"/>
  <c r="M456" i="1"/>
  <c r="O455" i="1"/>
  <c r="N455" i="1"/>
  <c r="M455" i="1"/>
  <c r="O454" i="1"/>
  <c r="N454" i="1"/>
  <c r="M454" i="1"/>
  <c r="O2915" i="1"/>
  <c r="N2915" i="1"/>
  <c r="M2915" i="1"/>
  <c r="O2945" i="1"/>
  <c r="N2945" i="1"/>
  <c r="M2945" i="1"/>
  <c r="O451" i="1"/>
  <c r="N451" i="1"/>
  <c r="M451" i="1"/>
  <c r="O450" i="1"/>
  <c r="N450" i="1"/>
  <c r="M450" i="1"/>
  <c r="O422" i="1"/>
  <c r="N422" i="1"/>
  <c r="M422" i="1"/>
  <c r="O421" i="1"/>
  <c r="N421" i="1"/>
  <c r="M421" i="1"/>
  <c r="O420" i="1"/>
  <c r="N420" i="1"/>
  <c r="M420" i="1"/>
  <c r="O419" i="1"/>
  <c r="N419" i="1"/>
  <c r="M419" i="1"/>
  <c r="O418" i="1"/>
  <c r="N418" i="1"/>
  <c r="M418" i="1"/>
  <c r="O1558" i="1"/>
  <c r="N1558" i="1"/>
  <c r="M1558" i="1"/>
  <c r="O416" i="1"/>
  <c r="N416" i="1"/>
  <c r="M416" i="1"/>
  <c r="O415" i="1"/>
  <c r="N415" i="1"/>
  <c r="M415" i="1"/>
  <c r="O617" i="1"/>
  <c r="N617" i="1"/>
  <c r="M617" i="1"/>
  <c r="O413" i="1"/>
  <c r="N413" i="1"/>
  <c r="M413" i="1"/>
  <c r="O2803" i="1"/>
  <c r="N2803" i="1"/>
  <c r="M2803" i="1"/>
  <c r="O411" i="1"/>
  <c r="N411" i="1"/>
  <c r="M411" i="1"/>
  <c r="O410" i="1"/>
  <c r="N410" i="1"/>
  <c r="M410" i="1"/>
  <c r="O487" i="1"/>
  <c r="N487" i="1"/>
  <c r="M487" i="1"/>
  <c r="O408" i="1"/>
  <c r="N408" i="1"/>
  <c r="M408" i="1"/>
  <c r="O407" i="1"/>
  <c r="N407" i="1"/>
  <c r="M407" i="1"/>
  <c r="O406" i="1"/>
  <c r="N406" i="1"/>
  <c r="M406" i="1"/>
  <c r="O405" i="1"/>
  <c r="N405" i="1"/>
  <c r="M405" i="1"/>
  <c r="O404" i="1"/>
  <c r="N404" i="1"/>
  <c r="M404" i="1"/>
  <c r="O1382" i="1"/>
  <c r="N1382" i="1"/>
  <c r="M1382" i="1"/>
  <c r="O402" i="1"/>
  <c r="N402" i="1"/>
  <c r="M402" i="1"/>
  <c r="O401" i="1"/>
  <c r="N401" i="1"/>
  <c r="M401" i="1"/>
  <c r="O18" i="1"/>
  <c r="N18" i="1"/>
  <c r="M18" i="1"/>
  <c r="O399" i="1"/>
  <c r="N399" i="1"/>
  <c r="M399" i="1"/>
  <c r="O398" i="1"/>
  <c r="N398" i="1"/>
  <c r="M398" i="1"/>
  <c r="O397" i="1"/>
  <c r="N397" i="1"/>
  <c r="M397" i="1"/>
  <c r="O396" i="1"/>
  <c r="N396" i="1"/>
  <c r="M396" i="1"/>
  <c r="O55" i="1"/>
  <c r="N55" i="1"/>
  <c r="M55" i="1"/>
  <c r="O394" i="1"/>
  <c r="N394" i="1"/>
  <c r="M394" i="1"/>
  <c r="O393" i="1"/>
  <c r="N393" i="1"/>
  <c r="M393" i="1"/>
  <c r="O392" i="1"/>
  <c r="N392" i="1"/>
  <c r="M392" i="1"/>
  <c r="O391" i="1"/>
  <c r="N391" i="1"/>
  <c r="M391" i="1"/>
  <c r="O390" i="1"/>
  <c r="N390" i="1"/>
  <c r="M390" i="1"/>
  <c r="O773" i="1"/>
  <c r="N773" i="1"/>
  <c r="M773" i="1"/>
  <c r="O388" i="1"/>
  <c r="N388" i="1"/>
  <c r="M388" i="1"/>
  <c r="O387" i="1"/>
  <c r="N387" i="1"/>
  <c r="M387" i="1"/>
  <c r="O386" i="1"/>
  <c r="N386" i="1"/>
  <c r="M386" i="1"/>
  <c r="O385" i="1"/>
  <c r="N385" i="1"/>
  <c r="M385" i="1"/>
  <c r="O384" i="1"/>
  <c r="N384" i="1"/>
  <c r="M384" i="1"/>
  <c r="O2269" i="1"/>
  <c r="N2269" i="1"/>
  <c r="M2269" i="1"/>
  <c r="O382" i="1"/>
  <c r="N382" i="1"/>
  <c r="M382" i="1"/>
  <c r="O381" i="1"/>
  <c r="N381" i="1"/>
  <c r="M381" i="1"/>
  <c r="O380" i="1"/>
  <c r="N380" i="1"/>
  <c r="M380" i="1"/>
  <c r="O379" i="1"/>
  <c r="N379" i="1"/>
  <c r="M379" i="1"/>
  <c r="O378" i="1"/>
  <c r="N378" i="1"/>
  <c r="M378" i="1"/>
  <c r="O377" i="1"/>
  <c r="N377" i="1"/>
  <c r="M377" i="1"/>
  <c r="O376" i="1"/>
  <c r="N376" i="1"/>
  <c r="M376" i="1"/>
  <c r="O1383" i="1"/>
  <c r="N1383" i="1"/>
  <c r="M1383" i="1"/>
  <c r="O374" i="1"/>
  <c r="N374" i="1"/>
  <c r="M374" i="1"/>
  <c r="O373" i="1"/>
  <c r="N373" i="1"/>
  <c r="M373" i="1"/>
  <c r="O372" i="1"/>
  <c r="N372" i="1"/>
  <c r="M372" i="1"/>
  <c r="O371" i="1"/>
  <c r="N371" i="1"/>
  <c r="M371" i="1"/>
  <c r="O998" i="1"/>
  <c r="N998" i="1"/>
  <c r="M998" i="1"/>
  <c r="O369" i="1"/>
  <c r="N369" i="1"/>
  <c r="M369" i="1"/>
  <c r="O368" i="1"/>
  <c r="N368" i="1"/>
  <c r="M368" i="1"/>
  <c r="O367" i="1"/>
  <c r="N367" i="1"/>
  <c r="M367" i="1"/>
  <c r="O366" i="1"/>
  <c r="N366" i="1"/>
  <c r="M366" i="1"/>
  <c r="O365" i="1"/>
  <c r="N365" i="1"/>
  <c r="M365" i="1"/>
  <c r="O364" i="1"/>
  <c r="N364" i="1"/>
  <c r="M364" i="1"/>
  <c r="O170" i="1"/>
  <c r="N170" i="1"/>
  <c r="M170" i="1"/>
  <c r="O362" i="1"/>
  <c r="N362" i="1"/>
  <c r="M362" i="1"/>
  <c r="O361" i="1"/>
  <c r="N361" i="1"/>
  <c r="M361" i="1"/>
  <c r="O360" i="1"/>
  <c r="N360" i="1"/>
  <c r="M360" i="1"/>
  <c r="O359" i="1"/>
  <c r="N359" i="1"/>
  <c r="M359" i="1"/>
  <c r="O358" i="1"/>
  <c r="N358" i="1"/>
  <c r="M358" i="1"/>
  <c r="O357" i="1"/>
  <c r="N357" i="1"/>
  <c r="M357" i="1"/>
  <c r="O356" i="1"/>
  <c r="O355" i="1"/>
  <c r="N355" i="1"/>
  <c r="M355" i="1"/>
  <c r="O354" i="1"/>
  <c r="N354" i="1"/>
  <c r="M354" i="1"/>
  <c r="O353" i="1"/>
  <c r="N353" i="1"/>
  <c r="M353" i="1"/>
  <c r="O352" i="1"/>
  <c r="N352" i="1"/>
  <c r="M352" i="1"/>
  <c r="O351" i="1"/>
  <c r="N351" i="1"/>
  <c r="M351" i="1"/>
  <c r="O350" i="1"/>
  <c r="N350" i="1"/>
  <c r="M350" i="1"/>
  <c r="O2658" i="1"/>
  <c r="N2658" i="1"/>
  <c r="M2658" i="1"/>
  <c r="O348" i="1"/>
  <c r="N348" i="1"/>
  <c r="M348" i="1"/>
  <c r="O347" i="1"/>
  <c r="N347" i="1"/>
  <c r="M347" i="1"/>
  <c r="O346" i="1"/>
  <c r="N346" i="1"/>
  <c r="M346" i="1"/>
  <c r="O345" i="1"/>
  <c r="N345" i="1"/>
  <c r="M345" i="1"/>
  <c r="O344" i="1"/>
  <c r="N344" i="1"/>
  <c r="M344" i="1"/>
  <c r="O343" i="1"/>
  <c r="N343" i="1"/>
  <c r="M343" i="1"/>
  <c r="O342" i="1"/>
  <c r="N342" i="1"/>
  <c r="M342" i="1"/>
  <c r="O341" i="1"/>
  <c r="N341" i="1"/>
  <c r="M341" i="1"/>
  <c r="O340" i="1"/>
  <c r="N340" i="1"/>
  <c r="M340" i="1"/>
  <c r="O339" i="1"/>
  <c r="N339" i="1"/>
  <c r="M339" i="1"/>
  <c r="O338" i="1"/>
  <c r="N338" i="1"/>
  <c r="M338" i="1"/>
  <c r="O337" i="1"/>
  <c r="N337" i="1"/>
  <c r="M337" i="1"/>
  <c r="O2342" i="1"/>
  <c r="N2342" i="1"/>
  <c r="M2342" i="1"/>
  <c r="O335" i="1"/>
  <c r="N335" i="1"/>
  <c r="M335" i="1"/>
  <c r="O334" i="1"/>
  <c r="N334" i="1"/>
  <c r="M334" i="1"/>
  <c r="O333" i="1"/>
  <c r="N333" i="1"/>
  <c r="M333" i="1"/>
  <c r="O332" i="1"/>
  <c r="N332" i="1"/>
  <c r="M332" i="1"/>
  <c r="O616" i="1"/>
  <c r="N616" i="1"/>
  <c r="M616" i="1"/>
  <c r="O330" i="1"/>
  <c r="N330" i="1"/>
  <c r="M330" i="1"/>
  <c r="O329" i="1"/>
  <c r="M329" i="1"/>
  <c r="O328" i="1"/>
  <c r="M328" i="1"/>
  <c r="O327" i="1"/>
  <c r="N327" i="1"/>
  <c r="M327" i="1"/>
  <c r="O326" i="1"/>
  <c r="N326" i="1"/>
  <c r="M326" i="1"/>
  <c r="O325" i="1"/>
  <c r="N325" i="1"/>
  <c r="M325" i="1"/>
  <c r="O324" i="1"/>
  <c r="N324" i="1"/>
  <c r="M324" i="1"/>
  <c r="O323" i="1"/>
  <c r="N323" i="1"/>
  <c r="M323" i="1"/>
  <c r="O322" i="1"/>
  <c r="N322" i="1"/>
  <c r="M322" i="1"/>
  <c r="O321" i="1"/>
  <c r="N321" i="1"/>
  <c r="M321" i="1"/>
  <c r="O320" i="1"/>
  <c r="N320" i="1"/>
  <c r="M320" i="1"/>
  <c r="O319" i="1"/>
  <c r="N319" i="1"/>
  <c r="M319" i="1"/>
  <c r="O318" i="1"/>
  <c r="N318" i="1"/>
  <c r="M318" i="1"/>
  <c r="O317" i="1"/>
  <c r="N317" i="1"/>
  <c r="M317" i="1"/>
  <c r="O316" i="1"/>
  <c r="N316" i="1"/>
  <c r="M316" i="1"/>
  <c r="O315" i="1"/>
  <c r="N315" i="1"/>
  <c r="M315" i="1"/>
  <c r="O314" i="1"/>
  <c r="N314" i="1"/>
  <c r="M314" i="1"/>
  <c r="O313" i="1"/>
  <c r="N313" i="1"/>
  <c r="M313" i="1"/>
  <c r="O312" i="1"/>
  <c r="N312" i="1"/>
  <c r="M312" i="1"/>
  <c r="O311" i="1"/>
  <c r="N311" i="1"/>
  <c r="M311" i="1"/>
  <c r="O310" i="1"/>
  <c r="N310" i="1"/>
  <c r="M310" i="1"/>
  <c r="O309" i="1"/>
  <c r="N309" i="1"/>
  <c r="M309" i="1"/>
  <c r="O308" i="1"/>
  <c r="O307" i="1"/>
  <c r="O306" i="1"/>
  <c r="N306" i="1"/>
  <c r="M306" i="1"/>
  <c r="O305" i="1"/>
  <c r="N305" i="1"/>
  <c r="M305" i="1"/>
  <c r="O304" i="1"/>
  <c r="N304" i="1"/>
  <c r="M304" i="1"/>
  <c r="O303" i="1"/>
  <c r="N303" i="1"/>
  <c r="M303" i="1"/>
  <c r="O302" i="1"/>
  <c r="N302" i="1"/>
  <c r="M302" i="1"/>
  <c r="O301" i="1"/>
  <c r="N301" i="1"/>
  <c r="M301" i="1"/>
  <c r="O300" i="1"/>
  <c r="N300" i="1"/>
  <c r="M300" i="1"/>
  <c r="O299" i="1"/>
  <c r="N299" i="1"/>
  <c r="M299" i="1"/>
  <c r="O298" i="1"/>
  <c r="N298" i="1"/>
  <c r="M298" i="1"/>
  <c r="O297" i="1"/>
  <c r="N297" i="1"/>
  <c r="M297" i="1"/>
  <c r="O296" i="1"/>
  <c r="N296" i="1"/>
  <c r="M296" i="1"/>
  <c r="O295" i="1"/>
  <c r="N295" i="1"/>
  <c r="M295" i="1"/>
  <c r="O294" i="1"/>
  <c r="N294" i="1"/>
  <c r="M294" i="1"/>
  <c r="O293" i="1"/>
  <c r="N293" i="1"/>
  <c r="M293" i="1"/>
  <c r="O292" i="1"/>
  <c r="N292" i="1"/>
  <c r="M292" i="1"/>
  <c r="O291" i="1"/>
  <c r="N291" i="1"/>
  <c r="M291" i="1"/>
  <c r="O290" i="1"/>
  <c r="N290" i="1"/>
  <c r="M290" i="1"/>
  <c r="O289" i="1"/>
  <c r="N289" i="1"/>
  <c r="M289" i="1"/>
  <c r="O288" i="1"/>
  <c r="N288" i="1"/>
  <c r="M288" i="1"/>
  <c r="O287" i="1"/>
  <c r="N287" i="1"/>
  <c r="M287" i="1"/>
  <c r="O286" i="1"/>
  <c r="N286" i="1"/>
  <c r="M286" i="1"/>
  <c r="O285" i="1"/>
  <c r="N285" i="1"/>
  <c r="M285" i="1"/>
  <c r="O284" i="1"/>
  <c r="N284" i="1"/>
  <c r="M284" i="1"/>
  <c r="O283" i="1"/>
  <c r="N283" i="1"/>
  <c r="M283" i="1"/>
  <c r="O282" i="1"/>
  <c r="N282" i="1"/>
  <c r="M282" i="1"/>
  <c r="O281" i="1"/>
  <c r="N281" i="1"/>
  <c r="M281" i="1"/>
  <c r="O280" i="1"/>
  <c r="N280" i="1"/>
  <c r="M280" i="1"/>
  <c r="O279" i="1"/>
  <c r="M279" i="1"/>
  <c r="O278" i="1"/>
  <c r="M278" i="1"/>
  <c r="O277" i="1"/>
  <c r="N277" i="1"/>
  <c r="M277" i="1"/>
  <c r="O276" i="1"/>
  <c r="N276" i="1"/>
  <c r="M276" i="1"/>
  <c r="O275" i="1"/>
  <c r="N275" i="1"/>
  <c r="M275" i="1"/>
  <c r="O274" i="1"/>
  <c r="N274" i="1"/>
  <c r="M274" i="1"/>
  <c r="O273" i="1"/>
  <c r="N273" i="1"/>
  <c r="M273" i="1"/>
  <c r="O272" i="1"/>
  <c r="N272" i="1"/>
  <c r="M272" i="1"/>
  <c r="O271" i="1"/>
  <c r="N271" i="1"/>
  <c r="M271" i="1"/>
  <c r="O270" i="1"/>
  <c r="N270" i="1"/>
  <c r="M270" i="1"/>
  <c r="O269" i="1"/>
  <c r="N269" i="1"/>
  <c r="M269" i="1"/>
  <c r="O268" i="1"/>
  <c r="N268" i="1"/>
  <c r="M268" i="1"/>
  <c r="O267" i="1"/>
  <c r="N267" i="1"/>
  <c r="M267" i="1"/>
  <c r="O266" i="1"/>
  <c r="N266" i="1"/>
  <c r="M266" i="1"/>
  <c r="O265" i="1"/>
  <c r="N265" i="1"/>
  <c r="M265" i="1"/>
  <c r="O264" i="1"/>
  <c r="N264" i="1"/>
  <c r="M264" i="1"/>
  <c r="O263" i="1"/>
  <c r="N263" i="1"/>
  <c r="M263" i="1"/>
  <c r="O262" i="1"/>
  <c r="N262" i="1"/>
  <c r="M262" i="1"/>
  <c r="O261" i="1"/>
  <c r="N261" i="1"/>
  <c r="M261" i="1"/>
  <c r="O260" i="1"/>
  <c r="N260" i="1"/>
  <c r="M260" i="1"/>
  <c r="O259" i="1"/>
  <c r="N259" i="1"/>
  <c r="M259" i="1"/>
  <c r="O2815" i="1"/>
  <c r="M2815" i="1"/>
  <c r="O2649" i="1"/>
  <c r="M2649" i="1"/>
  <c r="O718" i="1"/>
  <c r="M718" i="1"/>
  <c r="O448" i="1"/>
  <c r="M448" i="1"/>
  <c r="O254" i="1"/>
  <c r="M254" i="1"/>
  <c r="O253" i="1"/>
  <c r="M253" i="1"/>
  <c r="O252" i="1"/>
  <c r="M252" i="1"/>
  <c r="O251" i="1"/>
  <c r="M251" i="1"/>
  <c r="O250" i="1"/>
  <c r="M250" i="1"/>
  <c r="O249" i="1"/>
  <c r="M249" i="1"/>
  <c r="O248" i="1"/>
  <c r="M248" i="1"/>
  <c r="O247" i="1"/>
  <c r="M247" i="1"/>
  <c r="O246" i="1"/>
  <c r="M246" i="1"/>
  <c r="O245" i="1"/>
  <c r="M245" i="1"/>
  <c r="O244" i="1"/>
  <c r="M244" i="1"/>
  <c r="O243" i="1"/>
  <c r="M243" i="1"/>
  <c r="O242" i="1"/>
  <c r="M242" i="1"/>
  <c r="O241" i="1"/>
  <c r="M241" i="1"/>
  <c r="O240" i="1"/>
  <c r="M240" i="1"/>
  <c r="O239" i="1"/>
  <c r="M239" i="1"/>
  <c r="O238" i="1"/>
  <c r="M238" i="1"/>
  <c r="O237" i="1"/>
  <c r="M237" i="1"/>
  <c r="O236" i="1"/>
  <c r="M236" i="1"/>
  <c r="O235" i="1"/>
  <c r="M235" i="1"/>
  <c r="O1726" i="1"/>
  <c r="N1726" i="1"/>
  <c r="M1726" i="1"/>
  <c r="O1155" i="1"/>
  <c r="N1155" i="1"/>
  <c r="M1155" i="1"/>
  <c r="O232" i="1"/>
  <c r="N232" i="1"/>
  <c r="M232" i="1"/>
  <c r="O231" i="1"/>
  <c r="N231" i="1"/>
  <c r="M231" i="1"/>
  <c r="O230" i="1"/>
  <c r="N230" i="1"/>
  <c r="M230" i="1"/>
  <c r="O609" i="1"/>
  <c r="N609" i="1"/>
  <c r="M609" i="1"/>
  <c r="O228" i="1"/>
  <c r="N228" i="1"/>
  <c r="M228" i="1"/>
  <c r="O227" i="1"/>
  <c r="N227" i="1"/>
  <c r="M227" i="1"/>
  <c r="O226" i="1"/>
  <c r="N226" i="1"/>
  <c r="M226" i="1"/>
  <c r="O225" i="1"/>
  <c r="N225" i="1"/>
  <c r="M225" i="1"/>
  <c r="O224" i="1"/>
  <c r="N224" i="1"/>
  <c r="M224" i="1"/>
  <c r="O223" i="1"/>
  <c r="N223" i="1"/>
  <c r="M223" i="1"/>
  <c r="O772" i="1"/>
  <c r="N772" i="1"/>
  <c r="M772" i="1"/>
  <c r="O221" i="1"/>
  <c r="N221" i="1"/>
  <c r="M221" i="1"/>
  <c r="O220" i="1"/>
  <c r="N220" i="1"/>
  <c r="M220" i="1"/>
  <c r="O1529" i="1"/>
  <c r="N1529" i="1"/>
  <c r="M1529" i="1"/>
  <c r="O218" i="1"/>
  <c r="N218" i="1"/>
  <c r="M218" i="1"/>
  <c r="O217" i="1"/>
  <c r="N217" i="1"/>
  <c r="M217" i="1"/>
  <c r="O216" i="1"/>
  <c r="N216" i="1"/>
  <c r="M216" i="1"/>
  <c r="O215" i="1"/>
  <c r="N215" i="1"/>
  <c r="M215" i="1"/>
  <c r="O214" i="1"/>
  <c r="N214" i="1"/>
  <c r="M214" i="1"/>
  <c r="O213" i="1"/>
  <c r="N213" i="1"/>
  <c r="M213" i="1"/>
  <c r="O762" i="1"/>
  <c r="N762" i="1"/>
  <c r="M762" i="1"/>
  <c r="O211" i="1"/>
  <c r="N211" i="1"/>
  <c r="M211" i="1"/>
  <c r="O210" i="1"/>
  <c r="N210" i="1"/>
  <c r="M210" i="1"/>
  <c r="O209" i="1"/>
  <c r="N209" i="1"/>
  <c r="M209" i="1"/>
  <c r="O774" i="1"/>
  <c r="N774" i="1"/>
  <c r="M774" i="1"/>
  <c r="O363" i="1"/>
  <c r="N363" i="1"/>
  <c r="M363" i="1"/>
  <c r="O206" i="1"/>
  <c r="N206" i="1"/>
  <c r="M206" i="1"/>
  <c r="O205" i="1"/>
  <c r="N205" i="1"/>
  <c r="M205" i="1"/>
  <c r="O204" i="1"/>
  <c r="N204" i="1"/>
  <c r="M204" i="1"/>
  <c r="O203" i="1"/>
  <c r="N203" i="1"/>
  <c r="M203" i="1"/>
  <c r="O1504" i="1"/>
  <c r="M1504" i="1"/>
  <c r="O201" i="1"/>
  <c r="M201" i="1"/>
  <c r="O200" i="1"/>
  <c r="M200" i="1"/>
  <c r="O199" i="1"/>
  <c r="N199" i="1"/>
  <c r="M199" i="1"/>
  <c r="O198" i="1"/>
  <c r="N198" i="1"/>
  <c r="M198" i="1"/>
  <c r="O197" i="1"/>
  <c r="N197" i="1"/>
  <c r="M197" i="1"/>
  <c r="O196" i="1"/>
  <c r="N196" i="1"/>
  <c r="M196" i="1"/>
  <c r="O195" i="1"/>
  <c r="N195" i="1"/>
  <c r="M195" i="1"/>
  <c r="O194" i="1"/>
  <c r="N194" i="1"/>
  <c r="M194" i="1"/>
  <c r="O193" i="1"/>
  <c r="N193" i="1"/>
  <c r="M193" i="1"/>
  <c r="O192" i="1"/>
  <c r="N192" i="1"/>
  <c r="M192" i="1"/>
  <c r="O191" i="1"/>
  <c r="N191" i="1"/>
  <c r="M191" i="1"/>
  <c r="O190" i="1"/>
  <c r="N190" i="1"/>
  <c r="M190" i="1"/>
  <c r="O1557" i="1"/>
  <c r="O1126" i="1"/>
  <c r="O2133" i="1"/>
  <c r="O2294" i="1"/>
  <c r="O185" i="1"/>
  <c r="N185" i="1"/>
  <c r="M185" i="1"/>
  <c r="O184" i="1"/>
  <c r="N184" i="1"/>
  <c r="M184" i="1"/>
  <c r="O183" i="1"/>
  <c r="N183" i="1"/>
  <c r="M183" i="1"/>
  <c r="O182" i="1"/>
  <c r="N182" i="1"/>
  <c r="M182" i="1"/>
  <c r="O181" i="1"/>
  <c r="N181" i="1"/>
  <c r="M181" i="1"/>
  <c r="O180" i="1"/>
  <c r="N180" i="1"/>
  <c r="M180" i="1"/>
  <c r="O179" i="1"/>
  <c r="N179" i="1"/>
  <c r="M179" i="1"/>
  <c r="O178" i="1"/>
  <c r="N178" i="1"/>
  <c r="M178" i="1"/>
  <c r="O177" i="1"/>
  <c r="N177" i="1"/>
  <c r="M177" i="1"/>
  <c r="O176" i="1"/>
  <c r="N176" i="1"/>
  <c r="M176" i="1"/>
  <c r="O175" i="1"/>
  <c r="N175" i="1"/>
  <c r="M175" i="1"/>
  <c r="O174" i="1"/>
  <c r="N174" i="1"/>
  <c r="M174" i="1"/>
  <c r="O173" i="1"/>
  <c r="N173" i="1"/>
  <c r="M173" i="1"/>
  <c r="O172" i="1"/>
  <c r="N172" i="1"/>
  <c r="M172" i="1"/>
  <c r="O171" i="1"/>
  <c r="N171" i="1"/>
  <c r="M171" i="1"/>
  <c r="O2907" i="1"/>
  <c r="N2907" i="1"/>
  <c r="M2907" i="1"/>
  <c r="O574" i="1"/>
  <c r="N574" i="1"/>
  <c r="M574" i="1"/>
  <c r="O168" i="1"/>
  <c r="N168" i="1"/>
  <c r="M168" i="1"/>
  <c r="O167" i="1"/>
  <c r="N167" i="1"/>
  <c r="M167" i="1"/>
  <c r="O166" i="1"/>
  <c r="N166" i="1"/>
  <c r="M166" i="1"/>
  <c r="K166" i="1"/>
  <c r="O165" i="1"/>
  <c r="N165" i="1"/>
  <c r="M165" i="1"/>
  <c r="O164" i="1"/>
  <c r="N164" i="1"/>
  <c r="M164" i="1"/>
  <c r="O163" i="1"/>
  <c r="N163" i="1"/>
  <c r="M163" i="1"/>
  <c r="O162" i="1"/>
  <c r="N162" i="1"/>
  <c r="M162" i="1"/>
  <c r="O161" i="1"/>
  <c r="N161" i="1"/>
  <c r="M161" i="1"/>
  <c r="O160" i="1"/>
  <c r="N160" i="1"/>
  <c r="M160" i="1"/>
  <c r="O1453" i="1"/>
  <c r="O158" i="1"/>
  <c r="M158" i="1"/>
  <c r="O157" i="1"/>
  <c r="N157" i="1"/>
  <c r="M157" i="1"/>
  <c r="O156" i="1"/>
  <c r="N156" i="1"/>
  <c r="M156" i="1"/>
  <c r="O155" i="1"/>
  <c r="N155" i="1"/>
  <c r="M155" i="1"/>
  <c r="O154" i="1"/>
  <c r="N154" i="1"/>
  <c r="M154" i="1"/>
  <c r="O153" i="1"/>
  <c r="N153" i="1"/>
  <c r="M153" i="1"/>
  <c r="O152" i="1"/>
  <c r="N152" i="1"/>
  <c r="M152" i="1"/>
  <c r="O151" i="1"/>
  <c r="N151" i="1"/>
  <c r="M151" i="1"/>
  <c r="O1575" i="1"/>
  <c r="N1575" i="1"/>
  <c r="M1575" i="1"/>
  <c r="O149" i="1"/>
  <c r="N149" i="1"/>
  <c r="M149" i="1"/>
  <c r="O148" i="1"/>
  <c r="N148" i="1"/>
  <c r="M148" i="1"/>
  <c r="O931" i="1"/>
  <c r="N931" i="1"/>
  <c r="M931" i="1"/>
  <c r="O146" i="1"/>
  <c r="O453" i="1"/>
  <c r="O611" i="1"/>
  <c r="O143" i="1"/>
  <c r="N143" i="1"/>
  <c r="M143" i="1"/>
  <c r="O142" i="1"/>
  <c r="N142" i="1"/>
  <c r="M142" i="1"/>
  <c r="O141" i="1"/>
  <c r="N141" i="1"/>
  <c r="M141" i="1"/>
  <c r="O140" i="1"/>
  <c r="N140" i="1"/>
  <c r="M140" i="1"/>
  <c r="O139" i="1"/>
  <c r="N139" i="1"/>
  <c r="M139" i="1"/>
  <c r="O138" i="1"/>
  <c r="N138" i="1"/>
  <c r="M138" i="1"/>
  <c r="O137" i="1"/>
  <c r="N137" i="1"/>
  <c r="M137" i="1"/>
  <c r="O868" i="1"/>
  <c r="N868" i="1"/>
  <c r="M868" i="1"/>
  <c r="O652" i="1"/>
  <c r="N652" i="1"/>
  <c r="M652" i="1"/>
  <c r="O134" i="1"/>
  <c r="N134" i="1"/>
  <c r="M134" i="1"/>
  <c r="O133" i="1"/>
  <c r="N133" i="1"/>
  <c r="M133" i="1"/>
  <c r="O1075" i="1"/>
  <c r="N1075" i="1"/>
  <c r="M1075" i="1"/>
  <c r="O2662" i="1"/>
  <c r="N2662" i="1"/>
  <c r="M2662" i="1"/>
  <c r="O130" i="1"/>
  <c r="N130" i="1"/>
  <c r="M130" i="1"/>
  <c r="O129" i="1"/>
  <c r="N129" i="1"/>
  <c r="M129" i="1"/>
  <c r="O128" i="1"/>
  <c r="N128" i="1"/>
  <c r="M128" i="1"/>
  <c r="O1016" i="1"/>
  <c r="N1016" i="1"/>
  <c r="M1016" i="1"/>
  <c r="O1496" i="1"/>
  <c r="N1496" i="1"/>
  <c r="M1496" i="1"/>
  <c r="O1914" i="1"/>
  <c r="N1914" i="1"/>
  <c r="M1914" i="1"/>
  <c r="O219" i="1"/>
  <c r="N219" i="1"/>
  <c r="M219" i="1"/>
  <c r="O123" i="1"/>
  <c r="N123" i="1"/>
  <c r="M123" i="1"/>
  <c r="O1253" i="1"/>
  <c r="N1253" i="1"/>
  <c r="M1253" i="1"/>
  <c r="O447" i="1"/>
  <c r="N447" i="1"/>
  <c r="M447" i="1"/>
  <c r="O120" i="1"/>
  <c r="N120" i="1"/>
  <c r="M120" i="1"/>
  <c r="O119" i="1"/>
  <c r="N119" i="1"/>
  <c r="M119" i="1"/>
  <c r="O124" i="1"/>
  <c r="N124" i="1"/>
  <c r="M124" i="1"/>
  <c r="O117" i="1"/>
  <c r="N117" i="1"/>
  <c r="M117" i="1"/>
  <c r="O116" i="1"/>
  <c r="N116" i="1"/>
  <c r="M116" i="1"/>
  <c r="O115" i="1"/>
  <c r="N115" i="1"/>
  <c r="M115" i="1"/>
  <c r="O2268" i="1"/>
  <c r="N2268" i="1"/>
  <c r="M2268" i="1"/>
  <c r="O452" i="1"/>
  <c r="N452" i="1"/>
  <c r="M452" i="1"/>
  <c r="O112" i="1"/>
  <c r="N112" i="1"/>
  <c r="M112" i="1"/>
  <c r="O1385" i="1"/>
  <c r="N1385" i="1"/>
  <c r="M1385" i="1"/>
  <c r="O1416" i="1"/>
  <c r="N1416" i="1"/>
  <c r="M1416" i="1"/>
  <c r="O760" i="1"/>
  <c r="N760" i="1"/>
  <c r="M760" i="1"/>
  <c r="O2876" i="1"/>
  <c r="N2876" i="1"/>
  <c r="M2876" i="1"/>
  <c r="O107" i="1"/>
  <c r="N107" i="1"/>
  <c r="M107" i="1"/>
  <c r="O921" i="1"/>
  <c r="N921" i="1"/>
  <c r="M921" i="1"/>
  <c r="O383" i="1"/>
  <c r="N383" i="1"/>
  <c r="M383" i="1"/>
  <c r="O104" i="1"/>
  <c r="N104" i="1"/>
  <c r="M104" i="1"/>
  <c r="O103" i="1"/>
  <c r="N103" i="1"/>
  <c r="M103" i="1"/>
  <c r="O127" i="1"/>
  <c r="N127" i="1"/>
  <c r="M127" i="1"/>
  <c r="O101" i="1"/>
  <c r="N101" i="1"/>
  <c r="M101" i="1"/>
  <c r="O100" i="1"/>
  <c r="N100" i="1"/>
  <c r="M100" i="1"/>
  <c r="O99" i="1"/>
  <c r="N99" i="1"/>
  <c r="M99" i="1"/>
  <c r="O98" i="1"/>
  <c r="N98" i="1"/>
  <c r="M98" i="1"/>
  <c r="O97" i="1"/>
  <c r="N97" i="1"/>
  <c r="M97" i="1"/>
  <c r="O96" i="1"/>
  <c r="N96" i="1"/>
  <c r="M96" i="1"/>
  <c r="O95" i="1"/>
  <c r="N95" i="1"/>
  <c r="M95" i="1"/>
  <c r="O94" i="1"/>
  <c r="N94" i="1"/>
  <c r="M94" i="1"/>
  <c r="O93" i="1"/>
  <c r="N93" i="1"/>
  <c r="M93" i="1"/>
  <c r="O92" i="1"/>
  <c r="N92" i="1"/>
  <c r="M92" i="1"/>
  <c r="O91" i="1"/>
  <c r="O90" i="1"/>
  <c r="O89" i="1"/>
  <c r="O88" i="1"/>
  <c r="N88" i="1"/>
  <c r="M88" i="1"/>
  <c r="O87" i="1"/>
  <c r="N87" i="1"/>
  <c r="M87" i="1"/>
  <c r="O86" i="1"/>
  <c r="N86" i="1"/>
  <c r="M86" i="1"/>
  <c r="O1528" i="1"/>
  <c r="N1528" i="1"/>
  <c r="M1528" i="1"/>
  <c r="O84" i="1"/>
  <c r="N84" i="1"/>
  <c r="M84" i="1"/>
  <c r="O83" i="1"/>
  <c r="N83" i="1"/>
  <c r="M83" i="1"/>
  <c r="O82" i="1"/>
  <c r="N82" i="1"/>
  <c r="M82" i="1"/>
  <c r="O737" i="1"/>
  <c r="N737" i="1"/>
  <c r="M737" i="1"/>
  <c r="O1162" i="1"/>
  <c r="N1162" i="1"/>
  <c r="M1162" i="1"/>
  <c r="O79" i="1"/>
  <c r="N79" i="1"/>
  <c r="M79" i="1"/>
  <c r="O78" i="1"/>
  <c r="N78" i="1"/>
  <c r="M78" i="1"/>
  <c r="O1776" i="1"/>
  <c r="N1776" i="1"/>
  <c r="M1776" i="1"/>
  <c r="O76" i="1"/>
  <c r="N76" i="1"/>
  <c r="M76" i="1"/>
  <c r="O75" i="1"/>
  <c r="N75" i="1"/>
  <c r="M75" i="1"/>
  <c r="O539" i="1"/>
  <c r="N539" i="1"/>
  <c r="M539" i="1"/>
  <c r="O1755" i="1"/>
  <c r="N1755" i="1"/>
  <c r="M1755" i="1"/>
  <c r="O763" i="1"/>
  <c r="N763" i="1"/>
  <c r="M763" i="1"/>
  <c r="O2868" i="1"/>
  <c r="N2868" i="1"/>
  <c r="M2868" i="1"/>
  <c r="O2277" i="1"/>
  <c r="N2277" i="1"/>
  <c r="M2277" i="1"/>
  <c r="O48" i="1"/>
  <c r="N48" i="1"/>
  <c r="M48" i="1"/>
  <c r="O68" i="1"/>
  <c r="N68" i="1"/>
  <c r="M68" i="1"/>
  <c r="O67" i="1"/>
  <c r="N67" i="1"/>
  <c r="M67" i="1"/>
  <c r="O766" i="1"/>
  <c r="N766" i="1"/>
  <c r="M766" i="1"/>
  <c r="O65" i="1"/>
  <c r="N65" i="1"/>
  <c r="M65" i="1"/>
  <c r="O1015" i="1"/>
  <c r="N1015" i="1"/>
  <c r="M1015" i="1"/>
  <c r="O63" i="1"/>
  <c r="N63" i="1"/>
  <c r="M63" i="1"/>
  <c r="O1135" i="1"/>
  <c r="N1135" i="1"/>
  <c r="M1135" i="1"/>
  <c r="O61" i="1"/>
  <c r="N61" i="1"/>
  <c r="M61" i="1"/>
  <c r="O1715" i="1"/>
  <c r="O59" i="1"/>
  <c r="N59" i="1"/>
  <c r="M59" i="1"/>
  <c r="O2343" i="1"/>
  <c r="N2343" i="1"/>
  <c r="M2343" i="1"/>
  <c r="O57" i="1"/>
  <c r="N57" i="1"/>
  <c r="M57" i="1"/>
  <c r="O56" i="1"/>
  <c r="N56" i="1"/>
  <c r="M56" i="1"/>
  <c r="O656" i="1"/>
  <c r="N656" i="1"/>
  <c r="M656" i="1"/>
  <c r="O54" i="1"/>
  <c r="N54" i="1"/>
  <c r="M54" i="1"/>
  <c r="O2594" i="1"/>
  <c r="N2594" i="1"/>
  <c r="M2594" i="1"/>
  <c r="O52" i="1"/>
  <c r="N52" i="1"/>
  <c r="M52" i="1"/>
  <c r="O51" i="1"/>
  <c r="N51" i="1"/>
  <c r="M51" i="1"/>
  <c r="O50" i="1"/>
  <c r="N50" i="1"/>
  <c r="M50" i="1"/>
  <c r="O49" i="1"/>
  <c r="N49" i="1"/>
  <c r="M49" i="1"/>
  <c r="O1132" i="1"/>
  <c r="N1132" i="1"/>
  <c r="M1132" i="1"/>
  <c r="O1072" i="1"/>
  <c r="N1072" i="1"/>
  <c r="M1072" i="1"/>
  <c r="O46" i="1"/>
  <c r="N46" i="1"/>
  <c r="M46" i="1"/>
  <c r="O1419" i="1"/>
  <c r="N1419" i="1"/>
  <c r="M1419" i="1"/>
  <c r="O2694" i="1"/>
  <c r="N2694" i="1"/>
  <c r="M2694" i="1"/>
  <c r="O1001" i="1"/>
  <c r="N1001" i="1"/>
  <c r="M1001" i="1"/>
  <c r="O655" i="1"/>
  <c r="N655" i="1"/>
  <c r="M655" i="1"/>
  <c r="O41" i="1"/>
  <c r="N41" i="1"/>
  <c r="M41" i="1"/>
  <c r="O40" i="1"/>
  <c r="N40" i="1"/>
  <c r="M40" i="1"/>
  <c r="O1712" i="1"/>
  <c r="N1712" i="1"/>
  <c r="M1712" i="1"/>
  <c r="O1389" i="1"/>
  <c r="N1389" i="1"/>
  <c r="M1389" i="1"/>
  <c r="O1172" i="1"/>
  <c r="N1172" i="1"/>
  <c r="M1172" i="1"/>
  <c r="O36" i="1"/>
  <c r="N36" i="1"/>
  <c r="M36" i="1"/>
  <c r="O35" i="1"/>
  <c r="N35" i="1"/>
  <c r="M35" i="1"/>
  <c r="O389" i="1"/>
  <c r="N389" i="1"/>
  <c r="M389" i="1"/>
  <c r="O2259" i="1"/>
  <c r="N2259" i="1"/>
  <c r="M2259" i="1"/>
  <c r="O2256" i="1"/>
  <c r="N2256" i="1"/>
  <c r="M2256" i="1"/>
  <c r="O7" i="1"/>
  <c r="N7" i="1"/>
  <c r="M7" i="1"/>
  <c r="O6" i="1"/>
  <c r="N6" i="1"/>
  <c r="M6" i="1"/>
  <c r="O5" i="1"/>
  <c r="N5" i="1"/>
  <c r="M5" i="1"/>
  <c r="O4" i="1"/>
  <c r="N4" i="1"/>
  <c r="M4" i="1"/>
  <c r="O3" i="1"/>
  <c r="N3" i="1"/>
  <c r="M3" i="1"/>
  <c r="O2" i="1"/>
  <c r="N2" i="1"/>
  <c r="M2" i="1"/>
  <c r="D161" i="5" l="1"/>
  <c r="D163" i="5" s="1"/>
  <c r="D16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5000000}">
      <text>
        <r>
          <rPr>
            <sz val="10"/>
            <color rgb="FF000000"/>
            <rFont val="Arial"/>
            <scheme val="minor"/>
          </rPr>
          <t>Se asume No cuando en blanco
	-memorias cruzroja
----
Se asume No cuando en blanco
	-memorias cruzroja
----
Se asume No cuando en blanco
	-memorias cruzroja
----
Podríamos asignarles un número en función de la fecha de ingreso a la sociedad nacional.
	-memorias cruzroja
Asignar al final del levantamiento de la BBDD
	-memorias cruzroja</t>
        </r>
      </text>
    </comment>
    <comment ref="L231" authorId="0" shapeId="0" xr:uid="{00000000-0006-0000-0000-00000B000000}">
      <text>
        <r>
          <rPr>
            <sz val="10"/>
            <color rgb="FF000000"/>
            <rFont val="Arial"/>
            <scheme val="minor"/>
          </rPr>
          <t>Apellidos coincidentes, nombres no
	-memorias cruzroja</t>
        </r>
      </text>
    </comment>
    <comment ref="V505" authorId="0" shapeId="0" xr:uid="{00000000-0006-0000-0000-000008000000}">
      <text>
        <r>
          <rPr>
            <sz val="10"/>
            <color rgb="FF000000"/>
            <rFont val="Arial"/>
            <scheme val="minor"/>
          </rPr>
          <t>2020 gestión del riesgo
2011 agua saneamiento y promoción de la higiene
	-memorias cruzroja</t>
        </r>
      </text>
    </comment>
    <comment ref="V742" authorId="0" shapeId="0" xr:uid="{00000000-0006-0000-0000-000007000000}">
      <text>
        <r>
          <rPr>
            <sz val="10"/>
            <color rgb="FF000000"/>
            <rFont val="Arial"/>
            <scheme val="minor"/>
          </rPr>
          <t>Equipo nacional intervención en desastres
	-memorias cruzroja</t>
        </r>
      </text>
    </comment>
    <comment ref="B790" authorId="0" shapeId="0" xr:uid="{00000000-0006-0000-0000-000004000000}">
      <text>
        <r>
          <rPr>
            <sz val="10"/>
            <color rgb="FF000000"/>
            <rFont val="Arial"/>
            <scheme val="minor"/>
          </rPr>
          <t>Favor completar
	-memorias cruzroja</t>
        </r>
      </text>
    </comment>
    <comment ref="G1369" authorId="0" shapeId="0" xr:uid="{00000000-0006-0000-0000-000012000000}">
      <text>
        <r>
          <rPr>
            <sz val="10"/>
            <color rgb="FF000000"/>
            <rFont val="Arial"/>
            <scheme val="minor"/>
          </rPr>
          <t>Reingreso 10/01/20218
	-memorias cruzroja</t>
        </r>
      </text>
    </comment>
    <comment ref="L1429" authorId="0" shapeId="0" xr:uid="{00000000-0006-0000-0000-000009000000}">
      <text>
        <r>
          <rPr>
            <sz val="10"/>
            <color rgb="FF000000"/>
            <rFont val="Arial"/>
            <scheme val="minor"/>
          </rPr>
          <t>también es directora de comunicaciones
	-memorias cruzroja</t>
        </r>
      </text>
    </comment>
    <comment ref="B1796" authorId="0" shapeId="0" xr:uid="{00000000-0006-0000-0000-000010000000}">
      <text>
        <r>
          <rPr>
            <sz val="10"/>
            <color rgb="FF000000"/>
            <rFont val="Arial"/>
            <scheme val="minor"/>
          </rPr>
          <t>Persona no declarada en la lista de voluntarios
	-memorias cruzroja</t>
        </r>
      </text>
    </comment>
    <comment ref="G1989" authorId="0" shapeId="0" xr:uid="{00000000-0006-0000-0000-000003000000}">
      <text>
        <r>
          <rPr>
            <sz val="10"/>
            <color rgb="FF000000"/>
            <rFont val="Arial"/>
            <scheme val="minor"/>
          </rPr>
          <t>decía abril 1917
	-memorias cruzroja</t>
        </r>
      </text>
    </comment>
    <comment ref="G1990" authorId="0" shapeId="0" xr:uid="{00000000-0006-0000-0000-000002000000}">
      <text>
        <r>
          <rPr>
            <sz val="10"/>
            <color rgb="FF000000"/>
            <rFont val="Arial"/>
            <scheme val="minor"/>
          </rPr>
          <t>decía abril 1917
	-memorias cruzroja</t>
        </r>
      </text>
    </comment>
    <comment ref="H2369" authorId="0" shapeId="0" xr:uid="{00000000-0006-0000-0000-000006000000}">
      <text>
        <r>
          <rPr>
            <sz val="10"/>
            <color rgb="FF000000"/>
            <rFont val="Arial"/>
            <scheme val="minor"/>
          </rPr>
          <t>Validar año de nacimiento
	-memorias cruzroja</t>
        </r>
      </text>
    </comment>
    <comment ref="B2466" authorId="0" shapeId="0" xr:uid="{00000000-0006-0000-0000-000011000000}">
      <text>
        <r>
          <rPr>
            <sz val="10"/>
            <color rgb="FF000000"/>
            <rFont val="Arial"/>
            <scheme val="minor"/>
          </rPr>
          <t>Viene malo el archivo
	-memorias cruzroja</t>
        </r>
      </text>
    </comment>
    <comment ref="G2467" authorId="0" shapeId="0" xr:uid="{00000000-0006-0000-0000-000001000000}">
      <text>
        <r>
          <rPr>
            <sz val="10"/>
            <color rgb="FF000000"/>
            <rFont val="Arial"/>
            <scheme val="minor"/>
          </rPr>
          <t>decía 1942
	-memorias cruzroja</t>
        </r>
      </text>
    </comment>
    <comment ref="H2605" authorId="0" shapeId="0" xr:uid="{00000000-0006-0000-0000-00000A000000}">
      <text>
        <r>
          <rPr>
            <sz val="10"/>
            <color rgb="FF000000"/>
            <rFont val="Arial"/>
            <scheme val="minor"/>
          </rPr>
          <t>validar año de nacimiento
	-memorias cruzroja</t>
        </r>
      </text>
    </comment>
    <comment ref="D2691" authorId="0" shapeId="0" xr:uid="{00000000-0006-0000-0000-00000C000000}">
      <text>
        <r>
          <rPr>
            <sz val="10"/>
            <color rgb="FF000000"/>
            <rFont val="Arial"/>
            <scheme val="minor"/>
          </rPr>
          <t>Al parecer no se escribe así el nombre
	-memorias cruzroja</t>
        </r>
      </text>
    </comment>
    <comment ref="H2896" authorId="0" shapeId="0" xr:uid="{00000000-0006-0000-0000-00000E000000}">
      <text>
        <r>
          <rPr>
            <sz val="10"/>
            <color rgb="FF000000"/>
            <rFont val="Arial"/>
            <scheme val="minor"/>
          </rPr>
          <t>Validar año
	-memorias cruzroja</t>
        </r>
      </text>
    </comment>
    <comment ref="H2911" authorId="0" shapeId="0" xr:uid="{00000000-0006-0000-0000-00000F000000}">
      <text>
        <r>
          <rPr>
            <sz val="10"/>
            <color rgb="FF000000"/>
            <rFont val="Arial"/>
            <scheme val="minor"/>
          </rPr>
          <t>Validar mes
	-memorias cruzroja</t>
        </r>
      </text>
    </comment>
    <comment ref="F2917" authorId="0" shapeId="0" xr:uid="{00000000-0006-0000-0000-00000D000000}">
      <text>
        <r>
          <rPr>
            <sz val="10"/>
            <color rgb="FF000000"/>
            <rFont val="Arial"/>
            <scheme val="minor"/>
          </rPr>
          <t>Obtenido con rutificador
	-memorias cruzroja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2" authorId="0" shapeId="0" xr:uid="{00000000-0006-0000-0100-0000A6000000}">
      <text>
        <r>
          <rPr>
            <sz val="10"/>
            <color rgb="FF000000"/>
            <rFont val="Arial"/>
            <scheme val="minor"/>
          </rPr>
          <t>Cruz roja Filial Almendral
	-memorias cruzroja</t>
        </r>
      </text>
    </comment>
    <comment ref="AZ2" authorId="0" shapeId="0" xr:uid="{00000000-0006-0000-0100-0000A5000000}">
      <text>
        <r>
          <rPr>
            <sz val="10"/>
            <color rgb="FF000000"/>
            <rFont val="Arial"/>
            <scheme val="minor"/>
          </rPr>
          <t>decía 1
	-memorias cruzroja</t>
        </r>
      </text>
    </comment>
    <comment ref="J3" authorId="0" shapeId="0" xr:uid="{00000000-0006-0000-0100-0000B8000000}">
      <text>
        <r>
          <rPr>
            <sz val="10"/>
            <color rgb="FF000000"/>
            <rFont val="Arial"/>
            <scheme val="minor"/>
          </rPr>
          <t>CRUZ ROJA CHILEN FILIAL ANGOL
	-memorias cruzroja</t>
        </r>
      </text>
    </comment>
    <comment ref="J4" authorId="0" shapeId="0" xr:uid="{00000000-0006-0000-0100-00005B000000}">
      <text>
        <r>
          <rPr>
            <sz val="10"/>
            <color rgb="FF000000"/>
            <rFont val="Arial"/>
            <scheme val="minor"/>
          </rPr>
          <t>Cruz Roja Chilena Antofagasta facebook, x: @CruzRojaAfta
	-memorias cruzroja</t>
        </r>
      </text>
    </comment>
    <comment ref="J5" authorId="0" shapeId="0" xr:uid="{00000000-0006-0000-0100-0000B5000000}">
      <text>
        <r>
          <rPr>
            <sz val="10"/>
            <color rgb="FF000000"/>
            <rFont val="Arial"/>
            <scheme val="minor"/>
          </rPr>
          <t>https://www.facebook.com/cruzrojaarica
	-memorias cruzroja</t>
        </r>
      </text>
    </comment>
    <comment ref="H6" authorId="0" shapeId="0" xr:uid="{00000000-0006-0000-0100-00002A010000}">
      <text>
        <r>
          <rPr>
            <sz val="10"/>
            <color rgb="FF000000"/>
            <rFont val="Arial"/>
            <scheme val="minor"/>
          </rPr>
          <t>Presidente
	-memorias cruzroja</t>
        </r>
      </text>
    </comment>
    <comment ref="I9" authorId="0" shapeId="0" xr:uid="{00000000-0006-0000-0100-00001B010000}">
      <text>
        <r>
          <rPr>
            <sz val="10"/>
            <color rgb="FF000000"/>
            <rFont val="Arial"/>
            <scheme val="minor"/>
          </rPr>
          <t>no trae año, validar
	-memorias cruzroja</t>
        </r>
      </text>
    </comment>
    <comment ref="J9" authorId="0" shapeId="0" xr:uid="{00000000-0006-0000-0100-000015010000}">
      <text>
        <r>
          <rPr>
            <sz val="10"/>
            <color rgb="FF000000"/>
            <rFont val="Arial"/>
            <scheme val="minor"/>
          </rPr>
          <t>mismo para facebook
	-memorias cruzroja</t>
        </r>
      </text>
    </comment>
    <comment ref="AS9" authorId="0" shapeId="0" xr:uid="{00000000-0006-0000-0100-000019010000}">
      <text>
        <r>
          <rPr>
            <sz val="10"/>
            <color rgb="FF000000"/>
            <rFont val="Arial"/>
            <scheme val="minor"/>
          </rPr>
          <t>Decía 5
	-memorias cruzroja</t>
        </r>
      </text>
    </comment>
    <comment ref="AU9" authorId="0" shapeId="0" xr:uid="{00000000-0006-0000-0100-00001A010000}">
      <text>
        <r>
          <rPr>
            <sz val="10"/>
            <color rgb="FF000000"/>
            <rFont val="Arial"/>
            <scheme val="minor"/>
          </rPr>
          <t>decía 3
	-memorias cruzroja</t>
        </r>
      </text>
    </comment>
    <comment ref="AY9" authorId="0" shapeId="0" xr:uid="{00000000-0006-0000-0100-000018010000}">
      <text>
        <r>
          <rPr>
            <sz val="10"/>
            <color rgb="FF000000"/>
            <rFont val="Arial"/>
            <scheme val="minor"/>
          </rPr>
          <t>decía 2
	-memorias cruzroja</t>
        </r>
      </text>
    </comment>
    <comment ref="AZ9" authorId="0" shapeId="0" xr:uid="{00000000-0006-0000-0100-000017010000}">
      <text>
        <r>
          <rPr>
            <sz val="10"/>
            <color rgb="FF000000"/>
            <rFont val="Arial"/>
            <scheme val="minor"/>
          </rPr>
          <t>decía 1
	-memorias cruzroja</t>
        </r>
      </text>
    </comment>
    <comment ref="BA9" authorId="0" shapeId="0" xr:uid="{00000000-0006-0000-0100-000016010000}">
      <text>
        <r>
          <rPr>
            <sz val="10"/>
            <color rgb="FF000000"/>
            <rFont val="Arial"/>
            <scheme val="minor"/>
          </rPr>
          <t>decía 4
	-memorias cruzroja</t>
        </r>
      </text>
    </comment>
    <comment ref="J10" authorId="0" shapeId="0" xr:uid="{00000000-0006-0000-0100-0000E1000000}">
      <text>
        <r>
          <rPr>
            <sz val="10"/>
            <color rgb="FF000000"/>
            <rFont val="Arial"/>
            <scheme val="minor"/>
          </rPr>
          <t>Cruz roja capitán pastene
	-memorias cruzroja</t>
        </r>
      </text>
    </comment>
    <comment ref="AS10" authorId="0" shapeId="0" xr:uid="{00000000-0006-0000-0100-0000E0000000}">
      <text>
        <r>
          <rPr>
            <sz val="10"/>
            <color rgb="FF000000"/>
            <rFont val="Arial"/>
            <scheme val="minor"/>
          </rPr>
          <t>decía 1
	-memorias cruzroja</t>
        </r>
      </text>
    </comment>
    <comment ref="AT10" authorId="0" shapeId="0" xr:uid="{00000000-0006-0000-0100-0000DF000000}">
      <text>
        <r>
          <rPr>
            <sz val="10"/>
            <color rgb="FF000000"/>
            <rFont val="Arial"/>
            <scheme val="minor"/>
          </rPr>
          <t>decía 1
	-memorias cruzroja</t>
        </r>
      </text>
    </comment>
    <comment ref="AU10" authorId="0" shapeId="0" xr:uid="{00000000-0006-0000-0100-0000DE000000}">
      <text>
        <r>
          <rPr>
            <sz val="10"/>
            <color rgb="FF000000"/>
            <rFont val="Arial"/>
            <scheme val="minor"/>
          </rPr>
          <t>decía 1
	-memorias cruzroja</t>
        </r>
      </text>
    </comment>
    <comment ref="AY10" authorId="0" shapeId="0" xr:uid="{00000000-0006-0000-0100-0000DD000000}">
      <text>
        <r>
          <rPr>
            <sz val="10"/>
            <color rgb="FF000000"/>
            <rFont val="Arial"/>
            <scheme val="minor"/>
          </rPr>
          <t>decía 4
	-memorias cruzroja</t>
        </r>
      </text>
    </comment>
    <comment ref="AZ10" authorId="0" shapeId="0" xr:uid="{00000000-0006-0000-0100-0000DC000000}">
      <text>
        <r>
          <rPr>
            <sz val="10"/>
            <color rgb="FF000000"/>
            <rFont val="Arial"/>
            <scheme val="minor"/>
          </rPr>
          <t>decía 1
	-memorias cruzroja</t>
        </r>
      </text>
    </comment>
    <comment ref="J11" authorId="0" shapeId="0" xr:uid="{00000000-0006-0000-0100-0000E2000000}">
      <text>
        <r>
          <rPr>
            <sz val="10"/>
            <color rgb="FF000000"/>
            <rFont val="Arial"/>
            <scheme val="minor"/>
          </rPr>
          <t>cruz roja chilenafilial carahue
	-memorias cruzroja</t>
        </r>
      </text>
    </comment>
    <comment ref="J12" authorId="0" shapeId="0" xr:uid="{00000000-0006-0000-0100-00007A000000}">
      <text>
        <r>
          <rPr>
            <sz val="10"/>
            <color rgb="FF000000"/>
            <rFont val="Arial"/>
            <scheme val="minor"/>
          </rPr>
          <t>Facebook: Filial Cruz Roja Cartagena
	-memorias cruzroja</t>
        </r>
      </text>
    </comment>
    <comment ref="J14" authorId="0" shapeId="0" xr:uid="{00000000-0006-0000-0100-000003010000}">
      <text>
        <r>
          <rPr>
            <sz val="10"/>
            <color rgb="FF000000"/>
            <rFont val="Arial"/>
            <scheme val="minor"/>
          </rPr>
          <t>CRUZ ROJA CHILENA F. CAUQUENES
	-memorias cruzroja</t>
        </r>
      </text>
    </comment>
    <comment ref="J15" authorId="0" shapeId="0" xr:uid="{00000000-0006-0000-0100-00005A000000}">
      <text>
        <r>
          <rPr>
            <sz val="10"/>
            <color rgb="FF000000"/>
            <rFont val="Arial"/>
            <scheme val="minor"/>
          </rPr>
          <t>Cruz roja chilena filial chiguayante
	-memorias cruzroja</t>
        </r>
      </text>
    </comment>
    <comment ref="AS15" authorId="0" shapeId="0" xr:uid="{00000000-0006-0000-0100-000059000000}">
      <text>
        <r>
          <rPr>
            <sz val="10"/>
            <color rgb="FF000000"/>
            <rFont val="Arial"/>
            <scheme val="minor"/>
          </rPr>
          <t>decía 1
	-memorias cruzroja</t>
        </r>
      </text>
    </comment>
    <comment ref="AT15" authorId="0" shapeId="0" xr:uid="{00000000-0006-0000-0100-000058000000}">
      <text>
        <r>
          <rPr>
            <sz val="10"/>
            <color rgb="FF000000"/>
            <rFont val="Arial"/>
            <scheme val="minor"/>
          </rPr>
          <t>decía 1
	-memorias cruzroja</t>
        </r>
      </text>
    </comment>
    <comment ref="AU15" authorId="0" shapeId="0" xr:uid="{00000000-0006-0000-0100-000057000000}">
      <text>
        <r>
          <rPr>
            <sz val="10"/>
            <color rgb="FF000000"/>
            <rFont val="Arial"/>
            <scheme val="minor"/>
          </rPr>
          <t>decía 1
	-memorias cruzroja</t>
        </r>
      </text>
    </comment>
    <comment ref="AV15" authorId="0" shapeId="0" xr:uid="{00000000-0006-0000-0100-000056000000}">
      <text>
        <r>
          <rPr>
            <sz val="10"/>
            <color rgb="FF000000"/>
            <rFont val="Arial"/>
            <scheme val="minor"/>
          </rPr>
          <t>decía 1
	-memorias cruzroja</t>
        </r>
      </text>
    </comment>
    <comment ref="AX15" authorId="0" shapeId="0" xr:uid="{00000000-0006-0000-0100-000054000000}">
      <text>
        <r>
          <rPr>
            <sz val="10"/>
            <color rgb="FF000000"/>
            <rFont val="Arial"/>
            <scheme val="minor"/>
          </rPr>
          <t>decía 1
	-memorias cruzroja</t>
        </r>
      </text>
    </comment>
    <comment ref="AY15" authorId="0" shapeId="0" xr:uid="{00000000-0006-0000-0100-000055000000}">
      <text>
        <r>
          <rPr>
            <sz val="10"/>
            <color rgb="FF000000"/>
            <rFont val="Arial"/>
            <scheme val="minor"/>
          </rPr>
          <t>decía 1
	-memorias cruzroja</t>
        </r>
      </text>
    </comment>
    <comment ref="BA15" authorId="0" shapeId="0" xr:uid="{00000000-0006-0000-0100-000053000000}">
      <text>
        <r>
          <rPr>
            <sz val="10"/>
            <color rgb="FF000000"/>
            <rFont val="Arial"/>
            <scheme val="minor"/>
          </rPr>
          <t>decía 1
	-memorias cruzroja</t>
        </r>
      </text>
    </comment>
    <comment ref="J16" authorId="0" shapeId="0" xr:uid="{00000000-0006-0000-0100-000006010000}">
      <text>
        <r>
          <rPr>
            <sz val="10"/>
            <color rgb="FF000000"/>
            <rFont val="Arial"/>
            <scheme val="minor"/>
          </rPr>
          <t>cruz roja chilena filial chillán: facebook
	-memorias cruzroja</t>
        </r>
      </text>
    </comment>
    <comment ref="Y16" authorId="0" shapeId="0" xr:uid="{00000000-0006-0000-0100-000005010000}">
      <text>
        <r>
          <rPr>
            <sz val="10"/>
            <color rgb="FF000000"/>
            <rFont val="Arial"/>
            <scheme val="minor"/>
          </rPr>
          <t>sin funcionamiento
	-memorias cruzroja</t>
        </r>
      </text>
    </comment>
    <comment ref="J17" authorId="0" shapeId="0" xr:uid="{00000000-0006-0000-0100-000025010000}">
      <text>
        <r>
          <rPr>
            <sz val="10"/>
            <color rgb="FF000000"/>
            <rFont val="Arial"/>
            <scheme val="minor"/>
          </rPr>
          <t>Facebook: Cruz roja coelemu
	-memorias cruzroja</t>
        </r>
      </text>
    </comment>
    <comment ref="J19" authorId="0" shapeId="0" xr:uid="{00000000-0006-0000-0100-000004010000}">
      <text>
        <r>
          <rPr>
            <sz val="10"/>
            <color rgb="FF000000"/>
            <rFont val="Arial"/>
            <scheme val="minor"/>
          </rPr>
          <t>Mismo facebook y X
	-memorias cruzroja</t>
        </r>
      </text>
    </comment>
    <comment ref="J20" authorId="0" shapeId="0" xr:uid="{00000000-0006-0000-0100-000079000000}">
      <text>
        <r>
          <rPr>
            <sz val="10"/>
            <color rgb="FF000000"/>
            <rFont val="Arial"/>
            <scheme val="minor"/>
          </rPr>
          <t>CRUZ ROJA CONCON facebook
	-memorias cruzroja</t>
        </r>
      </text>
    </comment>
    <comment ref="AS20" authorId="0" shapeId="0" xr:uid="{00000000-0006-0000-0100-000078000000}">
      <text>
        <r>
          <rPr>
            <sz val="10"/>
            <color rgb="FF000000"/>
            <rFont val="Arial"/>
            <scheme val="minor"/>
          </rPr>
          <t>decía 1
	-memorias cruzroja</t>
        </r>
      </text>
    </comment>
    <comment ref="AT20" authorId="0" shapeId="0" xr:uid="{00000000-0006-0000-0100-000077000000}">
      <text>
        <r>
          <rPr>
            <sz val="10"/>
            <color rgb="FF000000"/>
            <rFont val="Arial"/>
            <scheme val="minor"/>
          </rPr>
          <t>decía 1
	-memorias cruzroja</t>
        </r>
      </text>
    </comment>
    <comment ref="AU20" authorId="0" shapeId="0" xr:uid="{00000000-0006-0000-0100-000076000000}">
      <text>
        <r>
          <rPr>
            <sz val="10"/>
            <color rgb="FF000000"/>
            <rFont val="Arial"/>
            <scheme val="minor"/>
          </rPr>
          <t>decía 1
	-memorias cruzroja</t>
        </r>
      </text>
    </comment>
    <comment ref="AV20" authorId="0" shapeId="0" xr:uid="{00000000-0006-0000-0100-000075000000}">
      <text>
        <r>
          <rPr>
            <sz val="10"/>
            <color rgb="FF000000"/>
            <rFont val="Arial"/>
            <scheme val="minor"/>
          </rPr>
          <t>decía 1
	-memorias cruzroja</t>
        </r>
      </text>
    </comment>
    <comment ref="AZ20" authorId="0" shapeId="0" xr:uid="{00000000-0006-0000-0100-000074000000}">
      <text>
        <r>
          <rPr>
            <sz val="10"/>
            <color rgb="FF000000"/>
            <rFont val="Arial"/>
            <scheme val="minor"/>
          </rPr>
          <t>decia 3
	-memorias cruzroja</t>
        </r>
      </text>
    </comment>
    <comment ref="BA20" authorId="0" shapeId="0" xr:uid="{00000000-0006-0000-0100-000073000000}">
      <text>
        <r>
          <rPr>
            <sz val="10"/>
            <color rgb="FF000000"/>
            <rFont val="Arial"/>
            <scheme val="minor"/>
          </rPr>
          <t>decía 2
	-memorias cruzroja</t>
        </r>
      </text>
    </comment>
    <comment ref="J22" authorId="0" shapeId="0" xr:uid="{00000000-0006-0000-0100-0000EE000000}">
      <text>
        <r>
          <rPr>
            <sz val="10"/>
            <color rgb="FF000000"/>
            <rFont val="Arial"/>
            <scheme val="minor"/>
          </rPr>
          <t>facebook: cruzrojachilenafilialcoquimbo
	-memorias cruzroja</t>
        </r>
      </text>
    </comment>
    <comment ref="J23" authorId="0" shapeId="0" xr:uid="{00000000-0006-0000-0100-0000EB000000}">
      <text>
        <r>
          <rPr>
            <sz val="10"/>
            <color rgb="FF000000"/>
            <rFont val="Arial"/>
            <scheme val="minor"/>
          </rPr>
          <t>mismo facebook
	-memorias cruzroja</t>
        </r>
      </text>
    </comment>
    <comment ref="J24" authorId="0" shapeId="0" xr:uid="{00000000-0006-0000-0100-000052000000}">
      <text>
        <r>
          <rPr>
            <sz val="10"/>
            <color rgb="FF000000"/>
            <rFont val="Arial"/>
            <scheme val="minor"/>
          </rPr>
          <t>CRUZ ROJA FILIAL COYHAIQUE facebook
	-memorias cruzroja</t>
        </r>
      </text>
    </comment>
    <comment ref="AR24" authorId="0" shapeId="0" xr:uid="{00000000-0006-0000-0100-000051000000}">
      <text>
        <r>
          <rPr>
            <sz val="10"/>
            <color rgb="FF000000"/>
            <rFont val="Arial"/>
            <scheme val="minor"/>
          </rPr>
          <t>decía 2
	-memorias cruzroja</t>
        </r>
      </text>
    </comment>
    <comment ref="AS24" authorId="0" shapeId="0" xr:uid="{00000000-0006-0000-0100-000050000000}">
      <text>
        <r>
          <rPr>
            <sz val="10"/>
            <color rgb="FF000000"/>
            <rFont val="Arial"/>
            <scheme val="minor"/>
          </rPr>
          <t>decía 3
	-memorias cruzroja</t>
        </r>
      </text>
    </comment>
    <comment ref="AU24" authorId="0" shapeId="0" xr:uid="{00000000-0006-0000-0100-00004F000000}">
      <text>
        <r>
          <rPr>
            <sz val="10"/>
            <color rgb="FF000000"/>
            <rFont val="Arial"/>
            <scheme val="minor"/>
          </rPr>
          <t>decía 1
	-memorias cruzroja</t>
        </r>
      </text>
    </comment>
    <comment ref="AV24" authorId="0" shapeId="0" xr:uid="{00000000-0006-0000-0100-00004E000000}">
      <text>
        <r>
          <rPr>
            <sz val="10"/>
            <color rgb="FF000000"/>
            <rFont val="Arial"/>
            <scheme val="minor"/>
          </rPr>
          <t>decía 3
	-memorias cruzroja</t>
        </r>
      </text>
    </comment>
    <comment ref="H25" authorId="0" shapeId="0" xr:uid="{00000000-0006-0000-0100-000011010000}">
      <text>
        <r>
          <rPr>
            <sz val="10"/>
            <color rgb="FF000000"/>
            <rFont val="Arial"/>
            <scheme val="minor"/>
          </rPr>
          <t>988371362 contacto 2
	-memorias cruzroja</t>
        </r>
      </text>
    </comment>
    <comment ref="AT25" authorId="0" shapeId="0" xr:uid="{00000000-0006-0000-0100-000010010000}">
      <text>
        <r>
          <rPr>
            <sz val="10"/>
            <color rgb="FF000000"/>
            <rFont val="Arial"/>
            <scheme val="minor"/>
          </rPr>
          <t>decía 5
	-memorias cruzroja</t>
        </r>
      </text>
    </comment>
    <comment ref="AV25" authorId="0" shapeId="0" xr:uid="{00000000-0006-0000-0100-00000F010000}">
      <text>
        <r>
          <rPr>
            <sz val="10"/>
            <color rgb="FF000000"/>
            <rFont val="Arial"/>
            <scheme val="minor"/>
          </rPr>
          <t>Decía 1
	-memorias cruzroja</t>
        </r>
      </text>
    </comment>
    <comment ref="AX25" authorId="0" shapeId="0" xr:uid="{00000000-0006-0000-0100-00000C010000}">
      <text>
        <r>
          <rPr>
            <sz val="10"/>
            <color rgb="FF000000"/>
            <rFont val="Arial"/>
            <scheme val="minor"/>
          </rPr>
          <t>decía 2
	-memorias cruzroja</t>
        </r>
      </text>
    </comment>
    <comment ref="AY25" authorId="0" shapeId="0" xr:uid="{00000000-0006-0000-0100-00000E010000}">
      <text>
        <r>
          <rPr>
            <sz val="10"/>
            <color rgb="FF000000"/>
            <rFont val="Arial"/>
            <scheme val="minor"/>
          </rPr>
          <t>decía 1
	-memorias cruzroja</t>
        </r>
      </text>
    </comment>
    <comment ref="AZ25" authorId="0" shapeId="0" xr:uid="{00000000-0006-0000-0100-00000D010000}">
      <text>
        <r>
          <rPr>
            <sz val="10"/>
            <color rgb="FF000000"/>
            <rFont val="Arial"/>
            <scheme val="minor"/>
          </rPr>
          <t>decía 1
	-memorias cruzroja</t>
        </r>
      </text>
    </comment>
    <comment ref="I26" authorId="0" shapeId="0" xr:uid="{00000000-0006-0000-0100-00004D000000}">
      <text>
        <r>
          <rPr>
            <sz val="10"/>
            <color rgb="FF000000"/>
            <rFont val="Arial"/>
            <scheme val="minor"/>
          </rPr>
          <t>designada
	-memorias cruzroja</t>
        </r>
      </text>
    </comment>
    <comment ref="J27" authorId="0" shapeId="0" xr:uid="{00000000-0006-0000-0100-000001000000}">
      <text>
        <r>
          <rPr>
            <sz val="10"/>
            <color rgb="FF000000"/>
            <rFont val="Arial"/>
            <scheme val="minor"/>
          </rPr>
          <t>facebook: Cruz roja calama
	-memorias cruzroja</t>
        </r>
      </text>
    </comment>
    <comment ref="J29" authorId="0" shapeId="0" xr:uid="{00000000-0006-0000-0100-00008D000000}">
      <text>
        <r>
          <rPr>
            <sz val="10"/>
            <color rgb="FF000000"/>
            <rFont val="Arial"/>
            <scheme val="minor"/>
          </rPr>
          <t>facebook: Cruzroja el quisco
	-memorias cruzroja</t>
        </r>
      </text>
    </comment>
    <comment ref="L29" authorId="0" shapeId="0" xr:uid="{00000000-0006-0000-0100-00008C000000}">
      <text>
        <r>
          <rPr>
            <sz val="10"/>
            <color rgb="FF000000"/>
            <rFont val="Arial"/>
            <scheme val="minor"/>
          </rPr>
          <t>Se asume No cuando en blanco
	-memorias cruzroja</t>
        </r>
      </text>
    </comment>
    <comment ref="AS29" authorId="0" shapeId="0" xr:uid="{00000000-0006-0000-0100-00008A000000}">
      <text>
        <r>
          <rPr>
            <sz val="10"/>
            <color rgb="FF000000"/>
            <rFont val="Arial"/>
            <scheme val="minor"/>
          </rPr>
          <t>decía 1
	-memorias cruzroja</t>
        </r>
      </text>
    </comment>
    <comment ref="AT29" authorId="0" shapeId="0" xr:uid="{00000000-0006-0000-0100-000089000000}">
      <text>
        <r>
          <rPr>
            <sz val="10"/>
            <color rgb="FF000000"/>
            <rFont val="Arial"/>
            <scheme val="minor"/>
          </rPr>
          <t>decía 1
	-memorias cruzroja</t>
        </r>
      </text>
    </comment>
    <comment ref="AU29" authorId="0" shapeId="0" xr:uid="{00000000-0006-0000-0100-00008B000000}">
      <text>
        <r>
          <rPr>
            <sz val="10"/>
            <color rgb="FF000000"/>
            <rFont val="Arial"/>
            <scheme val="minor"/>
          </rPr>
          <t>decía 2
	-memorias cruzroja</t>
        </r>
      </text>
    </comment>
    <comment ref="AV29" authorId="0" shapeId="0" xr:uid="{00000000-0006-0000-0100-000088000000}">
      <text>
        <r>
          <rPr>
            <sz val="10"/>
            <color rgb="FF000000"/>
            <rFont val="Arial"/>
            <scheme val="minor"/>
          </rPr>
          <t>decía 1
	-memorias cruzroja</t>
        </r>
      </text>
    </comment>
    <comment ref="AU30" authorId="0" shapeId="0" xr:uid="{00000000-0006-0000-0100-00004C000000}">
      <text>
        <r>
          <rPr>
            <sz val="10"/>
            <color rgb="FF000000"/>
            <rFont val="Arial"/>
            <scheme val="minor"/>
          </rPr>
          <t>decía 1
	-memorias cruzroja</t>
        </r>
      </text>
    </comment>
    <comment ref="AV30" authorId="0" shapeId="0" xr:uid="{00000000-0006-0000-0100-00004B000000}">
      <text>
        <r>
          <rPr>
            <sz val="10"/>
            <color rgb="FF000000"/>
            <rFont val="Arial"/>
            <scheme val="minor"/>
          </rPr>
          <t>decía 4
	-memorias cruzroja</t>
        </r>
      </text>
    </comment>
    <comment ref="J31" authorId="0" shapeId="0" xr:uid="{00000000-0006-0000-0100-0000D5000000}">
      <text>
        <r>
          <rPr>
            <sz val="10"/>
            <color rgb="FF000000"/>
            <rFont val="Arial"/>
            <scheme val="minor"/>
          </rPr>
          <t>Cruz roja chilena filial gorbea
	-memorias cruzroja</t>
        </r>
      </text>
    </comment>
    <comment ref="AS31" authorId="0" shapeId="0" xr:uid="{00000000-0006-0000-0100-0000D4000000}">
      <text>
        <r>
          <rPr>
            <sz val="10"/>
            <color rgb="FF000000"/>
            <rFont val="Arial"/>
            <scheme val="minor"/>
          </rPr>
          <t>decía 5
	-memorias cruzroja</t>
        </r>
      </text>
    </comment>
    <comment ref="AT31" authorId="0" shapeId="0" xr:uid="{00000000-0006-0000-0100-0000D3000000}">
      <text>
        <r>
          <rPr>
            <sz val="10"/>
            <color rgb="FF000000"/>
            <rFont val="Arial"/>
            <scheme val="minor"/>
          </rPr>
          <t>decía 5
	-memorias cruzroja</t>
        </r>
      </text>
    </comment>
    <comment ref="AU31" authorId="0" shapeId="0" xr:uid="{00000000-0006-0000-0100-0000D2000000}">
      <text>
        <r>
          <rPr>
            <sz val="10"/>
            <color rgb="FF000000"/>
            <rFont val="Arial"/>
            <scheme val="minor"/>
          </rPr>
          <t>decía 5
	-memorias cruzroja</t>
        </r>
      </text>
    </comment>
    <comment ref="AV31" authorId="0" shapeId="0" xr:uid="{00000000-0006-0000-0100-0000D1000000}">
      <text>
        <r>
          <rPr>
            <sz val="10"/>
            <color rgb="FF000000"/>
            <rFont val="Arial"/>
            <scheme val="minor"/>
          </rPr>
          <t>decía 5
	-memorias cruzroja</t>
        </r>
      </text>
    </comment>
    <comment ref="AY31" authorId="0" shapeId="0" xr:uid="{00000000-0006-0000-0100-0000D0000000}">
      <text>
        <r>
          <rPr>
            <sz val="10"/>
            <color rgb="FF000000"/>
            <rFont val="Arial"/>
            <scheme val="minor"/>
          </rPr>
          <t>decía 4
	-memorias cruzroja</t>
        </r>
      </text>
    </comment>
    <comment ref="BA31" authorId="0" shapeId="0" xr:uid="{00000000-0006-0000-0100-0000CF000000}">
      <text>
        <r>
          <rPr>
            <sz val="10"/>
            <color rgb="FF000000"/>
            <rFont val="Arial"/>
            <scheme val="minor"/>
          </rPr>
          <t>decía 4
	-memorias cruzroja</t>
        </r>
      </text>
    </comment>
    <comment ref="J33" authorId="0" shapeId="0" xr:uid="{00000000-0006-0000-0100-00004A000000}">
      <text>
        <r>
          <rPr>
            <sz val="10"/>
            <color rgb="FF000000"/>
            <rFont val="Arial"/>
            <scheme val="minor"/>
          </rPr>
          <t>Facebook: Cruz Roja Filial Iqq
	-memorias cruzroja</t>
        </r>
      </text>
    </comment>
    <comment ref="AR33" authorId="0" shapeId="0" xr:uid="{00000000-0006-0000-0100-000046000000}">
      <text>
        <r>
          <rPr>
            <sz val="10"/>
            <color rgb="FF000000"/>
            <rFont val="Arial"/>
            <scheme val="minor"/>
          </rPr>
          <t>decía 1
	-memorias cruzroja</t>
        </r>
      </text>
    </comment>
    <comment ref="AS33" authorId="0" shapeId="0" xr:uid="{00000000-0006-0000-0100-000047000000}">
      <text>
        <r>
          <rPr>
            <sz val="10"/>
            <color rgb="FF000000"/>
            <rFont val="Arial"/>
            <scheme val="minor"/>
          </rPr>
          <t>decía 1
	-memorias cruzroja</t>
        </r>
      </text>
    </comment>
    <comment ref="AT33" authorId="0" shapeId="0" xr:uid="{00000000-0006-0000-0100-000048000000}">
      <text>
        <r>
          <rPr>
            <sz val="10"/>
            <color rgb="FF000000"/>
            <rFont val="Arial"/>
            <scheme val="minor"/>
          </rPr>
          <t>decía 1
	-memorias cruzroja</t>
        </r>
      </text>
    </comment>
    <comment ref="AU33" authorId="0" shapeId="0" xr:uid="{00000000-0006-0000-0100-000049000000}">
      <text>
        <r>
          <rPr>
            <sz val="10"/>
            <color rgb="FF000000"/>
            <rFont val="Arial"/>
            <scheme val="minor"/>
          </rPr>
          <t>decía 1
	-memorias cruzroja</t>
        </r>
      </text>
    </comment>
    <comment ref="AY33" authorId="0" shapeId="0" xr:uid="{00000000-0006-0000-0100-000045000000}">
      <text>
        <r>
          <rPr>
            <sz val="10"/>
            <color rgb="FF000000"/>
            <rFont val="Arial"/>
            <scheme val="minor"/>
          </rPr>
          <t>decía 1
	-memorias cruzroja</t>
        </r>
      </text>
    </comment>
    <comment ref="AZ33" authorId="0" shapeId="0" xr:uid="{00000000-0006-0000-0100-000044000000}">
      <text>
        <r>
          <rPr>
            <sz val="10"/>
            <color rgb="FF000000"/>
            <rFont val="Arial"/>
            <scheme val="minor"/>
          </rPr>
          <t>decía 1
	-memorias cruzroja</t>
        </r>
      </text>
    </comment>
    <comment ref="BA33" authorId="0" shapeId="0" xr:uid="{00000000-0006-0000-0100-000043000000}">
      <text>
        <r>
          <rPr>
            <sz val="10"/>
            <color rgb="FF000000"/>
            <rFont val="Arial"/>
            <scheme val="minor"/>
          </rPr>
          <t>decía 2
	-memorias cruzroja</t>
        </r>
      </text>
    </comment>
    <comment ref="J34" authorId="0" shapeId="0" xr:uid="{00000000-0006-0000-0100-0000AC000000}">
      <text>
        <r>
          <rPr>
            <sz val="10"/>
            <color rgb="FF000000"/>
            <rFont val="Arial"/>
            <scheme val="minor"/>
          </rPr>
          <t>facebook: cruzroja.lacisterna
	-memorias cruzroja</t>
        </r>
      </text>
    </comment>
    <comment ref="AS34" authorId="0" shapeId="0" xr:uid="{00000000-0006-0000-0100-0000AB000000}">
      <text>
        <r>
          <rPr>
            <sz val="10"/>
            <color rgb="FF000000"/>
            <rFont val="Arial"/>
            <scheme val="minor"/>
          </rPr>
          <t>decía 5
	-memorias cruzroja</t>
        </r>
      </text>
    </comment>
    <comment ref="AU34" authorId="0" shapeId="0" xr:uid="{00000000-0006-0000-0100-0000AA000000}">
      <text>
        <r>
          <rPr>
            <sz val="10"/>
            <color rgb="FF000000"/>
            <rFont val="Arial"/>
            <scheme val="minor"/>
          </rPr>
          <t>decía 1
	-memorias cruzroja</t>
        </r>
      </text>
    </comment>
    <comment ref="AV34" authorId="0" shapeId="0" xr:uid="{00000000-0006-0000-0100-0000A9000000}">
      <text>
        <r>
          <rPr>
            <sz val="10"/>
            <color rgb="FF000000"/>
            <rFont val="Arial"/>
            <scheme val="minor"/>
          </rPr>
          <t>decía 1
	-memorias cruzroja</t>
        </r>
      </text>
    </comment>
    <comment ref="AY34" authorId="0" shapeId="0" xr:uid="{00000000-0006-0000-0100-0000A8000000}">
      <text>
        <r>
          <rPr>
            <sz val="10"/>
            <color rgb="FF000000"/>
            <rFont val="Arial"/>
            <scheme val="minor"/>
          </rPr>
          <t>decía 1
	-memorias cruzroja</t>
        </r>
      </text>
    </comment>
    <comment ref="AZ34" authorId="0" shapeId="0" xr:uid="{00000000-0006-0000-0100-0000A7000000}">
      <text>
        <r>
          <rPr>
            <sz val="10"/>
            <color rgb="FF000000"/>
            <rFont val="Arial"/>
            <scheme val="minor"/>
          </rPr>
          <t>decía 1
	-memorias cruzroja</t>
        </r>
      </text>
    </comment>
    <comment ref="J35" authorId="0" shapeId="0" xr:uid="{00000000-0006-0000-0100-0000F5000000}">
      <text>
        <r>
          <rPr>
            <sz val="10"/>
            <color rgb="FF000000"/>
            <rFont val="Arial"/>
            <scheme val="minor"/>
          </rPr>
          <t>Cruz roja filial la serena
	-memorias cruzroja
facebook
	-memorias cruzroja</t>
        </r>
      </text>
    </comment>
    <comment ref="J36" authorId="0" shapeId="0" xr:uid="{00000000-0006-0000-0100-000042000000}">
      <text>
        <r>
          <rPr>
            <sz val="10"/>
            <color rgb="FF000000"/>
            <rFont val="Arial"/>
            <scheme val="minor"/>
          </rPr>
          <t>CRUZ ROJA facebook
	-memorias cruzroja</t>
        </r>
      </text>
    </comment>
    <comment ref="J37" authorId="0" shapeId="0" xr:uid="{00000000-0006-0000-0100-000041000000}">
      <text>
        <r>
          <rPr>
            <sz val="10"/>
            <color rgb="FF000000"/>
            <rFont val="Arial"/>
            <scheme val="minor"/>
          </rPr>
          <t>Cruz roja filial lago ranco
	-memorias cruzroja</t>
        </r>
      </text>
    </comment>
    <comment ref="J38" authorId="0" shapeId="0" xr:uid="{00000000-0006-0000-0100-0000E9000000}">
      <text>
        <r>
          <rPr>
            <sz val="10"/>
            <color rgb="FF000000"/>
            <rFont val="Arial"/>
            <scheme val="minor"/>
          </rPr>
          <t>cruz roja filial lanco, facebook
	-memorias cruzroja</t>
        </r>
      </text>
    </comment>
    <comment ref="J39" authorId="0" shapeId="0" xr:uid="{00000000-0006-0000-0100-000040000000}">
      <text>
        <r>
          <rPr>
            <sz val="10"/>
            <color rgb="FF000000"/>
            <rFont val="Arial"/>
            <scheme val="minor"/>
          </rPr>
          <t>Cruz roja filial Lastarria, facebook
	-memorias cruzroja</t>
        </r>
      </text>
    </comment>
    <comment ref="AR39" authorId="0" shapeId="0" xr:uid="{00000000-0006-0000-0100-00003F000000}">
      <text>
        <r>
          <rPr>
            <sz val="10"/>
            <color rgb="FF000000"/>
            <rFont val="Arial"/>
            <scheme val="minor"/>
          </rPr>
          <t>decía 4
	-memorias cruzroja</t>
        </r>
      </text>
    </comment>
    <comment ref="AS39" authorId="0" shapeId="0" xr:uid="{00000000-0006-0000-0100-00003E000000}">
      <text>
        <r>
          <rPr>
            <sz val="10"/>
            <color rgb="FF000000"/>
            <rFont val="Arial"/>
            <scheme val="minor"/>
          </rPr>
          <t>decía 4
	-memorias cruzroja</t>
        </r>
      </text>
    </comment>
    <comment ref="AT39" authorId="0" shapeId="0" xr:uid="{00000000-0006-0000-0100-00003D000000}">
      <text>
        <r>
          <rPr>
            <sz val="10"/>
            <color rgb="FF000000"/>
            <rFont val="Arial"/>
            <scheme val="minor"/>
          </rPr>
          <t>decía 3
	-memorias cruzroja</t>
        </r>
      </text>
    </comment>
    <comment ref="AU39" authorId="0" shapeId="0" xr:uid="{00000000-0006-0000-0100-00003C000000}">
      <text>
        <r>
          <rPr>
            <sz val="10"/>
            <color rgb="FF000000"/>
            <rFont val="Arial"/>
            <scheme val="minor"/>
          </rPr>
          <t>decía 5
	-memorias cruzroja</t>
        </r>
      </text>
    </comment>
    <comment ref="AV39" authorId="0" shapeId="0" xr:uid="{00000000-0006-0000-0100-00003B000000}">
      <text>
        <r>
          <rPr>
            <sz val="10"/>
            <color rgb="FF000000"/>
            <rFont val="Arial"/>
            <scheme val="minor"/>
          </rPr>
          <t>decía 5
	-memorias cruzroja</t>
        </r>
      </text>
    </comment>
    <comment ref="L40" authorId="0" shapeId="0" xr:uid="{00000000-0006-0000-0100-000013010000}">
      <text>
        <r>
          <rPr>
            <sz val="10"/>
            <color rgb="FF000000"/>
            <rFont val="Arial"/>
            <scheme val="minor"/>
          </rPr>
          <t>que redes? no tiene
	-memorias cruzroja</t>
        </r>
      </text>
    </comment>
    <comment ref="O40" authorId="0" shapeId="0" xr:uid="{00000000-0006-0000-0100-000012010000}">
      <text>
        <r>
          <rPr>
            <sz val="10"/>
            <color rgb="FF000000"/>
            <rFont val="Arial"/>
            <scheme val="minor"/>
          </rPr>
          <t>declaró que no pero tiene una persona sin doctrina institucional
	-memorias cruzroja</t>
        </r>
      </text>
    </comment>
    <comment ref="BA41" authorId="0" shapeId="0" xr:uid="{00000000-0006-0000-0100-0000B9000000}">
      <text>
        <r>
          <rPr>
            <sz val="10"/>
            <color rgb="FF000000"/>
            <rFont val="Arial"/>
            <scheme val="minor"/>
          </rPr>
          <t>decía 4
	-memorias cruzroja</t>
        </r>
      </text>
    </comment>
    <comment ref="J43" authorId="0" shapeId="0" xr:uid="{00000000-0006-0000-0100-0000B6000000}">
      <text>
        <r>
          <rPr>
            <sz val="10"/>
            <color rgb="FF000000"/>
            <rFont val="Arial"/>
            <scheme val="minor"/>
          </rPr>
          <t>Cruz Roja Filial Llanquihue
	-memorias cruzroja</t>
        </r>
      </text>
    </comment>
    <comment ref="B45" authorId="0" shapeId="0" xr:uid="{00000000-0006-0000-0100-00003A000000}">
      <text>
        <r>
          <rPr>
            <sz val="10"/>
            <color rgb="FF000000"/>
            <rFont val="Arial"/>
            <scheme val="minor"/>
          </rPr>
          <t>pendiente conseguir el archivo
	-memorias cruzroja</t>
        </r>
      </text>
    </comment>
    <comment ref="J46" authorId="0" shapeId="0" xr:uid="{00000000-0006-0000-0100-000039000000}">
      <text>
        <r>
          <rPr>
            <sz val="10"/>
            <color rgb="FF000000"/>
            <rFont val="Arial"/>
            <scheme val="minor"/>
          </rPr>
          <t>facebook: Cruz Roja Filial Lo Miranda
	-memorias cruzroja</t>
        </r>
      </text>
    </comment>
    <comment ref="AR46" authorId="0" shapeId="0" xr:uid="{00000000-0006-0000-0100-000038000000}">
      <text>
        <r>
          <rPr>
            <sz val="10"/>
            <color rgb="FF000000"/>
            <rFont val="Arial"/>
            <scheme val="minor"/>
          </rPr>
          <t>decía 1
	-memorias cruzroja</t>
        </r>
      </text>
    </comment>
    <comment ref="AS46" authorId="0" shapeId="0" xr:uid="{00000000-0006-0000-0100-000037000000}">
      <text>
        <r>
          <rPr>
            <sz val="10"/>
            <color rgb="FF000000"/>
            <rFont val="Arial"/>
            <scheme val="minor"/>
          </rPr>
          <t>decía 1
	-memorias cruzroja</t>
        </r>
      </text>
    </comment>
    <comment ref="AT46" authorId="0" shapeId="0" xr:uid="{00000000-0006-0000-0100-000036000000}">
      <text>
        <r>
          <rPr>
            <sz val="10"/>
            <color rgb="FF000000"/>
            <rFont val="Arial"/>
            <scheme val="minor"/>
          </rPr>
          <t>decía 1
	-memorias cruzroja</t>
        </r>
      </text>
    </comment>
    <comment ref="AU46" authorId="0" shapeId="0" xr:uid="{00000000-0006-0000-0100-000035000000}">
      <text>
        <r>
          <rPr>
            <sz val="10"/>
            <color rgb="FF000000"/>
            <rFont val="Arial"/>
            <scheme val="minor"/>
          </rPr>
          <t>decía 1
	-memorias cruzroja</t>
        </r>
      </text>
    </comment>
    <comment ref="AY46" authorId="0" shapeId="0" xr:uid="{00000000-0006-0000-0100-000034000000}">
      <text>
        <r>
          <rPr>
            <sz val="10"/>
            <color rgb="FF000000"/>
            <rFont val="Arial"/>
            <scheme val="minor"/>
          </rPr>
          <t>decía 1
	-memorias cruzroja</t>
        </r>
      </text>
    </comment>
    <comment ref="AZ46" authorId="0" shapeId="0" xr:uid="{00000000-0006-0000-0100-000033000000}">
      <text>
        <r>
          <rPr>
            <sz val="10"/>
            <color rgb="FF000000"/>
            <rFont val="Arial"/>
            <scheme val="minor"/>
          </rPr>
          <t>decía 1
	-memorias cruzroja</t>
        </r>
      </text>
    </comment>
    <comment ref="BA46" authorId="0" shapeId="0" xr:uid="{00000000-0006-0000-0100-000032000000}">
      <text>
        <r>
          <rPr>
            <sz val="10"/>
            <color rgb="FF000000"/>
            <rFont val="Arial"/>
            <scheme val="minor"/>
          </rPr>
          <t>decía vacío
	-memorias cruzroja</t>
        </r>
      </text>
    </comment>
    <comment ref="AS47" authorId="0" shapeId="0" xr:uid="{00000000-0006-0000-0100-0000C9000000}">
      <text>
        <r>
          <rPr>
            <sz val="10"/>
            <color rgb="FF000000"/>
            <rFont val="Arial"/>
            <scheme val="minor"/>
          </rPr>
          <t>decía 1
	-memorias cruzroja</t>
        </r>
      </text>
    </comment>
    <comment ref="AT47" authorId="0" shapeId="0" xr:uid="{00000000-0006-0000-0100-0000C8000000}">
      <text>
        <r>
          <rPr>
            <sz val="10"/>
            <color rgb="FF000000"/>
            <rFont val="Arial"/>
            <scheme val="minor"/>
          </rPr>
          <t>decía 1
	-memorias cruzroja</t>
        </r>
      </text>
    </comment>
    <comment ref="AU47" authorId="0" shapeId="0" xr:uid="{00000000-0006-0000-0100-0000C7000000}">
      <text>
        <r>
          <rPr>
            <sz val="10"/>
            <color rgb="FF000000"/>
            <rFont val="Arial"/>
            <scheme val="minor"/>
          </rPr>
          <t>decía 1
	-memorias cruzroja</t>
        </r>
      </text>
    </comment>
    <comment ref="AV47" authorId="0" shapeId="0" xr:uid="{00000000-0006-0000-0100-0000C6000000}">
      <text>
        <r>
          <rPr>
            <sz val="10"/>
            <color rgb="FF000000"/>
            <rFont val="Arial"/>
            <scheme val="minor"/>
          </rPr>
          <t>decía 1
	-memorias cruzroja</t>
        </r>
      </text>
    </comment>
    <comment ref="AY47" authorId="0" shapeId="0" xr:uid="{00000000-0006-0000-0100-0000C5000000}">
      <text>
        <r>
          <rPr>
            <sz val="10"/>
            <color rgb="FF000000"/>
            <rFont val="Arial"/>
            <scheme val="minor"/>
          </rPr>
          <t>decía 2
	-memorias cruzroja</t>
        </r>
      </text>
    </comment>
    <comment ref="AZ47" authorId="0" shapeId="0" xr:uid="{00000000-0006-0000-0100-0000C4000000}">
      <text>
        <r>
          <rPr>
            <sz val="10"/>
            <color rgb="FF000000"/>
            <rFont val="Arial"/>
            <scheme val="minor"/>
          </rPr>
          <t>decía 4
	-memorias cruzroja</t>
        </r>
      </text>
    </comment>
    <comment ref="BA47" authorId="0" shapeId="0" xr:uid="{00000000-0006-0000-0100-0000C3000000}">
      <text>
        <r>
          <rPr>
            <sz val="10"/>
            <color rgb="FF000000"/>
            <rFont val="Arial"/>
            <scheme val="minor"/>
          </rPr>
          <t>decía 4
	-memorias cruzroja</t>
        </r>
      </text>
    </comment>
    <comment ref="J48" authorId="0" shapeId="0" xr:uid="{00000000-0006-0000-0100-000093000000}">
      <text>
        <r>
          <rPr>
            <sz val="10"/>
            <color rgb="FF000000"/>
            <rFont val="Arial"/>
            <scheme val="minor"/>
          </rPr>
          <t>facebook: Cruzrojalosandes22
	-memorias cruzroja</t>
        </r>
      </text>
    </comment>
    <comment ref="AS48" authorId="0" shapeId="0" xr:uid="{00000000-0006-0000-0100-000092000000}">
      <text>
        <r>
          <rPr>
            <sz val="10"/>
            <color rgb="FF000000"/>
            <rFont val="Arial"/>
            <scheme val="minor"/>
          </rPr>
          <t>decía 1
	-memorias cruzroja</t>
        </r>
      </text>
    </comment>
    <comment ref="AT48" authorId="0" shapeId="0" xr:uid="{00000000-0006-0000-0100-000091000000}">
      <text>
        <r>
          <rPr>
            <sz val="10"/>
            <color rgb="FF000000"/>
            <rFont val="Arial"/>
            <scheme val="minor"/>
          </rPr>
          <t>decía 4
	-memorias cruzroja</t>
        </r>
      </text>
    </comment>
    <comment ref="AU48" authorId="0" shapeId="0" xr:uid="{00000000-0006-0000-0100-000090000000}">
      <text>
        <r>
          <rPr>
            <sz val="10"/>
            <color rgb="FF000000"/>
            <rFont val="Arial"/>
            <scheme val="minor"/>
          </rPr>
          <t>decía 1
	-memorias cruzroja</t>
        </r>
      </text>
    </comment>
    <comment ref="AV48" authorId="0" shapeId="0" xr:uid="{00000000-0006-0000-0100-00008F000000}">
      <text>
        <r>
          <rPr>
            <sz val="10"/>
            <color rgb="FF000000"/>
            <rFont val="Arial"/>
            <scheme val="minor"/>
          </rPr>
          <t>decía 3
	-memorias cruzroja</t>
        </r>
      </text>
    </comment>
    <comment ref="AZ48" authorId="0" shapeId="0" xr:uid="{00000000-0006-0000-0100-00008E000000}">
      <text>
        <r>
          <rPr>
            <sz val="10"/>
            <color rgb="FF000000"/>
            <rFont val="Arial"/>
            <scheme val="minor"/>
          </rPr>
          <t>decia 1
	-memorias cruzroja</t>
        </r>
      </text>
    </comment>
    <comment ref="AS49" authorId="0" shapeId="0" xr:uid="{00000000-0006-0000-0100-00000B010000}">
      <text>
        <r>
          <rPr>
            <sz val="10"/>
            <color rgb="FF000000"/>
            <rFont val="Arial"/>
            <scheme val="minor"/>
          </rPr>
          <t>decía 1
	-memorias cruzroja</t>
        </r>
      </text>
    </comment>
    <comment ref="AT49" authorId="0" shapeId="0" xr:uid="{00000000-0006-0000-0100-00000A010000}">
      <text>
        <r>
          <rPr>
            <sz val="10"/>
            <color rgb="FF000000"/>
            <rFont val="Arial"/>
            <scheme val="minor"/>
          </rPr>
          <t>decía 1
	-memorias cruzroja</t>
        </r>
      </text>
    </comment>
    <comment ref="AU49" authorId="0" shapeId="0" xr:uid="{00000000-0006-0000-0100-000009010000}">
      <text>
        <r>
          <rPr>
            <sz val="10"/>
            <color rgb="FF000000"/>
            <rFont val="Arial"/>
            <scheme val="minor"/>
          </rPr>
          <t>decía 5
	-memorias cruzroja</t>
        </r>
      </text>
    </comment>
    <comment ref="AY49" authorId="0" shapeId="0" xr:uid="{00000000-0006-0000-0100-000008010000}">
      <text>
        <r>
          <rPr>
            <sz val="10"/>
            <color rgb="FF000000"/>
            <rFont val="Arial"/>
            <scheme val="minor"/>
          </rPr>
          <t>decía 1
	-memorias cruzroja</t>
        </r>
      </text>
    </comment>
    <comment ref="AZ49" authorId="0" shapeId="0" xr:uid="{00000000-0006-0000-0100-000007010000}">
      <text>
        <r>
          <rPr>
            <sz val="10"/>
            <color rgb="FF000000"/>
            <rFont val="Arial"/>
            <scheme val="minor"/>
          </rPr>
          <t>decía 1
	-memorias cruzroja</t>
        </r>
      </text>
    </comment>
    <comment ref="AT50" authorId="0" shapeId="0" xr:uid="{00000000-0006-0000-0100-00006E000000}">
      <text>
        <r>
          <rPr>
            <sz val="10"/>
            <color rgb="FF000000"/>
            <rFont val="Arial"/>
            <scheme val="minor"/>
          </rPr>
          <t>decía 2
	-memorias cruzroja</t>
        </r>
      </text>
    </comment>
    <comment ref="AX50" authorId="0" shapeId="0" xr:uid="{00000000-0006-0000-0100-00006C000000}">
      <text>
        <r>
          <rPr>
            <sz val="10"/>
            <color rgb="FF000000"/>
            <rFont val="Arial"/>
            <scheme val="minor"/>
          </rPr>
          <t>decía 2
	-memorias cruzroja</t>
        </r>
      </text>
    </comment>
    <comment ref="AY50" authorId="0" shapeId="0" xr:uid="{00000000-0006-0000-0100-00006D000000}">
      <text>
        <r>
          <rPr>
            <sz val="10"/>
            <color rgb="FF000000"/>
            <rFont val="Arial"/>
            <scheme val="minor"/>
          </rPr>
          <t>decía 1
	-memorias cruzroja</t>
        </r>
      </text>
    </comment>
    <comment ref="AR51" authorId="0" shapeId="0" xr:uid="{00000000-0006-0000-0100-000028010000}">
      <text>
        <r>
          <rPr>
            <sz val="10"/>
            <color rgb="FF000000"/>
            <rFont val="Arial"/>
            <scheme val="minor"/>
          </rPr>
          <t>contesto 5
	-memorias cruzroja</t>
        </r>
      </text>
    </comment>
    <comment ref="AT51" authorId="0" shapeId="0" xr:uid="{00000000-0006-0000-0100-000029010000}">
      <text>
        <r>
          <rPr>
            <sz val="10"/>
            <color rgb="FF000000"/>
            <rFont val="Arial"/>
            <scheme val="minor"/>
          </rPr>
          <t>contesto 1
	-memorias cruzroja</t>
        </r>
      </text>
    </comment>
    <comment ref="AU51" authorId="0" shapeId="0" xr:uid="{00000000-0006-0000-0100-000027010000}">
      <text>
        <r>
          <rPr>
            <sz val="10"/>
            <color rgb="FF000000"/>
            <rFont val="Arial"/>
            <scheme val="minor"/>
          </rPr>
          <t>contesto 5
	-memorias cruzroja</t>
        </r>
      </text>
    </comment>
    <comment ref="J52" authorId="0" shapeId="0" xr:uid="{00000000-0006-0000-0100-000031000000}">
      <text>
        <r>
          <rPr>
            <sz val="10"/>
            <color rgb="FF000000"/>
            <rFont val="Arial"/>
            <scheme val="minor"/>
          </rPr>
          <t>Cruz Roja Filial Maipú
	-memorias cruzroja</t>
        </r>
      </text>
    </comment>
    <comment ref="AR52" authorId="0" shapeId="0" xr:uid="{00000000-0006-0000-0100-000030000000}">
      <text>
        <r>
          <rPr>
            <sz val="10"/>
            <color rgb="FF000000"/>
            <rFont val="Arial"/>
            <scheme val="minor"/>
          </rPr>
          <t>decía 3
	-memorias cruzroja</t>
        </r>
      </text>
    </comment>
    <comment ref="AT52" authorId="0" shapeId="0" xr:uid="{00000000-0006-0000-0100-00002F000000}">
      <text>
        <r>
          <rPr>
            <sz val="10"/>
            <color rgb="FF000000"/>
            <rFont val="Arial"/>
            <scheme val="minor"/>
          </rPr>
          <t>decía 3
	-memorias cruzroja</t>
        </r>
      </text>
    </comment>
    <comment ref="AU52" authorId="0" shapeId="0" xr:uid="{00000000-0006-0000-0100-00002E000000}">
      <text>
        <r>
          <rPr>
            <sz val="10"/>
            <color rgb="FF000000"/>
            <rFont val="Arial"/>
            <scheme val="minor"/>
          </rPr>
          <t>decía 3
	-memorias cruzroja</t>
        </r>
      </text>
    </comment>
    <comment ref="AV52" authorId="0" shapeId="0" xr:uid="{00000000-0006-0000-0100-00002D000000}">
      <text>
        <r>
          <rPr>
            <sz val="10"/>
            <color rgb="FF000000"/>
            <rFont val="Arial"/>
            <scheme val="minor"/>
          </rPr>
          <t>decía 3
	-memorias cruzroja</t>
        </r>
      </text>
    </comment>
    <comment ref="AR54" authorId="0" shapeId="0" xr:uid="{00000000-0006-0000-0100-00002C000000}">
      <text>
        <r>
          <rPr>
            <sz val="10"/>
            <color rgb="FF000000"/>
            <rFont val="Arial"/>
            <scheme val="minor"/>
          </rPr>
          <t>decía 4
	-memorias cruzroja</t>
        </r>
      </text>
    </comment>
    <comment ref="AT54" authorId="0" shapeId="0" xr:uid="{00000000-0006-0000-0100-00002B000000}">
      <text>
        <r>
          <rPr>
            <sz val="10"/>
            <color rgb="FF000000"/>
            <rFont val="Arial"/>
            <scheme val="minor"/>
          </rPr>
          <t>decía 2
	-memorias cruzroja</t>
        </r>
      </text>
    </comment>
    <comment ref="AU54" authorId="0" shapeId="0" xr:uid="{00000000-0006-0000-0100-00002A000000}">
      <text>
        <r>
          <rPr>
            <sz val="10"/>
            <color rgb="FF000000"/>
            <rFont val="Arial"/>
            <scheme val="minor"/>
          </rPr>
          <t>decía 1
	-memorias cruzroja</t>
        </r>
      </text>
    </comment>
    <comment ref="AV54" authorId="0" shapeId="0" xr:uid="{00000000-0006-0000-0100-000029000000}">
      <text>
        <r>
          <rPr>
            <sz val="10"/>
            <color rgb="FF000000"/>
            <rFont val="Arial"/>
            <scheme val="minor"/>
          </rPr>
          <t>decía 3
	-memorias cruzroja</t>
        </r>
      </text>
    </comment>
    <comment ref="AZ54" authorId="0" shapeId="0" xr:uid="{00000000-0006-0000-0100-000028000000}">
      <text>
        <r>
          <rPr>
            <sz val="10"/>
            <color rgb="FF000000"/>
            <rFont val="Arial"/>
            <scheme val="minor"/>
          </rPr>
          <t>decía 2
	-memorias cruzroja</t>
        </r>
      </text>
    </comment>
    <comment ref="BA54" authorId="0" shapeId="0" xr:uid="{00000000-0006-0000-0100-000027000000}">
      <text>
        <r>
          <rPr>
            <sz val="10"/>
            <color rgb="FF000000"/>
            <rFont val="Arial"/>
            <scheme val="minor"/>
          </rPr>
          <t>decía 3
	-memorias cruzroja</t>
        </r>
      </text>
    </comment>
    <comment ref="J56" authorId="0" shapeId="0" xr:uid="{00000000-0006-0000-0100-000026010000}">
      <text>
        <r>
          <rPr>
            <sz val="10"/>
            <color rgb="FF000000"/>
            <rFont val="Arial"/>
            <scheme val="minor"/>
          </rPr>
          <t>Facebook: Cruz roja Monte Aguila
	-memorias cruzroja</t>
        </r>
      </text>
    </comment>
    <comment ref="J58" authorId="0" shapeId="0" xr:uid="{00000000-0006-0000-0100-000014010000}">
      <text>
        <r>
          <rPr>
            <sz val="10"/>
            <color rgb="FF000000"/>
            <rFont val="Arial"/>
            <scheme val="minor"/>
          </rPr>
          <t>mismo para facebook
	-memorias cruzroja</t>
        </r>
      </text>
    </comment>
    <comment ref="AX59" authorId="0" shapeId="0" xr:uid="{00000000-0006-0000-0100-00001D010000}">
      <text>
        <r>
          <rPr>
            <sz val="10"/>
            <color rgb="FF000000"/>
            <rFont val="Arial"/>
            <scheme val="minor"/>
          </rPr>
          <t>decía 2
	-memorias cruzroja</t>
        </r>
      </text>
    </comment>
    <comment ref="AY59" authorId="0" shapeId="0" xr:uid="{00000000-0006-0000-0100-00001C010000}">
      <text>
        <r>
          <rPr>
            <sz val="10"/>
            <color rgb="FF000000"/>
            <rFont val="Arial"/>
            <scheme val="minor"/>
          </rPr>
          <t>decía 1
	-memorias cruzroja</t>
        </r>
      </text>
    </comment>
    <comment ref="J60" authorId="0" shapeId="0" xr:uid="{00000000-0006-0000-0100-000000010000}">
      <text>
        <r>
          <rPr>
            <sz val="10"/>
            <color rgb="FF000000"/>
            <rFont val="Arial"/>
            <scheme val="minor"/>
          </rPr>
          <t>cruzrojafilialnunoalareina
	-memorias cruzroja</t>
        </r>
      </text>
    </comment>
    <comment ref="AQ60" authorId="0" shapeId="0" xr:uid="{00000000-0006-0000-0100-0000FF000000}">
      <text>
        <r>
          <rPr>
            <sz val="10"/>
            <color rgb="FF000000"/>
            <rFont val="Arial"/>
            <scheme val="minor"/>
          </rPr>
          <t>dice 2 hombres y 8 mujeres...no sé si se refiere a una unidad educativa con esas personas. No se entiende bien
	-memorias cruzroja</t>
        </r>
      </text>
    </comment>
    <comment ref="AS60" authorId="0" shapeId="0" xr:uid="{00000000-0006-0000-0100-0000FE000000}">
      <text>
        <r>
          <rPr>
            <sz val="10"/>
            <color rgb="FF000000"/>
            <rFont val="Arial"/>
            <scheme val="minor"/>
          </rPr>
          <t>dice 5
	-memorias cruzroja</t>
        </r>
      </text>
    </comment>
    <comment ref="AT60" authorId="0" shapeId="0" xr:uid="{00000000-0006-0000-0100-0000FD000000}">
      <text>
        <r>
          <rPr>
            <sz val="10"/>
            <color rgb="FF000000"/>
            <rFont val="Arial"/>
            <scheme val="minor"/>
          </rPr>
          <t>dice 5
	-memorias cruzroja</t>
        </r>
      </text>
    </comment>
    <comment ref="AU60" authorId="0" shapeId="0" xr:uid="{00000000-0006-0000-0100-0000FC000000}">
      <text>
        <r>
          <rPr>
            <sz val="10"/>
            <color rgb="FF000000"/>
            <rFont val="Arial"/>
            <scheme val="minor"/>
          </rPr>
          <t>dice 5
	-memorias cruzroja</t>
        </r>
      </text>
    </comment>
    <comment ref="AV60" authorId="0" shapeId="0" xr:uid="{00000000-0006-0000-0100-0000FB000000}">
      <text>
        <r>
          <rPr>
            <sz val="10"/>
            <color rgb="FF000000"/>
            <rFont val="Arial"/>
            <scheme val="minor"/>
          </rPr>
          <t>dice 3
	-memorias cruzroja</t>
        </r>
      </text>
    </comment>
    <comment ref="J61" authorId="0" shapeId="0" xr:uid="{00000000-0006-0000-0100-0000EC000000}">
      <text>
        <r>
          <rPr>
            <sz val="10"/>
            <color rgb="FF000000"/>
            <rFont val="Arial"/>
            <scheme val="minor"/>
          </rPr>
          <t>Facebook: Cruz roja filial Olmuè
	-memorias cruzroja</t>
        </r>
      </text>
    </comment>
    <comment ref="I62" authorId="0" shapeId="0" xr:uid="{00000000-0006-0000-0100-000002010000}">
      <text>
        <r>
          <rPr>
            <sz val="10"/>
            <color rgb="FF000000"/>
            <rFont val="Arial"/>
            <scheme val="minor"/>
          </rPr>
          <t>Designada
	-memorias cruzroja</t>
        </r>
      </text>
    </comment>
    <comment ref="J62" authorId="0" shapeId="0" xr:uid="{00000000-0006-0000-0100-000001010000}">
      <text>
        <r>
          <rPr>
            <sz val="10"/>
            <color rgb="FF000000"/>
            <rFont val="Arial"/>
            <scheme val="minor"/>
          </rPr>
          <t>Facebook: Cruz roja chilena osorno
	-memorias cruzroja</t>
        </r>
      </text>
    </comment>
    <comment ref="AQ64" authorId="0" shapeId="0" xr:uid="{00000000-0006-0000-0100-0000ED000000}">
      <text>
        <r>
          <rPr>
            <sz val="10"/>
            <color rgb="FF000000"/>
            <rFont val="Arial"/>
            <scheme val="minor"/>
          </rPr>
          <t>dice 10 mujeres y 12 hombres...validar cuantas unidades educativas son
	-memorias cruzroja</t>
        </r>
      </text>
    </comment>
    <comment ref="J65" authorId="0" shapeId="0" xr:uid="{00000000-0006-0000-0100-000024010000}">
      <text>
        <r>
          <rPr>
            <sz val="10"/>
            <color rgb="FF000000"/>
            <rFont val="Arial"/>
            <scheme val="minor"/>
          </rPr>
          <t>mismo nombre para X, TikTok
Facebook: Cruz Roja Chilena Filial Penco
	-memorias cruzroja</t>
        </r>
      </text>
    </comment>
    <comment ref="AR65" authorId="0" shapeId="0" xr:uid="{00000000-0006-0000-0100-000023010000}">
      <text>
        <r>
          <rPr>
            <sz val="10"/>
            <color rgb="FF000000"/>
            <rFont val="Arial"/>
            <scheme val="minor"/>
          </rPr>
          <t>decía 3
	-memorias cruzroja</t>
        </r>
      </text>
    </comment>
    <comment ref="AS65" authorId="0" shapeId="0" xr:uid="{00000000-0006-0000-0100-000022010000}">
      <text>
        <r>
          <rPr>
            <sz val="10"/>
            <color rgb="FF000000"/>
            <rFont val="Arial"/>
            <scheme val="minor"/>
          </rPr>
          <t>decía 3
	-memorias cruzroja</t>
        </r>
      </text>
    </comment>
    <comment ref="AU65" authorId="0" shapeId="0" xr:uid="{00000000-0006-0000-0100-000021010000}">
      <text>
        <r>
          <rPr>
            <sz val="10"/>
            <color rgb="FF000000"/>
            <rFont val="Arial"/>
            <scheme val="minor"/>
          </rPr>
          <t>decía 1
	-memorias cruzroja</t>
        </r>
      </text>
    </comment>
    <comment ref="AV65" authorId="0" shapeId="0" xr:uid="{00000000-0006-0000-0100-000020010000}">
      <text>
        <r>
          <rPr>
            <sz val="10"/>
            <color rgb="FF000000"/>
            <rFont val="Arial"/>
            <scheme val="minor"/>
          </rPr>
          <t>decía 1
	-memorias cruzroja</t>
        </r>
      </text>
    </comment>
    <comment ref="J66" authorId="0" shapeId="0" xr:uid="{00000000-0006-0000-0100-000026000000}">
      <text>
        <r>
          <rPr>
            <sz val="10"/>
            <color rgb="FF000000"/>
            <rFont val="Arial"/>
            <scheme val="minor"/>
          </rPr>
          <t>Cruzrojapeñaflor
	-memorias cruzroja</t>
        </r>
      </text>
    </comment>
    <comment ref="J67" authorId="0" shapeId="0" xr:uid="{00000000-0006-0000-0100-0000C2000000}">
      <text>
        <r>
          <rPr>
            <sz val="10"/>
            <color rgb="FF000000"/>
            <rFont val="Arial"/>
            <scheme val="minor"/>
          </rPr>
          <t>Cruz roja filial Pitrufquén, facebook
	-memorias cruzroja</t>
        </r>
      </text>
    </comment>
    <comment ref="J68" authorId="0" shapeId="0" xr:uid="{00000000-0006-0000-0100-000098000000}">
      <text>
        <r>
          <rPr>
            <sz val="10"/>
            <color rgb="FF000000"/>
            <rFont val="Arial"/>
            <scheme val="minor"/>
          </rPr>
          <t>facebook: PLA Cruz Roja
	-memorias cruzroja</t>
        </r>
      </text>
    </comment>
    <comment ref="AS68" authorId="0" shapeId="0" xr:uid="{00000000-0006-0000-0100-000097000000}">
      <text>
        <r>
          <rPr>
            <sz val="10"/>
            <color rgb="FF000000"/>
            <rFont val="Arial"/>
            <scheme val="minor"/>
          </rPr>
          <t>decía 1
	-memorias cruzroja</t>
        </r>
      </text>
    </comment>
    <comment ref="AT68" authorId="0" shapeId="0" xr:uid="{00000000-0006-0000-0100-000096000000}">
      <text>
        <r>
          <rPr>
            <sz val="10"/>
            <color rgb="FF000000"/>
            <rFont val="Arial"/>
            <scheme val="minor"/>
          </rPr>
          <t>decía 1
	-memorias cruzroja</t>
        </r>
      </text>
    </comment>
    <comment ref="AU68" authorId="0" shapeId="0" xr:uid="{00000000-0006-0000-0100-000094000000}">
      <text>
        <r>
          <rPr>
            <sz val="10"/>
            <color rgb="FF000000"/>
            <rFont val="Arial"/>
            <scheme val="minor"/>
          </rPr>
          <t>decía 4
	-memorias cruzroja</t>
        </r>
      </text>
    </comment>
    <comment ref="AV68" authorId="0" shapeId="0" xr:uid="{00000000-0006-0000-0100-000095000000}">
      <text>
        <r>
          <rPr>
            <sz val="10"/>
            <color rgb="FF000000"/>
            <rFont val="Arial"/>
            <scheme val="minor"/>
          </rPr>
          <t>decía 1
	-memorias cruzroja</t>
        </r>
      </text>
    </comment>
    <comment ref="J69" authorId="0" shapeId="0" xr:uid="{00000000-0006-0000-0100-000025000000}">
      <text>
        <r>
          <rPr>
            <sz val="10"/>
            <color rgb="FF000000"/>
            <rFont val="Arial"/>
            <scheme val="minor"/>
          </rPr>
          <t>Cruz Roja Pozo Almonte
	-memorias cruzroja</t>
        </r>
      </text>
    </comment>
    <comment ref="AR70" authorId="0" shapeId="0" xr:uid="{00000000-0006-0000-0100-00001A000000}">
      <text>
        <r>
          <rPr>
            <sz val="10"/>
            <color rgb="FF000000"/>
            <rFont val="Arial"/>
            <scheme val="minor"/>
          </rPr>
          <t>decía 4
	-memorias cruzroja</t>
        </r>
      </text>
    </comment>
    <comment ref="AS70" authorId="0" shapeId="0" xr:uid="{00000000-0006-0000-0100-000019000000}">
      <text>
        <r>
          <rPr>
            <sz val="10"/>
            <color rgb="FF000000"/>
            <rFont val="Arial"/>
            <scheme val="minor"/>
          </rPr>
          <t>decía 3
	-memorias cruzroja</t>
        </r>
      </text>
    </comment>
    <comment ref="AU70" authorId="0" shapeId="0" xr:uid="{00000000-0006-0000-0100-000018000000}">
      <text>
        <r>
          <rPr>
            <sz val="10"/>
            <color rgb="FF000000"/>
            <rFont val="Arial"/>
            <scheme val="minor"/>
          </rPr>
          <t>decía 2
	-memorias cruzroja</t>
        </r>
      </text>
    </comment>
    <comment ref="BA70" authorId="0" shapeId="0" xr:uid="{00000000-0006-0000-0100-000017000000}">
      <text>
        <r>
          <rPr>
            <sz val="10"/>
            <color rgb="FF000000"/>
            <rFont val="Arial"/>
            <scheme val="minor"/>
          </rPr>
          <t>decía 2
	-memorias cruzroja</t>
        </r>
      </text>
    </comment>
    <comment ref="J71" authorId="0" shapeId="0" xr:uid="{00000000-0006-0000-0100-0000E8000000}">
      <text>
        <r>
          <rPr>
            <sz val="10"/>
            <color rgb="FF000000"/>
            <rFont val="Arial"/>
            <scheme val="minor"/>
          </rPr>
          <t>Cruz Roja Chilena Filial Pucón, facebook
	-memorias cruzroja
cruzrojapucon, tiktok
	-memorias cruzroja</t>
        </r>
      </text>
    </comment>
    <comment ref="AS71" authorId="0" shapeId="0" xr:uid="{00000000-0006-0000-0100-0000E7000000}">
      <text>
        <r>
          <rPr>
            <sz val="10"/>
            <color rgb="FF000000"/>
            <rFont val="Arial"/>
            <scheme val="minor"/>
          </rPr>
          <t>decía 1
	-memorias cruzroja</t>
        </r>
      </text>
    </comment>
    <comment ref="AT71" authorId="0" shapeId="0" xr:uid="{00000000-0006-0000-0100-0000E6000000}">
      <text>
        <r>
          <rPr>
            <sz val="10"/>
            <color rgb="FF000000"/>
            <rFont val="Arial"/>
            <scheme val="minor"/>
          </rPr>
          <t>decía 1
	-memorias cruzroja</t>
        </r>
      </text>
    </comment>
    <comment ref="AU71" authorId="0" shapeId="0" xr:uid="{00000000-0006-0000-0100-0000E5000000}">
      <text>
        <r>
          <rPr>
            <sz val="10"/>
            <color rgb="FF000000"/>
            <rFont val="Arial"/>
            <scheme val="minor"/>
          </rPr>
          <t>decía 1
	-memorias cruzroja</t>
        </r>
      </text>
    </comment>
    <comment ref="AY71" authorId="0" shapeId="0" xr:uid="{00000000-0006-0000-0100-0000E4000000}">
      <text>
        <r>
          <rPr>
            <sz val="10"/>
            <color rgb="FF000000"/>
            <rFont val="Arial"/>
            <scheme val="minor"/>
          </rPr>
          <t>decía 4
	-memorias cruzroja</t>
        </r>
      </text>
    </comment>
    <comment ref="AZ71" authorId="0" shapeId="0" xr:uid="{00000000-0006-0000-0100-0000E3000000}">
      <text>
        <r>
          <rPr>
            <sz val="10"/>
            <color rgb="FF000000"/>
            <rFont val="Arial"/>
            <scheme val="minor"/>
          </rPr>
          <t>decía 1
	-memorias cruzroja</t>
        </r>
      </text>
    </comment>
    <comment ref="AR72" authorId="0" shapeId="0" xr:uid="{00000000-0006-0000-0100-000024000000}">
      <text>
        <r>
          <rPr>
            <sz val="10"/>
            <color rgb="FF000000"/>
            <rFont val="Arial"/>
            <scheme val="minor"/>
          </rPr>
          <t>decía 3
	-memorias cruzroja</t>
        </r>
      </text>
    </comment>
    <comment ref="AS72" authorId="0" shapeId="0" xr:uid="{00000000-0006-0000-0100-000023000000}">
      <text>
        <r>
          <rPr>
            <sz val="10"/>
            <color rgb="FF000000"/>
            <rFont val="Arial"/>
            <scheme val="minor"/>
          </rPr>
          <t>decía 2
	-memorias cruzroja</t>
        </r>
      </text>
    </comment>
    <comment ref="AT72" authorId="0" shapeId="0" xr:uid="{00000000-0006-0000-0100-000022000000}">
      <text>
        <r>
          <rPr>
            <sz val="10"/>
            <color rgb="FF000000"/>
            <rFont val="Arial"/>
            <scheme val="minor"/>
          </rPr>
          <t>decía 2
	-memorias cruzroja</t>
        </r>
      </text>
    </comment>
    <comment ref="AV72" authorId="0" shapeId="0" xr:uid="{00000000-0006-0000-0100-000021000000}">
      <text>
        <r>
          <rPr>
            <sz val="10"/>
            <color rgb="FF000000"/>
            <rFont val="Arial"/>
            <scheme val="minor"/>
          </rPr>
          <t>decía 2
	-memorias cruzroja</t>
        </r>
      </text>
    </comment>
    <comment ref="AR73" authorId="0" shapeId="0" xr:uid="{00000000-0006-0000-0100-000020000000}">
      <text>
        <r>
          <rPr>
            <sz val="10"/>
            <color rgb="FF000000"/>
            <rFont val="Arial"/>
            <scheme val="minor"/>
          </rPr>
          <t>decía 2
	-memorias cruzroja</t>
        </r>
      </text>
    </comment>
    <comment ref="AS73" authorId="0" shapeId="0" xr:uid="{00000000-0006-0000-0100-00001F000000}">
      <text>
        <r>
          <rPr>
            <sz val="10"/>
            <color rgb="FF000000"/>
            <rFont val="Arial"/>
            <scheme val="minor"/>
          </rPr>
          <t>decía 4
	-memorias cruzroja</t>
        </r>
      </text>
    </comment>
    <comment ref="AT73" authorId="0" shapeId="0" xr:uid="{00000000-0006-0000-0100-00001E000000}">
      <text>
        <r>
          <rPr>
            <sz val="10"/>
            <color rgb="FF000000"/>
            <rFont val="Arial"/>
            <scheme val="minor"/>
          </rPr>
          <t>decía 3
	-memorias cruzroja</t>
        </r>
      </text>
    </comment>
    <comment ref="AU73" authorId="0" shapeId="0" xr:uid="{00000000-0006-0000-0100-00001D000000}">
      <text>
        <r>
          <rPr>
            <sz val="10"/>
            <color rgb="FF000000"/>
            <rFont val="Arial"/>
            <scheme val="minor"/>
          </rPr>
          <t>decía 3
	-memorias cruzroja</t>
        </r>
      </text>
    </comment>
    <comment ref="AV73" authorId="0" shapeId="0" xr:uid="{00000000-0006-0000-0100-00001C000000}">
      <text>
        <r>
          <rPr>
            <sz val="10"/>
            <color rgb="FF000000"/>
            <rFont val="Arial"/>
            <scheme val="minor"/>
          </rPr>
          <t>decía 3
	-memorias cruzroja</t>
        </r>
      </text>
    </comment>
    <comment ref="AZ73" authorId="0" shapeId="0" xr:uid="{00000000-0006-0000-0100-00001B000000}">
      <text>
        <r>
          <rPr>
            <sz val="10"/>
            <color rgb="FF000000"/>
            <rFont val="Arial"/>
            <scheme val="minor"/>
          </rPr>
          <t>decía 1
	-memorias cruzroja</t>
        </r>
      </text>
    </comment>
    <comment ref="AS74" authorId="0" shapeId="0" xr:uid="{00000000-0006-0000-0100-0000FA000000}">
      <text>
        <r>
          <rPr>
            <sz val="10"/>
            <color rgb="FF000000"/>
            <rFont val="Arial"/>
            <scheme val="minor"/>
          </rPr>
          <t>Decía 1
	-memorias cruzroja</t>
        </r>
      </text>
    </comment>
    <comment ref="AT74" authorId="0" shapeId="0" xr:uid="{00000000-0006-0000-0100-0000F9000000}">
      <text>
        <r>
          <rPr>
            <sz val="10"/>
            <color rgb="FF000000"/>
            <rFont val="Arial"/>
            <scheme val="minor"/>
          </rPr>
          <t>Decía 1
	-memorias cruzroja</t>
        </r>
      </text>
    </comment>
    <comment ref="AU74" authorId="0" shapeId="0" xr:uid="{00000000-0006-0000-0100-0000F8000000}">
      <text>
        <r>
          <rPr>
            <sz val="10"/>
            <color rgb="FF000000"/>
            <rFont val="Arial"/>
            <scheme val="minor"/>
          </rPr>
          <t>decía 1
	-memorias cruzroja</t>
        </r>
      </text>
    </comment>
    <comment ref="AV74" authorId="0" shapeId="0" xr:uid="{00000000-0006-0000-0100-0000F7000000}">
      <text>
        <r>
          <rPr>
            <sz val="10"/>
            <color rgb="FF000000"/>
            <rFont val="Arial"/>
            <scheme val="minor"/>
          </rPr>
          <t>decía 1
	-memorias cruzroja</t>
        </r>
      </text>
    </comment>
    <comment ref="J75" authorId="0" shapeId="0" xr:uid="{00000000-0006-0000-0100-0000DB000000}">
      <text>
        <r>
          <rPr>
            <sz val="10"/>
            <color rgb="FF000000"/>
            <rFont val="Arial"/>
            <scheme val="minor"/>
          </rPr>
          <t>Facebook: Cruz Roja Filial Purén
	-memorias cruzroja</t>
        </r>
      </text>
    </comment>
    <comment ref="AR75" authorId="0" shapeId="0" xr:uid="{00000000-0006-0000-0100-0000D7000000}">
      <text>
        <r>
          <rPr>
            <sz val="10"/>
            <color rgb="FF000000"/>
            <rFont val="Arial"/>
            <scheme val="minor"/>
          </rPr>
          <t>decía 1
	-memorias cruzroja</t>
        </r>
      </text>
    </comment>
    <comment ref="AS75" authorId="0" shapeId="0" xr:uid="{00000000-0006-0000-0100-0000D8000000}">
      <text>
        <r>
          <rPr>
            <sz val="10"/>
            <color rgb="FF000000"/>
            <rFont val="Arial"/>
            <scheme val="minor"/>
          </rPr>
          <t>decía 1
	-memorias cruzroja</t>
        </r>
      </text>
    </comment>
    <comment ref="AT75" authorId="0" shapeId="0" xr:uid="{00000000-0006-0000-0100-0000D9000000}">
      <text>
        <r>
          <rPr>
            <sz val="10"/>
            <color rgb="FF000000"/>
            <rFont val="Arial"/>
            <scheme val="minor"/>
          </rPr>
          <t>decía 1
	-memorias cruzroja</t>
        </r>
      </text>
    </comment>
    <comment ref="AU75" authorId="0" shapeId="0" xr:uid="{00000000-0006-0000-0100-0000DA000000}">
      <text>
        <r>
          <rPr>
            <sz val="10"/>
            <color rgb="FF000000"/>
            <rFont val="Arial"/>
            <scheme val="minor"/>
          </rPr>
          <t>decía 1
	-memorias cruzroja</t>
        </r>
      </text>
    </comment>
    <comment ref="AZ75" authorId="0" shapeId="0" xr:uid="{00000000-0006-0000-0100-0000D6000000}">
      <text>
        <r>
          <rPr>
            <sz val="10"/>
            <color rgb="FF000000"/>
            <rFont val="Arial"/>
            <scheme val="minor"/>
          </rPr>
          <t>decía 1
	-memorias cruzroja</t>
        </r>
      </text>
    </comment>
    <comment ref="J76" authorId="0" shapeId="0" xr:uid="{00000000-0006-0000-0100-000016000000}">
      <text>
        <r>
          <rPr>
            <sz val="10"/>
            <color rgb="FF000000"/>
            <rFont val="Arial"/>
            <scheme val="minor"/>
          </rPr>
          <t>facebook: https://www.facebook.com/share/15e1wu4KtW/?mibextid=qi2Omg
	-memorias cruzroja</t>
        </r>
      </text>
    </comment>
    <comment ref="J77" authorId="0" shapeId="0" xr:uid="{00000000-0006-0000-0100-00006B000000}">
      <text>
        <r>
          <rPr>
            <sz val="10"/>
            <color rgb="FF000000"/>
            <rFont val="Arial"/>
            <scheme val="minor"/>
          </rPr>
          <t>cruzrojachilenafilalquillota
	-memorias cruzroja</t>
        </r>
      </text>
    </comment>
    <comment ref="AS77" authorId="0" shapeId="0" xr:uid="{00000000-0006-0000-0100-00006A000000}">
      <text>
        <r>
          <rPr>
            <sz val="10"/>
            <color rgb="FF000000"/>
            <rFont val="Arial"/>
            <scheme val="minor"/>
          </rPr>
          <t>decía 5
	-memorias cruzroja</t>
        </r>
      </text>
    </comment>
    <comment ref="AT77" authorId="0" shapeId="0" xr:uid="{00000000-0006-0000-0100-000067000000}">
      <text>
        <r>
          <rPr>
            <sz val="10"/>
            <color rgb="FF000000"/>
            <rFont val="Arial"/>
            <scheme val="minor"/>
          </rPr>
          <t>decía 4
	-memorias cruzroja</t>
        </r>
      </text>
    </comment>
    <comment ref="AU77" authorId="0" shapeId="0" xr:uid="{00000000-0006-0000-0100-000069000000}">
      <text>
        <r>
          <rPr>
            <sz val="10"/>
            <color rgb="FF000000"/>
            <rFont val="Arial"/>
            <scheme val="minor"/>
          </rPr>
          <t>decía 5
	-memorias cruzroja</t>
        </r>
      </text>
    </comment>
    <comment ref="AV77" authorId="0" shapeId="0" xr:uid="{00000000-0006-0000-0100-000068000000}">
      <text>
        <r>
          <rPr>
            <sz val="10"/>
            <color rgb="FF000000"/>
            <rFont val="Arial"/>
            <scheme val="minor"/>
          </rPr>
          <t>decía 3
	-memorias cruzroja</t>
        </r>
      </text>
    </comment>
    <comment ref="AY77" authorId="0" shapeId="0" xr:uid="{00000000-0006-0000-0100-000066000000}">
      <text>
        <r>
          <rPr>
            <sz val="10"/>
            <color rgb="FF000000"/>
            <rFont val="Arial"/>
            <scheme val="minor"/>
          </rPr>
          <t>decía 1
	-memorias cruzroja</t>
        </r>
      </text>
    </comment>
    <comment ref="AZ77" authorId="0" shapeId="0" xr:uid="{00000000-0006-0000-0100-000065000000}">
      <text>
        <r>
          <rPr>
            <sz val="10"/>
            <color rgb="FF000000"/>
            <rFont val="Arial"/>
            <scheme val="minor"/>
          </rPr>
          <t>decía 1
	-memorias cruzroja</t>
        </r>
      </text>
    </comment>
    <comment ref="BA77" authorId="0" shapeId="0" xr:uid="{00000000-0006-0000-0100-000064000000}">
      <text>
        <r>
          <rPr>
            <sz val="10"/>
            <color rgb="FF000000"/>
            <rFont val="Arial"/>
            <scheme val="minor"/>
          </rPr>
          <t>decía 1
	-memorias cruzroja</t>
        </r>
      </text>
    </comment>
    <comment ref="J78" authorId="0" shapeId="0" xr:uid="{00000000-0006-0000-0100-00009D000000}">
      <text>
        <r>
          <rPr>
            <sz val="10"/>
            <color rgb="FF000000"/>
            <rFont val="Arial"/>
            <scheme val="minor"/>
          </rPr>
          <t>CRUZ ROJA FILIAL QUILPUE
	-memorias cruzroja</t>
        </r>
      </text>
    </comment>
    <comment ref="AU78" authorId="0" shapeId="0" xr:uid="{00000000-0006-0000-0100-00009C000000}">
      <text>
        <r>
          <rPr>
            <sz val="10"/>
            <color rgb="FF000000"/>
            <rFont val="Arial"/>
            <scheme val="minor"/>
          </rPr>
          <t>decía 3
	-memorias cruzroja</t>
        </r>
      </text>
    </comment>
    <comment ref="AX78" authorId="0" shapeId="0" xr:uid="{00000000-0006-0000-0100-000099000000}">
      <text>
        <r>
          <rPr>
            <sz val="10"/>
            <color rgb="FF000000"/>
            <rFont val="Arial"/>
            <scheme val="minor"/>
          </rPr>
          <t>decía 3
	-memorias cruzroja</t>
        </r>
      </text>
    </comment>
    <comment ref="AY78" authorId="0" shapeId="0" xr:uid="{00000000-0006-0000-0100-00009A000000}">
      <text>
        <r>
          <rPr>
            <sz val="10"/>
            <color rgb="FF000000"/>
            <rFont val="Arial"/>
            <scheme val="minor"/>
          </rPr>
          <t>decía 1
	-memorias cruzroja</t>
        </r>
      </text>
    </comment>
    <comment ref="AZ78" authorId="0" shapeId="0" xr:uid="{00000000-0006-0000-0100-00009B000000}">
      <text>
        <r>
          <rPr>
            <sz val="10"/>
            <color rgb="FF000000"/>
            <rFont val="Arial"/>
            <scheme val="minor"/>
          </rPr>
          <t>decía 1
	-memorias cruzroja</t>
        </r>
      </text>
    </comment>
    <comment ref="AR79" authorId="0" shapeId="0" xr:uid="{00000000-0006-0000-0100-000087000000}">
      <text>
        <r>
          <rPr>
            <sz val="10"/>
            <color rgb="FF000000"/>
            <rFont val="Arial"/>
            <scheme val="minor"/>
          </rPr>
          <t>decía 1
	-memorias cruzroja</t>
        </r>
      </text>
    </comment>
    <comment ref="AT79" authorId="0" shapeId="0" xr:uid="{00000000-0006-0000-0100-000086000000}">
      <text>
        <r>
          <rPr>
            <sz val="10"/>
            <color rgb="FF000000"/>
            <rFont val="Arial"/>
            <scheme val="minor"/>
          </rPr>
          <t>decía 1
	-memorias cruzroja</t>
        </r>
      </text>
    </comment>
    <comment ref="AV79" authorId="0" shapeId="0" xr:uid="{00000000-0006-0000-0100-000085000000}">
      <text>
        <r>
          <rPr>
            <sz val="10"/>
            <color rgb="FF000000"/>
            <rFont val="Arial"/>
            <scheme val="minor"/>
          </rPr>
          <t>decía 1
	-memorias cruzroja</t>
        </r>
      </text>
    </comment>
    <comment ref="AX79" authorId="0" shapeId="0" xr:uid="{00000000-0006-0000-0100-000084000000}">
      <text>
        <r>
          <rPr>
            <sz val="10"/>
            <color rgb="FF000000"/>
            <rFont val="Arial"/>
            <scheme val="minor"/>
          </rPr>
          <t>Decía 1
	-memorias cruzroja</t>
        </r>
      </text>
    </comment>
    <comment ref="AY79" authorId="0" shapeId="0" xr:uid="{00000000-0006-0000-0100-000083000000}">
      <text>
        <r>
          <rPr>
            <sz val="10"/>
            <color rgb="FF000000"/>
            <rFont val="Arial"/>
            <scheme val="minor"/>
          </rPr>
          <t>Decía 1
	-memorias cruzroja</t>
        </r>
      </text>
    </comment>
    <comment ref="BA79" authorId="0" shapeId="0" xr:uid="{00000000-0006-0000-0100-000082000000}">
      <text>
        <r>
          <rPr>
            <sz val="10"/>
            <color rgb="FF000000"/>
            <rFont val="Arial"/>
            <scheme val="minor"/>
          </rPr>
          <t>Decía 1
	-memorias cruzroja</t>
        </r>
      </text>
    </comment>
    <comment ref="I80" authorId="0" shapeId="0" xr:uid="{00000000-0006-0000-0100-000015000000}">
      <text>
        <r>
          <rPr>
            <sz val="10"/>
            <color rgb="FF000000"/>
            <rFont val="Arial"/>
            <scheme val="minor"/>
          </rPr>
          <t>directorio interino
	-memorias cruzroja</t>
        </r>
      </text>
    </comment>
    <comment ref="J80" authorId="0" shapeId="0" xr:uid="{00000000-0006-0000-0100-000014000000}">
      <text>
        <r>
          <rPr>
            <sz val="10"/>
            <color rgb="FF000000"/>
            <rFont val="Arial"/>
            <scheme val="minor"/>
          </rPr>
          <t>Facebook
Cruz Roja Filial Rancagua
	-memorias cruzroja</t>
        </r>
      </text>
    </comment>
    <comment ref="AS80" authorId="0" shapeId="0" xr:uid="{00000000-0006-0000-0100-000012000000}">
      <text>
        <r>
          <rPr>
            <sz val="10"/>
            <color rgb="FF000000"/>
            <rFont val="Arial"/>
            <scheme val="minor"/>
          </rPr>
          <t>decía 1
	-memorias cruzroja</t>
        </r>
      </text>
    </comment>
    <comment ref="AT80" authorId="0" shapeId="0" xr:uid="{00000000-0006-0000-0100-000013000000}">
      <text>
        <r>
          <rPr>
            <sz val="10"/>
            <color rgb="FF000000"/>
            <rFont val="Arial"/>
            <scheme val="minor"/>
          </rPr>
          <t>decía 1
	-memorias cruzroja</t>
        </r>
      </text>
    </comment>
    <comment ref="AU80" authorId="0" shapeId="0" xr:uid="{00000000-0006-0000-0100-000011000000}">
      <text>
        <r>
          <rPr>
            <sz val="10"/>
            <color rgb="FF000000"/>
            <rFont val="Arial"/>
            <scheme val="minor"/>
          </rPr>
          <t>decía 1
	-memorias cruzroja</t>
        </r>
      </text>
    </comment>
    <comment ref="AV80" authorId="0" shapeId="0" xr:uid="{00000000-0006-0000-0100-000010000000}">
      <text>
        <r>
          <rPr>
            <sz val="10"/>
            <color rgb="FF000000"/>
            <rFont val="Arial"/>
            <scheme val="minor"/>
          </rPr>
          <t>decía 1
	-memorias cruzroja</t>
        </r>
      </text>
    </comment>
    <comment ref="J81" authorId="0" shapeId="0" xr:uid="{00000000-0006-0000-0100-0000F6000000}">
      <text>
        <r>
          <rPr>
            <sz val="10"/>
            <color rgb="FF000000"/>
            <rFont val="Arial"/>
            <scheme val="minor"/>
          </rPr>
          <t>https://www.facebook.com/share/1E2iTfDzqT/
	-memorias cruzroja</t>
        </r>
      </text>
    </comment>
    <comment ref="J82" authorId="0" shapeId="0" xr:uid="{00000000-0006-0000-0100-00000F000000}">
      <text>
        <r>
          <rPr>
            <sz val="10"/>
            <color rgb="FF000000"/>
            <rFont val="Arial"/>
            <scheme val="minor"/>
          </rPr>
          <t>https://www.facebook.com/profile.php?id=100070204328174
	-memorias cruzroja</t>
        </r>
      </text>
    </comment>
    <comment ref="AR82" authorId="0" shapeId="0" xr:uid="{00000000-0006-0000-0100-00000E000000}">
      <text>
        <r>
          <rPr>
            <sz val="10"/>
            <color rgb="FF000000"/>
            <rFont val="Arial"/>
            <scheme val="minor"/>
          </rPr>
          <t>decía 3
	-memorias cruzroja</t>
        </r>
      </text>
    </comment>
    <comment ref="AS82" authorId="0" shapeId="0" xr:uid="{00000000-0006-0000-0100-00000D000000}">
      <text>
        <r>
          <rPr>
            <sz val="10"/>
            <color rgb="FF000000"/>
            <rFont val="Arial"/>
            <scheme val="minor"/>
          </rPr>
          <t>decía 2
	-memorias cruzroja</t>
        </r>
      </text>
    </comment>
    <comment ref="AT82" authorId="0" shapeId="0" xr:uid="{00000000-0006-0000-0100-00000C000000}">
      <text>
        <r>
          <rPr>
            <sz val="10"/>
            <color rgb="FF000000"/>
            <rFont val="Arial"/>
            <scheme val="minor"/>
          </rPr>
          <t>decía 1
	-memorias cruzroja</t>
        </r>
      </text>
    </comment>
    <comment ref="AV82" authorId="0" shapeId="0" xr:uid="{00000000-0006-0000-0100-00000B000000}">
      <text>
        <r>
          <rPr>
            <sz val="10"/>
            <color rgb="FF000000"/>
            <rFont val="Arial"/>
            <scheme val="minor"/>
          </rPr>
          <t>decía 3
	-memorias cruzroja</t>
        </r>
      </text>
    </comment>
    <comment ref="J83" authorId="0" shapeId="0" xr:uid="{00000000-0006-0000-0100-00000A000000}">
      <text>
        <r>
          <rPr>
            <sz val="10"/>
            <color rgb="FF000000"/>
            <rFont val="Arial"/>
            <scheme val="minor"/>
          </rPr>
          <t>facebook: Cruz roja Río bueno
	-memorias cruzroja</t>
        </r>
      </text>
    </comment>
    <comment ref="J84" authorId="0" shapeId="0" xr:uid="{00000000-0006-0000-0100-0000F4000000}">
      <text>
        <r>
          <rPr>
            <sz val="10"/>
            <color rgb="FF000000"/>
            <rFont val="Arial"/>
            <scheme val="minor"/>
          </rPr>
          <t>Cruz roja salamanca
	-memorias cruzroja</t>
        </r>
      </text>
    </comment>
    <comment ref="J85" authorId="0" shapeId="0" xr:uid="{00000000-0006-0000-0100-0000EA000000}">
      <text>
        <r>
          <rPr>
            <sz val="10"/>
            <color rgb="FF000000"/>
            <rFont val="Arial"/>
            <scheme val="minor"/>
          </rPr>
          <t>cruzrojafilialsanantonio
	-memorias cruzroja</t>
        </r>
      </text>
    </comment>
    <comment ref="AR87" authorId="0" shapeId="0" xr:uid="{00000000-0006-0000-0100-0000A4000000}">
      <text>
        <r>
          <rPr>
            <sz val="10"/>
            <color rgb="FF000000"/>
            <rFont val="Arial"/>
            <scheme val="minor"/>
          </rPr>
          <t>decía 1
	-memorias cruzroja</t>
        </r>
      </text>
    </comment>
    <comment ref="AS87" authorId="0" shapeId="0" xr:uid="{00000000-0006-0000-0100-0000A3000000}">
      <text>
        <r>
          <rPr>
            <sz val="10"/>
            <color rgb="FF000000"/>
            <rFont val="Arial"/>
            <scheme val="minor"/>
          </rPr>
          <t>decía 1
	-memorias cruzroja</t>
        </r>
      </text>
    </comment>
    <comment ref="AT87" authorId="0" shapeId="0" xr:uid="{00000000-0006-0000-0100-0000A2000000}">
      <text>
        <r>
          <rPr>
            <sz val="10"/>
            <color rgb="FF000000"/>
            <rFont val="Arial"/>
            <scheme val="minor"/>
          </rPr>
          <t>decía 1
	-memorias cruzroja</t>
        </r>
      </text>
    </comment>
    <comment ref="AU87" authorId="0" shapeId="0" xr:uid="{00000000-0006-0000-0100-0000A1000000}">
      <text>
        <r>
          <rPr>
            <sz val="10"/>
            <color rgb="FF000000"/>
            <rFont val="Arial"/>
            <scheme val="minor"/>
          </rPr>
          <t>decía 1
	-memorias cruzroja</t>
        </r>
      </text>
    </comment>
    <comment ref="AV87" authorId="0" shapeId="0" xr:uid="{00000000-0006-0000-0100-0000A0000000}">
      <text>
        <r>
          <rPr>
            <sz val="10"/>
            <color rgb="FF000000"/>
            <rFont val="Arial"/>
            <scheme val="minor"/>
          </rPr>
          <t>decía 1
	-memorias cruzroja</t>
        </r>
      </text>
    </comment>
    <comment ref="AZ87" authorId="0" shapeId="0" xr:uid="{00000000-0006-0000-0100-00009F000000}">
      <text>
        <r>
          <rPr>
            <sz val="10"/>
            <color rgb="FF000000"/>
            <rFont val="Arial"/>
            <scheme val="minor"/>
          </rPr>
          <t>decía 1
	-memorias cruzroja</t>
        </r>
      </text>
    </comment>
    <comment ref="BA87" authorId="0" shapeId="0" xr:uid="{00000000-0006-0000-0100-00009E000000}">
      <text>
        <r>
          <rPr>
            <sz val="10"/>
            <color rgb="FF000000"/>
            <rFont val="Arial"/>
            <scheme val="minor"/>
          </rPr>
          <t>decía 3
	-memorias cruzroja</t>
        </r>
      </text>
    </comment>
    <comment ref="J88" authorId="0" shapeId="0" xr:uid="{00000000-0006-0000-0100-000009000000}">
      <text>
        <r>
          <rPr>
            <sz val="10"/>
            <color rgb="FF000000"/>
            <rFont val="Arial"/>
            <scheme val="minor"/>
          </rPr>
          <t>CRUZROJACHILENA - FILIAL MOSTAZAL
	-memorias cruzroja</t>
        </r>
      </text>
    </comment>
    <comment ref="J89" authorId="0" shapeId="0" xr:uid="{00000000-0006-0000-0100-000008000000}">
      <text>
        <r>
          <rPr>
            <sz val="10"/>
            <color rgb="FF000000"/>
            <rFont val="Arial"/>
            <scheme val="minor"/>
          </rPr>
          <t>CRUZ ROJA SAN JOSE DE LA MARIQUINA
	-memorias cruzroja</t>
        </r>
      </text>
    </comment>
    <comment ref="AU89" authorId="0" shapeId="0" xr:uid="{00000000-0006-0000-0100-000007000000}">
      <text>
        <r>
          <rPr>
            <sz val="10"/>
            <color rgb="FF000000"/>
            <rFont val="Arial"/>
            <scheme val="minor"/>
          </rPr>
          <t>decía 3
	-memorias cruzroja</t>
        </r>
      </text>
    </comment>
    <comment ref="AV89" authorId="0" shapeId="0" xr:uid="{00000000-0006-0000-0100-000006000000}">
      <text>
        <r>
          <rPr>
            <sz val="10"/>
            <color rgb="FF000000"/>
            <rFont val="Arial"/>
            <scheme val="minor"/>
          </rPr>
          <t>decía 4
	-memorias cruzroja</t>
        </r>
      </text>
    </comment>
    <comment ref="AY89" authorId="0" shapeId="0" xr:uid="{00000000-0006-0000-0100-000005000000}">
      <text>
        <r>
          <rPr>
            <sz val="10"/>
            <color rgb="FF000000"/>
            <rFont val="Arial"/>
            <scheme val="minor"/>
          </rPr>
          <t>decía 1
	-memorias cruzroja</t>
        </r>
      </text>
    </comment>
    <comment ref="AZ89" authorId="0" shapeId="0" xr:uid="{00000000-0006-0000-0100-000004000000}">
      <text>
        <r>
          <rPr>
            <sz val="10"/>
            <color rgb="FF000000"/>
            <rFont val="Arial"/>
            <scheme val="minor"/>
          </rPr>
          <t>decía 1
	-memorias cruzroja</t>
        </r>
      </text>
    </comment>
    <comment ref="J91" authorId="0" shapeId="0" xr:uid="{00000000-0006-0000-0100-0000F1000000}">
      <text>
        <r>
          <rPr>
            <sz val="10"/>
            <color rgb="FF000000"/>
            <rFont val="Arial"/>
            <scheme val="minor"/>
          </rPr>
          <t>Facebook: Cruz roja filial San Pablo
	-memorias cruzroja</t>
        </r>
      </text>
    </comment>
    <comment ref="AS91" authorId="0" shapeId="0" xr:uid="{00000000-0006-0000-0100-0000F0000000}">
      <text>
        <r>
          <rPr>
            <sz val="10"/>
            <color rgb="FF000000"/>
            <rFont val="Arial"/>
            <scheme val="minor"/>
          </rPr>
          <t>decía 7
	-memorias cruzroja</t>
        </r>
      </text>
    </comment>
    <comment ref="AV91" authorId="0" shapeId="0" xr:uid="{00000000-0006-0000-0100-0000EF000000}">
      <text>
        <r>
          <rPr>
            <sz val="10"/>
            <color rgb="FF000000"/>
            <rFont val="Arial"/>
            <scheme val="minor"/>
          </rPr>
          <t>estaba en blanco
	-memorias cruzroja</t>
        </r>
      </text>
    </comment>
    <comment ref="BA92" authorId="0" shapeId="0" xr:uid="{00000000-0006-0000-0100-00001E010000}">
      <text>
        <r>
          <rPr>
            <sz val="10"/>
            <color rgb="FF000000"/>
            <rFont val="Arial"/>
            <scheme val="minor"/>
          </rPr>
          <t>decía 4
	-memorias cruzroja</t>
        </r>
      </text>
    </comment>
    <comment ref="J94" authorId="0" shapeId="0" xr:uid="{00000000-0006-0000-0100-000003000000}">
      <text>
        <r>
          <rPr>
            <sz val="10"/>
            <color rgb="FF000000"/>
            <rFont val="Arial"/>
            <scheme val="minor"/>
          </rPr>
          <t>Comité Regional Antofagasta facebook
	-memorias cruzroja</t>
        </r>
      </text>
    </comment>
    <comment ref="J95" authorId="0" shapeId="0" xr:uid="{00000000-0006-0000-0100-0000B7000000}">
      <text>
        <r>
          <rPr>
            <sz val="10"/>
            <color rgb="FF000000"/>
            <rFont val="Arial"/>
            <scheme val="minor"/>
          </rPr>
          <t>Cruz Roja Comité Regional Araucanía
	-memorias cruzroja</t>
        </r>
      </text>
    </comment>
    <comment ref="J96" authorId="0" shapeId="0" xr:uid="{00000000-0006-0000-0100-0000F3000000}">
      <text>
        <r>
          <rPr>
            <sz val="10"/>
            <color rgb="FF000000"/>
            <rFont val="Arial"/>
            <scheme val="minor"/>
          </rPr>
          <t>https://www.facebook.com/atacama.coquimbo.9?mibextid=JRoKGi
	-memorias cruzroja</t>
        </r>
      </text>
    </comment>
    <comment ref="J97" authorId="0" shapeId="0" xr:uid="{00000000-0006-0000-0100-0000F2000000}">
      <text>
        <r>
          <rPr>
            <sz val="10"/>
            <color rgb="FF000000"/>
            <rFont val="Arial"/>
            <scheme val="minor"/>
          </rPr>
          <t>Facebook: comité regional cruz roja Chilena
	-memorias cruzroja</t>
        </r>
      </text>
    </comment>
    <comment ref="J100" authorId="0" shapeId="0" xr:uid="{00000000-0006-0000-0100-000002000000}">
      <text>
        <r>
          <rPr>
            <sz val="10"/>
            <color rgb="FF000000"/>
            <rFont val="Arial"/>
            <scheme val="minor"/>
          </rPr>
          <t>Cruz Roja Chilena-Comité Regional XIV Región, facebook
	-memorias cruzroja</t>
        </r>
      </text>
    </comment>
    <comment ref="J101" authorId="0" shapeId="0" xr:uid="{00000000-0006-0000-0100-000063000000}">
      <text>
        <r>
          <rPr>
            <sz val="10"/>
            <color rgb="FF000000"/>
            <rFont val="Arial"/>
            <scheme val="minor"/>
          </rPr>
          <t>Cruzrojacomiteregvalparaiso
	-memorias cruzroja</t>
        </r>
      </text>
    </comment>
    <comment ref="AR101" authorId="0" shapeId="0" xr:uid="{00000000-0006-0000-0100-000062000000}">
      <text>
        <r>
          <rPr>
            <sz val="10"/>
            <color rgb="FF000000"/>
            <rFont val="Arial"/>
            <scheme val="minor"/>
          </rPr>
          <t>decía 1
	-memorias cruzroja</t>
        </r>
      </text>
    </comment>
    <comment ref="AS101" authorId="0" shapeId="0" xr:uid="{00000000-0006-0000-0100-000061000000}">
      <text>
        <r>
          <rPr>
            <sz val="10"/>
            <color rgb="FF000000"/>
            <rFont val="Arial"/>
            <scheme val="minor"/>
          </rPr>
          <t>decía 1
	-memorias cruzroja</t>
        </r>
      </text>
    </comment>
    <comment ref="AT101" authorId="0" shapeId="0" xr:uid="{00000000-0006-0000-0100-000060000000}">
      <text>
        <r>
          <rPr>
            <sz val="10"/>
            <color rgb="FF000000"/>
            <rFont val="Arial"/>
            <scheme val="minor"/>
          </rPr>
          <t>decía 1
	-memorias cruzroja</t>
        </r>
      </text>
    </comment>
    <comment ref="AV101" authorId="0" shapeId="0" xr:uid="{00000000-0006-0000-0100-00005F000000}">
      <text>
        <r>
          <rPr>
            <sz val="10"/>
            <color rgb="FF000000"/>
            <rFont val="Arial"/>
            <scheme val="minor"/>
          </rPr>
          <t>decía 1
	-memorias cruzroja</t>
        </r>
      </text>
    </comment>
    <comment ref="AY101" authorId="0" shapeId="0" xr:uid="{00000000-0006-0000-0100-00005E000000}">
      <text>
        <r>
          <rPr>
            <sz val="10"/>
            <color rgb="FF000000"/>
            <rFont val="Arial"/>
            <scheme val="minor"/>
          </rPr>
          <t>decía 1
	-memorias cruzroja</t>
        </r>
      </text>
    </comment>
    <comment ref="AZ101" authorId="0" shapeId="0" xr:uid="{00000000-0006-0000-0100-00005D000000}">
      <text>
        <r>
          <rPr>
            <sz val="10"/>
            <color rgb="FF000000"/>
            <rFont val="Arial"/>
            <scheme val="minor"/>
          </rPr>
          <t>decía 1
	-memorias cruzroja</t>
        </r>
      </text>
    </comment>
    <comment ref="BA101" authorId="0" shapeId="0" xr:uid="{00000000-0006-0000-0100-00005C000000}">
      <text>
        <r>
          <rPr>
            <sz val="10"/>
            <color rgb="FF000000"/>
            <rFont val="Arial"/>
            <scheme val="minor"/>
          </rPr>
          <t>decía 1
	-memorias cruzroja</t>
        </r>
      </text>
    </comment>
    <comment ref="J102" authorId="0" shapeId="0" xr:uid="{00000000-0006-0000-0100-0000B4000000}">
      <text>
        <r>
          <rPr>
            <sz val="10"/>
            <color rgb="FF000000"/>
            <rFont val="Arial"/>
            <scheme val="minor"/>
          </rPr>
          <t>CRUZ ROJA CHILENA FILIAL TALTAL
	-memorias cruzroja</t>
        </r>
      </text>
    </comment>
    <comment ref="AS102" authorId="0" shapeId="0" xr:uid="{00000000-0006-0000-0100-0000B3000000}">
      <text>
        <r>
          <rPr>
            <sz val="10"/>
            <color rgb="FF000000"/>
            <rFont val="Arial"/>
            <scheme val="minor"/>
          </rPr>
          <t>decía 1
	-memorias cruzroja</t>
        </r>
      </text>
    </comment>
    <comment ref="AT102" authorId="0" shapeId="0" xr:uid="{00000000-0006-0000-0100-0000B2000000}">
      <text>
        <r>
          <rPr>
            <sz val="10"/>
            <color rgb="FF000000"/>
            <rFont val="Arial"/>
            <scheme val="minor"/>
          </rPr>
          <t>decía 1
	-memorias cruzroja</t>
        </r>
      </text>
    </comment>
    <comment ref="AU102" authorId="0" shapeId="0" xr:uid="{00000000-0006-0000-0100-0000B1000000}">
      <text>
        <r>
          <rPr>
            <sz val="10"/>
            <color rgb="FF000000"/>
            <rFont val="Arial"/>
            <scheme val="minor"/>
          </rPr>
          <t>decía 1
	-memorias cruzroja</t>
        </r>
      </text>
    </comment>
    <comment ref="AV102" authorId="0" shapeId="0" xr:uid="{00000000-0006-0000-0100-0000B0000000}">
      <text>
        <r>
          <rPr>
            <sz val="10"/>
            <color rgb="FF000000"/>
            <rFont val="Arial"/>
            <scheme val="minor"/>
          </rPr>
          <t>decía 1
	-memorias cruzroja</t>
        </r>
      </text>
    </comment>
    <comment ref="AY102" authorId="0" shapeId="0" xr:uid="{00000000-0006-0000-0100-0000AF000000}">
      <text>
        <r>
          <rPr>
            <sz val="10"/>
            <color rgb="FF000000"/>
            <rFont val="Arial"/>
            <scheme val="minor"/>
          </rPr>
          <t>decía 1
	-memorias cruzroja</t>
        </r>
      </text>
    </comment>
    <comment ref="AZ102" authorId="0" shapeId="0" xr:uid="{00000000-0006-0000-0100-0000AE000000}">
      <text>
        <r>
          <rPr>
            <sz val="10"/>
            <color rgb="FF000000"/>
            <rFont val="Arial"/>
            <scheme val="minor"/>
          </rPr>
          <t>decía 1
	-memorias cruzroja</t>
        </r>
      </text>
    </comment>
    <comment ref="BA102" authorId="0" shapeId="0" xr:uid="{00000000-0006-0000-0100-0000AD000000}">
      <text>
        <r>
          <rPr>
            <sz val="10"/>
            <color rgb="FF000000"/>
            <rFont val="Arial"/>
            <scheme val="minor"/>
          </rPr>
          <t>decía 2
	-memorias cruzroja</t>
        </r>
      </text>
    </comment>
    <comment ref="J105" authorId="0" shapeId="0" xr:uid="{00000000-0006-0000-0100-0000CE000000}">
      <text>
        <r>
          <rPr>
            <sz val="10"/>
            <color rgb="FF000000"/>
            <rFont val="Arial"/>
            <scheme val="minor"/>
          </rPr>
          <t>Cruz roja Toltén, facebook
	-memorias cruzroja</t>
        </r>
      </text>
    </comment>
    <comment ref="AS105" authorId="0" shapeId="0" xr:uid="{00000000-0006-0000-0100-0000CD000000}">
      <text>
        <r>
          <rPr>
            <sz val="10"/>
            <color rgb="FF000000"/>
            <rFont val="Arial"/>
            <scheme val="minor"/>
          </rPr>
          <t>decía 1
	-memorias cruzroja</t>
        </r>
      </text>
    </comment>
    <comment ref="AT105" authorId="0" shapeId="0" xr:uid="{00000000-0006-0000-0100-0000CC000000}">
      <text>
        <r>
          <rPr>
            <sz val="10"/>
            <color rgb="FF000000"/>
            <rFont val="Arial"/>
            <scheme val="minor"/>
          </rPr>
          <t>decía 1
	-memorias cruzroja</t>
        </r>
      </text>
    </comment>
    <comment ref="AU105" authorId="0" shapeId="0" xr:uid="{00000000-0006-0000-0100-0000CB000000}">
      <text>
        <r>
          <rPr>
            <sz val="10"/>
            <color rgb="FF000000"/>
            <rFont val="Arial"/>
            <scheme val="minor"/>
          </rPr>
          <t>decía 1
	-memorias cruzroja</t>
        </r>
      </text>
    </comment>
    <comment ref="AV105" authorId="0" shapeId="0" xr:uid="{00000000-0006-0000-0100-0000CA000000}">
      <text>
        <r>
          <rPr>
            <sz val="10"/>
            <color rgb="FF000000"/>
            <rFont val="Arial"/>
            <scheme val="minor"/>
          </rPr>
          <t>decía 1
	-memorias cruzroja</t>
        </r>
      </text>
    </comment>
    <comment ref="J106" authorId="0" shapeId="0" xr:uid="{00000000-0006-0000-0100-00001F010000}">
      <text>
        <r>
          <rPr>
            <sz val="10"/>
            <color rgb="FF000000"/>
            <rFont val="Arial"/>
            <scheme val="minor"/>
          </rPr>
          <t>mismo para facebook
	-memorias cruzroja</t>
        </r>
      </text>
    </comment>
    <comment ref="J109" authorId="0" shapeId="0" xr:uid="{00000000-0006-0000-0100-0000C0000000}">
      <text>
        <r>
          <rPr>
            <sz val="10"/>
            <color rgb="FF000000"/>
            <rFont val="Arial"/>
            <scheme val="minor"/>
          </rPr>
          <t>CRUZ ROJA FILIAL VICTORIA
	-memorias cruzroja</t>
        </r>
      </text>
    </comment>
    <comment ref="AS109" authorId="0" shapeId="0" xr:uid="{00000000-0006-0000-0100-0000BF000000}">
      <text>
        <r>
          <rPr>
            <sz val="10"/>
            <color rgb="FF000000"/>
            <rFont val="Arial"/>
            <scheme val="minor"/>
          </rPr>
          <t>decía 1
	-memorias cruzroja</t>
        </r>
      </text>
    </comment>
    <comment ref="AT109" authorId="0" shapeId="0" xr:uid="{00000000-0006-0000-0100-0000BE000000}">
      <text>
        <r>
          <rPr>
            <sz val="10"/>
            <color rgb="FF000000"/>
            <rFont val="Arial"/>
            <scheme val="minor"/>
          </rPr>
          <t>decía 1
	-memorias cruzroja</t>
        </r>
      </text>
    </comment>
    <comment ref="AU109" authorId="0" shapeId="0" xr:uid="{00000000-0006-0000-0100-0000BD000000}">
      <text>
        <r>
          <rPr>
            <sz val="10"/>
            <color rgb="FF000000"/>
            <rFont val="Arial"/>
            <scheme val="minor"/>
          </rPr>
          <t>decía 1
	-memorias cruzroja</t>
        </r>
      </text>
    </comment>
    <comment ref="AV109" authorId="0" shapeId="0" xr:uid="{00000000-0006-0000-0100-0000BC000000}">
      <text>
        <r>
          <rPr>
            <sz val="10"/>
            <color rgb="FF000000"/>
            <rFont val="Arial"/>
            <scheme val="minor"/>
          </rPr>
          <t>decía 1
	-memorias cruzroja</t>
        </r>
      </text>
    </comment>
    <comment ref="AZ109" authorId="0" shapeId="0" xr:uid="{00000000-0006-0000-0100-0000BB000000}">
      <text>
        <r>
          <rPr>
            <sz val="10"/>
            <color rgb="FF000000"/>
            <rFont val="Arial"/>
            <scheme val="minor"/>
          </rPr>
          <t>decía 1
	-memorias cruzroja</t>
        </r>
      </text>
    </comment>
    <comment ref="BA109" authorId="0" shapeId="0" xr:uid="{00000000-0006-0000-0100-0000BA000000}">
      <text>
        <r>
          <rPr>
            <sz val="10"/>
            <color rgb="FF000000"/>
            <rFont val="Arial"/>
            <scheme val="minor"/>
          </rPr>
          <t>decía 3
	-memorias cruzroja</t>
        </r>
      </text>
    </comment>
    <comment ref="J110" authorId="0" shapeId="0" xr:uid="{00000000-0006-0000-0100-000072000000}">
      <text>
        <r>
          <rPr>
            <sz val="10"/>
            <color rgb="FF000000"/>
            <rFont val="Arial"/>
            <scheme val="minor"/>
          </rPr>
          <t>dice tener facebook, X e instagram
	-memorias cruzroja</t>
        </r>
      </text>
    </comment>
    <comment ref="AY110" authorId="0" shapeId="0" xr:uid="{00000000-0006-0000-0100-000071000000}">
      <text>
        <r>
          <rPr>
            <sz val="10"/>
            <color rgb="FF000000"/>
            <rFont val="Arial"/>
            <scheme val="minor"/>
          </rPr>
          <t>decía 1
	-memorias cruzroja</t>
        </r>
      </text>
    </comment>
    <comment ref="AZ110" authorId="0" shapeId="0" xr:uid="{00000000-0006-0000-0100-000070000000}">
      <text>
        <r>
          <rPr>
            <sz val="10"/>
            <color rgb="FF000000"/>
            <rFont val="Arial"/>
            <scheme val="minor"/>
          </rPr>
          <t>decía 1
	-memorias cruzroja</t>
        </r>
      </text>
    </comment>
    <comment ref="BA110" authorId="0" shapeId="0" xr:uid="{00000000-0006-0000-0100-00006F000000}">
      <text>
        <r>
          <rPr>
            <sz val="10"/>
            <color rgb="FF000000"/>
            <rFont val="Arial"/>
            <scheme val="minor"/>
          </rPr>
          <t>decía 2
	-memorias cruzroja</t>
        </r>
      </text>
    </comment>
    <comment ref="J111" authorId="0" shapeId="0" xr:uid="{00000000-0006-0000-0100-0000C1000000}">
      <text>
        <r>
          <rPr>
            <sz val="10"/>
            <color rgb="FF000000"/>
            <rFont val="Arial"/>
            <scheme val="minor"/>
          </rPr>
          <t>CRUZ ROJA FILIAL VILLARRICA OFICIAL
	-memorias cruzroja</t>
        </r>
      </text>
    </comment>
    <comment ref="J112" authorId="0" shapeId="0" xr:uid="{00000000-0006-0000-0100-00007B000000}">
      <text>
        <r>
          <rPr>
            <sz val="10"/>
            <color rgb="FF000000"/>
            <rFont val="Arial"/>
            <scheme val="minor"/>
          </rPr>
          <t>Facebook: Cruz Roja Filial Viña del Mar
	-memorias cruzroja</t>
        </r>
      </text>
    </comment>
    <comment ref="J113" authorId="0" shapeId="0" xr:uid="{00000000-0006-0000-0100-000081000000}">
      <text>
        <r>
          <rPr>
            <sz val="10"/>
            <color rgb="FF000000"/>
            <rFont val="Arial"/>
            <scheme val="minor"/>
          </rPr>
          <t>facebook: FILIAL YUNGAY VALPARAISO
	-memorias cruzroja</t>
        </r>
      </text>
    </comment>
    <comment ref="AR113" authorId="0" shapeId="0" xr:uid="{00000000-0006-0000-0100-000080000000}">
      <text>
        <r>
          <rPr>
            <sz val="10"/>
            <color rgb="FF000000"/>
            <rFont val="Arial"/>
            <scheme val="minor"/>
          </rPr>
          <t>decía 1
	-memorias cruzroja</t>
        </r>
      </text>
    </comment>
    <comment ref="AS113" authorId="0" shapeId="0" xr:uid="{00000000-0006-0000-0100-00007F000000}">
      <text>
        <r>
          <rPr>
            <sz val="10"/>
            <color rgb="FF000000"/>
            <rFont val="Arial"/>
            <scheme val="minor"/>
          </rPr>
          <t>decía 1
	-memorias cruzroja</t>
        </r>
      </text>
    </comment>
    <comment ref="AT113" authorId="0" shapeId="0" xr:uid="{00000000-0006-0000-0100-00007E000000}">
      <text>
        <r>
          <rPr>
            <sz val="10"/>
            <color rgb="FF000000"/>
            <rFont val="Arial"/>
            <scheme val="minor"/>
          </rPr>
          <t>decía 3
	-memorias cruzroja</t>
        </r>
      </text>
    </comment>
    <comment ref="AV113" authorId="0" shapeId="0" xr:uid="{00000000-0006-0000-0100-00007D000000}">
      <text>
        <r>
          <rPr>
            <sz val="10"/>
            <color rgb="FF000000"/>
            <rFont val="Arial"/>
            <scheme val="minor"/>
          </rPr>
          <t>decía 3
	-memorias cruzroja</t>
        </r>
      </text>
    </comment>
    <comment ref="BA113" authorId="0" shapeId="0" xr:uid="{00000000-0006-0000-0100-00007C000000}">
      <text>
        <r>
          <rPr>
            <sz val="10"/>
            <color rgb="FF000000"/>
            <rFont val="Arial"/>
            <scheme val="minor"/>
          </rPr>
          <t>decía 4
	-memorias cruzroja</t>
        </r>
      </text>
    </comment>
  </commentList>
</comments>
</file>

<file path=xl/sharedStrings.xml><?xml version="1.0" encoding="utf-8"?>
<sst xmlns="http://schemas.openxmlformats.org/spreadsheetml/2006/main" count="32817" uniqueCount="12710">
  <si>
    <t>N°</t>
  </si>
  <si>
    <t>Filial</t>
  </si>
  <si>
    <t>Calidad de voluntario</t>
  </si>
  <si>
    <t>Nombres voluntario</t>
  </si>
  <si>
    <t>Apellidos voluntarios</t>
  </si>
  <si>
    <t>RUT</t>
  </si>
  <si>
    <t>Direccion</t>
  </si>
  <si>
    <t>Telefono</t>
  </si>
  <si>
    <t>Cargo</t>
  </si>
  <si>
    <t>Edad</t>
  </si>
  <si>
    <t>Edad de ingreso a CRC</t>
  </si>
  <si>
    <t>Antigüedad</t>
  </si>
  <si>
    <t>Género</t>
  </si>
  <si>
    <t>Instructores de PPAA Básico</t>
  </si>
  <si>
    <t>Instructores de PPAA Avanzado</t>
  </si>
  <si>
    <t>Instructores doctrina</t>
  </si>
  <si>
    <t>TOT</t>
  </si>
  <si>
    <t>SPAC</t>
  </si>
  <si>
    <t>ENI</t>
  </si>
  <si>
    <t>CPI</t>
  </si>
  <si>
    <t>IM-PMER</t>
  </si>
  <si>
    <t>EIEM</t>
  </si>
  <si>
    <t>RIT finanzas</t>
  </si>
  <si>
    <t>Podología</t>
  </si>
  <si>
    <t>Matrona</t>
  </si>
  <si>
    <t>TENS</t>
  </si>
  <si>
    <t>Operador de salud en emergencia</t>
  </si>
  <si>
    <t>Monitor ed. sexual</t>
  </si>
  <si>
    <t>RCF</t>
  </si>
  <si>
    <t>RIT agua</t>
  </si>
  <si>
    <t>Titulo socorrista</t>
  </si>
  <si>
    <t>Instructor en metodología participativa</t>
  </si>
  <si>
    <t>Supervisor en prevención de desastres</t>
  </si>
  <si>
    <t>Instructor en prevención de desastres</t>
  </si>
  <si>
    <t>Enfermeria</t>
  </si>
  <si>
    <t>Almendral</t>
  </si>
  <si>
    <t>Activo</t>
  </si>
  <si>
    <t>Lidia Ester</t>
  </si>
  <si>
    <t>Fontalba Guerrero</t>
  </si>
  <si>
    <t>7.470.371-2</t>
  </si>
  <si>
    <t>lidia.fontalbaguerrero@gmail.com</t>
  </si>
  <si>
    <t>Retamo # 758</t>
  </si>
  <si>
    <t>Presidente</t>
  </si>
  <si>
    <t>F</t>
  </si>
  <si>
    <t>Gilda del C</t>
  </si>
  <si>
    <t>Gómez Aburto</t>
  </si>
  <si>
    <t>7.168.729-5</t>
  </si>
  <si>
    <t>gildagomez1956@gmail.com</t>
  </si>
  <si>
    <t>Atalaya 109 Playa Ancha</t>
  </si>
  <si>
    <t>Secretario/a</t>
  </si>
  <si>
    <t>Karina Emilia</t>
  </si>
  <si>
    <t>González Espinoza</t>
  </si>
  <si>
    <t>yzakari@hotmail.com</t>
  </si>
  <si>
    <t>Río Riñihue 864Viña del Mar</t>
  </si>
  <si>
    <t>Director/a de Finanzas</t>
  </si>
  <si>
    <t>Magda Lourdes</t>
  </si>
  <si>
    <t>Valle Quezada</t>
  </si>
  <si>
    <t>12.845.875-1</t>
  </si>
  <si>
    <t>S/I</t>
  </si>
  <si>
    <t>Arcilla 698 C Barón</t>
  </si>
  <si>
    <t>Voluntario/a</t>
  </si>
  <si>
    <t>Silvia del C</t>
  </si>
  <si>
    <t>Díaz Bolívar</t>
  </si>
  <si>
    <t>5.016.242-7</t>
  </si>
  <si>
    <t>silvitadiazbolivar@gmail.com</t>
  </si>
  <si>
    <t>villa Navaríno20 Miraflores</t>
  </si>
  <si>
    <t>Director/a de Salud</t>
  </si>
  <si>
    <t>Rosa Ester</t>
  </si>
  <si>
    <t>Salazar Fuentealba</t>
  </si>
  <si>
    <t>6.794.473-9</t>
  </si>
  <si>
    <t>rosa.ester.salazar53@gmail.com</t>
  </si>
  <si>
    <t>San Luis 927 Placeres</t>
  </si>
  <si>
    <t>Director/a de Bienestar social</t>
  </si>
  <si>
    <t>Llamada</t>
  </si>
  <si>
    <t>Marcia</t>
  </si>
  <si>
    <t>Ríos Guerrero</t>
  </si>
  <si>
    <t>6.794.712-6</t>
  </si>
  <si>
    <t>Angol</t>
  </si>
  <si>
    <t>Scarlet Macarena</t>
  </si>
  <si>
    <t>Riquelme Osorio</t>
  </si>
  <si>
    <t>21.544.376-0</t>
  </si>
  <si>
    <t>Scarlettosorio99@gmail.com</t>
  </si>
  <si>
    <t>Marianne Sofía</t>
  </si>
  <si>
    <t>Cartes Illanes</t>
  </si>
  <si>
    <t>21.370.886-0</t>
  </si>
  <si>
    <t>Marianne.cartesillanes2@gmail.com</t>
  </si>
  <si>
    <t>Sonia del Carmen</t>
  </si>
  <si>
    <t>Saldias Meza</t>
  </si>
  <si>
    <t>7.265.289-4</t>
  </si>
  <si>
    <t>snsaldias@gmail.com</t>
  </si>
  <si>
    <t>Pampa Graneros 1506</t>
  </si>
  <si>
    <t>Ruby Nelly</t>
  </si>
  <si>
    <t>Aguirre Pineda</t>
  </si>
  <si>
    <t>9.789.296-7</t>
  </si>
  <si>
    <t>rubynellyaguirrep@gmail.com</t>
  </si>
  <si>
    <t>Amancay 1242</t>
  </si>
  <si>
    <t>Eugenia Araceli</t>
  </si>
  <si>
    <t>Lasheras Fernández</t>
  </si>
  <si>
    <t>3.564.207-2</t>
  </si>
  <si>
    <t>gringalasheras@gmail.com</t>
  </si>
  <si>
    <t>Yasna Victoria</t>
  </si>
  <si>
    <t>Maldonado Guerra</t>
  </si>
  <si>
    <t>20.236.546-9</t>
  </si>
  <si>
    <t>Yvictoria.mg@gmail.com</t>
  </si>
  <si>
    <t>Mauricio Sebastián</t>
  </si>
  <si>
    <t>Neira Cárdenas</t>
  </si>
  <si>
    <t>16.906.003-7</t>
  </si>
  <si>
    <t>Mauricio.neiracardenas@gmail.com</t>
  </si>
  <si>
    <t>Rosalbina del Carmen</t>
  </si>
  <si>
    <t>Campos Paredes</t>
  </si>
  <si>
    <t>6.841.520-9</t>
  </si>
  <si>
    <t>General Lagos 286</t>
  </si>
  <si>
    <t>Sylvia</t>
  </si>
  <si>
    <t>Rivas Campos</t>
  </si>
  <si>
    <t>7.051.880-5</t>
  </si>
  <si>
    <t>Sylviarivas29@gmail.com</t>
  </si>
  <si>
    <t>Andalien 778</t>
  </si>
  <si>
    <t>Daniela Valentina</t>
  </si>
  <si>
    <t>Echaiz Ringele</t>
  </si>
  <si>
    <t>18.319.950-1</t>
  </si>
  <si>
    <t>Daniela.echaizr@gmail.com</t>
  </si>
  <si>
    <t>Director/a de Juventud</t>
  </si>
  <si>
    <t>Alexander Danilo</t>
  </si>
  <si>
    <t>Garrido Agurto</t>
  </si>
  <si>
    <t>16.853.446-9</t>
  </si>
  <si>
    <t>rm.alexg@gmail.com</t>
  </si>
  <si>
    <t>Camila Fernanda</t>
  </si>
  <si>
    <t>Trillat González</t>
  </si>
  <si>
    <t>18.285.827-7</t>
  </si>
  <si>
    <t>c.trillatg@gmail.com</t>
  </si>
  <si>
    <t>Sylvia Gloria</t>
  </si>
  <si>
    <t>Manríquez Martínez</t>
  </si>
  <si>
    <t>6.672.653-3</t>
  </si>
  <si>
    <t>sylviagloriam@gmail.com</t>
  </si>
  <si>
    <t>Flor América</t>
  </si>
  <si>
    <t>Medina Viveros</t>
  </si>
  <si>
    <t>6.131.841-0</t>
  </si>
  <si>
    <t>Israel Roa 292</t>
  </si>
  <si>
    <t>Mauricio German</t>
  </si>
  <si>
    <t>Gutiérrez Cea</t>
  </si>
  <si>
    <t>13.392.432-9</t>
  </si>
  <si>
    <t>mauricio.gutierrez@araucania norte.cl</t>
  </si>
  <si>
    <t>Cristian</t>
  </si>
  <si>
    <t>Ibáñez Pimentel</t>
  </si>
  <si>
    <t>13.805.072-6</t>
  </si>
  <si>
    <t>cristian.ibanez@araucanianorte.cl</t>
  </si>
  <si>
    <t>Nancy Fabiola</t>
  </si>
  <si>
    <t>Pezo Salazar</t>
  </si>
  <si>
    <t>10.199.192- k</t>
  </si>
  <si>
    <t>npezosalazar@gmail.com</t>
  </si>
  <si>
    <t>Colipi 157</t>
  </si>
  <si>
    <t>Vicepresidente</t>
  </si>
  <si>
    <t>Ruth Erika</t>
  </si>
  <si>
    <t>León Jara</t>
  </si>
  <si>
    <t>9.505.956-2</t>
  </si>
  <si>
    <t>rutherikaleon@gmail.com</t>
  </si>
  <si>
    <t>Nahuelbuta 171</t>
  </si>
  <si>
    <t>Lucia Brigida</t>
  </si>
  <si>
    <t>Canales Canales</t>
  </si>
  <si>
    <t>9.048.639-k</t>
  </si>
  <si>
    <t>Lucia.canalescanales@gmail.c om</t>
  </si>
  <si>
    <t>Monte Sinaí 2385</t>
  </si>
  <si>
    <t>Herminda del Carmen</t>
  </si>
  <si>
    <t>Martínez Salgado</t>
  </si>
  <si>
    <t>5.355.342-7</t>
  </si>
  <si>
    <t>hermindamartinezsalgado@ gmail.com</t>
  </si>
  <si>
    <t>Ilabaca 381</t>
  </si>
  <si>
    <t>Director/a de Comunicaciones</t>
  </si>
  <si>
    <t>Ulvia</t>
  </si>
  <si>
    <t>Saldaña Fuentes</t>
  </si>
  <si>
    <t>4.063.717-6</t>
  </si>
  <si>
    <t>Juana Mónica</t>
  </si>
  <si>
    <t>Arévalo Oyarzo</t>
  </si>
  <si>
    <t>6.323.847-3</t>
  </si>
  <si>
    <t>Arevalojuana52@gmail.com</t>
  </si>
  <si>
    <t>Nueva Rancagua 202</t>
  </si>
  <si>
    <t>Luisina Elizabeth</t>
  </si>
  <si>
    <t>Erices Soto</t>
  </si>
  <si>
    <t>13.392.548-1</t>
  </si>
  <si>
    <t>elyericessoto@gmail.com</t>
  </si>
  <si>
    <t>Eliana</t>
  </si>
  <si>
    <t>Valencia Alarcón</t>
  </si>
  <si>
    <t>9.330.290-7</t>
  </si>
  <si>
    <t>Ruta 180</t>
  </si>
  <si>
    <t>María Elvira</t>
  </si>
  <si>
    <t>Beltrán González</t>
  </si>
  <si>
    <t>7.296.251-6</t>
  </si>
  <si>
    <t>Elvira.beltran@gmail.com</t>
  </si>
  <si>
    <t>Los Andes 098</t>
  </si>
  <si>
    <t>Fredy Antonio</t>
  </si>
  <si>
    <t>Salamanca Ortiz</t>
  </si>
  <si>
    <t>12.387.075-1</t>
  </si>
  <si>
    <t>Myriam Ruth</t>
  </si>
  <si>
    <t>Cares Fuentes</t>
  </si>
  <si>
    <t>8.975.429-1</t>
  </si>
  <si>
    <t>Myriam.mrc65@gmail.com</t>
  </si>
  <si>
    <t>Quebrada Onda 204</t>
  </si>
  <si>
    <t>Director/a de Gestión del Riesgo</t>
  </si>
  <si>
    <t>Rafael Ignacio</t>
  </si>
  <si>
    <t>O´Ryan Muñoz</t>
  </si>
  <si>
    <t>18.805.534-6</t>
  </si>
  <si>
    <t>rafaeloyanmuñoz@gmail.com</t>
  </si>
  <si>
    <t>José Eufracio</t>
  </si>
  <si>
    <t>Maldonado Bustos</t>
  </si>
  <si>
    <t>6.752.400-4</t>
  </si>
  <si>
    <t>jeumaldonado@hotmail. com</t>
  </si>
  <si>
    <t>Lientur 1051</t>
  </si>
  <si>
    <t>Irma Elena</t>
  </si>
  <si>
    <t>Jara Aqueveque</t>
  </si>
  <si>
    <t>7.942.893-0</t>
  </si>
  <si>
    <t>i.elenajara@hotmail.com</t>
  </si>
  <si>
    <t>Guicela Noemi</t>
  </si>
  <si>
    <t>Castro Figueroa</t>
  </si>
  <si>
    <t>6.685.519-8</t>
  </si>
  <si>
    <t>Guicela1951gmail.com</t>
  </si>
  <si>
    <t>Los Alerces 871</t>
  </si>
  <si>
    <t>Director/a de Desarrollo</t>
  </si>
  <si>
    <t>María Angélica</t>
  </si>
  <si>
    <t>Gómez Milla</t>
  </si>
  <si>
    <t>4.348.991-7</t>
  </si>
  <si>
    <t>mgomezmillas@gmail.com</t>
  </si>
  <si>
    <t>Silvia Lady</t>
  </si>
  <si>
    <t>Pereira Fonseca</t>
  </si>
  <si>
    <t>6.271-694-0</t>
  </si>
  <si>
    <t>Pereirasilvia1952@gmail.com</t>
  </si>
  <si>
    <t>Aulen3153</t>
  </si>
  <si>
    <t>Mónica Luisa</t>
  </si>
  <si>
    <t>Fica Ríos</t>
  </si>
  <si>
    <t>7.020.427-4</t>
  </si>
  <si>
    <t>Ruth Leonor a</t>
  </si>
  <si>
    <t>Carrillo Carriel</t>
  </si>
  <si>
    <t>7.305.507-5</t>
  </si>
  <si>
    <t>Leonora.carriel@gmail.com</t>
  </si>
  <si>
    <t>Esmeralda 0313</t>
  </si>
  <si>
    <t>Alejandro Itamar</t>
  </si>
  <si>
    <t>Fernández Arriagada</t>
  </si>
  <si>
    <t>5.793.097-7</t>
  </si>
  <si>
    <t>Afernandez811@gmail.com</t>
  </si>
  <si>
    <t>Nelly del Carmen</t>
  </si>
  <si>
    <t>Álvarez Figueroa</t>
  </si>
  <si>
    <t>6.478.495-1</t>
  </si>
  <si>
    <t>nellytadelcarmen@hotmail,com</t>
  </si>
  <si>
    <t>Miguel Ángel</t>
  </si>
  <si>
    <t>Roa Rioseco</t>
  </si>
  <si>
    <t>4.620.128-0</t>
  </si>
  <si>
    <t>Miguelangel.roarioseco@gmail.com</t>
  </si>
  <si>
    <t>Lea Sonia</t>
  </si>
  <si>
    <t>Villablanca Gómez</t>
  </si>
  <si>
    <t>6.046.037-k</t>
  </si>
  <si>
    <t>Carlos</t>
  </si>
  <si>
    <t>Fernández Ricci</t>
  </si>
  <si>
    <t>3.950.198-0</t>
  </si>
  <si>
    <t>Santos Sonia</t>
  </si>
  <si>
    <t>Osorio Salas</t>
  </si>
  <si>
    <t>3.866.329-1</t>
  </si>
  <si>
    <t>So378651@gmail.com</t>
  </si>
  <si>
    <t>Camila Alejandra</t>
  </si>
  <si>
    <t>Concha Araneda</t>
  </si>
  <si>
    <t>18.644.297-0</t>
  </si>
  <si>
    <t>camilaconchaaraneda@gmail.co m</t>
  </si>
  <si>
    <t>Antofagasta</t>
  </si>
  <si>
    <t>Valerie</t>
  </si>
  <si>
    <t>Vargas Ordoñez</t>
  </si>
  <si>
    <t>25.647.236-8</t>
  </si>
  <si>
    <t>Calle  Valdivia  3447,  Depto 203</t>
  </si>
  <si>
    <t>Paz</t>
  </si>
  <si>
    <t>Olivares Ponce</t>
  </si>
  <si>
    <t>20.262.247-k</t>
  </si>
  <si>
    <t>mariano farandato  #1155</t>
  </si>
  <si>
    <t>Crish</t>
  </si>
  <si>
    <t>Osses Diaz</t>
  </si>
  <si>
    <t>19.495.700-9</t>
  </si>
  <si>
    <t>M</t>
  </si>
  <si>
    <t>Francisca</t>
  </si>
  <si>
    <t>Zarricueta Rivera</t>
  </si>
  <si>
    <t>21.126.549-3</t>
  </si>
  <si>
    <t>Las  Pataguas  8351</t>
  </si>
  <si>
    <t>John</t>
  </si>
  <si>
    <t>Aguirre Aguirre</t>
  </si>
  <si>
    <t>19.843.640-2</t>
  </si>
  <si>
    <t>mariano  farandato  #1155</t>
  </si>
  <si>
    <t>Mauricio</t>
  </si>
  <si>
    <t>Largo Opazo</t>
  </si>
  <si>
    <t>15.501.001-0</t>
  </si>
  <si>
    <t>Evelyn</t>
  </si>
  <si>
    <t>Farias Gonzalez</t>
  </si>
  <si>
    <t>16.130.903-6</t>
  </si>
  <si>
    <t>Hernes</t>
  </si>
  <si>
    <t>Puentes Vargas</t>
  </si>
  <si>
    <t>17.094.072-5</t>
  </si>
  <si>
    <t>Pasaje esmeralda</t>
  </si>
  <si>
    <t>Juana</t>
  </si>
  <si>
    <t>Riquelme Narváez</t>
  </si>
  <si>
    <t>5.671.216-K</t>
  </si>
  <si>
    <t>Llanquihue 4174</t>
  </si>
  <si>
    <t>Eva</t>
  </si>
  <si>
    <t>Coaquira Guerra</t>
  </si>
  <si>
    <t>24.309.815-7</t>
  </si>
  <si>
    <t>Orella 827</t>
  </si>
  <si>
    <t>Erlinda</t>
  </si>
  <si>
    <t>Molina Achimo</t>
  </si>
  <si>
    <t>27.868.901.8</t>
  </si>
  <si>
    <t>Danilo</t>
  </si>
  <si>
    <t>Gómez Castillo</t>
  </si>
  <si>
    <t>13.870.008-9</t>
  </si>
  <si>
    <t>Calle Los Morros 1520</t>
  </si>
  <si>
    <t>Haydee</t>
  </si>
  <si>
    <t>Bernal Menares</t>
  </si>
  <si>
    <t>8.550.139-9</t>
  </si>
  <si>
    <t>Guayaquil 1498</t>
  </si>
  <si>
    <t>Elizabeth</t>
  </si>
  <si>
    <t>Tapia Dominguez</t>
  </si>
  <si>
    <t>7.001.879-9</t>
  </si>
  <si>
    <t>Julio  Montt  7946</t>
  </si>
  <si>
    <t>Ronald</t>
  </si>
  <si>
    <t>25.809.019-5</t>
  </si>
  <si>
    <t>Avda  Antilhue  #01350</t>
  </si>
  <si>
    <t>Yerall</t>
  </si>
  <si>
    <t>Muñoz Olivares</t>
  </si>
  <si>
    <t>22.263.774-0</t>
  </si>
  <si>
    <t>Victor</t>
  </si>
  <si>
    <t>Adrian Monardes</t>
  </si>
  <si>
    <t>19.395.961-K</t>
  </si>
  <si>
    <t>Avda  Bonilla  9377</t>
  </si>
  <si>
    <t>Esquivel Ramirez</t>
  </si>
  <si>
    <t>8.764.837-0</t>
  </si>
  <si>
    <t>Leonardo  Da Vinci  753</t>
  </si>
  <si>
    <t>Hitamar</t>
  </si>
  <si>
    <t>Santibáñez González</t>
  </si>
  <si>
    <t>8.815.482-7</t>
  </si>
  <si>
    <t>Bonilla 9375</t>
  </si>
  <si>
    <t>Luisa</t>
  </si>
  <si>
    <t>Navarrete Cortes</t>
  </si>
  <si>
    <t>8.142.504-3</t>
  </si>
  <si>
    <t>Mexico 1771</t>
  </si>
  <si>
    <t>Clara</t>
  </si>
  <si>
    <t>Soza Rios</t>
  </si>
  <si>
    <t>6.585429-5</t>
  </si>
  <si>
    <t>Calle  Mexico  1128</t>
  </si>
  <si>
    <t>Edita</t>
  </si>
  <si>
    <t>Lara Bushnahe</t>
  </si>
  <si>
    <t>12.373.961-2</t>
  </si>
  <si>
    <t>Calle  Adamson  3590</t>
  </si>
  <si>
    <t>Pilar</t>
  </si>
  <si>
    <t>Ordoñez 
 Ordoñez</t>
  </si>
  <si>
    <t>25.455.517-7</t>
  </si>
  <si>
    <t>Rosa</t>
  </si>
  <si>
    <t>Rodriguez Vargas</t>
  </si>
  <si>
    <t>5.688.811-k</t>
  </si>
  <si>
    <t>Pasaje Río Palena  1466 Villa el Mirador</t>
  </si>
  <si>
    <t>Virna</t>
  </si>
  <si>
    <t>Angel Butt</t>
  </si>
  <si>
    <t>11.506.783-4</t>
  </si>
  <si>
    <t>José Nibaldo</t>
  </si>
  <si>
    <t>Castillo Araya</t>
  </si>
  <si>
    <t>6.097.494-2</t>
  </si>
  <si>
    <t>Av. Andrés  Sabella  Gálvez  3194-A</t>
  </si>
  <si>
    <t>Berta</t>
  </si>
  <si>
    <t>Veloz Nuñez</t>
  </si>
  <si>
    <t>6.168.400-k</t>
  </si>
  <si>
    <t>Calle  Valdivia  3392  Depto 40</t>
  </si>
  <si>
    <t>Marta</t>
  </si>
  <si>
    <t>Bernal Motoa</t>
  </si>
  <si>
    <t>25.196.595-1</t>
  </si>
  <si>
    <t>Paez Fernandez</t>
  </si>
  <si>
    <t>10.547.919-0</t>
  </si>
  <si>
    <t>Anacleto  Solorza  9647</t>
  </si>
  <si>
    <t>Ana</t>
  </si>
  <si>
    <t>Avendaño Guerrero</t>
  </si>
  <si>
    <t>8.508.469-0</t>
  </si>
  <si>
    <t>Diagonal Norte 6168</t>
  </si>
  <si>
    <t>Arica y Parinacota</t>
  </si>
  <si>
    <t>Amaro</t>
  </si>
  <si>
    <t>Cartarero Inostroza</t>
  </si>
  <si>
    <t>21.602.780-9</t>
  </si>
  <si>
    <t>amarocartareroinostroza@gmail.com</t>
  </si>
  <si>
    <t>Emilia</t>
  </si>
  <si>
    <t>Galdames Meza</t>
  </si>
  <si>
    <t>23.789.597-5</t>
  </si>
  <si>
    <t>Emigal2121@gmail.com</t>
  </si>
  <si>
    <t>Jordano</t>
  </si>
  <si>
    <t>Rojas Delgado</t>
  </si>
  <si>
    <t>19.147.493-7</t>
  </si>
  <si>
    <t>B.Jara 870</t>
  </si>
  <si>
    <t>Trinidad</t>
  </si>
  <si>
    <t>Villanueva Deluchi</t>
  </si>
  <si>
    <t>22.829.063-7</t>
  </si>
  <si>
    <t>tvillanuevadelucchi@gmail.com</t>
  </si>
  <si>
    <t>Bastian</t>
  </si>
  <si>
    <t>Fernandez Fernandez</t>
  </si>
  <si>
    <t>22.149.025-8</t>
  </si>
  <si>
    <t>Bastian.fernandez946@gmail.com</t>
  </si>
  <si>
    <t>Alejandra</t>
  </si>
  <si>
    <t>Mamani Gomez</t>
  </si>
  <si>
    <t>22.148.949-7</t>
  </si>
  <si>
    <t>Alejandra.moand@gmail.com</t>
  </si>
  <si>
    <t>Milke</t>
  </si>
  <si>
    <t>Maicelo Melendez</t>
  </si>
  <si>
    <t>22.087.245-9</t>
  </si>
  <si>
    <t>milkamaicelo@gmail.com</t>
  </si>
  <si>
    <t>Jeshue</t>
  </si>
  <si>
    <t>Barraza Pizarro</t>
  </si>
  <si>
    <t>21.272.222-7</t>
  </si>
  <si>
    <t>Marco Polo 2133</t>
  </si>
  <si>
    <t>Merying</t>
  </si>
  <si>
    <t>Ching Borquez</t>
  </si>
  <si>
    <t>21.988.834-1</t>
  </si>
  <si>
    <t>Meiying.ching.b@gmail.com</t>
  </si>
  <si>
    <t>Avril</t>
  </si>
  <si>
    <t>Rivera Vasquez</t>
  </si>
  <si>
    <t>26.050.291-3</t>
  </si>
  <si>
    <t>alevrilrv@gmail.com</t>
  </si>
  <si>
    <t>Cristobal</t>
  </si>
  <si>
    <t>Albornoz Perez</t>
  </si>
  <si>
    <t>18.787.415-7</t>
  </si>
  <si>
    <t>Versalles 579</t>
  </si>
  <si>
    <t>Maria</t>
  </si>
  <si>
    <t>Flores Jimenez</t>
  </si>
  <si>
    <t>20.215.878-1</t>
  </si>
  <si>
    <t>D. Hogar 3449</t>
  </si>
  <si>
    <t>Sebastian</t>
  </si>
  <si>
    <t>Moreno Cautin</t>
  </si>
  <si>
    <t>20.361.309-1</t>
  </si>
  <si>
    <t>Los Olivos 2245</t>
  </si>
  <si>
    <t>Jaasiel</t>
  </si>
  <si>
    <t>Becerra</t>
  </si>
  <si>
    <t>21.789.218-K</t>
  </si>
  <si>
    <t>Jaasielbecerra.c@gmail.com</t>
  </si>
  <si>
    <t>Gomez Calizaya</t>
  </si>
  <si>
    <t>24.177.6894-1</t>
  </si>
  <si>
    <t>C.Rayada 2468</t>
  </si>
  <si>
    <t>Diego</t>
  </si>
  <si>
    <t>Tupa Lovera</t>
  </si>
  <si>
    <t>20.706.568-4</t>
  </si>
  <si>
    <t>Espinos 2306</t>
  </si>
  <si>
    <t>Fabiola</t>
  </si>
  <si>
    <t>Challapa Vasquez</t>
  </si>
  <si>
    <t>21.723.837-4</t>
  </si>
  <si>
    <t>fchallapavasquez@gmail.com</t>
  </si>
  <si>
    <t>Isadora</t>
  </si>
  <si>
    <t>Liñan De Ariza</t>
  </si>
  <si>
    <t>21.475.100-3</t>
  </si>
  <si>
    <t>Isadora.andreaa@gmail.com</t>
  </si>
  <si>
    <t>Javier</t>
  </si>
  <si>
    <t>Rodriguez Torrejon</t>
  </si>
  <si>
    <t>16.772.909-6</t>
  </si>
  <si>
    <t>J.Perez 3142</t>
  </si>
  <si>
    <t>Daniela</t>
  </si>
  <si>
    <t>Calisaya Calisaya</t>
  </si>
  <si>
    <t>21.572.819-6</t>
  </si>
  <si>
    <t>Danielakarina7@gmail.com</t>
  </si>
  <si>
    <t>Mariana</t>
  </si>
  <si>
    <t>Perez Alvarez</t>
  </si>
  <si>
    <t>23.828.417-1</t>
  </si>
  <si>
    <t>marianaaluxd@gmail.com</t>
  </si>
  <si>
    <t>Constanza</t>
  </si>
  <si>
    <t>Merino Aguayo</t>
  </si>
  <si>
    <t>25.849.269-5</t>
  </si>
  <si>
    <t>Constanza.merinoa1@gmail.com</t>
  </si>
  <si>
    <t>Paulina</t>
  </si>
  <si>
    <t>Gomez Terraza</t>
  </si>
  <si>
    <t>21.737.823-0</t>
  </si>
  <si>
    <t>Pauliterra7ag@gmail.com</t>
  </si>
  <si>
    <t>Joseline</t>
  </si>
  <si>
    <t>Navea Diaz</t>
  </si>
  <si>
    <t>18.787.939-6</t>
  </si>
  <si>
    <t>Talagante 2374</t>
  </si>
  <si>
    <t>Mamani</t>
  </si>
  <si>
    <t>18.712.290-2</t>
  </si>
  <si>
    <t>Km. 11 Azapa</t>
  </si>
  <si>
    <t>Aldo</t>
  </si>
  <si>
    <t>Mejias Ayca</t>
  </si>
  <si>
    <t>18.869.573-6</t>
  </si>
  <si>
    <t>Loa 2680</t>
  </si>
  <si>
    <t>Martin</t>
  </si>
  <si>
    <t>Suarez Gandolfo</t>
  </si>
  <si>
    <t>19.870.974-3</t>
  </si>
  <si>
    <t>Cinchox199b@gmail.com</t>
  </si>
  <si>
    <t>Jose Mario</t>
  </si>
  <si>
    <t>Henriquez Toro</t>
  </si>
  <si>
    <t>15.947.318-K</t>
  </si>
  <si>
    <t>Mario.aricahenriquez@gmail.com</t>
  </si>
  <si>
    <t>Flora</t>
  </si>
  <si>
    <t>Berrios Liendo</t>
  </si>
  <si>
    <t>6.576.435-0</t>
  </si>
  <si>
    <t>M.Maturana 2394</t>
  </si>
  <si>
    <t>Damaris</t>
  </si>
  <si>
    <t>Meza Cortes</t>
  </si>
  <si>
    <t>15.694.874-8</t>
  </si>
  <si>
    <t>Las Codornices 1541</t>
  </si>
  <si>
    <t>Jourdan</t>
  </si>
  <si>
    <t>Doorman Neculqueo</t>
  </si>
  <si>
    <t>17.828.671-K</t>
  </si>
  <si>
    <t>Jordan.doorman.neculqueo@gmail.com</t>
  </si>
  <si>
    <t>Felipe</t>
  </si>
  <si>
    <t>Fuentes Jara</t>
  </si>
  <si>
    <t>17,700.267-4</t>
  </si>
  <si>
    <t>ffuentesja@gmail.com</t>
  </si>
  <si>
    <t>Brigida</t>
  </si>
  <si>
    <t>Cortes Romero</t>
  </si>
  <si>
    <t>5.991.653-K</t>
  </si>
  <si>
    <t>Nerida</t>
  </si>
  <si>
    <t>Santander Iglesias</t>
  </si>
  <si>
    <t>3.177.925-1</t>
  </si>
  <si>
    <t>M. Maturana 2405</t>
  </si>
  <si>
    <t>Hildigar</t>
  </si>
  <si>
    <t>Gutierrez Monarde</t>
  </si>
  <si>
    <t>5.375.836-3</t>
  </si>
  <si>
    <t>G. Cerda 998</t>
  </si>
  <si>
    <t>Purisima</t>
  </si>
  <si>
    <t>Ordoñez Martinez</t>
  </si>
  <si>
    <t>4.361.625-0</t>
  </si>
  <si>
    <t>San Marcos 354</t>
  </si>
  <si>
    <t>Carmen</t>
  </si>
  <si>
    <t>Palma Ronda</t>
  </si>
  <si>
    <t>5.695.942-4</t>
  </si>
  <si>
    <t>Azabache 2548</t>
  </si>
  <si>
    <t>Julia</t>
  </si>
  <si>
    <t>Cornejo Bravo</t>
  </si>
  <si>
    <t>2.663.890-9</t>
  </si>
  <si>
    <t>Diego Portales 1177</t>
  </si>
  <si>
    <t>Amada</t>
  </si>
  <si>
    <t>Salgado Salazar</t>
  </si>
  <si>
    <t>5.907.588-7</t>
  </si>
  <si>
    <t>Copihues 150</t>
  </si>
  <si>
    <t>Katherine</t>
  </si>
  <si>
    <t>Diaz Araya</t>
  </si>
  <si>
    <t>20.992.411-0</t>
  </si>
  <si>
    <t>katherinesolagnediaz@gmail.com</t>
  </si>
  <si>
    <t>Vivian</t>
  </si>
  <si>
    <t>Choquera Condori</t>
  </si>
  <si>
    <t>22.054.797-3</t>
  </si>
  <si>
    <t>vvchoquera@gmail.com</t>
  </si>
  <si>
    <t>Felix</t>
  </si>
  <si>
    <t>Lazo Choque</t>
  </si>
  <si>
    <t>Gamboa Apas</t>
  </si>
  <si>
    <t>20.728.941-8</t>
  </si>
  <si>
    <t>Luisa.gamboa.apas@gmail.com</t>
  </si>
  <si>
    <t>Bulnes</t>
  </si>
  <si>
    <t>Teresa Irene</t>
  </si>
  <si>
    <t>Aguilera Saldias</t>
  </si>
  <si>
    <t>9.438.347-1</t>
  </si>
  <si>
    <t>Teresaas321@gmail.com</t>
  </si>
  <si>
    <t>Villa Los Héroes de la Concepción-Pal –Pal 321-Bulnes</t>
  </si>
  <si>
    <t>Juana Elisabeth</t>
  </si>
  <si>
    <t>Muñoz Meza</t>
  </si>
  <si>
    <t>7.057.210-9</t>
  </si>
  <si>
    <t>deliciasdelaruta@gmail.com</t>
  </si>
  <si>
    <t>Los alerces 191/esq. -Los Canelos Bulnes Sur</t>
  </si>
  <si>
    <t>Nancy Odette</t>
  </si>
  <si>
    <t>Ulloa Recabarren</t>
  </si>
  <si>
    <t>6.477298-8</t>
  </si>
  <si>
    <t>ycnan_56@hotmail.com</t>
  </si>
  <si>
    <t>Manuel Bulnes 635 comuna Bulnes</t>
  </si>
  <si>
    <t>Toro Henríquez</t>
  </si>
  <si>
    <t>8.388.884-9</t>
  </si>
  <si>
    <t>rosytoro59@gmail.com</t>
  </si>
  <si>
    <t>Villa Santa Mónica-Cabo Aroca N*778-Bulnes</t>
  </si>
  <si>
    <t>Luz Alicia</t>
  </si>
  <si>
    <t>Rodríguez Otárola</t>
  </si>
  <si>
    <t>3.918.147-9</t>
  </si>
  <si>
    <t>Carlos Palacios 1035</t>
  </si>
  <si>
    <t>Hortensia de las Mercedes</t>
  </si>
  <si>
    <t>6.671.751-8</t>
  </si>
  <si>
    <t>lelatencha1949@gmail.com</t>
  </si>
  <si>
    <t>Villa santa Mónica -Cabo Aroca N*775-Bulnes</t>
  </si>
  <si>
    <t>Carmen Viola</t>
  </si>
  <si>
    <t>Fuentes Soto</t>
  </si>
  <si>
    <t>6.804.206-2</t>
  </si>
  <si>
    <t>carmen_violafs@hotmail.com</t>
  </si>
  <si>
    <t>Parcela N*5 Los Placeres Sta. clara -Bulnes</t>
  </si>
  <si>
    <t>Gaby Elena</t>
  </si>
  <si>
    <t>Mora Rivas</t>
  </si>
  <si>
    <t>7.791.748- 9</t>
  </si>
  <si>
    <t>Gmora.12@hotmail.com</t>
  </si>
  <si>
    <t>Villa Sta. Mónica  Cabo Aroca N*767-Bulnes</t>
  </si>
  <si>
    <t>Isabel</t>
  </si>
  <si>
    <t>Zavala Carrasco</t>
  </si>
  <si>
    <t>7.717.872-4</t>
  </si>
  <si>
    <t>Recinto Ferroviario 463sector –estación-Bulnes</t>
  </si>
  <si>
    <t>Cabrero</t>
  </si>
  <si>
    <t>Tamara Yael</t>
  </si>
  <si>
    <t>Fuentealba Fonseca</t>
  </si>
  <si>
    <t>20.649.568-5</t>
  </si>
  <si>
    <t>Calle Yungay #9, Población Arturo Pratt, Cabrero</t>
  </si>
  <si>
    <t>Javiera Constanza</t>
  </si>
  <si>
    <t>Matamala Gutiérrez</t>
  </si>
  <si>
    <t>18.684.078-k</t>
  </si>
  <si>
    <t>Luna</t>
  </si>
  <si>
    <t>Delgado Bravo</t>
  </si>
  <si>
    <t>21.949.580-3</t>
  </si>
  <si>
    <t>Membrillar 828, Cabrero</t>
  </si>
  <si>
    <t>Jalil Mohamad</t>
  </si>
  <si>
    <t>Jaber Padilla</t>
  </si>
  <si>
    <t>18.529.276-k</t>
  </si>
  <si>
    <t>Los Copihues #1. Villa Padre Hurtado.Cabrero</t>
  </si>
  <si>
    <t>Erna Escolástica</t>
  </si>
  <si>
    <t>Perez Riquelme</t>
  </si>
  <si>
    <t>11.240.485-6</t>
  </si>
  <si>
    <t>Avenida el bosque 36 villa Esperanza Cabrero</t>
  </si>
  <si>
    <t>María José</t>
  </si>
  <si>
    <t>Medel Gutiérrez</t>
  </si>
  <si>
    <t>16.284.510-1</t>
  </si>
  <si>
    <t>Las Flores #39, Cabrero</t>
  </si>
  <si>
    <t>Eufemia del Carmen</t>
  </si>
  <si>
    <t>Álvarez Órdenes</t>
  </si>
  <si>
    <t>8.697.020-2</t>
  </si>
  <si>
    <t>Membrillar964cabrero</t>
  </si>
  <si>
    <t>Marialyse Linette</t>
  </si>
  <si>
    <t>Sandoval Becerra</t>
  </si>
  <si>
    <t>18.156.099-1</t>
  </si>
  <si>
    <t>General Cruz 484, Cabrero.</t>
  </si>
  <si>
    <t>Irina Guisela</t>
  </si>
  <si>
    <t>Burgos Tolosa</t>
  </si>
  <si>
    <t>10.134.809-1</t>
  </si>
  <si>
    <t>Arturo Prat 2 Cabrero</t>
  </si>
  <si>
    <t>Benerisa del Carmen</t>
  </si>
  <si>
    <t>Rifo Cares</t>
  </si>
  <si>
    <t>11.574.216-7</t>
  </si>
  <si>
    <t>Camilo a quinel 25 cabrero</t>
  </si>
  <si>
    <t>Sandra Verónica</t>
  </si>
  <si>
    <t>Bravo Valenzuela</t>
  </si>
  <si>
    <t>14.194.395-2</t>
  </si>
  <si>
    <t>María Soledad</t>
  </si>
  <si>
    <t>Contreras Toledo</t>
  </si>
  <si>
    <t>6.950.179-6</t>
  </si>
  <si>
    <t>María Teresa</t>
  </si>
  <si>
    <t>Yáñez Neira</t>
  </si>
  <si>
    <t>9263069-2</t>
  </si>
  <si>
    <t>Flor del Carmen</t>
  </si>
  <si>
    <t>Cid Zapata</t>
  </si>
  <si>
    <t>7.866.782-6</t>
  </si>
  <si>
    <t>Av las flores 33 villa padre hurtado cabrero</t>
  </si>
  <si>
    <t>Ana Rosa</t>
  </si>
  <si>
    <t>Bello Muñoz</t>
  </si>
  <si>
    <t>4.656.210-0</t>
  </si>
  <si>
    <t>Las Camelias 30</t>
  </si>
  <si>
    <t>Caldera</t>
  </si>
  <si>
    <t>Vicente</t>
  </si>
  <si>
    <t>De La Maza Quiroga</t>
  </si>
  <si>
    <t>21.834.556-5</t>
  </si>
  <si>
    <t>vicentedelamaza17@gmail.com</t>
  </si>
  <si>
    <t>Joaquín</t>
  </si>
  <si>
    <t>Oyanadel Orrego</t>
  </si>
  <si>
    <t>21.002948-6</t>
  </si>
  <si>
    <t>joacorrego2002@gmail.com</t>
  </si>
  <si>
    <t>Myriam</t>
  </si>
  <si>
    <t>Urquieta Chinga</t>
  </si>
  <si>
    <t>8.261.160-6</t>
  </si>
  <si>
    <t>Mirianurquietach@gmail.com</t>
  </si>
  <si>
    <t>Beatriz</t>
  </si>
  <si>
    <t>Garillo Pérez</t>
  </si>
  <si>
    <t>18.968.191-7</t>
  </si>
  <si>
    <t>b_garilloperez@outlook.com</t>
  </si>
  <si>
    <t>Yerko</t>
  </si>
  <si>
    <t>Cortés Urquieta</t>
  </si>
  <si>
    <t>22.140.842-K</t>
  </si>
  <si>
    <t>Yerko.caldera@gmail.com</t>
  </si>
  <si>
    <t>Norma</t>
  </si>
  <si>
    <t>Cortes Moroso</t>
  </si>
  <si>
    <t>9.227.814-K</t>
  </si>
  <si>
    <t>Normacortesm.882@gmail.com</t>
  </si>
  <si>
    <t>Graciela</t>
  </si>
  <si>
    <t>López Mujica</t>
  </si>
  <si>
    <t>5.191.540-2</t>
  </si>
  <si>
    <t>Gra.lopezm@gmail.com</t>
  </si>
  <si>
    <t>María</t>
  </si>
  <si>
    <t>Cerezo Cortés</t>
  </si>
  <si>
    <t>11.617.920-0</t>
  </si>
  <si>
    <t>Genaro</t>
  </si>
  <si>
    <t>Miranda Correa</t>
  </si>
  <si>
    <t>16.934.593-7</t>
  </si>
  <si>
    <t>genaro795@gmail.com</t>
  </si>
  <si>
    <t>Encina Abrego</t>
  </si>
  <si>
    <t>5.671.874-5</t>
  </si>
  <si>
    <t>Patricia</t>
  </si>
  <si>
    <t>Diaz Cuevas</t>
  </si>
  <si>
    <t>12.651.207-4</t>
  </si>
  <si>
    <t>Padicuevas@gmail.com</t>
  </si>
  <si>
    <t>Digna</t>
  </si>
  <si>
    <t>Picón Zepeda</t>
  </si>
  <si>
    <t>10.581.072-5</t>
  </si>
  <si>
    <t>dignapiconzepeda@gmail.com</t>
  </si>
  <si>
    <t>Flores Duhalde</t>
  </si>
  <si>
    <t>7.993.139-K</t>
  </si>
  <si>
    <t>martageminis16@gmail.com</t>
  </si>
  <si>
    <t>Lidia</t>
  </si>
  <si>
    <t>Rodriguez</t>
  </si>
  <si>
    <t>Claudio</t>
  </si>
  <si>
    <t>Quiroga</t>
  </si>
  <si>
    <t>Gabriela</t>
  </si>
  <si>
    <t>Honores</t>
  </si>
  <si>
    <t>Pedro</t>
  </si>
  <si>
    <t>Morales</t>
  </si>
  <si>
    <t>Orolisia</t>
  </si>
  <si>
    <t>Hurtado Zarria</t>
  </si>
  <si>
    <t>7.792.180-K</t>
  </si>
  <si>
    <t>Orolisia@gmail.com</t>
  </si>
  <si>
    <t>Pamela</t>
  </si>
  <si>
    <t>Zamora Alfaro</t>
  </si>
  <si>
    <t>13.005.476-5</t>
  </si>
  <si>
    <t>Pamelq.zamora.alfaro@gmail.com</t>
  </si>
  <si>
    <t>Martinez</t>
  </si>
  <si>
    <t>10.522.383-8</t>
  </si>
  <si>
    <t>pevimafer@gmail.com</t>
  </si>
  <si>
    <t>Néstor</t>
  </si>
  <si>
    <t>Pincheira Barra</t>
  </si>
  <si>
    <t>11.688.221-3</t>
  </si>
  <si>
    <t>nestorpincheirabarra@gmail.com</t>
  </si>
  <si>
    <t>Herrera Vergara</t>
  </si>
  <si>
    <t>7.920.131-6</t>
  </si>
  <si>
    <t>cocaherreravergara7@gmail.com</t>
  </si>
  <si>
    <t>Nancy</t>
  </si>
  <si>
    <t>Alcota Ferrufino</t>
  </si>
  <si>
    <t>7.334.622-3</t>
  </si>
  <si>
    <t>Nancyalcota4@gmail.com</t>
  </si>
  <si>
    <t>Cecilia</t>
  </si>
  <si>
    <t>Gallardo Pizarro</t>
  </si>
  <si>
    <t>8.064.150-8</t>
  </si>
  <si>
    <t>CGPguit1959@gmail.com</t>
  </si>
  <si>
    <t>Reynuaba Julio</t>
  </si>
  <si>
    <t>4.020.402-4</t>
  </si>
  <si>
    <t>Mellado Saez</t>
  </si>
  <si>
    <t>5.082.070-K</t>
  </si>
  <si>
    <t>Benilda</t>
  </si>
  <si>
    <t>Gómez Catalán</t>
  </si>
  <si>
    <t>5.426.931-5</t>
  </si>
  <si>
    <t>BenildaGomez8@gmail.com</t>
  </si>
  <si>
    <t>Ximena</t>
  </si>
  <si>
    <t>Aguirre González</t>
  </si>
  <si>
    <t>11.813.132-0</t>
  </si>
  <si>
    <t>xime.sol.aguirre@gmail.com</t>
  </si>
  <si>
    <t>Lizelot</t>
  </si>
  <si>
    <t>Cortes Cortes</t>
  </si>
  <si>
    <t>19.911.875-7</t>
  </si>
  <si>
    <t>Lizelotc@gmail.com</t>
  </si>
  <si>
    <t>Miller Valdivia</t>
  </si>
  <si>
    <t>15.032.800-4</t>
  </si>
  <si>
    <t>Cañete</t>
  </si>
  <si>
    <t>Marcelo</t>
  </si>
  <si>
    <t>Salazar Aguilef</t>
  </si>
  <si>
    <t>21211931-8</t>
  </si>
  <si>
    <t>marchelosalazar@gmail.com</t>
  </si>
  <si>
    <t>Huilquehue s/n</t>
  </si>
  <si>
    <t>Johanna</t>
  </si>
  <si>
    <t>Barrientos Lagos</t>
  </si>
  <si>
    <t>21163793-5</t>
  </si>
  <si>
    <t>johannabarriientos@gmail.com</t>
  </si>
  <si>
    <t>Camino Pangueco S/n</t>
  </si>
  <si>
    <t>Abraham</t>
  </si>
  <si>
    <t>Reyes Lobos</t>
  </si>
  <si>
    <t>21864738-3</t>
  </si>
  <si>
    <t>tomyreyes138@gmail.com</t>
  </si>
  <si>
    <t>Población Ignacio Hurtado s/n</t>
  </si>
  <si>
    <t>Luis</t>
  </si>
  <si>
    <t>Parra Rubilar</t>
  </si>
  <si>
    <t>14072601-K</t>
  </si>
  <si>
    <t>rubilarparraalberto@gmail.com</t>
  </si>
  <si>
    <t>Calle Centenario N° 232</t>
  </si>
  <si>
    <t>Carrasco Manríquez</t>
  </si>
  <si>
    <t>9192785-3</t>
  </si>
  <si>
    <t>ximenacarrasco@gmail.com</t>
  </si>
  <si>
    <t>Rocío</t>
  </si>
  <si>
    <t>Fredes González</t>
  </si>
  <si>
    <t>18290807-K</t>
  </si>
  <si>
    <t>rocio.fredesgonzalez@gmail.com</t>
  </si>
  <si>
    <t>Sagrario</t>
  </si>
  <si>
    <t>Tapia del Río</t>
  </si>
  <si>
    <t>5967895-7</t>
  </si>
  <si>
    <t>salazar@tecnologiamedica.ucsc.cl</t>
  </si>
  <si>
    <t>Videla N°326</t>
  </si>
  <si>
    <t>Olga</t>
  </si>
  <si>
    <t>Valenzuela Urra</t>
  </si>
  <si>
    <t>7337314-K</t>
  </si>
  <si>
    <t>ovalen3@gmail.com</t>
  </si>
  <si>
    <t>Ignacio Hurtado N° 16</t>
  </si>
  <si>
    <t>Martínez Santi</t>
  </si>
  <si>
    <t>6065780-7</t>
  </si>
  <si>
    <t>sylvia.martinezsanti@gmail.com</t>
  </si>
  <si>
    <t>Barrio Leiva pasaje Los Laureles N° 448</t>
  </si>
  <si>
    <t>Mónica</t>
  </si>
  <si>
    <t>Fernández Pascal</t>
  </si>
  <si>
    <t>11603091-8</t>
  </si>
  <si>
    <t>Selma</t>
  </si>
  <si>
    <t>Inostroza Roldán</t>
  </si>
  <si>
    <t>13250316-4</t>
  </si>
  <si>
    <t>selmainostrozaroldan@gmail.com</t>
  </si>
  <si>
    <t>Villa Salvador Allende Libertad N° 1882</t>
  </si>
  <si>
    <t>Gloria</t>
  </si>
  <si>
    <t>Fica Silva</t>
  </si>
  <si>
    <t>6685037-4</t>
  </si>
  <si>
    <t>goyitafica02@gmail.com</t>
  </si>
  <si>
    <t>Mariñan N° 902</t>
  </si>
  <si>
    <t>Burgos Thompson</t>
  </si>
  <si>
    <t>5680808-6</t>
  </si>
  <si>
    <t>Arturo Prat N° 575</t>
  </si>
  <si>
    <t>Macarena</t>
  </si>
  <si>
    <t>Navarro González</t>
  </si>
  <si>
    <t>14622740-6</t>
  </si>
  <si>
    <t>matrina15@hotmail.com</t>
  </si>
  <si>
    <t>Población Santa Carolina Chiloé N° 095</t>
  </si>
  <si>
    <t>Cartes Gutiérrez</t>
  </si>
  <si>
    <t>8302699-5</t>
  </si>
  <si>
    <t>patriciacartes1@hotmail.com</t>
  </si>
  <si>
    <t>Barrio Leiva villa las antenas p/los laureles 463</t>
  </si>
  <si>
    <t>Ruth</t>
  </si>
  <si>
    <t>Sabadini Rivera</t>
  </si>
  <si>
    <t>14564249-3</t>
  </si>
  <si>
    <t>ruthsabadini@gmail.com</t>
  </si>
  <si>
    <t>Lote 4 B Hue chicura</t>
  </si>
  <si>
    <t>Molina Neira</t>
  </si>
  <si>
    <t>15591463-7</t>
  </si>
  <si>
    <t>e.molinaneira@gmail.com</t>
  </si>
  <si>
    <t>Juan Carlos</t>
  </si>
  <si>
    <t>Alvear Ramírez</t>
  </si>
  <si>
    <t>15658438-k</t>
  </si>
  <si>
    <t>jalveal@udd.cl</t>
  </si>
  <si>
    <t>Ponotro s/n</t>
  </si>
  <si>
    <t>Erika</t>
  </si>
  <si>
    <t>Linco Cruces</t>
  </si>
  <si>
    <t>11796624-0</t>
  </si>
  <si>
    <t>erika.lincocruces@gmail.com</t>
  </si>
  <si>
    <t>Sargento Aldea N° 824</t>
  </si>
  <si>
    <t>Jerson</t>
  </si>
  <si>
    <t>Flores Mieres</t>
  </si>
  <si>
    <t>15914501-8</t>
  </si>
  <si>
    <t>Jersonflores16@gmail.com</t>
  </si>
  <si>
    <t>Riffo Vergara</t>
  </si>
  <si>
    <t>8723615-3</t>
  </si>
  <si>
    <t>r.riffovergara@gmail.com</t>
  </si>
  <si>
    <t>Colonia Lincoyan Parcela 26 Lote 1-B</t>
  </si>
  <si>
    <t>Garcés Gallegos</t>
  </si>
  <si>
    <t>10251558-7</t>
  </si>
  <si>
    <t>marygerald1988@gmail.com</t>
  </si>
  <si>
    <t>Caillin Lote C 6</t>
  </si>
  <si>
    <t>Rumilda</t>
  </si>
  <si>
    <t>Pañinao Calbul</t>
  </si>
  <si>
    <t>12024810-3</t>
  </si>
  <si>
    <t>rumildapc@gmail.com</t>
  </si>
  <si>
    <t>Población Carol Urzúa O’Higgins s/n</t>
  </si>
  <si>
    <t>Sandra</t>
  </si>
  <si>
    <t>Veloso Novoa</t>
  </si>
  <si>
    <t>6989959-5</t>
  </si>
  <si>
    <t>sandravelosonovoa@gmail,com</t>
  </si>
  <si>
    <t>Mariqueo N° 1340</t>
  </si>
  <si>
    <t>Marcela</t>
  </si>
  <si>
    <t>Oliva San Martin</t>
  </si>
  <si>
    <t>12734574-0</t>
  </si>
  <si>
    <t>marceoliva2002@gmail.com</t>
  </si>
  <si>
    <t>Hijuela 3 Lote E Quelén Quelén</t>
  </si>
  <si>
    <t>Fuentes Cuevas</t>
  </si>
  <si>
    <t>12032520-5</t>
  </si>
  <si>
    <t>rosaf3530@gmail.com</t>
  </si>
  <si>
    <t>Población Lanalhue Río Leiva N° 353</t>
  </si>
  <si>
    <t>Del Rey Navarro</t>
  </si>
  <si>
    <t>24534722-7</t>
  </si>
  <si>
    <t>eliadelrey969@gmail.com</t>
  </si>
  <si>
    <t>Margot</t>
  </si>
  <si>
    <t>Opazo Salazar</t>
  </si>
  <si>
    <t>10058517-0</t>
  </si>
  <si>
    <t>margot.opazo1964@gmail,com</t>
  </si>
  <si>
    <t>José Miguel Infante N° 345</t>
  </si>
  <si>
    <t>Ulloa Riffo</t>
  </si>
  <si>
    <t>9394154-3</t>
  </si>
  <si>
    <t>Sandraalondra.u@gmail.com</t>
  </si>
  <si>
    <t>Orella N° 466</t>
  </si>
  <si>
    <t>Sonia</t>
  </si>
  <si>
    <t>Muñoz Carrillo</t>
  </si>
  <si>
    <t>8207213-6</t>
  </si>
  <si>
    <t>sonita.iris.muñoz@gmail.com</t>
  </si>
  <si>
    <t>Las Araucarias N° 568</t>
  </si>
  <si>
    <t>Edulia</t>
  </si>
  <si>
    <t>Lagos Garrido</t>
  </si>
  <si>
    <t>8494415-7</t>
  </si>
  <si>
    <t>edulialagoso@gmail.com</t>
  </si>
  <si>
    <t>Verónica</t>
  </si>
  <si>
    <t>Ortiz Oliva</t>
  </si>
  <si>
    <t>10022220-5</t>
  </si>
  <si>
    <t>verocarmen.6@gmail.com</t>
  </si>
  <si>
    <t>Capitán Pastene</t>
  </si>
  <si>
    <t>Eulalia Ivonne</t>
  </si>
  <si>
    <t>Cares Caro</t>
  </si>
  <si>
    <t>6.103.555-9</t>
  </si>
  <si>
    <t>eulaliacares@yahoo.com</t>
  </si>
  <si>
    <t>José Verdi 360 Cap.Pastene C.de Lumaco</t>
  </si>
  <si>
    <t>Silvia Cecilia</t>
  </si>
  <si>
    <t>Contreras Linfati</t>
  </si>
  <si>
    <t>8.747.276-0</t>
  </si>
  <si>
    <t>Pedro Montt 890 Cap.Pastene C.de Lumaco</t>
  </si>
  <si>
    <t>María Elena</t>
  </si>
  <si>
    <t>Cantergiani Casanelli</t>
  </si>
  <si>
    <t>6.728.374-0</t>
  </si>
  <si>
    <t>Caupolicán s/n Cap.Pastene C.de Lumaco</t>
  </si>
  <si>
    <t>Teresa de Jesús</t>
  </si>
  <si>
    <t>Faúndez Araneda</t>
  </si>
  <si>
    <t>7.872.225-8</t>
  </si>
  <si>
    <t>Prat 550 Cap.Pastene C.de Lumaco</t>
  </si>
  <si>
    <t>Jeannette Isabel</t>
  </si>
  <si>
    <t>Figueroa González</t>
  </si>
  <si>
    <t>12.563.917- 8</t>
  </si>
  <si>
    <t>Cucchi Boasso 391 Cap.Pastene C.de Lumaco</t>
  </si>
  <si>
    <t>Marianella del Pilar</t>
  </si>
  <si>
    <t>Fulgeri Carrasco</t>
  </si>
  <si>
    <t>6.728.374-5</t>
  </si>
  <si>
    <t>marianellafulgeri@gmail.com</t>
  </si>
  <si>
    <t>Roma 245 Cap.Pastene C.de Lumaco</t>
  </si>
  <si>
    <t>Petronila María</t>
  </si>
  <si>
    <t>Leonelli Lobos</t>
  </si>
  <si>
    <t>7.065.267-6</t>
  </si>
  <si>
    <t>Garibaldi 694 Cap.Pastene C.de Lumaco</t>
  </si>
  <si>
    <t>9 75612073</t>
  </si>
  <si>
    <t>Sandra María</t>
  </si>
  <si>
    <t>Leonelli Leonelli</t>
  </si>
  <si>
    <t>9.821.157-8</t>
  </si>
  <si>
    <t>Dante 621 Cap.Pastene C.de Lumaco</t>
  </si>
  <si>
    <t>Daniela Alejandra</t>
  </si>
  <si>
    <t>Leonelli Plaza</t>
  </si>
  <si>
    <t>19.988.532- 4</t>
  </si>
  <si>
    <t>Rubén Hernán</t>
  </si>
  <si>
    <t>Linfati Casanelli</t>
  </si>
  <si>
    <t>10.462.467- 7</t>
  </si>
  <si>
    <t>Fresia 251 Cap.Pastene C.de Lumaco</t>
  </si>
  <si>
    <t>María Victoria</t>
  </si>
  <si>
    <t>Llano Zapata</t>
  </si>
  <si>
    <t>10.348.691- 2</t>
  </si>
  <si>
    <t>Balmaceda 148 Cap.Pasteme C.de Lumaco</t>
  </si>
  <si>
    <t>Damari de las Mercedes</t>
  </si>
  <si>
    <t>Pavez Urbina</t>
  </si>
  <si>
    <t>10.123.978- 0</t>
  </si>
  <si>
    <t>Fresia s/n Cap.Pastene C.de Lumaco</t>
  </si>
  <si>
    <t>María Isabel</t>
  </si>
  <si>
    <t>Quintana González</t>
  </si>
  <si>
    <t>9.230.773-5</t>
  </si>
  <si>
    <t>Prat 851 Cap.Pastene C.de Lumaco</t>
  </si>
  <si>
    <t>María Guadalupe</t>
  </si>
  <si>
    <t>Regla Cid</t>
  </si>
  <si>
    <t>6.736.486-4</t>
  </si>
  <si>
    <t>María Eulalia</t>
  </si>
  <si>
    <t>Santibañez Flores</t>
  </si>
  <si>
    <t>7.138.431-4</t>
  </si>
  <si>
    <t>Dante s/n Cap.Pastene C.de Lumaco</t>
  </si>
  <si>
    <t>Lidia María</t>
  </si>
  <si>
    <t>Serri Covili</t>
  </si>
  <si>
    <t>5.498.502-9</t>
  </si>
  <si>
    <t>Roma 246 Cap.Pastene C.de Lumaco</t>
  </si>
  <si>
    <t>Sonia Lucía</t>
  </si>
  <si>
    <t>Tonioni Benedetti</t>
  </si>
  <si>
    <t>9.985.206-2</t>
  </si>
  <si>
    <t>Garibaldi 845 Cap.Pastene C.de Lumaco</t>
  </si>
  <si>
    <t>Teresa Elizabeth</t>
  </si>
  <si>
    <t>Villagrán Quijada</t>
  </si>
  <si>
    <t>11.451.613- 9</t>
  </si>
  <si>
    <t>El Mañío N°7 Cap.Pastene C.de Lumaco</t>
  </si>
  <si>
    <t>Zunilda Baldramina</t>
  </si>
  <si>
    <t>Muñoz Manríquez</t>
  </si>
  <si>
    <t>5.640.775-8</t>
  </si>
  <si>
    <t>Garibaldi 606 Cap.Pastene C.de Lumaco</t>
  </si>
  <si>
    <t>Mariela del Carmen</t>
  </si>
  <si>
    <t>Belmar Ballotta</t>
  </si>
  <si>
    <t>6.606.078-0</t>
  </si>
  <si>
    <t>Garibaldi 445 Cap.Pastene C.de Lumaco</t>
  </si>
  <si>
    <t>Yenica Magali</t>
  </si>
  <si>
    <t>Chavez Muñoz</t>
  </si>
  <si>
    <t>10.678.587-2</t>
  </si>
  <si>
    <t>Patricia Filomena</t>
  </si>
  <si>
    <t>Fabres Ruminot</t>
  </si>
  <si>
    <t>9.852.697-8</t>
  </si>
  <si>
    <t>Lyli Marlen</t>
  </si>
  <si>
    <t>Silva Orellana</t>
  </si>
  <si>
    <t>19.988.109-4</t>
  </si>
  <si>
    <t>Alcides Gino</t>
  </si>
  <si>
    <t>Vera Galaz</t>
  </si>
  <si>
    <t>11.354.145-8</t>
  </si>
  <si>
    <t>Carahue</t>
  </si>
  <si>
    <t>Doraliza Jacqueline</t>
  </si>
  <si>
    <t>Gallegos Fierro</t>
  </si>
  <si>
    <t>Freire N°265</t>
  </si>
  <si>
    <t>Camila Soraya</t>
  </si>
  <si>
    <t>Luengo Manrriquez</t>
  </si>
  <si>
    <t>16.980.701-9</t>
  </si>
  <si>
    <t>Los Notrosblock A N°14</t>
  </si>
  <si>
    <t>Ramona Ingrid</t>
  </si>
  <si>
    <t>Diaz Salas</t>
  </si>
  <si>
    <t>11.156.533-3</t>
  </si>
  <si>
    <t>Freire N°6</t>
  </si>
  <si>
    <t>Estela Alicia</t>
  </si>
  <si>
    <t>Henriquez</t>
  </si>
  <si>
    <t>10.206.810-6</t>
  </si>
  <si>
    <t>Monte Bello S /N</t>
  </si>
  <si>
    <t>Brunilda Del Carmen</t>
  </si>
  <si>
    <t>Inostroza Mora</t>
  </si>
  <si>
    <t>10.063.979-3</t>
  </si>
  <si>
    <t>Los Notros Block 12</t>
  </si>
  <si>
    <t>Filadelfo Emiliano</t>
  </si>
  <si>
    <t>Agurto Peña</t>
  </si>
  <si>
    <t>8.849.106-8</t>
  </si>
  <si>
    <t>Lautaro °170</t>
  </si>
  <si>
    <t>Carolina Rosario</t>
  </si>
  <si>
    <t>Aravena Mellado</t>
  </si>
  <si>
    <t>13.007.817-6</t>
  </si>
  <si>
    <t>Carol Urzua N° 1365</t>
  </si>
  <si>
    <t>Maria Trinidad</t>
  </si>
  <si>
    <t>Toro Adriazola</t>
  </si>
  <si>
    <t>10.929.859 -9</t>
  </si>
  <si>
    <t>Urrutia N°750</t>
  </si>
  <si>
    <t>Aida Del Carmen</t>
  </si>
  <si>
    <t>Lopez Araneda</t>
  </si>
  <si>
    <t>13.582.952-8</t>
  </si>
  <si>
    <t>Almagro N° 410</t>
  </si>
  <si>
    <t>Mercedes Ines</t>
  </si>
  <si>
    <t>Ortiz Fuentealba</t>
  </si>
  <si>
    <t>10.620.903-0</t>
  </si>
  <si>
    <t>Manuel Bulnes N° 300</t>
  </si>
  <si>
    <t>Maria Graciela</t>
  </si>
  <si>
    <t>Garrido Grandon</t>
  </si>
  <si>
    <t>4.320.419-K</t>
  </si>
  <si>
    <t>Diego Portales N°600</t>
  </si>
  <si>
    <t>Maria Elena</t>
  </si>
  <si>
    <t>Riquelme Sepulveda</t>
  </si>
  <si>
    <t>8.198.429-8</t>
  </si>
  <si>
    <t>Los Block B 24</t>
  </si>
  <si>
    <t>Carmen Alicia</t>
  </si>
  <si>
    <t>Paredes Vergara</t>
  </si>
  <si>
    <t>8.057.649-8</t>
  </si>
  <si>
    <t>Almagro N°40</t>
  </si>
  <si>
    <t>Luz Fredefina</t>
  </si>
  <si>
    <t>10.738.988-1</t>
  </si>
  <si>
    <t>Oñoico</t>
  </si>
  <si>
    <t>Ines Arquina</t>
  </si>
  <si>
    <t>Hernandez Rios</t>
  </si>
  <si>
    <t>6.302.976-9</t>
  </si>
  <si>
    <t>Carrera N°201</t>
  </si>
  <si>
    <t>Blanca Olga</t>
  </si>
  <si>
    <t>Muñoz Mardones</t>
  </si>
  <si>
    <t>8.167.082-5</t>
  </si>
  <si>
    <t>Junta Los Rios</t>
  </si>
  <si>
    <t>Elsa Jesus</t>
  </si>
  <si>
    <t>Naranjo Martinez</t>
  </si>
  <si>
    <t>6.684.615 -4</t>
  </si>
  <si>
    <t>Alcalde Floody N° 30</t>
  </si>
  <si>
    <t>Guido Sergio</t>
  </si>
  <si>
    <t>Garrido Soto</t>
  </si>
  <si>
    <t>Aida Del Pilar</t>
  </si>
  <si>
    <t>Vicent Araya</t>
  </si>
  <si>
    <t>7.274.124-2</t>
  </si>
  <si>
    <t>Arturo Pratn°595</t>
  </si>
  <si>
    <t>Yessica Jacqueline</t>
  </si>
  <si>
    <t>Tobar Vergara</t>
  </si>
  <si>
    <t>13.396.334-0</t>
  </si>
  <si>
    <t>Freire N° 50</t>
  </si>
  <si>
    <t>Leal Peña</t>
  </si>
  <si>
    <t>9.935.303-1</t>
  </si>
  <si>
    <t>Pedro De Valdivia N° 844</t>
  </si>
  <si>
    <t>Cartagena</t>
  </si>
  <si>
    <t>Constanza Ignacia</t>
  </si>
  <si>
    <t>Soto Santis</t>
  </si>
  <si>
    <t>22.055.906-8</t>
  </si>
  <si>
    <t>Av. Cartagena 1297 Cartagena</t>
  </si>
  <si>
    <t>Fabiola Andrea</t>
  </si>
  <si>
    <t>Urbina Diaz</t>
  </si>
  <si>
    <t>19.974.159-4</t>
  </si>
  <si>
    <t>urbina.diazfa@gmail.com</t>
  </si>
  <si>
    <t>Av. Cartagena 985 Cartagena</t>
  </si>
  <si>
    <t>Camila Francisca</t>
  </si>
  <si>
    <t>Gamonal Fuentes</t>
  </si>
  <si>
    <t>19.758.019-4</t>
  </si>
  <si>
    <t>caamigamonal98@gmail.com</t>
  </si>
  <si>
    <t>Cuarta Poniente 23 San Sebastian</t>
  </si>
  <si>
    <t>Ma.Soledad</t>
  </si>
  <si>
    <t>Pacheco Bustamante</t>
  </si>
  <si>
    <t>8.318.954-1</t>
  </si>
  <si>
    <t>Josefina Nieto De Gallardo 336 Cartagena</t>
  </si>
  <si>
    <t>Rosa Eugenia</t>
  </si>
  <si>
    <t>Vallejos Garrido</t>
  </si>
  <si>
    <t>8.458.437-1</t>
  </si>
  <si>
    <t>Rosyeugenia92@gmail.com</t>
  </si>
  <si>
    <t>La Capellania Parcela 80, Sitio 21 Cartagena</t>
  </si>
  <si>
    <t>Ma.De Los Angeles</t>
  </si>
  <si>
    <t>Bauza Santana</t>
  </si>
  <si>
    <t>8.809.845-5</t>
  </si>
  <si>
    <t>mariaangelesbauza@gmail.com</t>
  </si>
  <si>
    <t>Scolari 36 Cartagena</t>
  </si>
  <si>
    <t>Ana Monica</t>
  </si>
  <si>
    <t>Ramirez Olivares</t>
  </si>
  <si>
    <t>7.193.359-8</t>
  </si>
  <si>
    <t>erreo.monica@gmail.com</t>
  </si>
  <si>
    <t>Yungay 879 Cartagena</t>
  </si>
  <si>
    <t>Lobos Nuñez</t>
  </si>
  <si>
    <t>8.346.021-9</t>
  </si>
  <si>
    <t>rosalobos1245@gmail.com</t>
  </si>
  <si>
    <t>Rodolfo Olivarez 198 Cartagena</t>
  </si>
  <si>
    <t>Dora Del Carmen</t>
  </si>
  <si>
    <t>Mancilla Acuña</t>
  </si>
  <si>
    <t>7.043.232-3</t>
  </si>
  <si>
    <t>doramancilla13@gmail.com</t>
  </si>
  <si>
    <t>Scolari 264 Cartagena</t>
  </si>
  <si>
    <t>Berta Eliana</t>
  </si>
  <si>
    <t>Pinto Saavedra</t>
  </si>
  <si>
    <t>6.598.980-8</t>
  </si>
  <si>
    <t>pintosaavedraberta@gmail.com</t>
  </si>
  <si>
    <t>Scolari 135 Cartagena</t>
  </si>
  <si>
    <t>Silvia Gioconda</t>
  </si>
  <si>
    <t>Magnani Gomez</t>
  </si>
  <si>
    <t>5.526.410-4</t>
  </si>
  <si>
    <t>Av.Cartagena 979 Cartagena</t>
  </si>
  <si>
    <t>Marta Elena</t>
  </si>
  <si>
    <t>Alvarez Tapia</t>
  </si>
  <si>
    <t>6.520.793-1</t>
  </si>
  <si>
    <t>Pablo Romero S/N Lo Abarca</t>
  </si>
  <si>
    <t>Elba Santos</t>
  </si>
  <si>
    <t>Guzman Pacheco</t>
  </si>
  <si>
    <t>6.870.663-7</t>
  </si>
  <si>
    <t>Psje. Iquique 655 Costa Azul</t>
  </si>
  <si>
    <t>Castro</t>
  </si>
  <si>
    <t>Mabel I.</t>
  </si>
  <si>
    <t>Cárdenas Araya</t>
  </si>
  <si>
    <t>7.089.980-9</t>
  </si>
  <si>
    <t>mabelcardenaraya@gmai</t>
  </si>
  <si>
    <t>Soto Mayor 223</t>
  </si>
  <si>
    <t>Silvia del C.</t>
  </si>
  <si>
    <t>Barría Barría</t>
  </si>
  <si>
    <t>7.084.066-9</t>
  </si>
  <si>
    <t>titabarriabarria@gmail.com</t>
  </si>
  <si>
    <t>Freire 539 Castro</t>
  </si>
  <si>
    <t>Teresa de J.</t>
  </si>
  <si>
    <t>Henríquez Jara</t>
  </si>
  <si>
    <t>5.295.710-9</t>
  </si>
  <si>
    <t>Llau Llao Castro</t>
  </si>
  <si>
    <t>Nilda de L.</t>
  </si>
  <si>
    <t>Pérez Bórquez</t>
  </si>
  <si>
    <t>5.685.759-1</t>
  </si>
  <si>
    <t>Nildaperezborquez44@gmail.com</t>
  </si>
  <si>
    <t>Los Carrera 835 Castro</t>
  </si>
  <si>
    <t>Norma E.</t>
  </si>
  <si>
    <t>Andrade Macías</t>
  </si>
  <si>
    <t>4.839.346-2</t>
  </si>
  <si>
    <t>Pje. Serrano- Castro</t>
  </si>
  <si>
    <t>Marisa del C.</t>
  </si>
  <si>
    <t>Méndez Fernández</t>
  </si>
  <si>
    <t>8.133.345-9</t>
  </si>
  <si>
    <t>Marisamedez58@gmail.com</t>
  </si>
  <si>
    <t xml:space="preserve">Nueva Cucao 572 Castro
</t>
  </si>
  <si>
    <t>Oyarzo Cárcamo</t>
  </si>
  <si>
    <t>9.238.608-2</t>
  </si>
  <si>
    <t>msoyarzoc@gmail.com</t>
  </si>
  <si>
    <t>Sector Club Aéreo Castro</t>
  </si>
  <si>
    <t>Olvido M.</t>
  </si>
  <si>
    <t>Gutiérrez Reichert</t>
  </si>
  <si>
    <t>8.737.428-9</t>
  </si>
  <si>
    <t>olvigutierrezr@gmail.com</t>
  </si>
  <si>
    <t>V.Guarelo. Pas. Patricio Linch S/N Castro.</t>
  </si>
  <si>
    <t>Otro</t>
  </si>
  <si>
    <t>Florencia E.</t>
  </si>
  <si>
    <t>Barrientos Barrientos</t>
  </si>
  <si>
    <t>9.163.648-9</t>
  </si>
  <si>
    <t>enitabb@gmail.com</t>
  </si>
  <si>
    <t>Pob. Juan Soler.Enrique Rodriguez 916 Castro</t>
  </si>
  <si>
    <t>Juana B.</t>
  </si>
  <si>
    <t>6.518.790-6</t>
  </si>
  <si>
    <t>El Canelo 752 Castro</t>
  </si>
  <si>
    <t>Elvia Iris</t>
  </si>
  <si>
    <t>Montenegro Fierro</t>
  </si>
  <si>
    <t>6.796.071-8</t>
  </si>
  <si>
    <t>Elviamontenegrofgmail.com</t>
  </si>
  <si>
    <t>Villa Archipiélago Hugo García Castro</t>
  </si>
  <si>
    <t>Mirta E.</t>
  </si>
  <si>
    <t>Hernández Guenuman</t>
  </si>
  <si>
    <t>7.943.179-6</t>
  </si>
  <si>
    <t>Hernandezmirta721@gmail.com</t>
  </si>
  <si>
    <t>Piruquina Castro</t>
  </si>
  <si>
    <t>Patricia del C.</t>
  </si>
  <si>
    <t>Avila Trujillo</t>
  </si>
  <si>
    <t>6.642.244-5</t>
  </si>
  <si>
    <t>patitavilatru@gmail.com</t>
  </si>
  <si>
    <t>Cauquenes</t>
  </si>
  <si>
    <t>Matias</t>
  </si>
  <si>
    <t>Castro Valdez</t>
  </si>
  <si>
    <t>19.503.750-7</t>
  </si>
  <si>
    <t>Las delicias 126</t>
  </si>
  <si>
    <t>Moraga Sandoval</t>
  </si>
  <si>
    <t>8.796.715-8</t>
  </si>
  <si>
    <t>Moreno Sazo</t>
  </si>
  <si>
    <t>5.916.961-0</t>
  </si>
  <si>
    <t>Pablo</t>
  </si>
  <si>
    <t>Figueroa Leon</t>
  </si>
  <si>
    <t>19.059.524-2</t>
  </si>
  <si>
    <t>Las Margaritas 8, Cauquenes</t>
  </si>
  <si>
    <t>Felisa</t>
  </si>
  <si>
    <t>Rodriguez Duran</t>
  </si>
  <si>
    <t>8.932.749-0</t>
  </si>
  <si>
    <t>Espinoza Andaur</t>
  </si>
  <si>
    <t>19.113.376-5</t>
  </si>
  <si>
    <t>Antonio Varas 1215</t>
  </si>
  <si>
    <t>Isaac</t>
  </si>
  <si>
    <t>Delgado Alegria</t>
  </si>
  <si>
    <t>18.723.764-5</t>
  </si>
  <si>
    <t>Pasaje 6, 120</t>
  </si>
  <si>
    <t>Andrea</t>
  </si>
  <si>
    <t>Rivas Euluffi</t>
  </si>
  <si>
    <t>15.675.401-3</t>
  </si>
  <si>
    <t>Andaur Escalona</t>
  </si>
  <si>
    <t>11.442.655-5</t>
  </si>
  <si>
    <t>Errazuriz 513</t>
  </si>
  <si>
    <t>Maribel</t>
  </si>
  <si>
    <t>Perez Aravena</t>
  </si>
  <si>
    <t>13.733.148-2</t>
  </si>
  <si>
    <t>Vidalita</t>
  </si>
  <si>
    <t>Chamorro Torres</t>
  </si>
  <si>
    <t>8.272.881-3</t>
  </si>
  <si>
    <t>Mercedes de Rio 363</t>
  </si>
  <si>
    <t>Sanchez Faundez</t>
  </si>
  <si>
    <t>8.903.281-4</t>
  </si>
  <si>
    <t>Medina Adam</t>
  </si>
  <si>
    <t>9.920.335-8</t>
  </si>
  <si>
    <t>Anibal Pinto 2</t>
  </si>
  <si>
    <t>Jaqueline</t>
  </si>
  <si>
    <t>Farias Montecinos</t>
  </si>
  <si>
    <t>11.532.618-K</t>
  </si>
  <si>
    <t>CLAUDINA URRUTIA S/N</t>
  </si>
  <si>
    <t>Vazquez Berrios</t>
  </si>
  <si>
    <t>8.949.224-6</t>
  </si>
  <si>
    <t>Alicia</t>
  </si>
  <si>
    <t>Villegas Albornoz</t>
  </si>
  <si>
    <t>11.061.007-6</t>
  </si>
  <si>
    <t>Calbuco 892</t>
  </si>
  <si>
    <t>Margarita</t>
  </si>
  <si>
    <t>Riquelme Larenas</t>
  </si>
  <si>
    <t>7.028.433-2</t>
  </si>
  <si>
    <t>Leon Ayala</t>
  </si>
  <si>
    <t>9.451.810-5</t>
  </si>
  <si>
    <t>María ruiz 24.</t>
  </si>
  <si>
    <t>Petronila</t>
  </si>
  <si>
    <t>Pereira Pereira</t>
  </si>
  <si>
    <t>4.838.515-K</t>
  </si>
  <si>
    <t>Pasaje 1, 475</t>
  </si>
  <si>
    <t>Rojas Soto</t>
  </si>
  <si>
    <t>10.124.613-2</t>
  </si>
  <si>
    <t>Esquina mocha km 8</t>
  </si>
  <si>
    <t>Maria Cristina</t>
  </si>
  <si>
    <t>Silva Flores</t>
  </si>
  <si>
    <t>4.809.966-1</t>
  </si>
  <si>
    <t>Sofia</t>
  </si>
  <si>
    <t>Andaur Andaur</t>
  </si>
  <si>
    <t>6.479.550-3</t>
  </si>
  <si>
    <t>Antonio varas 1215</t>
  </si>
  <si>
    <t>Chiguayante</t>
  </si>
  <si>
    <t>Nelly</t>
  </si>
  <si>
    <t>Contreras Arqueros</t>
  </si>
  <si>
    <t>7.531.255-5</t>
  </si>
  <si>
    <t>nc0532@gmail.com</t>
  </si>
  <si>
    <t>Julieta Camousano 453 Chigte.</t>
  </si>
  <si>
    <t>Julieta Campusano 453 Chigte.</t>
  </si>
  <si>
    <t>Brian</t>
  </si>
  <si>
    <t>Salazar Pardo</t>
  </si>
  <si>
    <t>20.948.481-1</t>
  </si>
  <si>
    <t>briansalazarpardo@gmail.com</t>
  </si>
  <si>
    <t>pje.1 casa 6074 pradera 2 Chigte.</t>
  </si>
  <si>
    <t>Micaela</t>
  </si>
  <si>
    <t>Dinamarca Castellano</t>
  </si>
  <si>
    <t>21.731.622-7</t>
  </si>
  <si>
    <t>micaeladinamarcacastellano@gmail.com</t>
  </si>
  <si>
    <t>Pje. 3 casa 89 Los altos Chigte.</t>
  </si>
  <si>
    <t xml:space="preserve">Sebastian </t>
  </si>
  <si>
    <t>Paredes Luarte</t>
  </si>
  <si>
    <t>21.825.990-1</t>
  </si>
  <si>
    <t>sebastian.paredes.luarte@gmail.com</t>
  </si>
  <si>
    <t>pasaje 182790 Plaza Sol</t>
  </si>
  <si>
    <t>Santander Nova</t>
  </si>
  <si>
    <t>20.965.168-9</t>
  </si>
  <si>
    <t>Daniela.santa2002@gmail.com</t>
  </si>
  <si>
    <t xml:space="preserve">Cochrane 8824 </t>
  </si>
  <si>
    <t>Irma</t>
  </si>
  <si>
    <t>Andrade Cea</t>
  </si>
  <si>
    <t>18.419.143-1</t>
  </si>
  <si>
    <t>irmaandrade.c@gmail.com</t>
  </si>
  <si>
    <t>Los Tilos 338 Hualqui</t>
  </si>
  <si>
    <t>Josefa</t>
  </si>
  <si>
    <t>Olivera Saez</t>
  </si>
  <si>
    <t>21.280.522-k</t>
  </si>
  <si>
    <t>josefa.olivera.16@gmail.com</t>
  </si>
  <si>
    <t>Avda. Ohiggins 3187</t>
  </si>
  <si>
    <t xml:space="preserve">Luis </t>
  </si>
  <si>
    <t>Sáez Valenzuela</t>
  </si>
  <si>
    <t>21.012.632-5</t>
  </si>
  <si>
    <t>Lsaez0493@gmail.com</t>
  </si>
  <si>
    <t>Cochrane 282 Chigte.</t>
  </si>
  <si>
    <t>Fernanda</t>
  </si>
  <si>
    <t>Zapata Cantergiani</t>
  </si>
  <si>
    <t>21.593.237-9</t>
  </si>
  <si>
    <t>Fernandazc2004@gmail.com</t>
  </si>
  <si>
    <t>Manuel Rodriguez 451 casa 26 Chigte.</t>
  </si>
  <si>
    <t>Benjamin</t>
  </si>
  <si>
    <t>Verdugo Rubilar</t>
  </si>
  <si>
    <t>21.706.735-k</t>
  </si>
  <si>
    <t>Benjaabarzua18@gmail.com</t>
  </si>
  <si>
    <t>Vilo Araneda</t>
  </si>
  <si>
    <t>15.222.854-6</t>
  </si>
  <si>
    <t>mauricioviloaraneda@gmail.com</t>
  </si>
  <si>
    <t>C/pinares 10 casa 69  Alto Castaaño Chigte.</t>
  </si>
  <si>
    <t>Paulette</t>
  </si>
  <si>
    <t>Bravo Espinoza</t>
  </si>
  <si>
    <t>19.705.870-5</t>
  </si>
  <si>
    <t>Paulette_bravo@outlook.es</t>
  </si>
  <si>
    <t>Hipodromo chile 1640 Independencia</t>
  </si>
  <si>
    <t>Ivon</t>
  </si>
  <si>
    <t>Delgado Nuñez</t>
  </si>
  <si>
    <t>18.149.408-5</t>
  </si>
  <si>
    <t>i.delgado.n1991@gmail.com</t>
  </si>
  <si>
    <t>Ohiggins ORIENTE 5673 Chigte.</t>
  </si>
  <si>
    <t>Victoria</t>
  </si>
  <si>
    <t>Silvia Arratia</t>
  </si>
  <si>
    <t>18.390.018-8</t>
  </si>
  <si>
    <t>Victoria.silva.arratia@gmail.com</t>
  </si>
  <si>
    <t>Poblacion Porvenir pasaje 228471</t>
  </si>
  <si>
    <t>Silva Arratia</t>
  </si>
  <si>
    <t>pobl. Porvenir Pje. 228471</t>
  </si>
  <si>
    <t>Paulo</t>
  </si>
  <si>
    <t>Cartes Morel</t>
  </si>
  <si>
    <t>18.412.378-9</t>
  </si>
  <si>
    <t>Cartesmorel6@gmail.com</t>
  </si>
  <si>
    <t>Fresia 75 Chigte.</t>
  </si>
  <si>
    <t>Sanhueza Macaya</t>
  </si>
  <si>
    <t>6.678.617-k</t>
  </si>
  <si>
    <t>Rosa.sanhueza@gmail.com</t>
  </si>
  <si>
    <t>Bergantin Araucano443</t>
  </si>
  <si>
    <t>Jorge</t>
  </si>
  <si>
    <t>Tapia Cifuentes</t>
  </si>
  <si>
    <t>15.180.449-7</t>
  </si>
  <si>
    <t>jorgetapiacifuentests@gmail.com</t>
  </si>
  <si>
    <t>Torre 4b Mirador Bio BIo</t>
  </si>
  <si>
    <t>Edith</t>
  </si>
  <si>
    <t>Araya Olate</t>
  </si>
  <si>
    <t>11.350.392-0</t>
  </si>
  <si>
    <t>arayaolateedith@gmail.com</t>
  </si>
  <si>
    <t>Los Heroes 130 Chigte.</t>
  </si>
  <si>
    <t>Valeska</t>
  </si>
  <si>
    <t>Houlin Aillon</t>
  </si>
  <si>
    <t>17.898.458-6</t>
  </si>
  <si>
    <t>vhoulina@gmail.com</t>
  </si>
  <si>
    <t>Bergantin araucano 1991 Chigte.</t>
  </si>
  <si>
    <t>Soto Jeldres</t>
  </si>
  <si>
    <t>10.017.090-6</t>
  </si>
  <si>
    <t>luiseduardosotojeldres@gmail.com</t>
  </si>
  <si>
    <t>Coquimbo pje. Quillay 2455 Villa El Canelo Chigte.</t>
  </si>
  <si>
    <t>Claudia</t>
  </si>
  <si>
    <t>Betancur Salas</t>
  </si>
  <si>
    <t>9.163.920-3</t>
  </si>
  <si>
    <t>Kky_bhotmail.com</t>
  </si>
  <si>
    <t>Millarapue35 Villa San Pedro</t>
  </si>
  <si>
    <t>Jose</t>
  </si>
  <si>
    <t>Zappettine Espinoza</t>
  </si>
  <si>
    <t>21.694.359-7</t>
  </si>
  <si>
    <t>JOSEOEZ04@GMAIL.COM</t>
  </si>
  <si>
    <t>Pje. 32743 Plaza Sol</t>
  </si>
  <si>
    <t>Jessica</t>
  </si>
  <si>
    <t>Pardo Arriaza</t>
  </si>
  <si>
    <t>10.020.272-7</t>
  </si>
  <si>
    <t>Jessica.pardo37@hotmail.com</t>
  </si>
  <si>
    <t>Pezo Viveros</t>
  </si>
  <si>
    <t>5.461.266-4</t>
  </si>
  <si>
    <t>8 oriente 2418</t>
  </si>
  <si>
    <t>Morales Loyola</t>
  </si>
  <si>
    <t>5.851.563-9</t>
  </si>
  <si>
    <t>Santa Marta casa 224 Chigte.</t>
  </si>
  <si>
    <t>Espinoza Amigo</t>
  </si>
  <si>
    <t>12.301.461-8</t>
  </si>
  <si>
    <t>cristianespinozaamigo@gmail.com</t>
  </si>
  <si>
    <t>Coquimbo 623 depto. Chigte.</t>
  </si>
  <si>
    <t>Cid Espinoza</t>
  </si>
  <si>
    <t>21.039.563-6</t>
  </si>
  <si>
    <t>Cidfernanda002@gmail.com</t>
  </si>
  <si>
    <t>pasaje Trecaman 815 Chigte.</t>
  </si>
  <si>
    <t>Rosalba</t>
  </si>
  <si>
    <t>Venegas Parra</t>
  </si>
  <si>
    <t>10.296.141-2</t>
  </si>
  <si>
    <t>rossyvenegas@gmail.com</t>
  </si>
  <si>
    <t>Los aromos 140 Chigte.</t>
  </si>
  <si>
    <t>Rossana</t>
  </si>
  <si>
    <t>Medina Iturrieta</t>
  </si>
  <si>
    <t>11.351.173-7</t>
  </si>
  <si>
    <t>Romedinsi24@gmail.com</t>
  </si>
  <si>
    <t>Pje. 4 5687 Villa Santo Domingo Chigte.</t>
  </si>
  <si>
    <t>Vera González</t>
  </si>
  <si>
    <t>12.697.208-3</t>
  </si>
  <si>
    <t>sandraveracr@gmail.com</t>
  </si>
  <si>
    <t>Esperanza 540 ciudad Alpina Chigte.</t>
  </si>
  <si>
    <t>Veronica</t>
  </si>
  <si>
    <t>Medina Santana</t>
  </si>
  <si>
    <t>9.133.221-3</t>
  </si>
  <si>
    <t>7 Y 8 Oriente casa 27 Recinto Machasa Chigte.</t>
  </si>
  <si>
    <t xml:space="preserve">Gloria </t>
  </si>
  <si>
    <t>Cea Rubio</t>
  </si>
  <si>
    <t>8.166.792-6</t>
  </si>
  <si>
    <t>gcearubio@gmail.com</t>
  </si>
  <si>
    <t>Angamos 381 Chigte.</t>
  </si>
  <si>
    <t>Leonor</t>
  </si>
  <si>
    <t>Sepúlveda Bustamante</t>
  </si>
  <si>
    <t>12.791.364-1</t>
  </si>
  <si>
    <t>loursepu@gmail.com</t>
  </si>
  <si>
    <t>Lientur 1320 Concepcion</t>
  </si>
  <si>
    <t>Gloria  Andrea</t>
  </si>
  <si>
    <t>Bustos Cea</t>
  </si>
  <si>
    <t>13.106.158-0</t>
  </si>
  <si>
    <t>Gbustos_iss@yahoo.es</t>
  </si>
  <si>
    <t>Portales 213 Chigte.</t>
  </si>
  <si>
    <t>Nuñez Zúñiga</t>
  </si>
  <si>
    <t>10.691.440-0</t>
  </si>
  <si>
    <t>Margarita_nuzu@hotmail.com</t>
  </si>
  <si>
    <t>Ingrid</t>
  </si>
  <si>
    <t>López Palacio</t>
  </si>
  <si>
    <t>10.338.422-2</t>
  </si>
  <si>
    <t>Ing.lopez9@gmail.com</t>
  </si>
  <si>
    <t>Jaime</t>
  </si>
  <si>
    <t>Mendoza Arias</t>
  </si>
  <si>
    <t>11.679.647-3</t>
  </si>
  <si>
    <t>jaimemendozaconce@gmail.com</t>
  </si>
  <si>
    <t>Coquimbo 632 depto.2307 Chigte.</t>
  </si>
  <si>
    <t>Herrera Tapia</t>
  </si>
  <si>
    <t>luisaherrerat@gmail.com</t>
  </si>
  <si>
    <t>Los Carreras 893 Chigte.</t>
  </si>
  <si>
    <t>Candia Jara</t>
  </si>
  <si>
    <t>10.729.478-3</t>
  </si>
  <si>
    <t>gcandiajara@gmail.com</t>
  </si>
  <si>
    <t>Nueva Palena 2705 Chigte.</t>
  </si>
  <si>
    <t>Maria Angelica</t>
  </si>
  <si>
    <t>Alegria Campos</t>
  </si>
  <si>
    <t>7.829.443-4</t>
  </si>
  <si>
    <t>angelalegria.campos2@gmail.com</t>
  </si>
  <si>
    <t>Libertad 245 casa 116 pje. 4 Chigte.</t>
  </si>
  <si>
    <t>Garmendia Sepúlveda</t>
  </si>
  <si>
    <t>9.461.442-2</t>
  </si>
  <si>
    <t>ximenar.garmendia@gmail.com</t>
  </si>
  <si>
    <t>Manquimavida 2144 Chigte.</t>
  </si>
  <si>
    <t>Liliana</t>
  </si>
  <si>
    <t>Ovando Carrasco</t>
  </si>
  <si>
    <t>Liliana.orieta@gmail.com</t>
  </si>
  <si>
    <t>Calle Nueva 3608 P.Papen</t>
  </si>
  <si>
    <t>Rosa Edith</t>
  </si>
  <si>
    <t>Morel Vera</t>
  </si>
  <si>
    <t>8.250.879-1</t>
  </si>
  <si>
    <t>e.morelvera@gmail.com</t>
  </si>
  <si>
    <t>Delgado Rodriguez</t>
  </si>
  <si>
    <t>7.501.270-5</t>
  </si>
  <si>
    <t>Delgado.elianita@gmail.com</t>
  </si>
  <si>
    <t>Bio Bio pje.1 casa 9 V. Bella Chigte.</t>
  </si>
  <si>
    <t>Ernesto</t>
  </si>
  <si>
    <t>Nuñez Riquelme</t>
  </si>
  <si>
    <t>9.759.763-4</t>
  </si>
  <si>
    <t>Miyaguiernesto@gmail.com</t>
  </si>
  <si>
    <t>Pradera 2 %° casa 6077</t>
  </si>
  <si>
    <t>Elena</t>
  </si>
  <si>
    <t>López Sandoval</t>
  </si>
  <si>
    <t>8.193.136-4</t>
  </si>
  <si>
    <t>elenalopess@gmail.com</t>
  </si>
  <si>
    <t>Marina 6 Chigte.</t>
  </si>
  <si>
    <t>Yilda</t>
  </si>
  <si>
    <t>Roa Caro</t>
  </si>
  <si>
    <t>6.919.280-7</t>
  </si>
  <si>
    <t>Yilda.roa@gmail.com</t>
  </si>
  <si>
    <t>Progreso pje. 2 casa 1568</t>
  </si>
  <si>
    <t>Hermosilla Marchant</t>
  </si>
  <si>
    <t>9.022.745-9</t>
  </si>
  <si>
    <t>Bolivia 450 Las Americas Chigte.</t>
  </si>
  <si>
    <t xml:space="preserve">Teresa </t>
  </si>
  <si>
    <t>Alarcon Soto</t>
  </si>
  <si>
    <t>5.699.641-9</t>
  </si>
  <si>
    <t>alarconsoto@gmail.com</t>
  </si>
  <si>
    <t>Alfredo Heloy 174 Cchiguayante</t>
  </si>
  <si>
    <t>Moraima</t>
  </si>
  <si>
    <t>Henriquez Carrasco</t>
  </si>
  <si>
    <t>6.330.719-k</t>
  </si>
  <si>
    <t>moraimahenriquezc@gmail.com</t>
  </si>
  <si>
    <t>Los Castaños 397 Chigte.</t>
  </si>
  <si>
    <t xml:space="preserve">Alicia </t>
  </si>
  <si>
    <t>Norambuena Calabrano</t>
  </si>
  <si>
    <t>5.652.456-8</t>
  </si>
  <si>
    <t>Manquimavida 274 casa 3 Chigte.</t>
  </si>
  <si>
    <t>Chillán</t>
  </si>
  <si>
    <t>Diego Osvaldo</t>
  </si>
  <si>
    <t>Méndez Acuña</t>
  </si>
  <si>
    <t>19.416.705 - 9</t>
  </si>
  <si>
    <t>diego.mendez08@gmail.com</t>
  </si>
  <si>
    <t>Pasaje Ruiz de Gamboa 635, Población Brasil Chillán</t>
  </si>
  <si>
    <t>Valentina Andrea</t>
  </si>
  <si>
    <t>Millar Vera</t>
  </si>
  <si>
    <t>23.220.317 - 4</t>
  </si>
  <si>
    <t>valemillar9@gmail.com</t>
  </si>
  <si>
    <t>Villa altos de Ñuble, Ivonne Orellana Cea 5 Chillán Viejo</t>
  </si>
  <si>
    <t>Benjamín</t>
  </si>
  <si>
    <t>Riveros Cisterna</t>
  </si>
  <si>
    <t>22.815.131- 9</t>
  </si>
  <si>
    <t>riverosb360@gmail.com</t>
  </si>
  <si>
    <t>Manuel Alejandro</t>
  </si>
  <si>
    <t>Aedo San Martín</t>
  </si>
  <si>
    <t>16.782.949-K</t>
  </si>
  <si>
    <t>Matías Nicolás</t>
  </si>
  <si>
    <t>Navarrete Orellana</t>
  </si>
  <si>
    <t>19.071.621 -K</t>
  </si>
  <si>
    <t>mati.burger@hotmail.com</t>
  </si>
  <si>
    <t>Villa Millantue, Antilhue 1095</t>
  </si>
  <si>
    <t>Antonio Alejandro</t>
  </si>
  <si>
    <t>Riquelme Veloso</t>
  </si>
  <si>
    <t>22.710.122 - 9</t>
  </si>
  <si>
    <t>antonio.riquelme.veloso@gmail.com</t>
  </si>
  <si>
    <t>Población Marta Brunet, calle 2,casa 40 Chillán</t>
  </si>
  <si>
    <t>Jessica Nereida</t>
  </si>
  <si>
    <t>Altamirano Ruiz</t>
  </si>
  <si>
    <t>16.940.511 - 5</t>
  </si>
  <si>
    <t>altamirano.ruiz.j@gmail.com</t>
  </si>
  <si>
    <t>Cumbres de Lantaño,Las Rosas 488, Torre B, Dpto 54,  Chillán</t>
  </si>
  <si>
    <t>Daniel Eduardo Aníbal</t>
  </si>
  <si>
    <t>Mora Fierro</t>
  </si>
  <si>
    <t>18.248.359 - 1</t>
  </si>
  <si>
    <t>chamy92_@hotmail.com</t>
  </si>
  <si>
    <t>Villa Domínicos, Psje San Vicente Ferrer 494 Chillán</t>
  </si>
  <si>
    <t>Aarón Esteban</t>
  </si>
  <si>
    <t>Flores Vega</t>
  </si>
  <si>
    <t>16.882.596 -6</t>
  </si>
  <si>
    <t>estebanfvega@gmail.com</t>
  </si>
  <si>
    <t>Anaís Antonella</t>
  </si>
  <si>
    <t>Salazar Muñoz</t>
  </si>
  <si>
    <t>22.608.627 - 7</t>
  </si>
  <si>
    <t>anais.salazar725@gmail.com</t>
  </si>
  <si>
    <t>Villa El Nevado 2, Pasaje Cerro Florido 22 Chillán</t>
  </si>
  <si>
    <t>Rosa Inés</t>
  </si>
  <si>
    <t>Ramírez Benavídes</t>
  </si>
  <si>
    <t>17.130.774 - 0</t>
  </si>
  <si>
    <t>rosairamirezb@gmail.com</t>
  </si>
  <si>
    <t>Conjunto habitacional Río Chillán. Camino Nuevo 1067, Chillán</t>
  </si>
  <si>
    <t>Krishna Isidora</t>
  </si>
  <si>
    <t>Cortés De la Fuente</t>
  </si>
  <si>
    <t>22.480..910 -7</t>
  </si>
  <si>
    <t>krisnnacortes2016@gmail.com</t>
  </si>
  <si>
    <t>Río viejo, villa los Alpes, pasaje 2 casa 820, Chillán</t>
  </si>
  <si>
    <t>Pastén Tillería</t>
  </si>
  <si>
    <t>22.410.133 –3</t>
  </si>
  <si>
    <t>mpastenquevedo@gmail.com</t>
  </si>
  <si>
    <t>Villa Creación, Holanda 157, Chillán.</t>
  </si>
  <si>
    <t>Cesar David</t>
  </si>
  <si>
    <t>Acuña García</t>
  </si>
  <si>
    <t>17.993.403 - 5</t>
  </si>
  <si>
    <t>cesar.acuna.garcia@gmail.com</t>
  </si>
  <si>
    <t>Villa Portal del Libertador, Juan Francisco ,Casa 73 Chillán</t>
  </si>
  <si>
    <t>Alviz Padilla</t>
  </si>
  <si>
    <t>18.431.534 -3</t>
  </si>
  <si>
    <t>camila.alviz93@gmail.com</t>
  </si>
  <si>
    <t>María Fernanda</t>
  </si>
  <si>
    <t>Aedo Chandía</t>
  </si>
  <si>
    <t>21.645.094 - 9</t>
  </si>
  <si>
    <t>mfaedoch@gmail.com</t>
  </si>
  <si>
    <t>Avda. Francia 330,Dp 5 Chillán</t>
  </si>
  <si>
    <t>David Ociel</t>
  </si>
  <si>
    <t>Peña Pinto</t>
  </si>
  <si>
    <t>15.876.950 - 6</t>
  </si>
  <si>
    <t>yamimaru50@gmail.com</t>
  </si>
  <si>
    <t>Población Lafuente, Eleuterio Ramírez 246 Chillán</t>
  </si>
  <si>
    <t>Abigail Salem</t>
  </si>
  <si>
    <t>Kruger Iturra</t>
  </si>
  <si>
    <t>19.094.763 - 7</t>
  </si>
  <si>
    <t>iturra.kruger@gmail.com</t>
  </si>
  <si>
    <t>Villa Doña Rosa, Psje Changaral 3753 Chillán</t>
  </si>
  <si>
    <t>Luis Eduardo</t>
  </si>
  <si>
    <t>Sánchez Molina</t>
  </si>
  <si>
    <t>09.656.771 –5</t>
  </si>
  <si>
    <t>eduardosanchezmolina55@gmail.com</t>
  </si>
  <si>
    <t>27 de Abril 337 Chillán</t>
  </si>
  <si>
    <t>Bárbara Mayary</t>
  </si>
  <si>
    <t>15098093-0</t>
  </si>
  <si>
    <t>angelmayary@hotmail.com</t>
  </si>
  <si>
    <t>Fernanda Angélica</t>
  </si>
  <si>
    <t>Cabrera Olate</t>
  </si>
  <si>
    <t>18.454.292 - 7</t>
  </si>
  <si>
    <t>Fernanda.angelica.co@gmail.com</t>
  </si>
  <si>
    <t>Vicente Maximiliano</t>
  </si>
  <si>
    <t>Vera Inostroza</t>
  </si>
  <si>
    <t>10.183.687 - 8</t>
  </si>
  <si>
    <t>vichomaxim656@gmail.com</t>
  </si>
  <si>
    <t>Pasaje Ruiz de Gamboa 683, Población Brasil Chillán</t>
  </si>
  <si>
    <t>Katherine Paulette</t>
  </si>
  <si>
    <t>López Saavedra</t>
  </si>
  <si>
    <t>17.955.839 -4</t>
  </si>
  <si>
    <t>matronalopez@gmail.com</t>
  </si>
  <si>
    <t>Sylvia del Carmen</t>
  </si>
  <si>
    <t>García González</t>
  </si>
  <si>
    <t>07.685.929 - 9</t>
  </si>
  <si>
    <t>sylviachochito@gmail.com</t>
  </si>
  <si>
    <t>Chaparro Arriagada</t>
  </si>
  <si>
    <t>06.136.908-2</t>
  </si>
  <si>
    <t>victoriacha@gmail.com</t>
  </si>
  <si>
    <t>Lesley Alejandra</t>
  </si>
  <si>
    <t>Cisterna Morales</t>
  </si>
  <si>
    <t>17.105.321 - 8</t>
  </si>
  <si>
    <t>cisternamoraleslesleyalejandra@gmail.com</t>
  </si>
  <si>
    <t>Villa Los Andes, Pasaje 7, casa 546 Chillán</t>
  </si>
  <si>
    <t>Alejandra Paola</t>
  </si>
  <si>
    <t>Calabacero Leyes</t>
  </si>
  <si>
    <t>17.655.892 -K</t>
  </si>
  <si>
    <t>alejandra.expeditoro@gmail.com</t>
  </si>
  <si>
    <t>Camino Parque Lantaño 765 Chillán</t>
  </si>
  <si>
    <t>Eduardo Andrés</t>
  </si>
  <si>
    <t>Montecinos Concha</t>
  </si>
  <si>
    <t>18.215.061 - 4</t>
  </si>
  <si>
    <t>eduardomonte98@gmail.com</t>
  </si>
  <si>
    <t>Villa San Cristóbal, Psje 4 Casa 226 Chillán</t>
  </si>
  <si>
    <t>17.748.087 -8</t>
  </si>
  <si>
    <t>Jessi.cisterna.morales@gmail.com</t>
  </si>
  <si>
    <t>María Filomena</t>
  </si>
  <si>
    <t>Kruger Arenas</t>
  </si>
  <si>
    <t>04.606.468 - 2</t>
  </si>
  <si>
    <t>marfil.mafalda@gmail.com</t>
  </si>
  <si>
    <t>Lidia Edita de las Mercedes</t>
  </si>
  <si>
    <t>Correa Soto</t>
  </si>
  <si>
    <t>07.359.468 - 5</t>
  </si>
  <si>
    <t>20 de Agosto 1138 Chillán Viejo</t>
  </si>
  <si>
    <t>Veloso Arriagada</t>
  </si>
  <si>
    <t>16.142.568 -0</t>
  </si>
  <si>
    <t>victoria.veloso@gmail.com</t>
  </si>
  <si>
    <t>Yoselyn Carol</t>
  </si>
  <si>
    <t>Soto Vásquez</t>
  </si>
  <si>
    <t>13.130.124 –3</t>
  </si>
  <si>
    <t>yosyta29@gmail.com</t>
  </si>
  <si>
    <t>Portal del Libertador 321 Chillán</t>
  </si>
  <si>
    <t>Rodrigo Sebastián</t>
  </si>
  <si>
    <t>Dinamarca Muñoz</t>
  </si>
  <si>
    <t>14.867.987 -6</t>
  </si>
  <si>
    <t>rodrigodinamarca@hotmail.com</t>
  </si>
  <si>
    <t>Sandra Eugenia</t>
  </si>
  <si>
    <t>Ojeda Rutte</t>
  </si>
  <si>
    <t>09.562.849 –4</t>
  </si>
  <si>
    <t>Manuel Montt 129 Chillán</t>
  </si>
  <si>
    <t>Silvia Soraya</t>
  </si>
  <si>
    <t>San Martín Riquelme</t>
  </si>
  <si>
    <t>09.520.760 -K</t>
  </si>
  <si>
    <t>San Juan 32, Villa San Esteban, Chillán Viejo</t>
  </si>
  <si>
    <t>Alicia Elizabeth</t>
  </si>
  <si>
    <t>Morales Figueroa</t>
  </si>
  <si>
    <t>12.319.801 -8</t>
  </si>
  <si>
    <t>Alicia.40morales@gmail.com</t>
  </si>
  <si>
    <t>Janett Patricia</t>
  </si>
  <si>
    <t>Landaeta Reyes</t>
  </si>
  <si>
    <t>7.973.284 - 2</t>
  </si>
  <si>
    <t>patricia.landaeta302@gmail.com</t>
  </si>
  <si>
    <t>Itata 984
Chillán</t>
  </si>
  <si>
    <t>San Martín Abarzua</t>
  </si>
  <si>
    <t>8.346.709 - 6</t>
  </si>
  <si>
    <t>maritesan_58@hotmail.com</t>
  </si>
  <si>
    <t>Villa Don Ramón, El Sauce 838 Chillán</t>
  </si>
  <si>
    <t>Doralisa</t>
  </si>
  <si>
    <t>Riquelme Franco</t>
  </si>
  <si>
    <t>05.960.282 –9</t>
  </si>
  <si>
    <t>Artesanos 100. Santa Elvira Chillán</t>
  </si>
  <si>
    <t>Graciela de las Mercedes</t>
  </si>
  <si>
    <t>Rivas Olate</t>
  </si>
  <si>
    <t>7.761.276 - 9</t>
  </si>
  <si>
    <t>Población Vicente Pérez Rosales, Santa Blanca 834 Chillán</t>
  </si>
  <si>
    <t>Filomena Rosa</t>
  </si>
  <si>
    <t>Alarcón Orellana</t>
  </si>
  <si>
    <t>02.678.795 - 5</t>
  </si>
  <si>
    <t>Villa Barcelona Psje Pirineos 2226 Chillan</t>
  </si>
  <si>
    <t>Coelemu</t>
  </si>
  <si>
    <t>Romina</t>
  </si>
  <si>
    <t>Zelada Romero</t>
  </si>
  <si>
    <t>17.756.191-6</t>
  </si>
  <si>
    <t>r.zelada.romero@gmail.com</t>
  </si>
  <si>
    <t>Los Aromos 565, Coelemu</t>
  </si>
  <si>
    <t>Ramona</t>
  </si>
  <si>
    <t>Romero Sepúlveda</t>
  </si>
  <si>
    <t>9.076.994-4</t>
  </si>
  <si>
    <t>monchyromeros@gmail.com</t>
  </si>
  <si>
    <t>Zelada Bustos</t>
  </si>
  <si>
    <t>8.656.167-0</t>
  </si>
  <si>
    <t>felipe.a.zelada.romero@gmail.com</t>
  </si>
  <si>
    <t>16.620.614-6</t>
  </si>
  <si>
    <t>aromos.565@gmail.com</t>
  </si>
  <si>
    <t>Molina Rojas</t>
  </si>
  <si>
    <t>8.220.013-4</t>
  </si>
  <si>
    <t>molinaximena350@gmail.com</t>
  </si>
  <si>
    <t>Guarilihue S/N, Coelemu</t>
  </si>
  <si>
    <t>Cifuentes Pedraza</t>
  </si>
  <si>
    <t>8.283.952-6</t>
  </si>
  <si>
    <t>Los Cipreses 46, Coelemu</t>
  </si>
  <si>
    <t>Engyhe</t>
  </si>
  <si>
    <t>García Hernández</t>
  </si>
  <si>
    <t>15.171.907-4</t>
  </si>
  <si>
    <t>Los Manzanos 435, Coelemu</t>
  </si>
  <si>
    <t>Fuentes Oviedo</t>
  </si>
  <si>
    <t>7.854.209-8</t>
  </si>
  <si>
    <t>Fdo. Quilteu, Coelemu</t>
  </si>
  <si>
    <t>Flor</t>
  </si>
  <si>
    <t>Zapata Cuadra</t>
  </si>
  <si>
    <t>6.935.011-9</t>
  </si>
  <si>
    <t>Los Ciruelos 214, Coelemu</t>
  </si>
  <si>
    <t>Marlene</t>
  </si>
  <si>
    <t>Ibáñez Plaza de los Reyes</t>
  </si>
  <si>
    <t>7.390.861-2</t>
  </si>
  <si>
    <t>Pedro León Gallo 915, Coelemu</t>
  </si>
  <si>
    <t>6.040.704-5</t>
  </si>
  <si>
    <t>Francisco Bilbao 43, Coelemu</t>
  </si>
  <si>
    <t>Collipulli</t>
  </si>
  <si>
    <t>Tamara Isidora</t>
  </si>
  <si>
    <t>Godoy Cofré</t>
  </si>
  <si>
    <t>20.977.455-0</t>
  </si>
  <si>
    <t>Isidora.91202@gmail.com</t>
  </si>
  <si>
    <t>Carrera 1271 Collipulli</t>
  </si>
  <si>
    <t>Gabriel Armando</t>
  </si>
  <si>
    <t>Campos Ortiz</t>
  </si>
  <si>
    <t>14.032.966-5</t>
  </si>
  <si>
    <t>ga.campos.ortiz@gmail.com</t>
  </si>
  <si>
    <t>Manuel Rodríguez Collipulli</t>
  </si>
  <si>
    <t>Romina Scarlet</t>
  </si>
  <si>
    <t>20.209.274-8</t>
  </si>
  <si>
    <t>Romina.scarlet27@gmail.com</t>
  </si>
  <si>
    <t>Rina Ester</t>
  </si>
  <si>
    <t>Silva González</t>
  </si>
  <si>
    <t>5.504.328-8</t>
  </si>
  <si>
    <t>Los Peumos 312 Collipulli</t>
  </si>
  <si>
    <t>Rosa Elena</t>
  </si>
  <si>
    <t>Beltrán Esparza</t>
  </si>
  <si>
    <t>16.602.955-4</t>
  </si>
  <si>
    <t>rositaelenabeltran11@gmail.com</t>
  </si>
  <si>
    <t>Alcázar S/N Collipulli</t>
  </si>
  <si>
    <t>Sabina Mabel</t>
  </si>
  <si>
    <t>Díaz López</t>
  </si>
  <si>
    <t>12-363.669-4</t>
  </si>
  <si>
    <t>sabmma@hotmail.com</t>
  </si>
  <si>
    <t>Bilbao N° 184 Collipulli</t>
  </si>
  <si>
    <t>Mónica Isabel</t>
  </si>
  <si>
    <t>Fernández Mena</t>
  </si>
  <si>
    <t>11.582.109-1</t>
  </si>
  <si>
    <t>monifer4@gmail.com</t>
  </si>
  <si>
    <t>O’Higgins 156 Collipulli</t>
  </si>
  <si>
    <t>Marco Antonio</t>
  </si>
  <si>
    <t>Flores Zambrano</t>
  </si>
  <si>
    <t>11.683.071-K</t>
  </si>
  <si>
    <t>alercemaf@gmail.com</t>
  </si>
  <si>
    <t>Cesalina de las Mercedes</t>
  </si>
  <si>
    <t>Gutiérrez Gutiérrez</t>
  </si>
  <si>
    <t>6.999.336-2</t>
  </si>
  <si>
    <t>Cesalina.2017@gmail.com</t>
  </si>
  <si>
    <t>Fuerte Curaco N° 14Collipulli</t>
  </si>
  <si>
    <t>María Georgina</t>
  </si>
  <si>
    <t>Abarzúa Sandoval</t>
  </si>
  <si>
    <t>4.958.793-7</t>
  </si>
  <si>
    <t>Av. Saavedra Sur Collipulli</t>
  </si>
  <si>
    <t>Elías Rodrigo</t>
  </si>
  <si>
    <t>10.370.386-7</t>
  </si>
  <si>
    <t>Eliascamposortiz9@gmail.com</t>
  </si>
  <si>
    <t>Argomedo /11 de  Sep.Collipulli</t>
  </si>
  <si>
    <t>Ortiz Sánchez</t>
  </si>
  <si>
    <t>5.940.407-5</t>
  </si>
  <si>
    <t>te.ortiz@live.com</t>
  </si>
  <si>
    <t>Argomedo N° 769 Collipulli</t>
  </si>
  <si>
    <t>Alicia Natalia Sonia</t>
  </si>
  <si>
    <t>Sepúlveda Bascur</t>
  </si>
  <si>
    <t>4.981.956-2</t>
  </si>
  <si>
    <t>Amunátegui N° 612Collipulli</t>
  </si>
  <si>
    <t>Magdalena del Carmen</t>
  </si>
  <si>
    <t>Rivas Inostroza</t>
  </si>
  <si>
    <t>12.985.665-3</t>
  </si>
  <si>
    <t>Campos Farías</t>
  </si>
  <si>
    <t>4.956.459-9</t>
  </si>
  <si>
    <t>Gabriela Mistral 471Collipulli</t>
  </si>
  <si>
    <t>Angélica María</t>
  </si>
  <si>
    <t>Riquelme Villa</t>
  </si>
  <si>
    <t>11.451.341-5</t>
  </si>
  <si>
    <t>angélica.riquelme01@gmail.com</t>
  </si>
  <si>
    <t>Los Alerces 5 Pob. Forestal. Collipulli</t>
  </si>
  <si>
    <t>María Águeda</t>
  </si>
  <si>
    <t>Balboa González</t>
  </si>
  <si>
    <t>4.956.959-9</t>
  </si>
  <si>
    <t>Pinto N° 299 Collipulli</t>
  </si>
  <si>
    <t>Miguel Cirilo</t>
  </si>
  <si>
    <t>Caro Jara</t>
  </si>
  <si>
    <t>10.240.554-4</t>
  </si>
  <si>
    <t>Miguel.caroj18@gmail.com</t>
  </si>
  <si>
    <t>Fuentealba Sepúlveda</t>
  </si>
  <si>
    <t>2.233.771-8</t>
  </si>
  <si>
    <t>Alcázar 1130 Collipulli</t>
  </si>
  <si>
    <t>Marta del Carmen</t>
  </si>
  <si>
    <t>Vidal Méndez</t>
  </si>
  <si>
    <t>4,232,055-2</t>
  </si>
  <si>
    <t>Lagunillas N° 602 Collipulli</t>
  </si>
  <si>
    <t>452-812387</t>
  </si>
  <si>
    <t>Mora Veloz</t>
  </si>
  <si>
    <t>6.528.250-K</t>
  </si>
  <si>
    <t>Nahuelbuta 1847 V. Pulmahue  Collipulli</t>
  </si>
  <si>
    <t>Jenny Noly</t>
  </si>
  <si>
    <t>Zumelzu Standen</t>
  </si>
  <si>
    <t>9.240.713-6</t>
  </si>
  <si>
    <t>gaygarcia@gmail.com</t>
  </si>
  <si>
    <t>Balmaceda 253 Collipulli</t>
  </si>
  <si>
    <t>Jimena Ernestina</t>
  </si>
  <si>
    <t>Péndola Morales</t>
  </si>
  <si>
    <t>9.020.521-8</t>
  </si>
  <si>
    <t>jimenapendola@gmail.com</t>
  </si>
  <si>
    <t>Saavedra Sur 1126Collipulli</t>
  </si>
  <si>
    <t>Ivi Gay Elizabeth</t>
  </si>
  <si>
    <t>9.237.377-0</t>
  </si>
  <si>
    <t>Campos Muñoz</t>
  </si>
  <si>
    <t>5.065.351-K</t>
  </si>
  <si>
    <t>José Horacio</t>
  </si>
  <si>
    <t>Cancino Garcés</t>
  </si>
  <si>
    <t>5.7606.83-5</t>
  </si>
  <si>
    <t>José Alberto</t>
  </si>
  <si>
    <t>Sobarzo Sandoval</t>
  </si>
  <si>
    <t>6.713367-6</t>
  </si>
  <si>
    <t>Felisa Del Carmen</t>
  </si>
  <si>
    <t xml:space="preserve">Grandón Grandón </t>
  </si>
  <si>
    <t>3.500.552-8</t>
  </si>
  <si>
    <t>Fuerte.Chiguahue.64Collipulli</t>
  </si>
  <si>
    <t>452-819029</t>
  </si>
  <si>
    <t>Concepción</t>
  </si>
  <si>
    <t>Consuelo Antonia</t>
  </si>
  <si>
    <t>Vergara Baeza</t>
  </si>
  <si>
    <t>23.554.212-9</t>
  </si>
  <si>
    <t>consuelo.vergara.ba0 @gmail.com</t>
  </si>
  <si>
    <t>Psje. 5 Casa #295 Padre Hurtado, Hualpén</t>
  </si>
  <si>
    <t>9935512 92</t>
  </si>
  <si>
    <t>Luis Antonio</t>
  </si>
  <si>
    <t>Acuña Mellado</t>
  </si>
  <si>
    <t>21.872.066-8</t>
  </si>
  <si>
    <t>lacunam2019@alumn os.ceat.cl</t>
  </si>
  <si>
    <t>Psje 5 Casa 3596, San Pedro de la Paz</t>
  </si>
  <si>
    <t>S/N</t>
  </si>
  <si>
    <t>Catalina Violeta</t>
  </si>
  <si>
    <t>Gallardo Carrasco</t>
  </si>
  <si>
    <t>21.861.652-6</t>
  </si>
  <si>
    <t>gallardocatalina939@g mail.com</t>
  </si>
  <si>
    <t>Psje. 115 #2958 San Pedro de la Costa, San Pedro de la Paz</t>
  </si>
  <si>
    <t>9866302 94</t>
  </si>
  <si>
    <t>Marcos Antonio</t>
  </si>
  <si>
    <t>Montoya Sepúlveda</t>
  </si>
  <si>
    <t>19.509.976-6</t>
  </si>
  <si>
    <t>m97montoya@gmail.c om</t>
  </si>
  <si>
    <t>Las Princesas, Psje 2 casa #1849, Concepción</t>
  </si>
  <si>
    <t>9516992 78</t>
  </si>
  <si>
    <t>Deyanira Escarlet</t>
  </si>
  <si>
    <t>20.514.395-5</t>
  </si>
  <si>
    <t>deyaniragallardo19@g mail.com</t>
  </si>
  <si>
    <t>9577468 68</t>
  </si>
  <si>
    <t>Pablo Cristóbal</t>
  </si>
  <si>
    <t>Flores Torres</t>
  </si>
  <si>
    <t>18.202.751-0</t>
  </si>
  <si>
    <t>pflorestorres9@gmail. com</t>
  </si>
  <si>
    <t>Las Araucarias 70 Depa 87-B, Chiguayant e</t>
  </si>
  <si>
    <t>9826900 99</t>
  </si>
  <si>
    <t>Sol Ignacia</t>
  </si>
  <si>
    <t>Aldana Luarte</t>
  </si>
  <si>
    <t>21.967.693-k</t>
  </si>
  <si>
    <t>luarte.solignacia@gma il,com</t>
  </si>
  <si>
    <t>Monseñor Mardones #325, Collao</t>
  </si>
  <si>
    <t>9723352 99</t>
  </si>
  <si>
    <t>Carlos Javier</t>
  </si>
  <si>
    <t>Palma Caro</t>
  </si>
  <si>
    <t>19.909.277-4</t>
  </si>
  <si>
    <t>carlo.palma2@virginio gomez.cl</t>
  </si>
  <si>
    <t>Psje. Copiapo #744, Candelaria, San Pedro de la Paz</t>
  </si>
  <si>
    <t>9648802 19</t>
  </si>
  <si>
    <t>Lukas Ismael</t>
  </si>
  <si>
    <t>Olmos Cariñanco</t>
  </si>
  <si>
    <t>21.890.975-5</t>
  </si>
  <si>
    <t>lukas.olmos@gmail.co m</t>
  </si>
  <si>
    <t>Andalue s/n, San</t>
  </si>
  <si>
    <t>9576619 58</t>
  </si>
  <si>
    <t>Paulina Noemi</t>
  </si>
  <si>
    <t>20.154.308-8</t>
  </si>
  <si>
    <t>paulinanoemi13@gma il.com</t>
  </si>
  <si>
    <t>9410048 75</t>
  </si>
  <si>
    <t>Vicente Nicolas</t>
  </si>
  <si>
    <t>Bustos Vergara</t>
  </si>
  <si>
    <t>21.998.188-0</t>
  </si>
  <si>
    <t>Psje. Alcantara #2293, Valle Noble, Concepción</t>
  </si>
  <si>
    <t>9874280 94</t>
  </si>
  <si>
    <t>Hurtado Jumbe</t>
  </si>
  <si>
    <t>27.899.285-3</t>
  </si>
  <si>
    <t>hurtadoaleja08@gmail .com</t>
  </si>
  <si>
    <t>Santa eresa de los andes #27, Lomas San Sebastían, Concepción</t>
  </si>
  <si>
    <t>9795755 31</t>
  </si>
  <si>
    <t>Danae Belén</t>
  </si>
  <si>
    <t>Ulloa Miranda</t>
  </si>
  <si>
    <t>21.449.703-4</t>
  </si>
  <si>
    <t>danaeulloamiranda25 @gmail.com</t>
  </si>
  <si>
    <t>Mallorca #1015, Aurora de Chile, Hualpén</t>
  </si>
  <si>
    <t>9847780 02</t>
  </si>
  <si>
    <t>Isidora Valentina</t>
  </si>
  <si>
    <t>Vivanco Urizar</t>
  </si>
  <si>
    <t>21.646.258-0</t>
  </si>
  <si>
    <t>i.vivanco.u@gmail.co m</t>
  </si>
  <si>
    <t>Maipu #1318 Depa 811, Concepción</t>
  </si>
  <si>
    <t>9343904 40</t>
  </si>
  <si>
    <t>Catalina Beatriz</t>
  </si>
  <si>
    <t>Araneda Troncoso</t>
  </si>
  <si>
    <t>21.945.314-0</t>
  </si>
  <si>
    <t>beatriztroncoso005@g mail.com</t>
  </si>
  <si>
    <t>Pasaje 12 casa 773 boca sur</t>
  </si>
  <si>
    <t>9915355 55</t>
  </si>
  <si>
    <t>Camilo Andrés</t>
  </si>
  <si>
    <t>Santander Santander</t>
  </si>
  <si>
    <t>16.766.431-8</t>
  </si>
  <si>
    <t>camilosantandertens @gmail.com</t>
  </si>
  <si>
    <t>Pasaje bello #97. Pedro de valdivia Concepción</t>
  </si>
  <si>
    <t>9712035 62</t>
  </si>
  <si>
    <t>Gloria Vanessa</t>
  </si>
  <si>
    <t>Parada Gonzalez</t>
  </si>
  <si>
    <t>17.896.636-9</t>
  </si>
  <si>
    <t>pg.gvanessa@gmail.co m</t>
  </si>
  <si>
    <t>13 de Abril #8, Concepción</t>
  </si>
  <si>
    <t>9760624 43</t>
  </si>
  <si>
    <t>Renata Antonia</t>
  </si>
  <si>
    <t>Matamala Araya</t>
  </si>
  <si>
    <t>21.230.511-1</t>
  </si>
  <si>
    <t>rena.araya.m@gmail.c om</t>
  </si>
  <si>
    <t>Caleuche #177 Concepción</t>
  </si>
  <si>
    <t>9584740 57</t>
  </si>
  <si>
    <t>Sebastián Andrés</t>
  </si>
  <si>
    <t>Barra Méndez</t>
  </si>
  <si>
    <t>19.533.332-7</t>
  </si>
  <si>
    <t>Centinella #489, Cerro Buena Vista, Talcahunao</t>
  </si>
  <si>
    <t>9504543 02</t>
  </si>
  <si>
    <t>Sebastián Vicente</t>
  </si>
  <si>
    <t>Crisóstomo Lagos</t>
  </si>
  <si>
    <t>21.285.108-6</t>
  </si>
  <si>
    <t>sebastiancrisostomol @gmail.com</t>
  </si>
  <si>
    <t>Domingo Carrera #356, Talcahuano</t>
  </si>
  <si>
    <t>9334611 42</t>
  </si>
  <si>
    <t>Jaime Hans</t>
  </si>
  <si>
    <t>Foreman Higuera</t>
  </si>
  <si>
    <t>21.216.524-7</t>
  </si>
  <si>
    <t>j.foreman4@udd.cl</t>
  </si>
  <si>
    <t>Suecia #2821, Hualpén</t>
  </si>
  <si>
    <t>9898382 62</t>
  </si>
  <si>
    <t>Valentina Edith</t>
  </si>
  <si>
    <t>Bouniot Mora</t>
  </si>
  <si>
    <t>21.694.138-1</t>
  </si>
  <si>
    <t>Valentinaebouniot@g mail.com</t>
  </si>
  <si>
    <t>Avenida gran Bretaña 2915</t>
  </si>
  <si>
    <t>9990820 22</t>
  </si>
  <si>
    <t>Borja Daniel</t>
  </si>
  <si>
    <t>Nuñez Méndez</t>
  </si>
  <si>
    <t>21.315.521-0</t>
  </si>
  <si>
    <t>bnunez2021@udec.cl</t>
  </si>
  <si>
    <t>Maqui 1465, Concepción</t>
  </si>
  <si>
    <t>9361118 15</t>
  </si>
  <si>
    <t>Daniela Andrea</t>
  </si>
  <si>
    <t>Elgueta Concha</t>
  </si>
  <si>
    <t>21.333.780-7</t>
  </si>
  <si>
    <t>andreadany.coel@gm ail.com</t>
  </si>
  <si>
    <t>Juan Martinez de Rosas #1565, Concepción</t>
  </si>
  <si>
    <t>9205088 86</t>
  </si>
  <si>
    <t>Catalina Alejandra</t>
  </si>
  <si>
    <t>Alarcon Jiménez</t>
  </si>
  <si>
    <t>21.090.849-8</t>
  </si>
  <si>
    <t>cata.trabajos1973@g mail.com</t>
  </si>
  <si>
    <t>3 poniente #6826, Pob Patricio Lynch, Talcahuano</t>
  </si>
  <si>
    <t>9638964 13</t>
  </si>
  <si>
    <t>Carolina Paz</t>
  </si>
  <si>
    <t>Carrasco Montero</t>
  </si>
  <si>
    <t>20.806.386-3</t>
  </si>
  <si>
    <t>carolina.carrasco1841 5@gmail.com</t>
  </si>
  <si>
    <t>Parcelación Monte Nido, lote 4, Panquehua S/N, Florida</t>
  </si>
  <si>
    <t>9508681 93</t>
  </si>
  <si>
    <t>Sebastián Ignacio</t>
  </si>
  <si>
    <t>Bernal Herrera</t>
  </si>
  <si>
    <t>20.750.927-2</t>
  </si>
  <si>
    <t>cibernal19@gmail.com</t>
  </si>
  <si>
    <t>Tucapel #731, Curanilahue</t>
  </si>
  <si>
    <t>9329061 56</t>
  </si>
  <si>
    <t>Amanda Antonia</t>
  </si>
  <si>
    <t>Rabanal Manríquez</t>
  </si>
  <si>
    <t>21.143.991-2</t>
  </si>
  <si>
    <t>amandantonia1@gmai l.com</t>
  </si>
  <si>
    <t>Porvenir #820 Block 2 Depa 409, Chiguayante</t>
  </si>
  <si>
    <t>9318060 13</t>
  </si>
  <si>
    <t>María Jesús</t>
  </si>
  <si>
    <t>21.142.328-5</t>
  </si>
  <si>
    <t>mvergarab23@gmail.c om</t>
  </si>
  <si>
    <t>9929435 04</t>
  </si>
  <si>
    <t>María Jose</t>
  </si>
  <si>
    <t>Ojeda Vasquez</t>
  </si>
  <si>
    <t>20.625.490-4</t>
  </si>
  <si>
    <t>coteojedavasquez@g mail.com</t>
  </si>
  <si>
    <t>Las Margaritas #5019, Pob Los Condores, Talcahuano</t>
  </si>
  <si>
    <t>9484223 23</t>
  </si>
  <si>
    <t>Carla Alejandra</t>
  </si>
  <si>
    <t>Fancelli Molina</t>
  </si>
  <si>
    <t>20.154.955-8</t>
  </si>
  <si>
    <t>carlastunners@gmail.c om</t>
  </si>
  <si>
    <t>Psje. 1 casa #630, Chiguayant e Sur</t>
  </si>
  <si>
    <t>9987083 14</t>
  </si>
  <si>
    <t>Javiera Rocío</t>
  </si>
  <si>
    <t>Peña Chandia</t>
  </si>
  <si>
    <t>20.487.381-7</t>
  </si>
  <si>
    <t>javierachandia.darwin @gmail.com</t>
  </si>
  <si>
    <t>Av Torreones Este #1731, Concepción</t>
  </si>
  <si>
    <t>9684326 36</t>
  </si>
  <si>
    <t>Román Silva</t>
  </si>
  <si>
    <t>20.487.183-3</t>
  </si>
  <si>
    <t>romansilvamariajose@ gmail.com</t>
  </si>
  <si>
    <t>Jardin de los Carmines #474, Lomas San Sebastían</t>
  </si>
  <si>
    <t>9749778 07</t>
  </si>
  <si>
    <t>Jeffrey Hernán</t>
  </si>
  <si>
    <t>Jarpa Badilla</t>
  </si>
  <si>
    <t>16.760.103-0</t>
  </si>
  <si>
    <t>Jeffrey.jarpa@gmail.co m</t>
  </si>
  <si>
    <t>Villa Universsita ria, Calle 1 casa 20, Camino a Penco</t>
  </si>
  <si>
    <t>9363561 06</t>
  </si>
  <si>
    <t>Isaac Hernán</t>
  </si>
  <si>
    <t>Ulloa Aceitón</t>
  </si>
  <si>
    <t>20.195.135-6</t>
  </si>
  <si>
    <t>ulloaisaacac@gmail.co m</t>
  </si>
  <si>
    <t>Psje. 1 #930 San Pedro de la Paz</t>
  </si>
  <si>
    <t>9620089 21</t>
  </si>
  <si>
    <t>Aline Diayanett</t>
  </si>
  <si>
    <t>Vilches Millar</t>
  </si>
  <si>
    <t>20.135.633-4</t>
  </si>
  <si>
    <t>avilchesmillar@gmail.c om</t>
  </si>
  <si>
    <t>Collao #430</t>
  </si>
  <si>
    <t>9614403 87</t>
  </si>
  <si>
    <t>Constanza Andree</t>
  </si>
  <si>
    <t>Frías Alucema</t>
  </si>
  <si>
    <t>20.411.313-0</t>
  </si>
  <si>
    <t>connie.andree.fa@gm ail.com</t>
  </si>
  <si>
    <t>Maipú 1339 dpto 1102 Concepción</t>
  </si>
  <si>
    <t>9458479 77</t>
  </si>
  <si>
    <t>Sofia Beatriz</t>
  </si>
  <si>
    <t>Ovando Matus</t>
  </si>
  <si>
    <t>20.256.964-1</t>
  </si>
  <si>
    <t>sofia.ovando99@gmail .com</t>
  </si>
  <si>
    <t>Av Rucalhue #765 Hualpén</t>
  </si>
  <si>
    <t>9866987 35</t>
  </si>
  <si>
    <t>Karen Alejandra</t>
  </si>
  <si>
    <t>Alister Seguel</t>
  </si>
  <si>
    <t>19.909.273-2</t>
  </si>
  <si>
    <t>kalister2018@udec.cl</t>
  </si>
  <si>
    <t>9613934 87</t>
  </si>
  <si>
    <t>Alexandra Andrea</t>
  </si>
  <si>
    <t>Jara Becerra</t>
  </si>
  <si>
    <t>20.258.126-9</t>
  </si>
  <si>
    <t>alexandra.jara.becerra @gmail.com</t>
  </si>
  <si>
    <t>Antofagast a #353, Higueras, Talcahuano</t>
  </si>
  <si>
    <t>9503305 81</t>
  </si>
  <si>
    <t>Oriana Mabel</t>
  </si>
  <si>
    <t>Pérez Huenchuman</t>
  </si>
  <si>
    <t>6.632.776-0</t>
  </si>
  <si>
    <t>oriana.mabe@gmail.c om</t>
  </si>
  <si>
    <t>Tercera Trasnversal #314 Lomas de San Andrés</t>
  </si>
  <si>
    <t>9644927 81</t>
  </si>
  <si>
    <t>Michelle Dominique</t>
  </si>
  <si>
    <t>Gastón Cid</t>
  </si>
  <si>
    <t>19.596.890-k</t>
  </si>
  <si>
    <t>mgastoncid@gmail.co m</t>
  </si>
  <si>
    <t>Cristóbal de Agurto 253, villa springhill, san Pedro de la paz</t>
  </si>
  <si>
    <t>9669152 41</t>
  </si>
  <si>
    <t>Francisca Valentina</t>
  </si>
  <si>
    <t>Zamora Risco</t>
  </si>
  <si>
    <t>18.452.172-5</t>
  </si>
  <si>
    <t>zamora.risco@gmail.c om</t>
  </si>
  <si>
    <t>Calle andalucia 761, la floresta 6, hualpen</t>
  </si>
  <si>
    <t>9689687 14</t>
  </si>
  <si>
    <t>Geremi Jhosue</t>
  </si>
  <si>
    <t>Alvares Cañizalez</t>
  </si>
  <si>
    <t>27.126.726-6</t>
  </si>
  <si>
    <t>dr.geremi.alvarez@gm ail,com</t>
  </si>
  <si>
    <t>María Magdalena</t>
  </si>
  <si>
    <t>Campos Hernandez</t>
  </si>
  <si>
    <t>9.142.115-1</t>
  </si>
  <si>
    <t>malencita.c.h@hotmai l.com</t>
  </si>
  <si>
    <t>Psje. Blanco Ibañez #2366, Concepción</t>
  </si>
  <si>
    <t>9849036 44</t>
  </si>
  <si>
    <t>Barbara Nicole</t>
  </si>
  <si>
    <t>Lillo Parra</t>
  </si>
  <si>
    <t>18.720.369-4</t>
  </si>
  <si>
    <t>Barbaralillomail@gmai l.com</t>
  </si>
  <si>
    <t>Tucapel 90, Concepción</t>
  </si>
  <si>
    <t>9867804 67</t>
  </si>
  <si>
    <t>Fuentes Villagra</t>
  </si>
  <si>
    <t>18.565.266-1</t>
  </si>
  <si>
    <t>camifernanda.fv@gma il.com</t>
  </si>
  <si>
    <t>Camilo Henriquez s/n</t>
  </si>
  <si>
    <t>9596566 71</t>
  </si>
  <si>
    <t>Ninette Marina</t>
  </si>
  <si>
    <t>Sepúlveda Molina</t>
  </si>
  <si>
    <t>5.260.495-8</t>
  </si>
  <si>
    <t>nestorborquez@hotm ail.com</t>
  </si>
  <si>
    <t>Los naranjos 4237 Villa San Martín. Talcahuano</t>
  </si>
  <si>
    <t>9651826 16</t>
  </si>
  <si>
    <t>Emmanuel Salomón</t>
  </si>
  <si>
    <t>16.764.886-k</t>
  </si>
  <si>
    <t>emmanuel.parada86@ gmail.com</t>
  </si>
  <si>
    <t>9897974 10</t>
  </si>
  <si>
    <t>Néstor Gary</t>
  </si>
  <si>
    <t>Bórquez Sepúlveda</t>
  </si>
  <si>
    <t>13.625.708-0</t>
  </si>
  <si>
    <t>Psje. Tubul #96 Condomini o Club Hipico, Hualpén</t>
  </si>
  <si>
    <t>9860979 02</t>
  </si>
  <si>
    <t>nestorborquez@hotmail.com</t>
  </si>
  <si>
    <t>Angela del Rosario</t>
  </si>
  <si>
    <t>Gonzalez Baeza</t>
  </si>
  <si>
    <t>15.943.979-8</t>
  </si>
  <si>
    <t>angela.gonzalez.baeza @gmail.com</t>
  </si>
  <si>
    <t>Los Nogales #105 Villa San Pedro, San Pedro de la Paz</t>
  </si>
  <si>
    <t>9713748 63</t>
  </si>
  <si>
    <t>Gabriela del Carmen</t>
  </si>
  <si>
    <t>Rojas Riffo</t>
  </si>
  <si>
    <t>5.554.317-8</t>
  </si>
  <si>
    <t>Psje. Torres #467, San</t>
  </si>
  <si>
    <t>9986342 70</t>
  </si>
  <si>
    <t>Fabiola Carolina</t>
  </si>
  <si>
    <t>Molina Parra</t>
  </si>
  <si>
    <t>14.352.360-8</t>
  </si>
  <si>
    <t>faby.molinaparra@gm ail.com</t>
  </si>
  <si>
    <t>Av. Portal San Pedro #7100 Cond, Campo Grande, San Pedro de la Paz</t>
  </si>
  <si>
    <t>9773674 96</t>
  </si>
  <si>
    <t>Marcela Soledad</t>
  </si>
  <si>
    <t>Hermosilla Vejar</t>
  </si>
  <si>
    <t>13.135.825-3</t>
  </si>
  <si>
    <t>mshv06@gmail.com</t>
  </si>
  <si>
    <t>Galpòn s/n, Ñipas</t>
  </si>
  <si>
    <t>9908924 92</t>
  </si>
  <si>
    <t>Rivera Jara</t>
  </si>
  <si>
    <t>6.073.440-2</t>
  </si>
  <si>
    <t>Av. Colon #8597, Talcahuano</t>
  </si>
  <si>
    <t>Luz Aurora</t>
  </si>
  <si>
    <t>Velásquez Fernández</t>
  </si>
  <si>
    <t>6.785.789-5</t>
  </si>
  <si>
    <t>Caleuche #513, Villa Huascar, Concepción</t>
  </si>
  <si>
    <t>María Angelica</t>
  </si>
  <si>
    <t>Lagos Reyes</t>
  </si>
  <si>
    <t>7.754.138-1</t>
  </si>
  <si>
    <t>mariangelicalagos@g mail.com</t>
  </si>
  <si>
    <t>Paula Pineda #1933, Concepción</t>
  </si>
  <si>
    <t>9986829 90</t>
  </si>
  <si>
    <t>Silvia Mafalda</t>
  </si>
  <si>
    <t>Sepúlveda Rebolledo</t>
  </si>
  <si>
    <t>6.988.681-7</t>
  </si>
  <si>
    <t>Corral #8082 Lan C, Hualpén</t>
  </si>
  <si>
    <t>Marisol Alejandra</t>
  </si>
  <si>
    <t>Jiménez Lillo</t>
  </si>
  <si>
    <t>12.381.323-5</t>
  </si>
  <si>
    <t>alejimenezlillo@hotma il.com</t>
  </si>
  <si>
    <t>9793789 91</t>
  </si>
  <si>
    <t>Yessa Marisol</t>
  </si>
  <si>
    <t>Ferreira Alvear</t>
  </si>
  <si>
    <t>11.242.164-5</t>
  </si>
  <si>
    <t>yferreira14a@gmail.co m</t>
  </si>
  <si>
    <t xml:space="preserve">Av. Las Margaritas #1756 casa 168, huertos familiares,San Pedro  de la Paz
</t>
  </si>
  <si>
    <t>9881808 40</t>
  </si>
  <si>
    <t>Nancy Margot</t>
  </si>
  <si>
    <t>Delgadillo Contreras</t>
  </si>
  <si>
    <t>6.646.845-3</t>
  </si>
  <si>
    <t>nancymargot57@gmai l.com</t>
  </si>
  <si>
    <t>Manuel Galindo #276 Villa Los Canelos, San Pedro de la Paz</t>
  </si>
  <si>
    <t>9898752 18</t>
  </si>
  <si>
    <t>Celestina</t>
  </si>
  <si>
    <t>Mendoza Vergara</t>
  </si>
  <si>
    <t>2.542.238-4</t>
  </si>
  <si>
    <t>Fresia #2571, Pob. Armando Alarcón del canto, Talcahuano .</t>
  </si>
  <si>
    <t>Carlos Alberto</t>
  </si>
  <si>
    <t>Araneda Carrasco</t>
  </si>
  <si>
    <t>8.415.035-5</t>
  </si>
  <si>
    <t>carlitoaranedac@hot mail.es</t>
  </si>
  <si>
    <t>Edmundo Larenas #650, concepción</t>
  </si>
  <si>
    <t>Cecilia Gloria</t>
  </si>
  <si>
    <t>Gonzalez Arriagada</t>
  </si>
  <si>
    <t>10.485.588-1</t>
  </si>
  <si>
    <t>ceciliagonzalezarriagad a87@gmail.com</t>
  </si>
  <si>
    <t>9762895 26</t>
  </si>
  <si>
    <t>Patricio Alejandro</t>
  </si>
  <si>
    <t>Zambrano Asencio</t>
  </si>
  <si>
    <t>10.824.533-6</t>
  </si>
  <si>
    <t>pzambrano@mmddco ncepcion.cl</t>
  </si>
  <si>
    <t>Abdon Cifuentes #1236, Villa Universidad de Concepción ,Concepción</t>
  </si>
  <si>
    <t>9825782 73</t>
  </si>
  <si>
    <t>Jeannette del Carme</t>
  </si>
  <si>
    <t>Matus Leal</t>
  </si>
  <si>
    <t>9.173.167-3</t>
  </si>
  <si>
    <t>jeamalal@gmail.com</t>
  </si>
  <si>
    <t>Chonchi #8606 Lan B. Hualpén</t>
  </si>
  <si>
    <t>9787985 86</t>
  </si>
  <si>
    <t>Juana del Rosario</t>
  </si>
  <si>
    <t>Arroyo Aguilera</t>
  </si>
  <si>
    <t>11.212.467-5</t>
  </si>
  <si>
    <t>Psje 1 Casa #75 Condomini o Nonguen, Villa Nonguen</t>
  </si>
  <si>
    <t>Lucy Eliana</t>
  </si>
  <si>
    <t>Burgos Chamblas</t>
  </si>
  <si>
    <t>10.040.711-6</t>
  </si>
  <si>
    <t>teatrodelvallenonguen @gmail.com</t>
  </si>
  <si>
    <t>Camino del Valle Nonguen Km5,2, Concepción</t>
  </si>
  <si>
    <t>9440166 06</t>
  </si>
  <si>
    <t>Lizette Carmen</t>
  </si>
  <si>
    <t>Ulloa Rojas</t>
  </si>
  <si>
    <t>9.203.638-3</t>
  </si>
  <si>
    <t>lizzettulloarojas@gmai l.com</t>
  </si>
  <si>
    <t>Parque Nacional Villarrica #6836, Bosques de San Pedro, San Pedro de la Paz</t>
  </si>
  <si>
    <t>9858888 91</t>
  </si>
  <si>
    <t>Luisa Marisol</t>
  </si>
  <si>
    <t>Carrillo Molina</t>
  </si>
  <si>
    <t>8.232.128-4</t>
  </si>
  <si>
    <t>lmarisolcarrillo@gmail. com</t>
  </si>
  <si>
    <t>Juan Enrique de Novoa #32, Villa San Pedro, San Pedro de la Paz</t>
  </si>
  <si>
    <t>9623792 01</t>
  </si>
  <si>
    <t>María Eliana</t>
  </si>
  <si>
    <t>Ravanal Araya</t>
  </si>
  <si>
    <t>3.119.087-8</t>
  </si>
  <si>
    <t>Balmaceda #280, Villa Cap, Concepción</t>
  </si>
  <si>
    <t>Fabián Nemesio Eduardo</t>
  </si>
  <si>
    <t>Domínguez Ramírez</t>
  </si>
  <si>
    <t>8.080.022-3</t>
  </si>
  <si>
    <t>publiok@gmail.com</t>
  </si>
  <si>
    <t>Av. Colón #8012 Depa 44, Hualpén</t>
  </si>
  <si>
    <t>9996208 35</t>
  </si>
  <si>
    <t>Ana Luisa</t>
  </si>
  <si>
    <t>Paillama Trangulado</t>
  </si>
  <si>
    <t>5.654.116-4</t>
  </si>
  <si>
    <t>Psje. Luis Durand #8861, Hualpén</t>
  </si>
  <si>
    <t>Cid Contreras</t>
  </si>
  <si>
    <t>6.705.110-6</t>
  </si>
  <si>
    <t>sonia_cid_contreras@ hotmail.com</t>
  </si>
  <si>
    <t>Av. Alemania #3979, Hulpén</t>
  </si>
  <si>
    <t>9817488 06</t>
  </si>
  <si>
    <t>Urrutia Acevedo</t>
  </si>
  <si>
    <t>7.270.609-9</t>
  </si>
  <si>
    <t>carmenurrutia59@gm ail.com</t>
  </si>
  <si>
    <t>Psje. Los Laureles #311 Candelaria, San Pedro de la Paz</t>
  </si>
  <si>
    <t>9904743 84</t>
  </si>
  <si>
    <t>Matilde Isaura</t>
  </si>
  <si>
    <t>Cabrera de la Torre</t>
  </si>
  <si>
    <t>6.624.378-8</t>
  </si>
  <si>
    <t>Maipu 1929 Casa 7, Concepción</t>
  </si>
  <si>
    <t>9941165 57</t>
  </si>
  <si>
    <t>María Antonieta</t>
  </si>
  <si>
    <t>Calderón</t>
  </si>
  <si>
    <t>3.887.100-5</t>
  </si>
  <si>
    <t>Chorrillos #1319, Barrio Universitari o, Concepción</t>
  </si>
  <si>
    <t>9637356 15</t>
  </si>
  <si>
    <t>Concón</t>
  </si>
  <si>
    <t>Ignacio Antonio</t>
  </si>
  <si>
    <t>Mora Olmos</t>
  </si>
  <si>
    <t>23.116.997-0</t>
  </si>
  <si>
    <t>moranaccho@gmail.com</t>
  </si>
  <si>
    <t>Sofia Belen</t>
  </si>
  <si>
    <t>Cardenas Valenzuela</t>
  </si>
  <si>
    <t>22.290.715-2</t>
  </si>
  <si>
    <t>justdami an428@gmail.com</t>
  </si>
  <si>
    <t xml:space="preserve">Alexandra Belen </t>
  </si>
  <si>
    <t>Vergara Venegas</t>
  </si>
  <si>
    <t>20.919.583-6</t>
  </si>
  <si>
    <t>alexandravn 7@gmail.co m</t>
  </si>
  <si>
    <t>Carolina De Los Ángeles</t>
  </si>
  <si>
    <t>Crisóstomo Carreño</t>
  </si>
  <si>
    <t>14.604.195-7</t>
  </si>
  <si>
    <t>karitto2@g mail.com</t>
  </si>
  <si>
    <t>Nélida Mananet</t>
  </si>
  <si>
    <t>Terraza Tapia</t>
  </si>
  <si>
    <t>20.185.262-5</t>
  </si>
  <si>
    <t>Diego Elias</t>
  </si>
  <si>
    <t>Peña Salas</t>
  </si>
  <si>
    <t>18.807.819-2</t>
  </si>
  <si>
    <t>zxacsd@hot mail.com</t>
  </si>
  <si>
    <t>Nicolas Andres</t>
  </si>
  <si>
    <t>21.280.237-9</t>
  </si>
  <si>
    <t>licomora21@gmail.com</t>
  </si>
  <si>
    <t>Paulina Viviana</t>
  </si>
  <si>
    <t>Garrido Pino</t>
  </si>
  <si>
    <t>20.182.059-6</t>
  </si>
  <si>
    <t>paulinagarrido@gmail.com</t>
  </si>
  <si>
    <t xml:space="preserve">Camila Fernanda </t>
  </si>
  <si>
    <t>Campos Sanllehi</t>
  </si>
  <si>
    <t>19.246.087-5</t>
  </si>
  <si>
    <t>c.campossa nllehi@gma il.com</t>
  </si>
  <si>
    <t>Sofia Simonne</t>
  </si>
  <si>
    <t>Gonzalez Toro</t>
  </si>
  <si>
    <t>20.013.902-K</t>
  </si>
  <si>
    <t>simonne.gonzalez.toro@gmail.com</t>
  </si>
  <si>
    <t>Clara Luz</t>
  </si>
  <si>
    <t>Marín Cancino</t>
  </si>
  <si>
    <t>6.892.361 -1</t>
  </si>
  <si>
    <t>karinfuentesmarin@gmail.com</t>
  </si>
  <si>
    <t>Rebeca Benilde</t>
  </si>
  <si>
    <t>Gallardo Toro</t>
  </si>
  <si>
    <t>7.323.941 -9</t>
  </si>
  <si>
    <t>keka_bg t@hotmail.com</t>
  </si>
  <si>
    <t>Nelly Del Carmen</t>
  </si>
  <si>
    <t>Rodriguez Jimenez</t>
  </si>
  <si>
    <t>7.522.230 -0</t>
  </si>
  <si>
    <t>nellyrodriguez19552019@gmail.com</t>
  </si>
  <si>
    <t>Miguel Alberto</t>
  </si>
  <si>
    <t>Vicencio Vásquez</t>
  </si>
  <si>
    <t>9.236.591 -3</t>
  </si>
  <si>
    <t>miguel.vicenciovasquez@gmail.com</t>
  </si>
  <si>
    <t xml:space="preserve">Elizabeth Paulina </t>
  </si>
  <si>
    <t>Salas Olave</t>
  </si>
  <si>
    <t>9.396.304-0</t>
  </si>
  <si>
    <t>elizabeth.ea gle@gmail.c om</t>
  </si>
  <si>
    <t>Maribel Del Carmen</t>
  </si>
  <si>
    <t>Torres Zamora</t>
  </si>
  <si>
    <t>11.401.856-2</t>
  </si>
  <si>
    <t>maribeltorreszamora.cv@gmail. com</t>
  </si>
  <si>
    <t>Alicia Del Rosario</t>
  </si>
  <si>
    <t>Carreño Santana</t>
  </si>
  <si>
    <t>6.687.543 -1</t>
  </si>
  <si>
    <t>karitto2@gmail.com</t>
  </si>
  <si>
    <t>Isabel Veronica</t>
  </si>
  <si>
    <t>Olmos Alvarez</t>
  </si>
  <si>
    <t>12.623.038-9</t>
  </si>
  <si>
    <t>Andrea Tatiana</t>
  </si>
  <si>
    <t>Paniagua Cornejo</t>
  </si>
  <si>
    <t>8.472.697-4</t>
  </si>
  <si>
    <t>andreapania@gmail.com</t>
  </si>
  <si>
    <t>Efren Andrés</t>
  </si>
  <si>
    <t>Figueroa Jimenez</t>
  </si>
  <si>
    <t>25.926.157-0</t>
  </si>
  <si>
    <t>efrenfiguera@gmail.com</t>
  </si>
  <si>
    <t>Victoria De Las Mercedes</t>
  </si>
  <si>
    <t>Leiva Maldonado</t>
  </si>
  <si>
    <t>8.203.135-9</t>
  </si>
  <si>
    <t>victorial.eivamal.donado@gmail.com</t>
  </si>
  <si>
    <t>Juan Gastón</t>
  </si>
  <si>
    <t>Crisóstomo Vásquez</t>
  </si>
  <si>
    <t>6.166.043 -7</t>
  </si>
  <si>
    <t>Copiapó</t>
  </si>
  <si>
    <t>Paula Monserrat</t>
  </si>
  <si>
    <t>Dorador Alvarez</t>
  </si>
  <si>
    <t>22.980.400-6</t>
  </si>
  <si>
    <t>Sofía Belén</t>
  </si>
  <si>
    <t>Naranjo Ángel</t>
  </si>
  <si>
    <t>22.240.502-5</t>
  </si>
  <si>
    <t>sofibelen.naranjo@gmail.com</t>
  </si>
  <si>
    <t>Melanie</t>
  </si>
  <si>
    <t>Escalera Olivares</t>
  </si>
  <si>
    <t>19.911.501-4</t>
  </si>
  <si>
    <t>melanie.escalera.olivares@gmail.com</t>
  </si>
  <si>
    <t>Camila Andrea</t>
  </si>
  <si>
    <t>Fierro Rojas</t>
  </si>
  <si>
    <t>21.488.170-5</t>
  </si>
  <si>
    <t>camila1hcn@gmail.co m</t>
  </si>
  <si>
    <t>Kevin Angelo Dylan</t>
  </si>
  <si>
    <t>Kooz Olivares</t>
  </si>
  <si>
    <t>20.993.235-0</t>
  </si>
  <si>
    <t>kevin.cooz54@gmail.com</t>
  </si>
  <si>
    <t>Alba Daniela</t>
  </si>
  <si>
    <t>Rivera Herrera</t>
  </si>
  <si>
    <t>20.776.456-6</t>
  </si>
  <si>
    <t>aba.herrera.20@alumnouda.cl</t>
  </si>
  <si>
    <t>Condori Huanca</t>
  </si>
  <si>
    <t>26.760.012-0</t>
  </si>
  <si>
    <t>condorip577@gmail.com</t>
  </si>
  <si>
    <t>Patricia Valentina</t>
  </si>
  <si>
    <t>Menoni Torrealba</t>
  </si>
  <si>
    <t>28.212.427-0</t>
  </si>
  <si>
    <t>patymenoni21@gmail. com</t>
  </si>
  <si>
    <t>Dayana Margarita</t>
  </si>
  <si>
    <t>Araya Vergara</t>
  </si>
  <si>
    <t>15.695.738-0</t>
  </si>
  <si>
    <t>dayana.araya.vergara@gmail.com</t>
  </si>
  <si>
    <t>Contanza Andrea</t>
  </si>
  <si>
    <t>Catrilef Escobar</t>
  </si>
  <si>
    <t>18.845.569-7</t>
  </si>
  <si>
    <t>catrilef.94@gmail.co m</t>
  </si>
  <si>
    <t>Mauricio Alexis</t>
  </si>
  <si>
    <t>Olmos Arenas</t>
  </si>
  <si>
    <t>18.136.210-3</t>
  </si>
  <si>
    <t>Villegas Patiño</t>
  </si>
  <si>
    <t>12.841.325-1</t>
  </si>
  <si>
    <t>marcovillegas@gmail.com</t>
  </si>
  <si>
    <t>Rosa Eliana</t>
  </si>
  <si>
    <t>13.422.446-0</t>
  </si>
  <si>
    <t>rosaearaya v@gmail.com</t>
  </si>
  <si>
    <t>Felixia Edith</t>
  </si>
  <si>
    <t>Alvarez Alfaro</t>
  </si>
  <si>
    <t>16.258.286-0</t>
  </si>
  <si>
    <t>felixia.alvarez@gmail.c om</t>
  </si>
  <si>
    <t>Selva Cruz</t>
  </si>
  <si>
    <t>Arredondo Enriquez</t>
  </si>
  <si>
    <t>15.733.800-5</t>
  </si>
  <si>
    <t>Susana Leticita Catalina</t>
  </si>
  <si>
    <t>Olmedo Salas</t>
  </si>
  <si>
    <t>15.356.512-0</t>
  </si>
  <si>
    <t>Ana Amalia</t>
  </si>
  <si>
    <t>Valenzuela Santibañez</t>
  </si>
  <si>
    <t>4.580.758-4</t>
  </si>
  <si>
    <t>anyvalenzuelasanti@gmail.com</t>
  </si>
  <si>
    <t>Borgoño Pasaje 1 – 730 Copiapó</t>
  </si>
  <si>
    <t>9964 0891</t>
  </si>
  <si>
    <t>Sandra Jacqueline</t>
  </si>
  <si>
    <t>Jeria Rojas</t>
  </si>
  <si>
    <t>13.175.732-8</t>
  </si>
  <si>
    <t>sjeria1977@gmail.co m</t>
  </si>
  <si>
    <t>Rosemarie</t>
  </si>
  <si>
    <t>Vergara Astorga</t>
  </si>
  <si>
    <t>6.765.300-9</t>
  </si>
  <si>
    <t>vergara.ros emarie@g mail.com</t>
  </si>
  <si>
    <t>Salar de Pedernales 2645 Copiapó</t>
  </si>
  <si>
    <t>Godoy Zuleta</t>
  </si>
  <si>
    <t>8.592.841-4</t>
  </si>
  <si>
    <t>bgodoyzuleta@gmail.com</t>
  </si>
  <si>
    <t>Carlos Condell 2166 Copiapó</t>
  </si>
  <si>
    <t>Alfaro Olivares</t>
  </si>
  <si>
    <t>7.060.042-0</t>
  </si>
  <si>
    <t>elianalfaro1957@gm}ail.com</t>
  </si>
  <si>
    <t>Cecilia Elizabeth</t>
  </si>
  <si>
    <t>Alvarez Osorio</t>
  </si>
  <si>
    <t>12.617.734-8</t>
  </si>
  <si>
    <t>ceao 1974@hotmail.com</t>
  </si>
  <si>
    <t>Erika Yesenia</t>
  </si>
  <si>
    <t>Rodríguez Huertas</t>
  </si>
  <si>
    <t>26.166.734-7</t>
  </si>
  <si>
    <t>eriyeserh@gmail.com</t>
  </si>
  <si>
    <t>Glenys Ximena</t>
  </si>
  <si>
    <t>Araya Arrocet</t>
  </si>
  <si>
    <t>10.618.293-0</t>
  </si>
  <si>
    <t>Adelaila Jesús</t>
  </si>
  <si>
    <t>Del Carpio Rosales</t>
  </si>
  <si>
    <t>14.648.728-9</t>
  </si>
  <si>
    <t>Adelaidadelcarpio2@gmail.com</t>
  </si>
  <si>
    <t>Lucia</t>
  </si>
  <si>
    <t>Conza Quispe</t>
  </si>
  <si>
    <t>23.973.984-9</t>
  </si>
  <si>
    <t>luciaperu01@gmail.com</t>
  </si>
  <si>
    <t>Coquimbo</t>
  </si>
  <si>
    <t>Nashmia</t>
  </si>
  <si>
    <t>Alfaro Ulloa</t>
  </si>
  <si>
    <t>21.013.891-9</t>
  </si>
  <si>
    <t>c. jose maría caro 1627, villa talinay, coquimbo</t>
  </si>
  <si>
    <t>Andres</t>
  </si>
  <si>
    <t>Flores Saavedra</t>
  </si>
  <si>
    <t>18.922.908-9</t>
  </si>
  <si>
    <t>andresnicolasalberto@gmail.com</t>
  </si>
  <si>
    <t>Venezuela 149, san juan, Coquimbo</t>
  </si>
  <si>
    <t>Amparo</t>
  </si>
  <si>
    <t>Darros Pino</t>
  </si>
  <si>
    <t>19.949.160-1</t>
  </si>
  <si>
    <t>Zayra</t>
  </si>
  <si>
    <t>Chávez Bustamante</t>
  </si>
  <si>
    <t>22.535.492-8</t>
  </si>
  <si>
    <t>Observatorio Gemini sur 2316 el sauce, Coquimbo</t>
  </si>
  <si>
    <t>Nicolas</t>
  </si>
  <si>
    <t>Montalvan Castillo</t>
  </si>
  <si>
    <t>21.838.996-1</t>
  </si>
  <si>
    <t>Sayuri</t>
  </si>
  <si>
    <t>Burgos Buitron</t>
  </si>
  <si>
    <t>24.979.057-5</t>
  </si>
  <si>
    <t>Mariela</t>
  </si>
  <si>
    <t>21.772.411-2</t>
  </si>
  <si>
    <t>Karina</t>
  </si>
  <si>
    <t>Leyton Calderon</t>
  </si>
  <si>
    <t>20.985.898-3</t>
  </si>
  <si>
    <t>Pje agustina alvares 1343, villa el sauce, Coquimbo</t>
  </si>
  <si>
    <t>Herrera Olivares</t>
  </si>
  <si>
    <t>18.923.334-5</t>
  </si>
  <si>
    <t>Melgarejo 1644, coquimbo</t>
  </si>
  <si>
    <t>Carol</t>
  </si>
  <si>
    <t>Medina Figueroa</t>
  </si>
  <si>
    <t>13.077.677-9</t>
  </si>
  <si>
    <t>Pje c. Jorge medina3265, villa talinay, Coquimbo</t>
  </si>
  <si>
    <t>Cristina</t>
  </si>
  <si>
    <t>Cortes Muñoz</t>
  </si>
  <si>
    <t>6.93.558-7</t>
  </si>
  <si>
    <t>Alrringo Alcayaga</t>
  </si>
  <si>
    <t>16.054.653-0</t>
  </si>
  <si>
    <t>Las margaritas 684 sindempart, Coquimbo</t>
  </si>
  <si>
    <t>Fernando</t>
  </si>
  <si>
    <t>Gonzalez Godoy</t>
  </si>
  <si>
    <t>12.210.967-4</t>
  </si>
  <si>
    <t>Segovia Castillo</t>
  </si>
  <si>
    <t>6.256.992-1</t>
  </si>
  <si>
    <t>Veruska</t>
  </si>
  <si>
    <t>Rodriguez Guerrero</t>
  </si>
  <si>
    <t>10.901.848-1</t>
  </si>
  <si>
    <t>Lauribis</t>
  </si>
  <si>
    <t>Britos Machuca</t>
  </si>
  <si>
    <t>41.206.230-2</t>
  </si>
  <si>
    <t>Alfonso quintero 1340, eugenio marzal, Coquimbo</t>
  </si>
  <si>
    <t>Herminda</t>
  </si>
  <si>
    <t>Godoy Ardiles</t>
  </si>
  <si>
    <t>6.736.748-0</t>
  </si>
  <si>
    <t>Patricio Lynch 527</t>
  </si>
  <si>
    <t>Magaly</t>
  </si>
  <si>
    <t>Saavedra Robles</t>
  </si>
  <si>
    <t>7.911.832-K</t>
  </si>
  <si>
    <t>Sin correo</t>
  </si>
  <si>
    <t>Wilma</t>
  </si>
  <si>
    <t>Cornejos Vega</t>
  </si>
  <si>
    <t>9.953.353-6</t>
  </si>
  <si>
    <t>Miguel</t>
  </si>
  <si>
    <t>Burgos Morales</t>
  </si>
  <si>
    <t>6.434.350-5</t>
  </si>
  <si>
    <t>miburgos1952@gmail.com</t>
  </si>
  <si>
    <t>Pje fresia 9 fosfato
Coquimbo</t>
  </si>
  <si>
    <t>9 93126735</t>
  </si>
  <si>
    <t>Lenny</t>
  </si>
  <si>
    <t>Mühlenbrock Gutierrez</t>
  </si>
  <si>
    <t>5.588.269-K</t>
  </si>
  <si>
    <t>Padre Guillermo Sternhof 691 sindempart, coquimbo</t>
  </si>
  <si>
    <t>Rojas Gonzalez</t>
  </si>
  <si>
    <t>9.652.465-K</t>
  </si>
  <si>
    <t>Pje Luis campos maluenda 256, sindempart, Coquimbo</t>
  </si>
  <si>
    <t>Karime</t>
  </si>
  <si>
    <t>Pastenes Alfaro</t>
  </si>
  <si>
    <t>9.515.664-9</t>
  </si>
  <si>
    <t>Sara</t>
  </si>
  <si>
    <t>Rios Alarcon</t>
  </si>
  <si>
    <t>5.382.161-8</t>
  </si>
  <si>
    <t>sara.18.rios.49@gmail.com</t>
  </si>
  <si>
    <t>Parque magallanes 1461, bosque san Carlos
Coquimbo</t>
  </si>
  <si>
    <t>Guerra Serrano</t>
  </si>
  <si>
    <t>6.054.926-5</t>
  </si>
  <si>
    <t>Ramon</t>
  </si>
  <si>
    <t>Hiriarte Segura</t>
  </si>
  <si>
    <t>4.326.860-0</t>
  </si>
  <si>
    <t>Lagos roselot 1346, bosque san Carlos, coquimbo</t>
  </si>
  <si>
    <t>Alcayaga Nuñez</t>
  </si>
  <si>
    <t>6.815.106-6</t>
  </si>
  <si>
    <t>Cordillera</t>
  </si>
  <si>
    <t>Cecilia De Lourdes</t>
  </si>
  <si>
    <t>Gonzàlez Moraga</t>
  </si>
  <si>
    <t>8.236.724-1</t>
  </si>
  <si>
    <t>cecilia.igaelec@gmail.com</t>
  </si>
  <si>
    <t>Chaparro 221 C Cordillera Valparaìso</t>
  </si>
  <si>
    <t>Viviana Andrea</t>
  </si>
  <si>
    <t>Guajardo Varas</t>
  </si>
  <si>
    <t>16.201.511-7</t>
  </si>
  <si>
    <t>viviana.guajardo.varas@gmail.com</t>
  </si>
  <si>
    <t>Chaparro 217 C Cordillera Valparaìso</t>
  </si>
  <si>
    <t>Priscilla Elizabeth</t>
  </si>
  <si>
    <t>Delgado Pincheira</t>
  </si>
  <si>
    <t>21.634.540-1</t>
  </si>
  <si>
    <t>prisielizabeth0508@gmail.com</t>
  </si>
  <si>
    <t>Las Maravillas 15 Santa Julia Viña Del mar</t>
  </si>
  <si>
    <t>Yeraldin Denisse</t>
  </si>
  <si>
    <t>Aguilera Campusano</t>
  </si>
  <si>
    <t>21.141.205-4</t>
  </si>
  <si>
    <t>yeraldinaguilera02@gmail.com</t>
  </si>
  <si>
    <t>Calle 5 b Block 170 Dpto 11 Quilpué</t>
  </si>
  <si>
    <t>Eduardo Antonio</t>
  </si>
  <si>
    <t>Contreras Escudero</t>
  </si>
  <si>
    <t>19.469.719-8</t>
  </si>
  <si>
    <t>e.contrerasesdescudero.a@gmail.com</t>
  </si>
  <si>
    <t>Gumercindo Dîaz 219 C Cordillera Valparaìso</t>
  </si>
  <si>
    <t>Blanca Lidia</t>
  </si>
  <si>
    <t>Fuentes Aedo</t>
  </si>
  <si>
    <t>7.604.350-7</t>
  </si>
  <si>
    <t>lidiaaedofuentes@gmail.com</t>
  </si>
  <si>
    <t>Calle Mozart 1410 Block 17 depto 303 Aguas de la Foresta Villa Alemana</t>
  </si>
  <si>
    <t>Silvia Rosa</t>
  </si>
  <si>
    <t>Brito Lucero</t>
  </si>
  <si>
    <t>3.098.190-1</t>
  </si>
  <si>
    <t>claudiadeviac@gmail.com</t>
  </si>
  <si>
    <t>pasaje 18 C Cordillera Valparaiso</t>
  </si>
  <si>
    <t>Elsa Del Carmen</t>
  </si>
  <si>
    <t>Colarte Olivarez</t>
  </si>
  <si>
    <t>7.162.809-4</t>
  </si>
  <si>
    <t>elsa.colarteo@gmail.com</t>
  </si>
  <si>
    <t>General Mackenna 289 depto 414 C Yungay Valparaìso</t>
  </si>
  <si>
    <t>Ingrid Maritza</t>
  </si>
  <si>
    <t>Heyl Fuentes</t>
  </si>
  <si>
    <t>10.180.130-6</t>
  </si>
  <si>
    <t>miniheyl@gmail.com</t>
  </si>
  <si>
    <t>Pasaje Goya 121 C Cordillera Valparaìso</t>
  </si>
  <si>
    <t>Jacqueline Marcela</t>
  </si>
  <si>
    <t>Severino Calderòn</t>
  </si>
  <si>
    <t>12.092.176-2</t>
  </si>
  <si>
    <t>jacquelineseverino64@gmail.com</t>
  </si>
  <si>
    <t>Los Chanos Cordillera Valparaìso</t>
  </si>
  <si>
    <t>Susana Alejandra</t>
  </si>
  <si>
    <t>Pavez Vera</t>
  </si>
  <si>
    <t>7.691.838-4</t>
  </si>
  <si>
    <t>susanapavezvera@gmail.com</t>
  </si>
  <si>
    <t>Camino Cintura 3114 C Cordillera Valparaìso</t>
  </si>
  <si>
    <t>Alejandra Maricel</t>
  </si>
  <si>
    <t>Morgado Castro</t>
  </si>
  <si>
    <t>12.848.663-1</t>
  </si>
  <si>
    <t>alejandra.morgado@gmail.com</t>
  </si>
  <si>
    <t>Cancha la Tortuga 01 Pacìfico C Playa Ancha</t>
  </si>
  <si>
    <t>Gladys Del Carmen</t>
  </si>
  <si>
    <t>Lazcano Palominos</t>
  </si>
  <si>
    <t>7.643.671-1</t>
  </si>
  <si>
    <t>gladyslazcanopalominos@gmail.com</t>
  </si>
  <si>
    <t>Pasaje 44 Casa 262 4to Secto Playa Ancha Valparaìso</t>
  </si>
  <si>
    <t>Teresa Del Carmen</t>
  </si>
  <si>
    <t>Maldonado Quiroz</t>
  </si>
  <si>
    <t>6.644.533-3</t>
  </si>
  <si>
    <t>teresamq@gmail.com</t>
  </si>
  <si>
    <t>Subida Concepciòn 134 C Concepciòn Valparaìso</t>
  </si>
  <si>
    <t>Patricio Trinity</t>
  </si>
  <si>
    <t>Perez Araya</t>
  </si>
  <si>
    <t>12.049.176-7</t>
  </si>
  <si>
    <t>viguee188@gmail.com</t>
  </si>
  <si>
    <t>Gumercindo Dìaz 219 C Cordillera Valparaìso</t>
  </si>
  <si>
    <t>Marina Graciela</t>
  </si>
  <si>
    <t>Emparan Jimenez</t>
  </si>
  <si>
    <t>11.620.640-4</t>
  </si>
  <si>
    <t>marinaemparanjimenez@gmail.com</t>
  </si>
  <si>
    <t>Escalera Manuel Carrasco C Cordillera Valparaìso</t>
  </si>
  <si>
    <t>Cristina Roxana</t>
  </si>
  <si>
    <t>Alonso Rubiño</t>
  </si>
  <si>
    <t>11.120.533-7</t>
  </si>
  <si>
    <t>cristianaalonsorubino@gmail.com</t>
  </si>
  <si>
    <t>Meteoro C Cordillera Valparaìso</t>
  </si>
  <si>
    <t>Claudia Alejandra</t>
  </si>
  <si>
    <t>Devia Cortes</t>
  </si>
  <si>
    <t>12.448.929-6</t>
  </si>
  <si>
    <t>Calle los Sauces 1690 Quilpuè</t>
  </si>
  <si>
    <t>Karla Priscilla</t>
  </si>
  <si>
    <t>Miangolarra Fuentes</t>
  </si>
  <si>
    <t>13.880.949-8</t>
  </si>
  <si>
    <t>karla.miangolarra.f@gmail.com</t>
  </si>
  <si>
    <t>Marìa Soledad</t>
  </si>
  <si>
    <t>Illanes Campos</t>
  </si>
  <si>
    <t>8.091.618-3</t>
  </si>
  <si>
    <t>mariasoledad.illanes@gmail.com</t>
  </si>
  <si>
    <t>Subida Elìas C Yungay Valparaìso</t>
  </si>
  <si>
    <t>Beatriz Margarita</t>
  </si>
  <si>
    <t>Peñaloza Lara</t>
  </si>
  <si>
    <t>8.263.921-7</t>
  </si>
  <si>
    <t>s/mail</t>
  </si>
  <si>
    <t>Chaparro C Cordillera</t>
  </si>
  <si>
    <t>Mercedes Verònica</t>
  </si>
  <si>
    <t>Gonzàlez Barrera</t>
  </si>
  <si>
    <t>8.877.165-6</t>
  </si>
  <si>
    <t>tiaverogonzalezbarrera@gmail.com</t>
  </si>
  <si>
    <t>Calle Dante 3 C Cordillera Valparaìso</t>
  </si>
  <si>
    <t>Isabel Ruperta</t>
  </si>
  <si>
    <t>San Martìn Lobos</t>
  </si>
  <si>
    <t>4.803.032-7</t>
  </si>
  <si>
    <t>Pasaje Floro 117 C Cordillera Valparaìso</t>
  </si>
  <si>
    <t>Coyhaique</t>
  </si>
  <si>
    <t>Haro Leal</t>
  </si>
  <si>
    <t>10.355.126-9</t>
  </si>
  <si>
    <t>VALLE SIMPSON 169</t>
  </si>
  <si>
    <t>Asenjo Fuschloger</t>
  </si>
  <si>
    <t>8.259.310-1</t>
  </si>
  <si>
    <t>SIMPSON 259</t>
  </si>
  <si>
    <t>Ninfa</t>
  </si>
  <si>
    <t>Araneda Contreras</t>
  </si>
  <si>
    <t>8.922.076-9</t>
  </si>
  <si>
    <t>EXPLORADORES 747</t>
  </si>
  <si>
    <t>Malvina</t>
  </si>
  <si>
    <t>Vargas Pérez</t>
  </si>
  <si>
    <t>7.497.553-4</t>
  </si>
  <si>
    <t>LAS QUINTAS 629</t>
  </si>
  <si>
    <t>María Luisa</t>
  </si>
  <si>
    <t>Césped Madariaga</t>
  </si>
  <si>
    <t>3.745.172-K</t>
  </si>
  <si>
    <t>LOS AROMOS 1379</t>
  </si>
  <si>
    <t>Alvarado Torres</t>
  </si>
  <si>
    <t>8.249.923-7</t>
  </si>
  <si>
    <t>MACKENA 372</t>
  </si>
  <si>
    <t>Irene</t>
  </si>
  <si>
    <t>Muñoz Barrientos</t>
  </si>
  <si>
    <t>6.903.442-K</t>
  </si>
  <si>
    <t>CERRO MACKAY 1591</t>
  </si>
  <si>
    <t>Iris</t>
  </si>
  <si>
    <t>BIlbao Burgos</t>
  </si>
  <si>
    <t>7.679.103-1</t>
  </si>
  <si>
    <t>SIMPSON 1199</t>
  </si>
  <si>
    <t>Gloroa</t>
  </si>
  <si>
    <t>Belmar Matus</t>
  </si>
  <si>
    <t>6.723.528-2</t>
  </si>
  <si>
    <t>LOS FLAMENCOS 1001</t>
  </si>
  <si>
    <t>Saldivia Cárdenas</t>
  </si>
  <si>
    <t>7.950.175-1</t>
  </si>
  <si>
    <t>BARROSO S/n</t>
  </si>
  <si>
    <t>Curanilahue</t>
  </si>
  <si>
    <t>Acosta Ramírez</t>
  </si>
  <si>
    <t>23.095.215-9</t>
  </si>
  <si>
    <t>Pazitaacosta9@gmail.com</t>
  </si>
  <si>
    <t>Anthonia</t>
  </si>
  <si>
    <t>Rifo Muñoz</t>
  </si>
  <si>
    <t>22.731.101-0</t>
  </si>
  <si>
    <t>anthorifo13@gmail.com</t>
  </si>
  <si>
    <t>Martina</t>
  </si>
  <si>
    <t>Muñoz Rodríguez</t>
  </si>
  <si>
    <t>21.956.058-3</t>
  </si>
  <si>
    <t>martinapaz1410@gmail.com</t>
  </si>
  <si>
    <t>Maldonado Canales</t>
  </si>
  <si>
    <t>20.750.864-0</t>
  </si>
  <si>
    <t>conimac.17@gmail.com</t>
  </si>
  <si>
    <t>Marycarla</t>
  </si>
  <si>
    <t>Rifo Rodríguez</t>
  </si>
  <si>
    <t>20.196.069-k</t>
  </si>
  <si>
    <t>Marycarla1107@gmail.com</t>
  </si>
  <si>
    <t>Pob. Eleuterio Ramirez psj 8 #044, Curanilahue</t>
  </si>
  <si>
    <t>Catalina</t>
  </si>
  <si>
    <t>Bizama Venegas</t>
  </si>
  <si>
    <t>20.738.839-4</t>
  </si>
  <si>
    <t>orlanda.bizama@gmail.com</t>
  </si>
  <si>
    <t>Edgardo</t>
  </si>
  <si>
    <t>Aravena Guzmán</t>
  </si>
  <si>
    <t>21.337.486-9</t>
  </si>
  <si>
    <t>edgardoaravenaguzman@gmail.com</t>
  </si>
  <si>
    <t>Valentina</t>
  </si>
  <si>
    <t>Maldonado Cisterna</t>
  </si>
  <si>
    <t>20.441.185-9</t>
  </si>
  <si>
    <t>vale.21062000@gmail.com</t>
  </si>
  <si>
    <t>Marina</t>
  </si>
  <si>
    <t>Carrasco Díaz</t>
  </si>
  <si>
    <t>11.539.065-1</t>
  </si>
  <si>
    <t>Marinacarrascod70@gmail.com</t>
  </si>
  <si>
    <t>Pob. Curamalal psj 3A #019, Curanilahue</t>
  </si>
  <si>
    <t>Jocelyn</t>
  </si>
  <si>
    <t>Muñoz Sáez</t>
  </si>
  <si>
    <t>17.291.265-6</t>
  </si>
  <si>
    <t>Jocelyn_m.s@live.cl</t>
  </si>
  <si>
    <t>16.707.002-7</t>
  </si>
  <si>
    <t>andyta1205@gmail.com</t>
  </si>
  <si>
    <t>Mary</t>
  </si>
  <si>
    <t>Rodríguez Miranda</t>
  </si>
  <si>
    <t>11.156.259-8</t>
  </si>
  <si>
    <t>maryivonr@gmail.com</t>
  </si>
  <si>
    <t>Canales Betanzo</t>
  </si>
  <si>
    <t>10.218.447-5</t>
  </si>
  <si>
    <t>canalesmarta196@gmail.com</t>
  </si>
  <si>
    <t>Calle Galvarino 724, Curanilahue</t>
  </si>
  <si>
    <t>Rosalina</t>
  </si>
  <si>
    <t>Neira Muñoz</t>
  </si>
  <si>
    <t>7.149.261-3</t>
  </si>
  <si>
    <t>rosalinadelcarmenneira@gmail.com</t>
  </si>
  <si>
    <t>Cruz Baja 971, Curanilahue</t>
  </si>
  <si>
    <t>Aurora</t>
  </si>
  <si>
    <t>Medina Sepúlveda</t>
  </si>
  <si>
    <t>9.761.697-3</t>
  </si>
  <si>
    <t>auroramedinasep@gmail.com</t>
  </si>
  <si>
    <t xml:space="preserve">Pob. Ramón Rabal, calle lincoyan 1780,  Curanilahue
</t>
  </si>
  <si>
    <t>Bastias Ulloa</t>
  </si>
  <si>
    <t>9.044.865-5</t>
  </si>
  <si>
    <t>Pichiarauco S/N</t>
  </si>
  <si>
    <t>Isolina</t>
  </si>
  <si>
    <t>Castro Garcés</t>
  </si>
  <si>
    <t>9.279.679-5</t>
  </si>
  <si>
    <t>isolinabel17@gmail.com</t>
  </si>
  <si>
    <t>Pob. Lagos de Chile psj Puyehue #19, Curanilahue</t>
  </si>
  <si>
    <t>Basualto Riffo</t>
  </si>
  <si>
    <t>9.467.222-8</t>
  </si>
  <si>
    <t>pattibasualto1963@hotmail.com</t>
  </si>
  <si>
    <t>Pob. Villa America psj 1 #20, Curanilahue</t>
  </si>
  <si>
    <t>Tapia Casanova</t>
  </si>
  <si>
    <t>7.609.452-7</t>
  </si>
  <si>
    <t>etapiacasanova@gmail.com</t>
  </si>
  <si>
    <t>Pob. Eleuterio Ramirez psj 18 #217, Curanilahue</t>
  </si>
  <si>
    <t>Bahamondes Muñoz</t>
  </si>
  <si>
    <t>6.810.480-7</t>
  </si>
  <si>
    <t>Los  Amarillos psj 7 #20, Curanilahue</t>
  </si>
  <si>
    <t>Aguilera A.</t>
  </si>
  <si>
    <t>8.160.902-0</t>
  </si>
  <si>
    <t>Moreno C.</t>
  </si>
  <si>
    <t>20.269.354-7</t>
  </si>
  <si>
    <t>Leandro</t>
  </si>
  <si>
    <t>Vásquez A.</t>
  </si>
  <si>
    <t>21.786.162-4</t>
  </si>
  <si>
    <t>Antonia</t>
  </si>
  <si>
    <t>González M.</t>
  </si>
  <si>
    <t>21.748.641-6</t>
  </si>
  <si>
    <t>Cesia</t>
  </si>
  <si>
    <t>Sanhueza V.</t>
  </si>
  <si>
    <t>21.046.441-7</t>
  </si>
  <si>
    <t>Marifer</t>
  </si>
  <si>
    <t>Manríquez</t>
  </si>
  <si>
    <t>21.490.626-0</t>
  </si>
  <si>
    <t>Vasquez P</t>
  </si>
  <si>
    <t>20.758.291-3</t>
  </si>
  <si>
    <t>Díaz C.</t>
  </si>
  <si>
    <t>21.607.628-1</t>
  </si>
  <si>
    <t>Farías P.</t>
  </si>
  <si>
    <t>20.757.201-2</t>
  </si>
  <si>
    <t>Donoso M.</t>
  </si>
  <si>
    <t>18.402.764-K</t>
  </si>
  <si>
    <t>Valeria</t>
  </si>
  <si>
    <t>Sepúlveda V</t>
  </si>
  <si>
    <t>21.211.857-5</t>
  </si>
  <si>
    <t>Araya O.</t>
  </si>
  <si>
    <t>17155412-8</t>
  </si>
  <si>
    <t>Jonathan</t>
  </si>
  <si>
    <t>Suárez M.</t>
  </si>
  <si>
    <t>27.014.508-6</t>
  </si>
  <si>
    <t>Yaritza</t>
  </si>
  <si>
    <t>Leiva N.</t>
  </si>
  <si>
    <t>20669906-K</t>
  </si>
  <si>
    <t>Hernández L</t>
  </si>
  <si>
    <t>Daniel</t>
  </si>
  <si>
    <t>Espinoza A.</t>
  </si>
  <si>
    <t>20758395-2</t>
  </si>
  <si>
    <t>Albornoz P.</t>
  </si>
  <si>
    <t>8.874.107-2</t>
  </si>
  <si>
    <t>Bello</t>
  </si>
  <si>
    <t>20.756.790-6</t>
  </si>
  <si>
    <t>Gomez</t>
  </si>
  <si>
    <t>15.632.519-8</t>
  </si>
  <si>
    <t>M Benigna</t>
  </si>
  <si>
    <t>Valderrama</t>
  </si>
  <si>
    <t>4.712.397-6</t>
  </si>
  <si>
    <t>Nicolás</t>
  </si>
  <si>
    <t>Salinas G.</t>
  </si>
  <si>
    <t>19.983.011-2</t>
  </si>
  <si>
    <t>Jiménez</t>
  </si>
  <si>
    <t>19.999.070-5</t>
  </si>
  <si>
    <t>Fuentes E.</t>
  </si>
  <si>
    <t>18.476.331-1</t>
  </si>
  <si>
    <t>Fuentes B.</t>
  </si>
  <si>
    <t>5.888.611-4</t>
  </si>
  <si>
    <t>Fuentes N.</t>
  </si>
  <si>
    <t>14.053.073-5</t>
  </si>
  <si>
    <t>M. Carola</t>
  </si>
  <si>
    <t>Palma M.</t>
  </si>
  <si>
    <t>14.517.813-4</t>
  </si>
  <si>
    <t>Gonález F</t>
  </si>
  <si>
    <t>16.966.066-2</t>
  </si>
  <si>
    <t>Pizarro M.</t>
  </si>
  <si>
    <t>14.285.631-K</t>
  </si>
  <si>
    <t>Marly</t>
  </si>
  <si>
    <t>Lara S.</t>
  </si>
  <si>
    <t>21.271.009-1</t>
  </si>
  <si>
    <t>Carolina</t>
  </si>
  <si>
    <t>Fuenzalida F.</t>
  </si>
  <si>
    <t>10.579.134-8</t>
  </si>
  <si>
    <t>Plaza L.</t>
  </si>
  <si>
    <t>14.052.910-9</t>
  </si>
  <si>
    <t>James</t>
  </si>
  <si>
    <t>Zurita B.</t>
  </si>
  <si>
    <t>10.021.525-K</t>
  </si>
  <si>
    <t>Barrera R</t>
  </si>
  <si>
    <t>15.162.009-9</t>
  </si>
  <si>
    <t>Parra Tapia</t>
  </si>
  <si>
    <t>9.019.887-4</t>
  </si>
  <si>
    <t>M Rosario</t>
  </si>
  <si>
    <t>Valenzuela</t>
  </si>
  <si>
    <t>14.325.865-3</t>
  </si>
  <si>
    <t>Salas V.</t>
  </si>
  <si>
    <t>10.438.481-1</t>
  </si>
  <si>
    <t>Osorio J.</t>
  </si>
  <si>
    <t>6.052.022-4</t>
  </si>
  <si>
    <t>Oyarce F.</t>
  </si>
  <si>
    <t>6.433.719-K</t>
  </si>
  <si>
    <t>Guaita Ch.</t>
  </si>
  <si>
    <t>4.824.920-5</t>
  </si>
  <si>
    <t>Retamal G.</t>
  </si>
  <si>
    <t>14264972-1</t>
  </si>
  <si>
    <t>Inés</t>
  </si>
  <si>
    <t>López P.</t>
  </si>
  <si>
    <t>9.300.287-3</t>
  </si>
  <si>
    <t>Angela</t>
  </si>
  <si>
    <t>Valderrama F.</t>
  </si>
  <si>
    <t>5.128.359-7</t>
  </si>
  <si>
    <t>Piña G</t>
  </si>
  <si>
    <t>11.145.177-K</t>
  </si>
  <si>
    <t>G. Kineswida</t>
  </si>
  <si>
    <t>Moya A.</t>
  </si>
  <si>
    <t>4.086.456-3</t>
  </si>
  <si>
    <t>El Loa</t>
  </si>
  <si>
    <t>JACQUELINE TERESA</t>
  </si>
  <si>
    <t>ABDALA ZELADA</t>
  </si>
  <si>
    <t>11.197.836-K</t>
  </si>
  <si>
    <t>jacquelinaabdala8@gmail.com</t>
  </si>
  <si>
    <t>CALAMA</t>
  </si>
  <si>
    <t>NANCY YORKA</t>
  </si>
  <si>
    <t>ARANZÁEZ MARTÍNEZ</t>
  </si>
  <si>
    <t>5.900.534-0</t>
  </si>
  <si>
    <t>viviana.echeverria.aranzaez35@gmail.com</t>
  </si>
  <si>
    <t>DORYS MARFA</t>
  </si>
  <si>
    <t>QUINTEROS PFENG</t>
  </si>
  <si>
    <t>5.258.056-0</t>
  </si>
  <si>
    <t>dquinteros2803@gmail.com</t>
  </si>
  <si>
    <t>JUAN CARLOS</t>
  </si>
  <si>
    <t>OCAYO CARMONA</t>
  </si>
  <si>
    <t>8.360.727-0</t>
  </si>
  <si>
    <t>jocayo211960@gmail.com</t>
  </si>
  <si>
    <t>HUGO ANDRES</t>
  </si>
  <si>
    <t>ROJAS ZEPEDA</t>
  </si>
  <si>
    <t>18.654.689-K</t>
  </si>
  <si>
    <t>harz.hr@gmail.com</t>
  </si>
  <si>
    <t>GLENDA DE LAS MERCEDES</t>
  </si>
  <si>
    <t>ARAYA ARAYA</t>
  </si>
  <si>
    <t>4.161.192-8</t>
  </si>
  <si>
    <t>NO TIENE</t>
  </si>
  <si>
    <t>CAROLAY SAILY</t>
  </si>
  <si>
    <t>DUBUC ROMERO</t>
  </si>
  <si>
    <t>26.107.934-8</t>
  </si>
  <si>
    <t>carusdubuc@gmail.com</t>
  </si>
  <si>
    <t>BRAYAN EDUARDO</t>
  </si>
  <si>
    <t>OSSANDON OSSANDON</t>
  </si>
  <si>
    <t>19.980.196-1</t>
  </si>
  <si>
    <t>Brayanossandon99@gamil.com</t>
  </si>
  <si>
    <t>JEREMY AMDRÉS</t>
  </si>
  <si>
    <t>ZAMBRANO ENCALADA</t>
  </si>
  <si>
    <t>18.656.146-K</t>
  </si>
  <si>
    <t>jeremy.andre.k@gmail.com</t>
  </si>
  <si>
    <t>SONIA HILDA</t>
  </si>
  <si>
    <t>ALIAGA RAMOS</t>
  </si>
  <si>
    <t>23.760.863-1</t>
  </si>
  <si>
    <t>soniaaliagaramos@gmail.com</t>
  </si>
  <si>
    <t>MANUEL ALEJANDRO</t>
  </si>
  <si>
    <t>VEAS ALFARO</t>
  </si>
  <si>
    <t>19.252.964-0</t>
  </si>
  <si>
    <t>manuelveas3@outlook.com</t>
  </si>
  <si>
    <t>SERGIO EDUARO</t>
  </si>
  <si>
    <t>DÍAZ PÉREZ</t>
  </si>
  <si>
    <t>25.547.651-3</t>
  </si>
  <si>
    <t>Sergiodiazperez2017@gmail.com</t>
  </si>
  <si>
    <t>MARCO ANTONIO</t>
  </si>
  <si>
    <t>GEORGE ROJAS</t>
  </si>
  <si>
    <t>14.580.116-8</t>
  </si>
  <si>
    <t>marco.five.rojas@gmail.com</t>
  </si>
  <si>
    <t>HUMBERTO</t>
  </si>
  <si>
    <t>ELIAS RETAMOSO</t>
  </si>
  <si>
    <t>14.707.538-3</t>
  </si>
  <si>
    <t>heliasr2@gmail.com</t>
  </si>
  <si>
    <t>ANDREA DEL CARMEN</t>
  </si>
  <si>
    <t>GARNICA MUÑOZ</t>
  </si>
  <si>
    <t>17.111.179-K</t>
  </si>
  <si>
    <t>andrea.garnica.m@gmail.com</t>
  </si>
  <si>
    <t>JENNIFER ISABEL</t>
  </si>
  <si>
    <t>ZEBRA VEGA</t>
  </si>
  <si>
    <t>20.347.961-1</t>
  </si>
  <si>
    <t>jennizebra.jz@gmail.com</t>
  </si>
  <si>
    <t>KARINA ANDREA</t>
  </si>
  <si>
    <t>YAÑEZ BOLVARAN</t>
  </si>
  <si>
    <t>16.259.048-0</t>
  </si>
  <si>
    <t>Karinafebrero2015@gmail.com</t>
  </si>
  <si>
    <t>LUIS ERNESTO</t>
  </si>
  <si>
    <t>TORRES ARAYA</t>
  </si>
  <si>
    <t>9.949.305-4</t>
  </si>
  <si>
    <t>luisernestotorresaraya@gmail.com</t>
  </si>
  <si>
    <t>LIZETH ARLETH</t>
  </si>
  <si>
    <t>SANDI ARGOTE</t>
  </si>
  <si>
    <t>24.474.861-9</t>
  </si>
  <si>
    <t>JORGE RUBÉN</t>
  </si>
  <si>
    <t>GONZÁLEZ LUCIANO</t>
  </si>
  <si>
    <t>20.526.057-9</t>
  </si>
  <si>
    <t>jorgegonzalezxd123@gmail.com</t>
  </si>
  <si>
    <t>IRENE DEL CARMEN</t>
  </si>
  <si>
    <t>ARAYA MENA</t>
  </si>
  <si>
    <t>5.625.937-6</t>
  </si>
  <si>
    <t>FRIDA SOLEDAD</t>
  </si>
  <si>
    <t>FLORES CUIZA</t>
  </si>
  <si>
    <t>8.142.627-9</t>
  </si>
  <si>
    <t>soledadcoty@gmail.com</t>
  </si>
  <si>
    <t>RAUL AMBROSIO</t>
  </si>
  <si>
    <t>AYAVIRE YUFLA</t>
  </si>
  <si>
    <t>10.180.006-7</t>
  </si>
  <si>
    <t>Luar.ayavir.yufla@gmail.com</t>
  </si>
  <si>
    <t>SILVIA</t>
  </si>
  <si>
    <t>RETAMOSO MENACHO</t>
  </si>
  <si>
    <t>14.642.112-1</t>
  </si>
  <si>
    <t>MATÍAS NICOLAS</t>
  </si>
  <si>
    <t>25.547.662-9</t>
  </si>
  <si>
    <t>ndo85642@gmail.com</t>
  </si>
  <si>
    <t>MELANY FABIOLA</t>
  </si>
  <si>
    <t>RIVERA GÓMEZ</t>
  </si>
  <si>
    <t>17.974.331-0</t>
  </si>
  <si>
    <t>melanyriveragomez@gmail.com</t>
  </si>
  <si>
    <t>FRANCISCO JAVIER</t>
  </si>
  <si>
    <t>RIVERA ASTUDILLO</t>
  </si>
  <si>
    <t>15.770.000-6</t>
  </si>
  <si>
    <t>fco.rivera1984@gmail.com</t>
  </si>
  <si>
    <t>BETTISABETH MARLENI</t>
  </si>
  <si>
    <t>VILLCA CHOQUE</t>
  </si>
  <si>
    <t>22.625.378-5</t>
  </si>
  <si>
    <t>b.villca.choque@gmail.com</t>
  </si>
  <si>
    <t>EDUARDO ESTEBAN DE JESUS</t>
  </si>
  <si>
    <t>CASTILLO ABDALA</t>
  </si>
  <si>
    <t>17.393.004-6</t>
  </si>
  <si>
    <t>CHRIS EDUARDO</t>
  </si>
  <si>
    <t>CARNERO MONTERO</t>
  </si>
  <si>
    <t>26.961.835-3</t>
  </si>
  <si>
    <t>chriscarnero22@gmail.com</t>
  </si>
  <si>
    <t>MARIO GERMAN</t>
  </si>
  <si>
    <t>CÓRDOVA REYES</t>
  </si>
  <si>
    <t>16.968.935-0</t>
  </si>
  <si>
    <t>cordova_19_2012@hotmail.com</t>
  </si>
  <si>
    <t>KELLY GLADYS</t>
  </si>
  <si>
    <t>DURAN VELASQUEZ</t>
  </si>
  <si>
    <t>27.463.627-0</t>
  </si>
  <si>
    <t>kellyduran1820@gmail.com</t>
  </si>
  <si>
    <t>GABRIEL HERNÁN</t>
  </si>
  <si>
    <t>MORO ARAYA</t>
  </si>
  <si>
    <t>18.182.669-K</t>
  </si>
  <si>
    <t>gabriel.moro91@gmail.com</t>
  </si>
  <si>
    <t>JEAN JOSÉ</t>
  </si>
  <si>
    <t>PARADA VEAS</t>
  </si>
  <si>
    <t>19.551.732-0</t>
  </si>
  <si>
    <t>Jean.jose.periodista@gmail.com</t>
  </si>
  <si>
    <t>JUAN MARCELO</t>
  </si>
  <si>
    <t>RIQUELME MIERES</t>
  </si>
  <si>
    <t>15.811.703-7</t>
  </si>
  <si>
    <t>juanriquelmemieres@gmail.com</t>
  </si>
  <si>
    <t>GABRIELA DEL CARMEN</t>
  </si>
  <si>
    <t>MARAMBIO GODOY</t>
  </si>
  <si>
    <t>13.632.434-9</t>
  </si>
  <si>
    <t>gmg.1978@hotmail.com</t>
  </si>
  <si>
    <t>DAMIAN ANTONIO</t>
  </si>
  <si>
    <t>VILLEGAS SEPÚLVEDA</t>
  </si>
  <si>
    <t>18.235.053-2</t>
  </si>
  <si>
    <t>NIDIA DEL CARMEN</t>
  </si>
  <si>
    <t>VILCA CHOQUE</t>
  </si>
  <si>
    <t>17.656.888-7</t>
  </si>
  <si>
    <t>Nadiavilca7@gmail.com</t>
  </si>
  <si>
    <t>MELISSA STEPHANIE</t>
  </si>
  <si>
    <t>LEDEZMA ALFARO</t>
  </si>
  <si>
    <t>17.867.619-9</t>
  </si>
  <si>
    <t>melissaledezmaalfaro@gmail.com</t>
  </si>
  <si>
    <t>SANDRA PATRICIA</t>
  </si>
  <si>
    <t>NAVEA CAMPILLAY</t>
  </si>
  <si>
    <t>11.720.552-5</t>
  </si>
  <si>
    <t>MATÍAS EDUARDO</t>
  </si>
  <si>
    <t>FUENTES QUINTANA</t>
  </si>
  <si>
    <t>18.981.454-2</t>
  </si>
  <si>
    <t>matiasfuentesquintana@gmail.com</t>
  </si>
  <si>
    <t>KIMBERLY</t>
  </si>
  <si>
    <t>DURÁN GONZÁLES</t>
  </si>
  <si>
    <t>19.252.792-9</t>
  </si>
  <si>
    <t>kimberlyduran74@gmail.com</t>
  </si>
  <si>
    <t>BRAYANS FELIPE TOMÁS</t>
  </si>
  <si>
    <t>JARA MEZA</t>
  </si>
  <si>
    <t>22.485.346-7</t>
  </si>
  <si>
    <t>brayanjarameza2108@gmail.com</t>
  </si>
  <si>
    <t>EMERSON JEREMY JAKCSON</t>
  </si>
  <si>
    <t>ARCE CHÁVEZ</t>
  </si>
  <si>
    <t>19.825.168-2</t>
  </si>
  <si>
    <t>e.arce.chavez.18@gmail.com</t>
  </si>
  <si>
    <t>JUAN MIGUEL</t>
  </si>
  <si>
    <t>CASTILLO MONDACA</t>
  </si>
  <si>
    <t>6.680.030-K</t>
  </si>
  <si>
    <t>ROBERTO EDUARDO</t>
  </si>
  <si>
    <t>REYES CARMONA</t>
  </si>
  <si>
    <t>15.017.384-1</t>
  </si>
  <si>
    <t>robert.rcarmona@gmail.com</t>
  </si>
  <si>
    <t>HECTOR</t>
  </si>
  <si>
    <t>ESPINOZA CORTES</t>
  </si>
  <si>
    <t>10.148.190-5</t>
  </si>
  <si>
    <t>PABLO DARIO</t>
  </si>
  <si>
    <t>MAGNO NAVARRETE</t>
  </si>
  <si>
    <t>17.655.192-5</t>
  </si>
  <si>
    <t>ROBERT JOSUE</t>
  </si>
  <si>
    <t>LEYVA ALCALA</t>
  </si>
  <si>
    <t>25.272.465-6</t>
  </si>
  <si>
    <t>robertjosueleyvaalcala@gmail.com</t>
  </si>
  <si>
    <t>1 -2000</t>
  </si>
  <si>
    <t>MAURICIO ALEJANDRO</t>
  </si>
  <si>
    <t>GARRIDO RAMÍREZ</t>
  </si>
  <si>
    <t>19.205.644-6</t>
  </si>
  <si>
    <t>Mauricio.garrido.ramirez@gmail.com</t>
  </si>
  <si>
    <t>ÁVARO JAVIER</t>
  </si>
  <si>
    <t>SANZANA PÉREZ</t>
  </si>
  <si>
    <t>18.615.981-</t>
  </si>
  <si>
    <t>alvaro_sanzana@hotmail.com</t>
  </si>
  <si>
    <t>ELODIA GRACIELA</t>
  </si>
  <si>
    <t>GARRIDO OCHOA</t>
  </si>
  <si>
    <t>27.133.502-4</t>
  </si>
  <si>
    <t>Elodiagarrido2408@gmail.com</t>
  </si>
  <si>
    <t>AMAN IGNACIO</t>
  </si>
  <si>
    <t>SAIRE ZAVALA</t>
  </si>
  <si>
    <t>21.496.856-K</t>
  </si>
  <si>
    <t>zavalaaman@gmail.com</t>
  </si>
  <si>
    <t>RHINCA MAURICIA</t>
  </si>
  <si>
    <t>AGUIRRE CALLISAYA</t>
  </si>
  <si>
    <t>12.581.671-1</t>
  </si>
  <si>
    <t>rhincaaguirrec@mail.com</t>
  </si>
  <si>
    <t>KHARLA ROXANE DEL CARMEN</t>
  </si>
  <si>
    <t>MORALES MORALES</t>
  </si>
  <si>
    <t>21.078.101-3</t>
  </si>
  <si>
    <t>kharla.somersss22@gmail.com</t>
  </si>
  <si>
    <t>TATIANA</t>
  </si>
  <si>
    <t>MOLINA MORÓN</t>
  </si>
  <si>
    <t>28.316.787-9</t>
  </si>
  <si>
    <t>tatianamolmor@gmail.com</t>
  </si>
  <si>
    <t>LEO IGNACIO</t>
  </si>
  <si>
    <t>JORQUERA CORTÉS</t>
  </si>
  <si>
    <t>19.928.470-3</t>
  </si>
  <si>
    <t>Leo_jcortes@hotmail.com</t>
  </si>
  <si>
    <t>NESTOR ESTEBAN</t>
  </si>
  <si>
    <t>BERNA CUADRA</t>
  </si>
  <si>
    <t>11.505.470-8</t>
  </si>
  <si>
    <t>GUADALUPE DEL CARMEN</t>
  </si>
  <si>
    <t>7.172.362-3</t>
  </si>
  <si>
    <t>gfloresc23@gmail.com</t>
  </si>
  <si>
    <t>DEIRO EDUARDO</t>
  </si>
  <si>
    <t>TÁPIA AHUMADA</t>
  </si>
  <si>
    <t>16.655.060-9</t>
  </si>
  <si>
    <t>deiroabc@gmail.com</t>
  </si>
  <si>
    <t>JULIO MARIO</t>
  </si>
  <si>
    <t>PONCE RODRÍGUEZ</t>
  </si>
  <si>
    <t>17.367.823-1</t>
  </si>
  <si>
    <t>j.seguridad.89@gmail.com</t>
  </si>
  <si>
    <t>MARIBEL</t>
  </si>
  <si>
    <t>ROJAS RIOS</t>
  </si>
  <si>
    <t>24.569.344-6</t>
  </si>
  <si>
    <t>Maribelrojas93.rios@gmail.com</t>
  </si>
  <si>
    <t>ERIK ÁLVARO</t>
  </si>
  <si>
    <t>ZECCO CALCINA</t>
  </si>
  <si>
    <t>14.699.369-9</t>
  </si>
  <si>
    <t>vuan_13.14@hotmail.com</t>
  </si>
  <si>
    <t>VERONICA</t>
  </si>
  <si>
    <t>UGARTE ALMENDRAS</t>
  </si>
  <si>
    <t>25.253.011-8</t>
  </si>
  <si>
    <t>CINTHIA ISABEL</t>
  </si>
  <si>
    <t>GONZALES RIOS</t>
  </si>
  <si>
    <t>28.491.314-0</t>
  </si>
  <si>
    <t>Isabelgonzalesrios58@gmail.com</t>
  </si>
  <si>
    <t>BEATRIZ ANDREINA</t>
  </si>
  <si>
    <t>GUATARAMA OTERO</t>
  </si>
  <si>
    <t>26.870.898-7</t>
  </si>
  <si>
    <t>beatriche05051990@gmail.com</t>
  </si>
  <si>
    <t>JANGER COROMOTO</t>
  </si>
  <si>
    <t>MEDINA ORTEGA</t>
  </si>
  <si>
    <t>26-670-731-2</t>
  </si>
  <si>
    <t>jangermedinart@gmail.com</t>
  </si>
  <si>
    <t>JESSICA LORENA</t>
  </si>
  <si>
    <t>ZEPEDA GARCIA</t>
  </si>
  <si>
    <t>12.801.655-4</t>
  </si>
  <si>
    <t>Jessi_loren75@hotmail.com</t>
  </si>
  <si>
    <t>El Monte</t>
  </si>
  <si>
    <t>Javiera Elcira</t>
  </si>
  <si>
    <t>Alvear Hernandez</t>
  </si>
  <si>
    <t>21.169.378-9</t>
  </si>
  <si>
    <t>Javiialvear16@gmanil.com</t>
  </si>
  <si>
    <t>Puangue, Melipilla</t>
  </si>
  <si>
    <t>Daniela Sofia Paola</t>
  </si>
  <si>
    <t>Gomez Gonzalez</t>
  </si>
  <si>
    <t>20.310.630-0</t>
  </si>
  <si>
    <t>Danielasofia2010@gmail.com</t>
  </si>
  <si>
    <t>Condominio Las Palmas, el monte</t>
  </si>
  <si>
    <t>Maria Teresa</t>
  </si>
  <si>
    <t>Vallejos Gonzalez</t>
  </si>
  <si>
    <t>7.700.621-2</t>
  </si>
  <si>
    <t>Teresavallejos.22@gmail.com</t>
  </si>
  <si>
    <t>San miguel 476, el monte</t>
  </si>
  <si>
    <t>Eyleen Tatiana</t>
  </si>
  <si>
    <t>Orellana Troncoso</t>
  </si>
  <si>
    <t>16.567.819-2</t>
  </si>
  <si>
    <t>Eyleen.o.t@gmail.com</t>
  </si>
  <si>
    <t>Condominio Doña Paula, el monte</t>
  </si>
  <si>
    <t>Karen Luz</t>
  </si>
  <si>
    <t>Mendoza Carreño</t>
  </si>
  <si>
    <t>15.532.976-9</t>
  </si>
  <si>
    <t>Rita Violeta</t>
  </si>
  <si>
    <t>Morales Cruz</t>
  </si>
  <si>
    <t>11.786.289-5</t>
  </si>
  <si>
    <t>Villa Manuel Rodriguez, el monte</t>
  </si>
  <si>
    <t>Rosa Zulema</t>
  </si>
  <si>
    <t>16.342.120-8</t>
  </si>
  <si>
    <t>Rosa Maria</t>
  </si>
  <si>
    <t>Hernandez Palma</t>
  </si>
  <si>
    <t>11.066.761-2</t>
  </si>
  <si>
    <t>Rosita.4@gmail.com</t>
  </si>
  <si>
    <t>Altos del Monte, el monte</t>
  </si>
  <si>
    <t>Susana Doralisa</t>
  </si>
  <si>
    <t>Ramirez Contreras</t>
  </si>
  <si>
    <t>5.446.357-k</t>
  </si>
  <si>
    <t>Villa San Francisco, el monte</t>
  </si>
  <si>
    <t>Gladys del Pilar</t>
  </si>
  <si>
    <t>Flores Cerda</t>
  </si>
  <si>
    <t>14.327.591-4</t>
  </si>
  <si>
    <t>Erica Sandra</t>
  </si>
  <si>
    <t>Ortega Manqui</t>
  </si>
  <si>
    <t>12.245.440-1</t>
  </si>
  <si>
    <t>Kikamanqui0@gmail.com</t>
  </si>
  <si>
    <t>Condominio Las Pilcas, el monte</t>
  </si>
  <si>
    <t>Cecilia del Carmen</t>
  </si>
  <si>
    <t>10.941.532-4</t>
  </si>
  <si>
    <t>Cecihpalma@gmail.com</t>
  </si>
  <si>
    <t>Antonio</t>
  </si>
  <si>
    <t>Astudillo Cesar</t>
  </si>
  <si>
    <t>9.009.402-5</t>
  </si>
  <si>
    <t>antoniobiobio@gmail.com</t>
  </si>
  <si>
    <t>Parcela Las Pilcas, el Monte</t>
  </si>
  <si>
    <t>Melania de las Mercedes</t>
  </si>
  <si>
    <t>Vera Salinas</t>
  </si>
  <si>
    <t>8.134.526-0</t>
  </si>
  <si>
    <t>Melaverasalinas2018@gmail.com</t>
  </si>
  <si>
    <t>El Quisco</t>
  </si>
  <si>
    <t>González Meléndez</t>
  </si>
  <si>
    <t>6.902.998-1</t>
  </si>
  <si>
    <t>ma.angelicagonzalez1@gmail.com</t>
  </si>
  <si>
    <t>Girbau Bustos</t>
  </si>
  <si>
    <t>13.467.698-1</t>
  </si>
  <si>
    <t>sara.girbau@gmail.com</t>
  </si>
  <si>
    <t>Ruca Pedrera 125 El Quisco</t>
  </si>
  <si>
    <t>Marisol</t>
  </si>
  <si>
    <t>Escobar Albornoz</t>
  </si>
  <si>
    <t>8.708.694-1</t>
  </si>
  <si>
    <t>Marisol.escobara@gmail.com</t>
  </si>
  <si>
    <t>Jardín Bosques del Mar Algarrobo</t>
  </si>
  <si>
    <t>Milton</t>
  </si>
  <si>
    <t>Oliveros Muñoz</t>
  </si>
  <si>
    <t>9.002.771-9</t>
  </si>
  <si>
    <t>m.oliveros2@gmail.com</t>
  </si>
  <si>
    <t>Los Chaguales 1040 Jardín Bosques del Mar Algarrobo</t>
  </si>
  <si>
    <t>Mario</t>
  </si>
  <si>
    <t>Figueroa Quevedo</t>
  </si>
  <si>
    <t>5.747.392-4</t>
  </si>
  <si>
    <t>Mariohenryfigueroa.q@gmail.com</t>
  </si>
  <si>
    <t>El Totoral El Quisco</t>
  </si>
  <si>
    <t>Uberlinda</t>
  </si>
  <si>
    <t>Duque Espinoza</t>
  </si>
  <si>
    <t>6.176.091-1</t>
  </si>
  <si>
    <t>electronico.uberlinda.duque@gmail.com</t>
  </si>
  <si>
    <t>Las Balandras 057 El Quisco</t>
  </si>
  <si>
    <t>Cancino León</t>
  </si>
  <si>
    <t>4.828.354-3</t>
  </si>
  <si>
    <t>carmencancinovidente@gmail.com</t>
  </si>
  <si>
    <t>El Bosque 01050 El Quisco</t>
  </si>
  <si>
    <t>Stiebler González</t>
  </si>
  <si>
    <t>7.312.645-2</t>
  </si>
  <si>
    <t>myriamstiebler@gmail.com</t>
  </si>
  <si>
    <t>Mario Contreras casa M7 condominio Loma Linda Isla Negra</t>
  </si>
  <si>
    <t>Schaffhauser Flores</t>
  </si>
  <si>
    <t>6.613.735-k</t>
  </si>
  <si>
    <t>analuisasch@gmail.com</t>
  </si>
  <si>
    <t>Cancino Bahamondes</t>
  </si>
  <si>
    <t>5.022.879-7</t>
  </si>
  <si>
    <t>El Bosque 01122</t>
  </si>
  <si>
    <t>Frutillar</t>
  </si>
  <si>
    <t>Balic</t>
  </si>
  <si>
    <t>20264804-5</t>
  </si>
  <si>
    <t>Fernandabalicm@gmail.com</t>
  </si>
  <si>
    <t>Fundo los Cerros frutillar</t>
  </si>
  <si>
    <t>kuschel</t>
  </si>
  <si>
    <t>16831490-6</t>
  </si>
  <si>
    <t>19087187-8</t>
  </si>
  <si>
    <t>Cristinabalicm@gmail.com</t>
  </si>
  <si>
    <t>Kuschel</t>
  </si>
  <si>
    <t>15896093-1</t>
  </si>
  <si>
    <t>Mansilla</t>
  </si>
  <si>
    <t>9175521-1</t>
  </si>
  <si>
    <t>Patyeugeniaman@hotmail.com</t>
  </si>
  <si>
    <t>Teniente Jiménez 165 frutillar</t>
  </si>
  <si>
    <t>Lopetegui</t>
  </si>
  <si>
    <t>11988476-4</t>
  </si>
  <si>
    <t>Lilimor21@gmail.com</t>
  </si>
  <si>
    <t>Fundo los Cerros  frutillar</t>
  </si>
  <si>
    <t>Campos</t>
  </si>
  <si>
    <t>10044630-8</t>
  </si>
  <si>
    <t>Camposana671@gmail.com</t>
  </si>
  <si>
    <t>Teniente Jiménez 150  frutillar</t>
  </si>
  <si>
    <t>Ríos</t>
  </si>
  <si>
    <t>7520591-0</t>
  </si>
  <si>
    <t>s/c</t>
  </si>
  <si>
    <t>Teniente Jiménez 170 frutillar</t>
  </si>
  <si>
    <t>Soto</t>
  </si>
  <si>
    <t>6724296-3</t>
  </si>
  <si>
    <t>Cristino Winkler 583 Frutillar</t>
  </si>
  <si>
    <t>García</t>
  </si>
  <si>
    <t>6849481-8</t>
  </si>
  <si>
    <t>Colegual s/n frutillar</t>
  </si>
  <si>
    <t>Barrientos</t>
  </si>
  <si>
    <t>6765541-9</t>
  </si>
  <si>
    <t>Población carrasco 161 frutillar</t>
  </si>
  <si>
    <t>Rivera</t>
  </si>
  <si>
    <t>7640514-K</t>
  </si>
  <si>
    <t>Aníbal Pinto 324 frutillar</t>
  </si>
  <si>
    <t>Montes</t>
  </si>
  <si>
    <t>4091288-6</t>
  </si>
  <si>
    <t>Mlmomtesmatte@yahoo.com</t>
  </si>
  <si>
    <t>Los Lingues 90 parcela 6 frutillar</t>
  </si>
  <si>
    <t>Gutiérrez</t>
  </si>
  <si>
    <t>4045560-4</t>
  </si>
  <si>
    <t>Parque Mozart Parcela 121 frutillar</t>
  </si>
  <si>
    <t>Santana</t>
  </si>
  <si>
    <t>10597477-9</t>
  </si>
  <si>
    <t>Mariasantanacris.1966@gmail.com</t>
  </si>
  <si>
    <t>Fundo el burro s/n Casma</t>
  </si>
  <si>
    <t>Gorbea</t>
  </si>
  <si>
    <t>Oliva Gonzalez</t>
  </si>
  <si>
    <t>Humberto</t>
  </si>
  <si>
    <t>5.299.415-2</t>
  </si>
  <si>
    <t>Vannessa Victoria</t>
  </si>
  <si>
    <t>Slimming Pereira</t>
  </si>
  <si>
    <t>20.404.706- 5</t>
  </si>
  <si>
    <t>vslimming2000@gmail.com</t>
  </si>
  <si>
    <t>Hector</t>
  </si>
  <si>
    <t>Jara Moreno</t>
  </si>
  <si>
    <t>5.176.917-1</t>
  </si>
  <si>
    <t>Monica</t>
  </si>
  <si>
    <t>Aravena Contreras</t>
  </si>
  <si>
    <t>7.585.684-9</t>
  </si>
  <si>
    <t>Manuel Osvaldo</t>
  </si>
  <si>
    <t>Carter Rivas</t>
  </si>
  <si>
    <t>7.134.839-3</t>
  </si>
  <si>
    <t>Manuelcarterrivas@gmail.com</t>
  </si>
  <si>
    <t>Ulloa Ibañez</t>
  </si>
  <si>
    <t>5.312.198-5</t>
  </si>
  <si>
    <t>Contreras Ulloa</t>
  </si>
  <si>
    <t>10.186.975- k</t>
  </si>
  <si>
    <t>Noranbuena Acuña</t>
  </si>
  <si>
    <t>5.373.602-5</t>
  </si>
  <si>
    <t>Pereira Oñate</t>
  </si>
  <si>
    <t>9.716.038-5</t>
  </si>
  <si>
    <t>Villagran</t>
  </si>
  <si>
    <t>4.560.153-6</t>
  </si>
  <si>
    <t>Alicia Irene</t>
  </si>
  <si>
    <t>Rojas Elgueta</t>
  </si>
  <si>
    <t>8.291.974-0</t>
  </si>
  <si>
    <t>Erica Del Carmen</t>
  </si>
  <si>
    <t>Curilen Vega</t>
  </si>
  <si>
    <t>13.156.931- 9</t>
  </si>
  <si>
    <t>Magali</t>
  </si>
  <si>
    <t>Cardenas Sandoval</t>
  </si>
  <si>
    <t>12.421.215- 4</t>
  </si>
  <si>
    <t>Clara Nely</t>
  </si>
  <si>
    <t>Diaz Saez</t>
  </si>
  <si>
    <t>7.754.014-8</t>
  </si>
  <si>
    <t>Alejandro Andres</t>
  </si>
  <si>
    <t>Valencia Pacheco</t>
  </si>
  <si>
    <t>15.951.898- 5</t>
  </si>
  <si>
    <t>Nelson</t>
  </si>
  <si>
    <t>Aburto Saavedra</t>
  </si>
  <si>
    <t>15.485.758- 1</t>
  </si>
  <si>
    <t>Osvaldo Alejandro</t>
  </si>
  <si>
    <t>Carter Rojas</t>
  </si>
  <si>
    <t>15.654.038- 2</t>
  </si>
  <si>
    <t>contaenlinea9@gmail.com</t>
  </si>
  <si>
    <t>Alvarado</t>
  </si>
  <si>
    <t>20.818.274- 9</t>
  </si>
  <si>
    <t>Yenny</t>
  </si>
  <si>
    <t>Navarro Quilodran</t>
  </si>
  <si>
    <t>17.918.070- 2</t>
  </si>
  <si>
    <t>Arturo</t>
  </si>
  <si>
    <t>Ordoñez N</t>
  </si>
  <si>
    <t>18.591.871- 8</t>
  </si>
  <si>
    <t>Illapel</t>
  </si>
  <si>
    <t>Danae Anaís</t>
  </si>
  <si>
    <t>Suazo Rojo</t>
  </si>
  <si>
    <t>21. 890. 070-4</t>
  </si>
  <si>
    <t>dsuazorojo@gmail.com</t>
  </si>
  <si>
    <t>Carmona Díaz</t>
  </si>
  <si>
    <t>6.962.596-7</t>
  </si>
  <si>
    <t>mariacarmonad@gmail.com</t>
  </si>
  <si>
    <t>Petronila de Mercedes</t>
  </si>
  <si>
    <t>Fernández  Araya</t>
  </si>
  <si>
    <t>4.232.748-4</t>
  </si>
  <si>
    <t>petronilafernandeza@gmail.com</t>
  </si>
  <si>
    <t>Laura Anaconda</t>
  </si>
  <si>
    <t>Astudillo Burgos</t>
  </si>
  <si>
    <t>5.736.085-2</t>
  </si>
  <si>
    <t>laurita.astudillob@hotmail.com</t>
  </si>
  <si>
    <t>María Inés</t>
  </si>
  <si>
    <t>Díaz</t>
  </si>
  <si>
    <t>2.546.305-6</t>
  </si>
  <si>
    <t>Juan Alberto</t>
  </si>
  <si>
    <t>Tordecilla Jeneral</t>
  </si>
  <si>
    <t>10.998.620-8</t>
  </si>
  <si>
    <t>jtordecillaj@gmail.com</t>
  </si>
  <si>
    <t>Lilian Dolli</t>
  </si>
  <si>
    <t>Manzano Cruz</t>
  </si>
  <si>
    <t>3.024.769-8</t>
  </si>
  <si>
    <t>lilianmanzanocruz@gmail.com</t>
  </si>
  <si>
    <t>Margarita Mercedes</t>
  </si>
  <si>
    <t>Hidalgo Aranda</t>
  </si>
  <si>
    <t>6.631.171-6</t>
  </si>
  <si>
    <t>margaritahidalgoaranda@gmail.com</t>
  </si>
  <si>
    <t>Rosa Petronila</t>
  </si>
  <si>
    <t>Zamora Contreras</t>
  </si>
  <si>
    <t>11.513.888-k</t>
  </si>
  <si>
    <t>rositazamora25@hotmail.com</t>
  </si>
  <si>
    <t>Amada Jessie</t>
  </si>
  <si>
    <t>Jofré Pizarro</t>
  </si>
  <si>
    <t>8.097.765-4</t>
  </si>
  <si>
    <t>jofrepizarroj@gmail.com</t>
  </si>
  <si>
    <t>Milda del Carmen</t>
  </si>
  <si>
    <t>Astudillo  Burgos</t>
  </si>
  <si>
    <t>6.033.719-5</t>
  </si>
  <si>
    <t>milda.astudillo@gmail.com</t>
  </si>
  <si>
    <t>Daisy Magaly</t>
  </si>
  <si>
    <t>Suárez Vega</t>
  </si>
  <si>
    <t>8.106.126-2</t>
  </si>
  <si>
    <t>daisy.suarezvega@gmail.com</t>
  </si>
  <si>
    <t>Lilian Orquídea</t>
  </si>
  <si>
    <t>Núñez Manzano</t>
  </si>
  <si>
    <t>7.229.123-9</t>
  </si>
  <si>
    <t>lnunem05@gmail.com</t>
  </si>
  <si>
    <t>Eliana del Mercedes</t>
  </si>
  <si>
    <t>Trigo Solís</t>
  </si>
  <si>
    <t>6.575.387-K</t>
  </si>
  <si>
    <t>etrigosoli@gmail.com</t>
  </si>
  <si>
    <t>Iquique</t>
  </si>
  <si>
    <t>Matilde</t>
  </si>
  <si>
    <t>Muñoz Rojo</t>
  </si>
  <si>
    <t>22.625.487-0</t>
  </si>
  <si>
    <t>Kirafashionandstyle@gmail.com</t>
  </si>
  <si>
    <t>pasaje uno 3845 condominio san Luis</t>
  </si>
  <si>
    <t>Escudero Olmo</t>
  </si>
  <si>
    <t>20.656.031-2</t>
  </si>
  <si>
    <t>bescuderopolmo@gmail.com</t>
  </si>
  <si>
    <t>Capitán Pedro Gonzales #2892</t>
  </si>
  <si>
    <t>Arantza</t>
  </si>
  <si>
    <t>Valdes Rojas</t>
  </si>
  <si>
    <t>21.491.877-3</t>
  </si>
  <si>
    <t>arantza.valdes50@gmail.com</t>
  </si>
  <si>
    <t>Parada Ramírez</t>
  </si>
  <si>
    <t>22. 317.311-k</t>
  </si>
  <si>
    <t>Av. Jericó pje. Esfuerzo manzana #5 sitio #5 El Boro. Alto Hospicio.</t>
  </si>
  <si>
    <t>Damarizza</t>
  </si>
  <si>
    <t>Cajas Carrasco</t>
  </si>
  <si>
    <t>21.140.893-6</t>
  </si>
  <si>
    <t>damari.tamara123@gmail.com</t>
  </si>
  <si>
    <t>Asmat Anco</t>
  </si>
  <si>
    <t>21.725.204-0</t>
  </si>
  <si>
    <t>Fernandasmat123@gmail.com</t>
  </si>
  <si>
    <t>Genaro Gallo #554, Edificio Portada oriente, Iquique</t>
  </si>
  <si>
    <t>Bastián</t>
  </si>
  <si>
    <t>Donoso Muñoz</t>
  </si>
  <si>
    <t>21.620.068-3</t>
  </si>
  <si>
    <t>bastian.donoso.munoz@gmail.com</t>
  </si>
  <si>
    <t>Valery</t>
  </si>
  <si>
    <t>Madrid Basaez</t>
  </si>
  <si>
    <t>20.504.054-4</t>
  </si>
  <si>
    <t>valerymadridbazaes@gmail.com</t>
  </si>
  <si>
    <t>Avenida héroes de la concepción 2729, Iquique</t>
  </si>
  <si>
    <t>Constanza Abigail</t>
  </si>
  <si>
    <t>Castillo Armijo</t>
  </si>
  <si>
    <t>21.004.018-8</t>
  </si>
  <si>
    <t>Cony.cast.a@gmail.com</t>
  </si>
  <si>
    <t>Diana</t>
  </si>
  <si>
    <t>Hernández</t>
  </si>
  <si>
    <t>27.160.822-5</t>
  </si>
  <si>
    <t>deena.hecz@gmail.com</t>
  </si>
  <si>
    <t>Obispo Labbé #800, Iquique</t>
  </si>
  <si>
    <t>Sanzana Rojas</t>
  </si>
  <si>
    <t>19.178.617-3</t>
  </si>
  <si>
    <t>m.sanzanarojas@gmail.com</t>
  </si>
  <si>
    <t>Av. Arturo Prat 5001 de referencia, Bajo molle Km 10</t>
  </si>
  <si>
    <t>Dicla Abigail</t>
  </si>
  <si>
    <t>García Machaca</t>
  </si>
  <si>
    <t>22733206-9</t>
  </si>
  <si>
    <t>diclabel13@gmail.com</t>
  </si>
  <si>
    <t>Aros Jara</t>
  </si>
  <si>
    <t>8.471.089-k</t>
  </si>
  <si>
    <t>Av. la tirana 3637</t>
  </si>
  <si>
    <t>9 5775 2994</t>
  </si>
  <si>
    <t>Heidy</t>
  </si>
  <si>
    <t>Gonzales Tango</t>
  </si>
  <si>
    <t>25.131.219-2</t>
  </si>
  <si>
    <t>heidy3674@gmail.com</t>
  </si>
  <si>
    <t>Alto Molle Lote "Q" Nro 16 ( Alto Hospicio)</t>
  </si>
  <si>
    <t>9 9887 9027</t>
  </si>
  <si>
    <t>Genesis Scarlet</t>
  </si>
  <si>
    <t>López Araya</t>
  </si>
  <si>
    <t>19.179.510-5</t>
  </si>
  <si>
    <t>genesislopeza@gmail.com</t>
  </si>
  <si>
    <t>Jeanlee</t>
  </si>
  <si>
    <t>Arrouch</t>
  </si>
  <si>
    <t>21.255.738-2</t>
  </si>
  <si>
    <t>dismocked@gmail.com</t>
  </si>
  <si>
    <t>Edson</t>
  </si>
  <si>
    <t>Trujillo Pinto</t>
  </si>
  <si>
    <t>25.303.537-4</t>
  </si>
  <si>
    <t>edsontrujillopinto51@gmail.com</t>
  </si>
  <si>
    <t>Franchesca</t>
  </si>
  <si>
    <t>Vilches</t>
  </si>
  <si>
    <t>20.504.227-k</t>
  </si>
  <si>
    <t>franchezca.alc@gmail.com</t>
  </si>
  <si>
    <t>Nilo</t>
  </si>
  <si>
    <t>20.505.940-7</t>
  </si>
  <si>
    <t>María Yaquelin</t>
  </si>
  <si>
    <t>Aguilar Urias</t>
  </si>
  <si>
    <t>26.448.785-4</t>
  </si>
  <si>
    <t>Aguilarurias.m@gmail.com</t>
  </si>
  <si>
    <t>Penélope Monichelli</t>
  </si>
  <si>
    <t>Ayala Reyes</t>
  </si>
  <si>
    <t>27.730.840-1</t>
  </si>
  <si>
    <t>penelope.monitayals@gmail.com</t>
  </si>
  <si>
    <t>Abigail Priscilla</t>
  </si>
  <si>
    <t>Barahona Cuevas</t>
  </si>
  <si>
    <t>17280922-7</t>
  </si>
  <si>
    <t>abigailbarahonac@gmail.com</t>
  </si>
  <si>
    <t>Av. Diego portales 1605, Iquique.</t>
  </si>
  <si>
    <t>Vanessa</t>
  </si>
  <si>
    <t>Calisaya Alday</t>
  </si>
  <si>
    <t>16.350.170-8</t>
  </si>
  <si>
    <t>vanessacaalday@gmail.com</t>
  </si>
  <si>
    <t>Germania</t>
  </si>
  <si>
    <t>Carranza Rodríguez</t>
  </si>
  <si>
    <t>14.465.416-1</t>
  </si>
  <si>
    <t>Germaniaa.carranza@gmail.com</t>
  </si>
  <si>
    <t>Santa Jimena 2897 Alto Hospicio</t>
  </si>
  <si>
    <t>Porcel Carvajal</t>
  </si>
  <si>
    <t>4.927.089-5</t>
  </si>
  <si>
    <t>maggie_porcel@hotmail.com</t>
  </si>
  <si>
    <t>A. Fernández #2098 depto. 1007 Iquique</t>
  </si>
  <si>
    <t>9 9622 3570</t>
  </si>
  <si>
    <t>Varas Arancibia</t>
  </si>
  <si>
    <t>6.608.249-0</t>
  </si>
  <si>
    <t>Patitapva4@gmail.com</t>
  </si>
  <si>
    <t>Maritza</t>
  </si>
  <si>
    <t>Gonzales</t>
  </si>
  <si>
    <t>9.318.150-6</t>
  </si>
  <si>
    <t>Maritza.angelicalorodriguez@gmail.com</t>
  </si>
  <si>
    <t>Nastassja</t>
  </si>
  <si>
    <t>De Oliveira Valderrama</t>
  </si>
  <si>
    <t>27.329.267-5</t>
  </si>
  <si>
    <t>nastassjado@gmail.com</t>
  </si>
  <si>
    <t>Calle Mango 2865Alto Hospicio</t>
  </si>
  <si>
    <t>9 4815 9654</t>
  </si>
  <si>
    <t>Barbara</t>
  </si>
  <si>
    <t>Vilca</t>
  </si>
  <si>
    <t>15.010.803-9</t>
  </si>
  <si>
    <t>barbaravilca@gmail.com</t>
  </si>
  <si>
    <t>Pasaje Uno # 2947 Alto Hospicio</t>
  </si>
  <si>
    <t>9 8404 4218</t>
  </si>
  <si>
    <t>Rojo Elgueda</t>
  </si>
  <si>
    <t>13.219.441-6</t>
  </si>
  <si>
    <t>tallerarterojo@gmail.com</t>
  </si>
  <si>
    <t>Pasaje uno #3845 condominio San Luis</t>
  </si>
  <si>
    <t>Monsalve</t>
  </si>
  <si>
    <t>12.867.923-5</t>
  </si>
  <si>
    <t>Negrita22345@gmail.com</t>
  </si>
  <si>
    <t>Los Kiwis #2855, Alto Hospicio</t>
  </si>
  <si>
    <t>América</t>
  </si>
  <si>
    <t>Vial Rauna</t>
  </si>
  <si>
    <t>6.801.329-1</t>
  </si>
  <si>
    <t>Amerca1234.zz@gmail.com</t>
  </si>
  <si>
    <t>21 de mayo #1616</t>
  </si>
  <si>
    <t>9 9282 8168</t>
  </si>
  <si>
    <t>Yarela</t>
  </si>
  <si>
    <t>Briones</t>
  </si>
  <si>
    <t>12.396.119-6</t>
  </si>
  <si>
    <t>bayonia@outlook.com</t>
  </si>
  <si>
    <t>Pedrero Porcel</t>
  </si>
  <si>
    <t>10.209.489-1</t>
  </si>
  <si>
    <t>claudia.pedrero @hotmail.com</t>
  </si>
  <si>
    <t>calle uno 3430 villa santa Eloísa Altos hospicio</t>
  </si>
  <si>
    <t>Pérez Ramos</t>
  </si>
  <si>
    <t>26.647.105-k</t>
  </si>
  <si>
    <t>gloriaperezramos6@hotmail.com</t>
  </si>
  <si>
    <t>Roque</t>
  </si>
  <si>
    <t>11.097.883-9</t>
  </si>
  <si>
    <t>mvictoriaroque@gmail.com</t>
  </si>
  <si>
    <t>13 oriente # 2095</t>
  </si>
  <si>
    <t>Rubis</t>
  </si>
  <si>
    <t>Gómez Ferrera</t>
  </si>
  <si>
    <t>28.222.167-5</t>
  </si>
  <si>
    <t>gomez.rubis.gomez@gmail.com</t>
  </si>
  <si>
    <t>Los suspiros casa número 8, Iquique</t>
  </si>
  <si>
    <t>Elgueta Gonzales</t>
  </si>
  <si>
    <t>7.761.757-4</t>
  </si>
  <si>
    <t>Pilardemaria2022@gmail.com</t>
  </si>
  <si>
    <t>Block b7 depto 303 la puntilla villa fach</t>
  </si>
  <si>
    <t>9 7543 7894</t>
  </si>
  <si>
    <t>Martiluz</t>
  </si>
  <si>
    <t>Cortes Diaz</t>
  </si>
  <si>
    <t>6.535.135-k</t>
  </si>
  <si>
    <t>Bravo Zamora</t>
  </si>
  <si>
    <t>4.770.225-9</t>
  </si>
  <si>
    <t>carlosebravo@gmail.com</t>
  </si>
  <si>
    <t>Arias</t>
  </si>
  <si>
    <t>12.212.609-9</t>
  </si>
  <si>
    <t>ximearias72@gmail.com</t>
  </si>
  <si>
    <t>Cerro Dragon 3510 Comuna Iquique</t>
  </si>
  <si>
    <t>Bricio</t>
  </si>
  <si>
    <t>Maureira Briones</t>
  </si>
  <si>
    <t>20.503.986-4</t>
  </si>
  <si>
    <t>briciomaureira08@gmail.com</t>
  </si>
  <si>
    <t>Franchezca</t>
  </si>
  <si>
    <t>Valderrama De Oliveira</t>
  </si>
  <si>
    <t>Delia</t>
  </si>
  <si>
    <t>28.416.191-2</t>
  </si>
  <si>
    <t>deliavicenteleon77@gmail.com</t>
  </si>
  <si>
    <t>La Cisterna</t>
  </si>
  <si>
    <t>Correa Medel</t>
  </si>
  <si>
    <t>6.956.419-4</t>
  </si>
  <si>
    <t>Marina Grande # 4161 Maipu</t>
  </si>
  <si>
    <t>9 92500723</t>
  </si>
  <si>
    <t>Moran Cifuentes</t>
  </si>
  <si>
    <t>5.958.351-4</t>
  </si>
  <si>
    <t>hosteriacolonial@gmail.com</t>
  </si>
  <si>
    <t>Gran Avenida # 8656 La Cisterna</t>
  </si>
  <si>
    <t>9 96361313</t>
  </si>
  <si>
    <t>Morales Rebolledo</t>
  </si>
  <si>
    <t>17.779.468-6</t>
  </si>
  <si>
    <t>Isabel La Católica # 0869 La Cisterna</t>
  </si>
  <si>
    <t>Maria Jose</t>
  </si>
  <si>
    <t>Villegas Nuñez</t>
  </si>
  <si>
    <t>17.182.041-3</t>
  </si>
  <si>
    <t>Vicuña Mackenna #669 La Cisterna</t>
  </si>
  <si>
    <t>9 56230420</t>
  </si>
  <si>
    <t>Marc</t>
  </si>
  <si>
    <t>Arthur Garraud</t>
  </si>
  <si>
    <t>26.660.711-3</t>
  </si>
  <si>
    <t>Avenida El Parron # 0715 depto .536 La Cisterna</t>
  </si>
  <si>
    <t>9 56393691</t>
  </si>
  <si>
    <t>Teresa</t>
  </si>
  <si>
    <t>Ruiz Salinas</t>
  </si>
  <si>
    <t>5.310.947-0</t>
  </si>
  <si>
    <t>Rosa Ester #02547 La Pintana</t>
  </si>
  <si>
    <t>9 42329077</t>
  </si>
  <si>
    <t>Lilibeth</t>
  </si>
  <si>
    <t>Rojas</t>
  </si>
  <si>
    <t>26.234.137-2</t>
  </si>
  <si>
    <t>Ossa #0321 depto 106-B La Cisterna</t>
  </si>
  <si>
    <t>9 65807556</t>
  </si>
  <si>
    <t>Muñoz Gonzalez</t>
  </si>
  <si>
    <t>6.629.061-1</t>
  </si>
  <si>
    <t>Mariateresainstructora @gmail.com</t>
  </si>
  <si>
    <t>TRINIDAD ORIENTE # 662 LA FLORIDA</t>
  </si>
  <si>
    <t>Sergio</t>
  </si>
  <si>
    <t>Pineda Ortiz</t>
  </si>
  <si>
    <t>8.120.555-8</t>
  </si>
  <si>
    <t>Matamala Salazar</t>
  </si>
  <si>
    <t>10.745.647-3</t>
  </si>
  <si>
    <t>Luma # 8665 La Cisterna</t>
  </si>
  <si>
    <t>9 51782646</t>
  </si>
  <si>
    <t>Herrera Valenzuela</t>
  </si>
  <si>
    <t>8.868.009-K</t>
  </si>
  <si>
    <t>Pasaje verde # 9588 El Bosque</t>
  </si>
  <si>
    <t>9 71392117</t>
  </si>
  <si>
    <t>Maria Veronica</t>
  </si>
  <si>
    <t>Barahona Salgado</t>
  </si>
  <si>
    <t>6.844.895-6</t>
  </si>
  <si>
    <t>Anibal Pinto # 9685 El Bosque</t>
  </si>
  <si>
    <t>9 53027857</t>
  </si>
  <si>
    <t>La Serena</t>
  </si>
  <si>
    <t>Esperanza</t>
  </si>
  <si>
    <t>Gonzalez Nuñez</t>
  </si>
  <si>
    <t>23.114.816-7</t>
  </si>
  <si>
    <t>Samaraalejandra82@gmail.com</t>
  </si>
  <si>
    <t>Catalina Pascuala</t>
  </si>
  <si>
    <t>Vidal Silva</t>
  </si>
  <si>
    <t>22.259.632-7</t>
  </si>
  <si>
    <t>Marceale79@gmail.com</t>
  </si>
  <si>
    <t>Tobias</t>
  </si>
  <si>
    <t>22.727.298-8</t>
  </si>
  <si>
    <t>Juliana Francisca</t>
  </si>
  <si>
    <t>Gomez Gomez</t>
  </si>
  <si>
    <t>20.657.589-1</t>
  </si>
  <si>
    <t>Juliannagomez2001@gmail.com</t>
  </si>
  <si>
    <t>Amaya Sayen</t>
  </si>
  <si>
    <t>Escobar Nuñez</t>
  </si>
  <si>
    <t>22.376.081-3</t>
  </si>
  <si>
    <t>Andonaire Rodriguez</t>
  </si>
  <si>
    <t>21.575.133-3</t>
  </si>
  <si>
    <t>Martina.rsole@gmail.com</t>
  </si>
  <si>
    <t>Alvarez</t>
  </si>
  <si>
    <t>21.403.903-6</t>
  </si>
  <si>
    <t>Donoso Saez</t>
  </si>
  <si>
    <t>21.447.017-9</t>
  </si>
  <si>
    <t>crackcatalina@gmail.com</t>
  </si>
  <si>
    <t>Emma</t>
  </si>
  <si>
    <t>Fernandez Fa</t>
  </si>
  <si>
    <t>6.802.656-3</t>
  </si>
  <si>
    <t>emmafernan2014@gmail.com</t>
  </si>
  <si>
    <t>Angelica Roxana</t>
  </si>
  <si>
    <t>Rojas Contreras</t>
  </si>
  <si>
    <t>6.264.765-5</t>
  </si>
  <si>
    <t>roxanarojas1516@gmail.com</t>
  </si>
  <si>
    <t>Helia</t>
  </si>
  <si>
    <t>Herrera Tolmo</t>
  </si>
  <si>
    <t>4.059.829-0</t>
  </si>
  <si>
    <t>Contreras Gonzalez</t>
  </si>
  <si>
    <t>3.778.270-8</t>
  </si>
  <si>
    <t>Marcelo Aroldo</t>
  </si>
  <si>
    <t>Gonzales Madariaga</t>
  </si>
  <si>
    <t>15.673.450-0</t>
  </si>
  <si>
    <t>Samara Alejandra</t>
  </si>
  <si>
    <t>Nuñez Morales</t>
  </si>
  <si>
    <t>15.103.797-6</t>
  </si>
  <si>
    <t>Piraino Claverie</t>
  </si>
  <si>
    <t>13.185.205-3</t>
  </si>
  <si>
    <t>carolinapirainoc@gmail.com</t>
  </si>
  <si>
    <t>Esmilda</t>
  </si>
  <si>
    <t>Carvajal Campusano</t>
  </si>
  <si>
    <t>4.026.496-5</t>
  </si>
  <si>
    <t>Aneliesse</t>
  </si>
  <si>
    <t>Dabeck Schedko</t>
  </si>
  <si>
    <t>7.753.146-7</t>
  </si>
  <si>
    <t>dabeckschedko@gmail.com</t>
  </si>
  <si>
    <t>Maria Eugenia</t>
  </si>
  <si>
    <t>Cortes Tapia</t>
  </si>
  <si>
    <t>7.764.683-3</t>
  </si>
  <si>
    <t>Nancy Del Carmen</t>
  </si>
  <si>
    <t>Rojas Acosta</t>
  </si>
  <si>
    <t>9.112.209-4</t>
  </si>
  <si>
    <t>rojasnancy63@gmail.com</t>
  </si>
  <si>
    <t>Donoso Peralta</t>
  </si>
  <si>
    <t>10.005.673-9</t>
  </si>
  <si>
    <t>Pamela_312@hotmail.com</t>
  </si>
  <si>
    <t>Juarez Nader</t>
  </si>
  <si>
    <t>11.819.724-0</t>
  </si>
  <si>
    <t>patyjuna@gmail.com</t>
  </si>
  <si>
    <t>Barraza Guerra</t>
  </si>
  <si>
    <t>Rojas Pizarro</t>
  </si>
  <si>
    <t>4.839.600-3</t>
  </si>
  <si>
    <t>Olga Betty</t>
  </si>
  <si>
    <t>Molina Molina</t>
  </si>
  <si>
    <t>6.848.145-7</t>
  </si>
  <si>
    <t>Bettymolina172@gmail.com</t>
  </si>
  <si>
    <t>Ivonne</t>
  </si>
  <si>
    <t>Camaño</t>
  </si>
  <si>
    <t>Rojas Toro</t>
  </si>
  <si>
    <t>Maria Edith</t>
  </si>
  <si>
    <t>Inostroza Cueva</t>
  </si>
  <si>
    <t>6.581.192-8</t>
  </si>
  <si>
    <t>medithinostroza@terra.com</t>
  </si>
  <si>
    <t>Ana Maria</t>
  </si>
  <si>
    <t>Norambuena Aranguiz</t>
  </si>
  <si>
    <t>7.570.409-7</t>
  </si>
  <si>
    <t>anamnorambuenaaranguiz@hotmail.com</t>
  </si>
  <si>
    <t>Augier Parrague</t>
  </si>
  <si>
    <t>5.029.792-6</t>
  </si>
  <si>
    <t>marite5633@yahoo.com</t>
  </si>
  <si>
    <t>Viviana</t>
  </si>
  <si>
    <t>Espejo Marin</t>
  </si>
  <si>
    <t>10.400.085-1</t>
  </si>
  <si>
    <t>vivianaespejomarin@gmail.com</t>
  </si>
  <si>
    <t>Liliana Rubi</t>
  </si>
  <si>
    <t>Arias Jeldez</t>
  </si>
  <si>
    <t>6.201.093-2</t>
  </si>
  <si>
    <t>rubiarias55@gmail.com</t>
  </si>
  <si>
    <t>Gallardo Flores</t>
  </si>
  <si>
    <t>9.374.170-6</t>
  </si>
  <si>
    <t>Elizabeth Midely</t>
  </si>
  <si>
    <t>Rivera Nieva</t>
  </si>
  <si>
    <t>6.139.876-7</t>
  </si>
  <si>
    <t>elizabethriverni@yahoo.com</t>
  </si>
  <si>
    <t>Maria Olga</t>
  </si>
  <si>
    <t>Liberona Abarca</t>
  </si>
  <si>
    <t>4.115.351-2</t>
  </si>
  <si>
    <t>Esmeralda</t>
  </si>
  <si>
    <t>Araya Barraza</t>
  </si>
  <si>
    <t>5.420.273-3</t>
  </si>
  <si>
    <t>Ana Ester</t>
  </si>
  <si>
    <t>Alfaro Rojas</t>
  </si>
  <si>
    <t>7.602.111-2</t>
  </si>
  <si>
    <t>Mirna Del Carmen</t>
  </si>
  <si>
    <t>Bugueño Trujillo</t>
  </si>
  <si>
    <t>7.675.482-9</t>
  </si>
  <si>
    <t>Cortes Jofre</t>
  </si>
  <si>
    <t>7.585.788-0</t>
  </si>
  <si>
    <t>anamacortesj@hotmail.com</t>
  </si>
  <si>
    <t>Deisy Edith</t>
  </si>
  <si>
    <t>Barahona Julio</t>
  </si>
  <si>
    <t>6.707.881-0</t>
  </si>
  <si>
    <t>Deicybarahona@hotmail.com</t>
  </si>
  <si>
    <t>Santander Ramirez</t>
  </si>
  <si>
    <t>6.030.106-9</t>
  </si>
  <si>
    <t>Salinas Orellana</t>
  </si>
  <si>
    <t>4.154.360-4</t>
  </si>
  <si>
    <t>Javiera Raquel</t>
  </si>
  <si>
    <t>Huerta Santander</t>
  </si>
  <si>
    <t>19.637.947-9</t>
  </si>
  <si>
    <t>Javiera.huerta@alumnos.ucn.cl</t>
  </si>
  <si>
    <t>Agustin Eduardo</t>
  </si>
  <si>
    <t>Azocar Castillo</t>
  </si>
  <si>
    <t>aguazocar@gnmail.com</t>
  </si>
  <si>
    <t>Laura Isadora</t>
  </si>
  <si>
    <t>Lauraazocar65@gmail.com</t>
  </si>
  <si>
    <t>Noel Antonio</t>
  </si>
  <si>
    <t>Cabrera Barraza</t>
  </si>
  <si>
    <t>19.949.285-3</t>
  </si>
  <si>
    <t>c.28.noelantonio@gmail.com</t>
  </si>
  <si>
    <t xml:space="preserve">Ana </t>
  </si>
  <si>
    <t>Cortes Moreira</t>
  </si>
  <si>
    <t>14.369.720-7</t>
  </si>
  <si>
    <t>Carrasco Villalobos</t>
  </si>
  <si>
    <t>23.605.079-3</t>
  </si>
  <si>
    <t>Barria Carrasco</t>
  </si>
  <si>
    <t>23.341.017-9</t>
  </si>
  <si>
    <t>Guiliana</t>
  </si>
  <si>
    <t>Asenjo Pereda</t>
  </si>
  <si>
    <t>22.222.943-k</t>
  </si>
  <si>
    <t>Stefania</t>
  </si>
  <si>
    <t>Moller Vidal</t>
  </si>
  <si>
    <t>22.077.584-4</t>
  </si>
  <si>
    <t>estefaniamollervidal@gmail.com</t>
  </si>
  <si>
    <t>Eugenia</t>
  </si>
  <si>
    <t>Lopez Carvallo</t>
  </si>
  <si>
    <t>4.839.137-0</t>
  </si>
  <si>
    <t>Paula</t>
  </si>
  <si>
    <t>Arens Mejias</t>
  </si>
  <si>
    <t>17.341.848-4</t>
  </si>
  <si>
    <t>Navarro Ramirez</t>
  </si>
  <si>
    <t>3.657.828-9</t>
  </si>
  <si>
    <t>Guillermo</t>
  </si>
  <si>
    <t>Hernandez Rivera</t>
  </si>
  <si>
    <t>Cárdenas Adriazola</t>
  </si>
  <si>
    <t>5.266.889-1</t>
  </si>
  <si>
    <t>Quezada Solis</t>
  </si>
  <si>
    <t>9.135.963-4</t>
  </si>
  <si>
    <t>veronica.quezada1963@gmail.com</t>
  </si>
  <si>
    <t>Filomena</t>
  </si>
  <si>
    <t>Muñoz Alvarez</t>
  </si>
  <si>
    <t>3.674.876-1</t>
  </si>
  <si>
    <t>Muñoz Muñoz</t>
  </si>
  <si>
    <t>3.369.312-5</t>
  </si>
  <si>
    <t xml:space="preserve">Magaly </t>
  </si>
  <si>
    <t>Urriaga Ormeño</t>
  </si>
  <si>
    <t>8.639462-6</t>
  </si>
  <si>
    <t>magalyurriaga@yahoo.es</t>
  </si>
  <si>
    <t>Elba</t>
  </si>
  <si>
    <t>Vera Navarro</t>
  </si>
  <si>
    <t>6.426.091-k</t>
  </si>
  <si>
    <t>Rosalía</t>
  </si>
  <si>
    <t>Fernández Reyes</t>
  </si>
  <si>
    <t>9.658.840-2</t>
  </si>
  <si>
    <t>Nidia</t>
  </si>
  <si>
    <t>Vallejos Garcés</t>
  </si>
  <si>
    <t>10.245.226-7</t>
  </si>
  <si>
    <t>Lago Ranco</t>
  </si>
  <si>
    <t>Sebastian Eduardo</t>
  </si>
  <si>
    <t>Delgado Barrientos</t>
  </si>
  <si>
    <t>18.734.168-k</t>
  </si>
  <si>
    <t>Pje azaleas#145</t>
  </si>
  <si>
    <t>Marcia Lorena</t>
  </si>
  <si>
    <t>Gonzalez Jaramillo</t>
  </si>
  <si>
    <t>11.541.823-8</t>
  </si>
  <si>
    <t>Marcia.gonzalaz@gmail.com</t>
  </si>
  <si>
    <t>Linares #114</t>
  </si>
  <si>
    <t>Ana Patricia</t>
  </si>
  <si>
    <t>Lleufo Lignay</t>
  </si>
  <si>
    <t>11.453.954-6</t>
  </si>
  <si>
    <t>Cruzrojaflr01@gmail.com</t>
  </si>
  <si>
    <t>Quillaico parcela 5</t>
  </si>
  <si>
    <t>María Eugenia</t>
  </si>
  <si>
    <t>Velasquez Duran</t>
  </si>
  <si>
    <t>10.116.472-1</t>
  </si>
  <si>
    <t>Ojos del huishue #388</t>
  </si>
  <si>
    <t>Monica Del Carmen</t>
  </si>
  <si>
    <t>Lopez Vilches</t>
  </si>
  <si>
    <t>10.641.240-5</t>
  </si>
  <si>
    <t>Calle Concepción s/n</t>
  </si>
  <si>
    <t>Paola Roxana</t>
  </si>
  <si>
    <t>Silva Casanova</t>
  </si>
  <si>
    <t>13.819.507-4</t>
  </si>
  <si>
    <t>pasicas.59@gmail.com</t>
  </si>
  <si>
    <t>Pje azaleas #145</t>
  </si>
  <si>
    <t>Luis Hernan</t>
  </si>
  <si>
    <t>Cardenas Paredes</t>
  </si>
  <si>
    <t>11.541.749-5</t>
  </si>
  <si>
    <t>luishernacp@gmail.com</t>
  </si>
  <si>
    <t>Calle concepción #540</t>
  </si>
  <si>
    <t>Paulo Javier</t>
  </si>
  <si>
    <t>Cardenas Monje</t>
  </si>
  <si>
    <t>18.888.119-k</t>
  </si>
  <si>
    <t>Sandra Vitalia</t>
  </si>
  <si>
    <t>Barrentos Vera</t>
  </si>
  <si>
    <t>10.778.998-7</t>
  </si>
  <si>
    <t>Rodrigoreyes01@gmail.com</t>
  </si>
  <si>
    <t>Quillaico s/n</t>
  </si>
  <si>
    <t>Victor Hugo</t>
  </si>
  <si>
    <t>Jara Leal</t>
  </si>
  <si>
    <t>9.282.759-3</t>
  </si>
  <si>
    <t>jaralealv@gmail.com</t>
  </si>
  <si>
    <t>Calle Concepción #553</t>
  </si>
  <si>
    <t>Tamara Alexandra</t>
  </si>
  <si>
    <t>Monsalves Leufo</t>
  </si>
  <si>
    <t>19.750.842-6</t>
  </si>
  <si>
    <t>Jose Benjamin</t>
  </si>
  <si>
    <t>Carrasco Ulloa</t>
  </si>
  <si>
    <t>9.540.678-5</t>
  </si>
  <si>
    <t>Calle Valparaiso #229</t>
  </si>
  <si>
    <t>Lanco</t>
  </si>
  <si>
    <t>Jeremías Israel</t>
  </si>
  <si>
    <t>Cavieres Roa</t>
  </si>
  <si>
    <t>20.3.56797-8</t>
  </si>
  <si>
    <t>Calle 2 oriente 52</t>
  </si>
  <si>
    <t>Mónica odett</t>
  </si>
  <si>
    <t>Manríquez Figueroa</t>
  </si>
  <si>
    <t>11.421.037-4</t>
  </si>
  <si>
    <t>Calle catrico-167</t>
  </si>
  <si>
    <t>María carmen</t>
  </si>
  <si>
    <t>Manquel huichaman</t>
  </si>
  <si>
    <t>9.510.078-3</t>
  </si>
  <si>
    <t>Calla catrico 147</t>
  </si>
  <si>
    <t>Magaly Alejandra</t>
  </si>
  <si>
    <t>Ovando Alarcón</t>
  </si>
  <si>
    <t>11.421.063-3</t>
  </si>
  <si>
    <t>José de san Martín 640</t>
  </si>
  <si>
    <t>Sara del Carmen</t>
  </si>
  <si>
    <t>Jara guerra</t>
  </si>
  <si>
    <t>7.888.672-2</t>
  </si>
  <si>
    <t>Estermaller.730</t>
  </si>
  <si>
    <t>Ramona del Carmen</t>
  </si>
  <si>
    <t>Jara Araya</t>
  </si>
  <si>
    <t>6.898.773-3</t>
  </si>
  <si>
    <t>calle miguel pineda-500</t>
  </si>
  <si>
    <t>Juana candelaria</t>
  </si>
  <si>
    <t>Duarte Lara</t>
  </si>
  <si>
    <t>7.183.367-4</t>
  </si>
  <si>
    <t>Rio leufucade 731</t>
  </si>
  <si>
    <t>Concha Rivas</t>
  </si>
  <si>
    <t>9.774.269-3</t>
  </si>
  <si>
    <t>Calle esperanza 585</t>
  </si>
  <si>
    <t>Maira esmeralda</t>
  </si>
  <si>
    <t>Besones Arcia</t>
  </si>
  <si>
    <t>26.538.170-7</t>
  </si>
  <si>
    <t>Calle 18 de septiembre 344</t>
  </si>
  <si>
    <t>Lastarria</t>
  </si>
  <si>
    <t>Catalina Adriana</t>
  </si>
  <si>
    <t>Fincheira Contreras</t>
  </si>
  <si>
    <t>21.952.482-K</t>
  </si>
  <si>
    <t>catafincheira1234@gmail.com</t>
  </si>
  <si>
    <t>Yolanda</t>
  </si>
  <si>
    <t>Herrera Pereira</t>
  </si>
  <si>
    <t>5.980.658-4</t>
  </si>
  <si>
    <t>yolandaherrerapereira@gm ail.com</t>
  </si>
  <si>
    <t>Venecia S/N Gorbea</t>
  </si>
  <si>
    <t>Marta  Elena</t>
  </si>
  <si>
    <t>Riffo Curallanca</t>
  </si>
  <si>
    <t>13.813.376-3</t>
  </si>
  <si>
    <t>Elenaelenado3@gmail.com</t>
  </si>
  <si>
    <t>Ex Ruta 5 Sur S/N, Gorbea</t>
  </si>
  <si>
    <t>Aldea Berger</t>
  </si>
  <si>
    <t>5.687.587-5</t>
  </si>
  <si>
    <t>carmenaldeaberger@gmail.c om</t>
  </si>
  <si>
    <t>Odilia</t>
  </si>
  <si>
    <t>Mendoza Rodriguez</t>
  </si>
  <si>
    <t>5.819.332-1</t>
  </si>
  <si>
    <t>Bicentenario Nº135, Gorbea</t>
  </si>
  <si>
    <t>Maria Sonia</t>
  </si>
  <si>
    <t>Alveal Quintana</t>
  </si>
  <si>
    <t>6.751.894-2</t>
  </si>
  <si>
    <t>Las  Camelias Nº61  Gorbea</t>
  </si>
  <si>
    <t>Jacqueli Ne</t>
  </si>
  <si>
    <t>Bastías Arriagada</t>
  </si>
  <si>
    <t>10.293.833-K</t>
  </si>
  <si>
    <t>Jacqueline_2121@hotmail.c om</t>
  </si>
  <si>
    <t>Blanco Encalada S/N, Gorbea</t>
  </si>
  <si>
    <t>Teresita Del Carmen</t>
  </si>
  <si>
    <t>Contreras Huaiquilef</t>
  </si>
  <si>
    <t>11.540.553-5</t>
  </si>
  <si>
    <t>teresitalastarria1@gmail.co
 m</t>
  </si>
  <si>
    <t>Villa Alegre S/N, Gorbea</t>
  </si>
  <si>
    <t>Marta Susana</t>
  </si>
  <si>
    <t>Vega Brito</t>
  </si>
  <si>
    <t>9.861.163-0</t>
  </si>
  <si>
    <t>20 De Mayo Nº248</t>
  </si>
  <si>
    <t>Celedina Eliana</t>
  </si>
  <si>
    <t>6.632.276-9</t>
  </si>
  <si>
    <t>18 De Septiembre Nº117, Gorbea</t>
  </si>
  <si>
    <t>Esteban</t>
  </si>
  <si>
    <t>Barra Ocampo</t>
  </si>
  <si>
    <t>6.852.430-7</t>
  </si>
  <si>
    <t>Venecia S/N, Gorbea</t>
  </si>
  <si>
    <t>Blanca Ester</t>
  </si>
  <si>
    <t>Garrido Pincheira</t>
  </si>
  <si>
    <t>7.940.994-4</t>
  </si>
  <si>
    <t>Lebu</t>
  </si>
  <si>
    <t>Oriela</t>
  </si>
  <si>
    <t>Aburto Lopez</t>
  </si>
  <si>
    <t>23.410.521-3</t>
  </si>
  <si>
    <t>Pobl Antonio Rebolledo Ramon Punti #214</t>
  </si>
  <si>
    <t>Jhoana</t>
  </si>
  <si>
    <t>Lagos Rivera</t>
  </si>
  <si>
    <t>19.816.381-3</t>
  </si>
  <si>
    <t>San Sebastian #62 Pobl. Cardenal</t>
  </si>
  <si>
    <t>Camila</t>
  </si>
  <si>
    <t>Baeza Navarro</t>
  </si>
  <si>
    <t>20.732.192-3</t>
  </si>
  <si>
    <t>Angel Cruchaga #28</t>
  </si>
  <si>
    <t>David</t>
  </si>
  <si>
    <t>Rebolledo Lagos</t>
  </si>
  <si>
    <t>19.273.096-1</t>
  </si>
  <si>
    <t>Diego Portales # 1614 Los Alamos</t>
  </si>
  <si>
    <t>Rocio</t>
  </si>
  <si>
    <t>Calbun Rebolledo</t>
  </si>
  <si>
    <t>20.514.506-0</t>
  </si>
  <si>
    <t>Lautaro #05 Pobl. J.M.C</t>
  </si>
  <si>
    <t>Leslie</t>
  </si>
  <si>
    <t>Burgos Millahual</t>
  </si>
  <si>
    <t>20.194.395-7</t>
  </si>
  <si>
    <t>burgosmillahualleslie@gmail.com</t>
  </si>
  <si>
    <t>Jorgue Roa #9</t>
  </si>
  <si>
    <t>Riquelme Saez</t>
  </si>
  <si>
    <t>19.868.170-9</t>
  </si>
  <si>
    <t>Ongolmo #49 Pobla. J.M.C</t>
  </si>
  <si>
    <t>Danitza</t>
  </si>
  <si>
    <t>Aguayo Ramirez</t>
  </si>
  <si>
    <t>19.364.296-9</t>
  </si>
  <si>
    <t>Rivera Nuñez</t>
  </si>
  <si>
    <t>12.608.066-3</t>
  </si>
  <si>
    <t>Lagos Fuentealba</t>
  </si>
  <si>
    <t>13.390.052-7</t>
  </si>
  <si>
    <t>Juan</t>
  </si>
  <si>
    <t>Cordova Fuentes</t>
  </si>
  <si>
    <t>15.989.611-0</t>
  </si>
  <si>
    <t>Jelegabriel.cora.fuz@gmail.com</t>
  </si>
  <si>
    <t>Lopez Almonacid</t>
  </si>
  <si>
    <t>14.176.534-5</t>
  </si>
  <si>
    <t>Ramon Punti #214</t>
  </si>
  <si>
    <t>Adela</t>
  </si>
  <si>
    <t>Saez Rojas</t>
  </si>
  <si>
    <t>14.272.838-9</t>
  </si>
  <si>
    <t>Adelasaezrojas74@gmail.com</t>
  </si>
  <si>
    <t>J.M.C Ongolmo #49</t>
  </si>
  <si>
    <t>Fuentealba Aguayo</t>
  </si>
  <si>
    <t>8.879.935-6</t>
  </si>
  <si>
    <t>mariafuentealbaaguayo@gmail.com</t>
  </si>
  <si>
    <t>Angel Cruchaga #16</t>
  </si>
  <si>
    <t>Lagos Diaz</t>
  </si>
  <si>
    <t>10.277.298-9</t>
  </si>
  <si>
    <t>Diego Portales #1614 Los Alamos</t>
  </si>
  <si>
    <t>Narciso</t>
  </si>
  <si>
    <t>7.531.590-2</t>
  </si>
  <si>
    <t>Lican Ray</t>
  </si>
  <si>
    <t>Marta Del Transito</t>
  </si>
  <si>
    <t>Rubilar Beroisa</t>
  </si>
  <si>
    <t>6.264.998-4</t>
  </si>
  <si>
    <t>General Urrutia 780</t>
  </si>
  <si>
    <t>Carolina  Jeanette</t>
  </si>
  <si>
    <t>Velasquez Vasquez</t>
  </si>
  <si>
    <t>20.253.277-2</t>
  </si>
  <si>
    <t>Con Panguipilli</t>
  </si>
  <si>
    <t>Maria Belen</t>
  </si>
  <si>
    <t>Angelbeck Villablanca</t>
  </si>
  <si>
    <t>19.608.471-1</t>
  </si>
  <si>
    <t>Fernanda Samantha</t>
  </si>
  <si>
    <t>Figueroa Vasquez</t>
  </si>
  <si>
    <t>18.959.296-5</t>
  </si>
  <si>
    <t>Cno Pangui</t>
  </si>
  <si>
    <t>Erna Jeanette</t>
  </si>
  <si>
    <t>Vasquez Caniulef</t>
  </si>
  <si>
    <t>11.424.187-3</t>
  </si>
  <si>
    <t>Cno Panguipulli</t>
  </si>
  <si>
    <t>Francisca Constanza</t>
  </si>
  <si>
    <t>San Martin Retamal</t>
  </si>
  <si>
    <t>17.827.485-6</t>
  </si>
  <si>
    <t>General Urrutia 915</t>
  </si>
  <si>
    <t>Cristobal Nibaldo</t>
  </si>
  <si>
    <t>17.826.151-7</t>
  </si>
  <si>
    <t>Camila Jose</t>
  </si>
  <si>
    <t>Retamal Valdes</t>
  </si>
  <si>
    <t>17.046.865-1</t>
  </si>
  <si>
    <t>Pasaje Al Rio 16 - Licanray</t>
  </si>
  <si>
    <t>Gonzalez Alarcon</t>
  </si>
  <si>
    <t>16.911.936-</t>
  </si>
  <si>
    <t>Fabiola Alejandra</t>
  </si>
  <si>
    <t>Carrasco Retamal</t>
  </si>
  <si>
    <t>15.254.870-2</t>
  </si>
  <si>
    <t>General Urrutia 856</t>
  </si>
  <si>
    <t>Carolina Maria</t>
  </si>
  <si>
    <t>Frost Vielman</t>
  </si>
  <si>
    <t>15.423.324-5</t>
  </si>
  <si>
    <t>Km 19 Cudico</t>
  </si>
  <si>
    <t>Enomicia  Elizabeth</t>
  </si>
  <si>
    <t>Urra Vasquez</t>
  </si>
  <si>
    <t>7.061.631-9</t>
  </si>
  <si>
    <t>Sector Estadio</t>
  </si>
  <si>
    <t>Veronica  Zunilda</t>
  </si>
  <si>
    <t>Escalona Villegas</t>
  </si>
  <si>
    <t>14.537.285-2</t>
  </si>
  <si>
    <t>FelipeManquen 105</t>
  </si>
  <si>
    <t>Jose Ignacio</t>
  </si>
  <si>
    <t>Lainez Gonzalez</t>
  </si>
  <si>
    <t>13.930.676-1</t>
  </si>
  <si>
    <t>Elisa  Guadalupe</t>
  </si>
  <si>
    <t>Villablanca Alvarez</t>
  </si>
  <si>
    <t>8.472.402-5</t>
  </si>
  <si>
    <t>Psje Las Rosas 1350</t>
  </si>
  <si>
    <t>Escalona</t>
  </si>
  <si>
    <t>12.389.445-6</t>
  </si>
  <si>
    <t>Cacique</t>
  </si>
  <si>
    <t>Paola Alejandra</t>
  </si>
  <si>
    <t>Flores Cutiño</t>
  </si>
  <si>
    <t>12.261.872-2</t>
  </si>
  <si>
    <t>Chesque Km 5</t>
  </si>
  <si>
    <t>Carmen Carola</t>
  </si>
  <si>
    <t>Cabrera Espinoza</t>
  </si>
  <si>
    <t>19.639.125-8</t>
  </si>
  <si>
    <t>Cudico Alto Numero 5</t>
  </si>
  <si>
    <t>Ximena Edith</t>
  </si>
  <si>
    <t>Muñoz Cocio</t>
  </si>
  <si>
    <t>12.200.472-4</t>
  </si>
  <si>
    <t>Mafalda Miroslava De La</t>
  </si>
  <si>
    <t>Peña Echevaguren</t>
  </si>
  <si>
    <t>6.568.291 -5</t>
  </si>
  <si>
    <t>Carolina Alicia</t>
  </si>
  <si>
    <t>Concha Zapata</t>
  </si>
  <si>
    <t>10.386.805-K</t>
  </si>
  <si>
    <t>Km 19,5 Afunalhue</t>
  </si>
  <si>
    <t>Rosa Emilia</t>
  </si>
  <si>
    <t>Soto Ormeño</t>
  </si>
  <si>
    <t>8.567.372-6</t>
  </si>
  <si>
    <t>Rafael Mera 504</t>
  </si>
  <si>
    <t>Maria Gloria</t>
  </si>
  <si>
    <t>Balle Ainol</t>
  </si>
  <si>
    <t>7.535.801-6</t>
  </si>
  <si>
    <t>MAGLOBALLE@GMAIL.COM</t>
  </si>
  <si>
    <t>Cnovillarrica Lican Km12</t>
  </si>
  <si>
    <t>Luis Alberto</t>
  </si>
  <si>
    <t>Vidal Muñoz</t>
  </si>
  <si>
    <t>8.790.240-9</t>
  </si>
  <si>
    <t>Cudico 236</t>
  </si>
  <si>
    <t>Lilian Yinet</t>
  </si>
  <si>
    <t>Alvarez Ulloa</t>
  </si>
  <si>
    <t>Gabriela Mistral 1060</t>
  </si>
  <si>
    <t>Isabel Rebeca</t>
  </si>
  <si>
    <t>Ayulef Curinao</t>
  </si>
  <si>
    <t>8.0293.853-6</t>
  </si>
  <si>
    <t>Parcela 5 Los Ciruelos</t>
  </si>
  <si>
    <t>Villegas</t>
  </si>
  <si>
    <t>Curiñanco 140</t>
  </si>
  <si>
    <t>Elena Del Carmen</t>
  </si>
  <si>
    <t>Rivera Rondanelli</t>
  </si>
  <si>
    <t>8.686.661-7</t>
  </si>
  <si>
    <t>Con Villarrica 1171</t>
  </si>
  <si>
    <t>Castro Vidal</t>
  </si>
  <si>
    <t>5.816.690-1</t>
  </si>
  <si>
    <t>Chesque Bajo Curilelfu</t>
  </si>
  <si>
    <t>Carmen Rudelina</t>
  </si>
  <si>
    <t>Reyes Huenteleo</t>
  </si>
  <si>
    <t>11.799.734-0</t>
  </si>
  <si>
    <t>Sector Cudico 236</t>
  </si>
  <si>
    <t>Oyarzo Perez</t>
  </si>
  <si>
    <t>4.071.910-5</t>
  </si>
  <si>
    <t>Stgo Loncopan S/N</t>
  </si>
  <si>
    <t>Limache</t>
  </si>
  <si>
    <t>Eudelia Beatriz</t>
  </si>
  <si>
    <t>Gonzalez Mejias</t>
  </si>
  <si>
    <t>6396958-3</t>
  </si>
  <si>
    <t>beatrizmejias@gmail.com</t>
  </si>
  <si>
    <t>Calle Libertad 704</t>
  </si>
  <si>
    <t>Josefina Antonia</t>
  </si>
  <si>
    <t>Allende Calderon</t>
  </si>
  <si>
    <t>21433181-5</t>
  </si>
  <si>
    <t>Echaurren 210</t>
  </si>
  <si>
    <t>Javiera Geminma</t>
  </si>
  <si>
    <t>Vàsquez Garcìa</t>
  </si>
  <si>
    <t>20641203-0</t>
  </si>
  <si>
    <t>Javieravasquez@gmail.com</t>
  </si>
  <si>
    <t>V. San Francisco de Asis Roma 181</t>
  </si>
  <si>
    <t>Katherine Del Pilar</t>
  </si>
  <si>
    <t>12824503-0</t>
  </si>
  <si>
    <t>Herreratapiakatherine44@gmail.com</t>
  </si>
  <si>
    <t>Manuel Rodriguez</t>
  </si>
  <si>
    <t>Lukas Andres</t>
  </si>
  <si>
    <t>Silva Barahona</t>
  </si>
  <si>
    <t>19661103-9</t>
  </si>
  <si>
    <t>Lukitas.silva@gmail.com</t>
  </si>
  <si>
    <t>Mena 1371 Quilpuè</t>
  </si>
  <si>
    <t>Valentina Lizu</t>
  </si>
  <si>
    <t>Velenzuela Garcìa</t>
  </si>
  <si>
    <t>19648959-9</t>
  </si>
  <si>
    <t>fonoaudilogavalentinalizu@gmail.com</t>
  </si>
  <si>
    <t>Maria Luisa Bombal 300 Limache</t>
  </si>
  <si>
    <t>Constanza Pamela</t>
  </si>
  <si>
    <t>Olivares Benitez</t>
  </si>
  <si>
    <t>19252228-5</t>
  </si>
  <si>
    <t>conikinesiologa@gmail.com</t>
  </si>
  <si>
    <t>Milenka Andrea</t>
  </si>
  <si>
    <t>Henrìquez Ojeda</t>
  </si>
  <si>
    <t>18998927-K</t>
  </si>
  <si>
    <t>milihenriquez@gmail.com</t>
  </si>
  <si>
    <t>Gabriel Angel</t>
  </si>
  <si>
    <t>Contreras Nova</t>
  </si>
  <si>
    <t>17761698-2</t>
  </si>
  <si>
    <t>contrerasangelgabriel@gmail.com</t>
  </si>
  <si>
    <t>Serrano 341</t>
  </si>
  <si>
    <t>Carlos Alfredo</t>
  </si>
  <si>
    <t>Fuentes Rojas</t>
  </si>
  <si>
    <t>1762745-6</t>
  </si>
  <si>
    <t>c.fuentesrojas@gmail.com</t>
  </si>
  <si>
    <t>Calle avenida Alemana 47 Limachito</t>
  </si>
  <si>
    <t>Jose Luis</t>
  </si>
  <si>
    <t>Sagredo Gonzalez</t>
  </si>
  <si>
    <t>9770781-2</t>
  </si>
  <si>
    <t>joseluis@gmail.com</t>
  </si>
  <si>
    <t>Calle Libertado 704</t>
  </si>
  <si>
    <t>Carlos Alejandro</t>
  </si>
  <si>
    <t>Serrano Bernal</t>
  </si>
  <si>
    <t>8694255-0</t>
  </si>
  <si>
    <t>carlosserranob@gmail.com</t>
  </si>
  <si>
    <t>Catherin Roxana</t>
  </si>
  <si>
    <t>Ossa Arancibia</t>
  </si>
  <si>
    <t>16522922-3</t>
  </si>
  <si>
    <t>Comunicacionescruzroja33@gmail.com</t>
  </si>
  <si>
    <t>Esteban Edmundo</t>
  </si>
  <si>
    <t>Estay Arancibia</t>
  </si>
  <si>
    <t>15763568-6</t>
  </si>
  <si>
    <t>Estebanestay@gmail.com</t>
  </si>
  <si>
    <t>Araya 155 Huanchauli V, Alemana</t>
  </si>
  <si>
    <t>Baeza Carrasco</t>
  </si>
  <si>
    <t>7675516-7</t>
  </si>
  <si>
    <t>margaritabaezacarrasco@gmail.com</t>
  </si>
  <si>
    <t>Hernàn Cortès 1 Limache</t>
  </si>
  <si>
    <t>Amalia Luisa</t>
  </si>
  <si>
    <t>Cáceres Arriagada</t>
  </si>
  <si>
    <t>8082540-4</t>
  </si>
  <si>
    <t>a.caceres@gmail.com</t>
  </si>
  <si>
    <t>Simòn Bolivar 086</t>
  </si>
  <si>
    <t>Mabel Alejandra</t>
  </si>
  <si>
    <t>Collao Ojeda</t>
  </si>
  <si>
    <t>12103114-0</t>
  </si>
  <si>
    <t>mabelalejandra@gmail.com</t>
  </si>
  <si>
    <t>Marìa Delia</t>
  </si>
  <si>
    <t>Lubbert Matus</t>
  </si>
  <si>
    <t>10586236-1</t>
  </si>
  <si>
    <t>delialubbert@gmail.com</t>
  </si>
  <si>
    <t>Los Laureles parecela 5</t>
  </si>
  <si>
    <t>Boris</t>
  </si>
  <si>
    <t>Rojas Miranda</t>
  </si>
  <si>
    <t>Jorge Salvador</t>
  </si>
  <si>
    <t>Morales Vargas</t>
  </si>
  <si>
    <t>9286408-1</t>
  </si>
  <si>
    <t>j.salvadormorales@gmail.com</t>
  </si>
  <si>
    <t>Carrera 03A Limache</t>
  </si>
  <si>
    <t>Adriana Del Carmen</t>
  </si>
  <si>
    <t>Ahumada Yo</t>
  </si>
  <si>
    <t>8244363-0</t>
  </si>
  <si>
    <t>adrianita@gmail.com</t>
  </si>
  <si>
    <t>Rincon Florida Hualañe Depto 45</t>
  </si>
  <si>
    <t>Laura Virginia</t>
  </si>
  <si>
    <t>Gonzalez Marin</t>
  </si>
  <si>
    <t>17537624-1</t>
  </si>
  <si>
    <t>lauravirginia@gmail.com</t>
  </si>
  <si>
    <t>12 febrero 236 Limache</t>
  </si>
  <si>
    <t>Rodrigo Andrès</t>
  </si>
  <si>
    <t>Levanchy Bauerle</t>
  </si>
  <si>
    <t>17143315-0</t>
  </si>
  <si>
    <t>Rodrigolavanchy.b@gmail.com</t>
  </si>
  <si>
    <t>Luis Espinola 355</t>
  </si>
  <si>
    <t>Carmen Anita</t>
  </si>
  <si>
    <t>Vera Garay</t>
  </si>
  <si>
    <t>14500816-6</t>
  </si>
  <si>
    <t>carmenvera@gmail.com</t>
  </si>
  <si>
    <t>Pje. Verdejo Sur 709 Limachito</t>
  </si>
  <si>
    <t>Llanquihue</t>
  </si>
  <si>
    <t>Javiera Antonia</t>
  </si>
  <si>
    <t>Vargas Vargas</t>
  </si>
  <si>
    <t>21.651.564-1</t>
  </si>
  <si>
    <t>javieravargas038@gmail.com</t>
  </si>
  <si>
    <t>América del Sur 679</t>
  </si>
  <si>
    <t>Clementina Raquel</t>
  </si>
  <si>
    <t>Valdebenito Matamala</t>
  </si>
  <si>
    <t>7.120.705-6</t>
  </si>
  <si>
    <t>tina_valdebenito@hotmail.com</t>
  </si>
  <si>
    <t>Población Los Volcanes M33-Casa 36</t>
  </si>
  <si>
    <t>María Uberlinda</t>
  </si>
  <si>
    <t>Oyarzún Leal</t>
  </si>
  <si>
    <t>6.717.672-3</t>
  </si>
  <si>
    <t>Ángela Del Carmen</t>
  </si>
  <si>
    <t>Huenante Ojeda</t>
  </si>
  <si>
    <t>17.178.302-K</t>
  </si>
  <si>
    <t>angeladelcarmenhuenanteojeda@gmail.com</t>
  </si>
  <si>
    <t>Alto Esperanza Calle Mapu Antu 1792</t>
  </si>
  <si>
    <t>Marión Natacha</t>
  </si>
  <si>
    <t>González Chávez</t>
  </si>
  <si>
    <t>10.428.761-1</t>
  </si>
  <si>
    <t>mnatachagonzalezchavez@gmail.com</t>
  </si>
  <si>
    <t>Pasaje Opazo 16-CHIPRODAL</t>
  </si>
  <si>
    <t>Ojeda González</t>
  </si>
  <si>
    <t>8.777.945-7</t>
  </si>
  <si>
    <t>nojedagonzalez1961@gmail.com</t>
  </si>
  <si>
    <t>América del Norte 681</t>
  </si>
  <si>
    <t>Hilda Eliana</t>
  </si>
  <si>
    <t>9.729.318-K</t>
  </si>
  <si>
    <t>vhilda922@gmail.com</t>
  </si>
  <si>
    <t>Gabriela Mistral 91-CORVI</t>
  </si>
  <si>
    <t>Inelda Del Carmen</t>
  </si>
  <si>
    <t>Soto Schmidt</t>
  </si>
  <si>
    <t>4.530.263-6</t>
  </si>
  <si>
    <t>etiennehospe@hotmail.com</t>
  </si>
  <si>
    <t>Salomón Negrín 794</t>
  </si>
  <si>
    <t>Jacqueline Del Carmen</t>
  </si>
  <si>
    <t>Vargas Vivar</t>
  </si>
  <si>
    <t>10.627.073-2</t>
  </si>
  <si>
    <t>jvargasvivar@hotmail.com</t>
  </si>
  <si>
    <t>Luz Marina</t>
  </si>
  <si>
    <t>Pérez Martínez</t>
  </si>
  <si>
    <t>7.458.699-6</t>
  </si>
  <si>
    <t>luzmarinaperezmartinez@gmail.com</t>
  </si>
  <si>
    <t>América Central 667</t>
  </si>
  <si>
    <t>Hernández Ricardi</t>
  </si>
  <si>
    <t>6.505.605-4</t>
  </si>
  <si>
    <t>Población Los Volcanes M29-Casa 15</t>
  </si>
  <si>
    <t>Rosa Elizabeth</t>
  </si>
  <si>
    <t>Velásquez Vera</t>
  </si>
  <si>
    <t>11.926.633-5</t>
  </si>
  <si>
    <t>rosavelasquezrv1@gmail.com</t>
  </si>
  <si>
    <t>Avda. Eduardo Frei 8</t>
  </si>
  <si>
    <t>Biardy Alina</t>
  </si>
  <si>
    <t>Cárdenas González</t>
  </si>
  <si>
    <t>8.381.152-8</t>
  </si>
  <si>
    <t>nitycardenas@gmail.com</t>
  </si>
  <si>
    <t>Sector El Jardín Las Caulles Parcela 11</t>
  </si>
  <si>
    <t>Teresa Cristina</t>
  </si>
  <si>
    <t>Araneda Levicán</t>
  </si>
  <si>
    <t>6.673.301-7</t>
  </si>
  <si>
    <t>teresaaranedal@gmail.com</t>
  </si>
  <si>
    <t>Avda. Vicente Pérez Rosales 218</t>
  </si>
  <si>
    <t>Vivien Leslie</t>
  </si>
  <si>
    <t>Abbott Leffevre</t>
  </si>
  <si>
    <t>9.213.990-5</t>
  </si>
  <si>
    <t>benistom@yahoo.com</t>
  </si>
  <si>
    <t>Parcelación Aires del Sur Parcela 57</t>
  </si>
  <si>
    <t>Carmen Gloria</t>
  </si>
  <si>
    <t>González Guerra</t>
  </si>
  <si>
    <t>9.168.778-K</t>
  </si>
  <si>
    <t>carmengloria63@gmail.com</t>
  </si>
  <si>
    <t>Parcelación Totoral Parcela 30</t>
  </si>
  <si>
    <t>Mirta Victoria</t>
  </si>
  <si>
    <t>Sáez Miranda</t>
  </si>
  <si>
    <t>8.131.522-1</t>
  </si>
  <si>
    <t>jano.saez@gmail.com</t>
  </si>
  <si>
    <t>Ramón Freire 13 Villa Los Presidentes</t>
  </si>
  <si>
    <t>María Teresa De Jesús</t>
  </si>
  <si>
    <t>Díaz Díaz</t>
  </si>
  <si>
    <t>4.045.794-1</t>
  </si>
  <si>
    <t>atete_diaz@hotmail.com</t>
  </si>
  <si>
    <t>Ramón Freire 114 Villa Los Presidentes</t>
  </si>
  <si>
    <t>Elsa Georgina Del Carmen</t>
  </si>
  <si>
    <t>Leffevre Aguilar</t>
  </si>
  <si>
    <t>4.709.054-7</t>
  </si>
  <si>
    <t>gleffevre@gmail.com</t>
  </si>
  <si>
    <t>Otto Schobitz 731 Villa Palena</t>
  </si>
  <si>
    <t>Llolleo</t>
  </si>
  <si>
    <t>Atenas Araya</t>
  </si>
  <si>
    <t>polaatenas@gmail.com</t>
  </si>
  <si>
    <t>Córdova Carreño</t>
  </si>
  <si>
    <t>6766628-3</t>
  </si>
  <si>
    <t>cristinacordova@gmail.com</t>
  </si>
  <si>
    <t>Rubio Salas</t>
  </si>
  <si>
    <t>rubiomarcia81@gmail.com</t>
  </si>
  <si>
    <t>Eleticia</t>
  </si>
  <si>
    <t>Jeldrez Torres</t>
  </si>
  <si>
    <t>6777117-6</t>
  </si>
  <si>
    <t>eleticiajeldrez@gmail.com</t>
  </si>
  <si>
    <t>Miriam</t>
  </si>
  <si>
    <t>Medina Albornoz</t>
  </si>
  <si>
    <t>7553400-0</t>
  </si>
  <si>
    <t>miriam.meidna@hotmail.com</t>
  </si>
  <si>
    <t>Rojas Wastavino</t>
  </si>
  <si>
    <t>6885463-6</t>
  </si>
  <si>
    <t>pelillito52@gmail.com</t>
  </si>
  <si>
    <t>Eulogia</t>
  </si>
  <si>
    <t>Aravena Loyola</t>
  </si>
  <si>
    <t>Caroca Contreras</t>
  </si>
  <si>
    <t>rosacaroca@gmail.com</t>
  </si>
  <si>
    <t>Lo Espejo</t>
  </si>
  <si>
    <t>M. Angelica</t>
  </si>
  <si>
    <t>Rojas Ferrando</t>
  </si>
  <si>
    <t>22.718.220-2</t>
  </si>
  <si>
    <t xml:space="preserve">Sandra </t>
  </si>
  <si>
    <t>Brito Tapia</t>
  </si>
  <si>
    <t>12.830.790-7</t>
  </si>
  <si>
    <t>sbritot@gmail.com</t>
  </si>
  <si>
    <t>Colon 150</t>
  </si>
  <si>
    <t xml:space="preserve">Adriana </t>
  </si>
  <si>
    <t>Cáceres Romero</t>
  </si>
  <si>
    <t>6.285.221-6</t>
  </si>
  <si>
    <t>adrianacaceres1951@gmail.com</t>
  </si>
  <si>
    <t>Gabriela Mistral 9323</t>
  </si>
  <si>
    <t xml:space="preserve">Yanina </t>
  </si>
  <si>
    <t>Castro Carrasco</t>
  </si>
  <si>
    <t>4.771.799-k</t>
  </si>
  <si>
    <t>yccarrasco@gmail.com</t>
  </si>
  <si>
    <t>León de la barra 2236</t>
  </si>
  <si>
    <t>Mariam</t>
  </si>
  <si>
    <t>Molina Sabag</t>
  </si>
  <si>
    <t>8.067.621-2</t>
  </si>
  <si>
    <t>mariamolinasabag@gmail,com</t>
  </si>
  <si>
    <t>Colon 2012 Las Condes</t>
  </si>
  <si>
    <t>H. Mirtha</t>
  </si>
  <si>
    <t>Sanchez Oñate</t>
  </si>
  <si>
    <t>6.004.664-6</t>
  </si>
  <si>
    <t>hmirthaso@gmail.com</t>
  </si>
  <si>
    <t>Avda. Lo Espejo 03181</t>
  </si>
  <si>
    <t>Gioconda</t>
  </si>
  <si>
    <t>Tapia Carvajal</t>
  </si>
  <si>
    <t>8.328.722-5</t>
  </si>
  <si>
    <t>giocote@gmailcom</t>
  </si>
  <si>
    <t>Colon 70</t>
  </si>
  <si>
    <t>Castillo Valenzuela</t>
  </si>
  <si>
    <t>13.039.256-3</t>
  </si>
  <si>
    <t>cristicastillo@gmail.com</t>
  </si>
  <si>
    <t xml:space="preserve">Rosario </t>
  </si>
  <si>
    <t>Sau Vasquez</t>
  </si>
  <si>
    <t>3.983.420-0</t>
  </si>
  <si>
    <t>rosario.sau@cruzroja.cl</t>
  </si>
  <si>
    <t>Lo Miranda</t>
  </si>
  <si>
    <t>Jeraldi</t>
  </si>
  <si>
    <t>Flores Alcaino</t>
  </si>
  <si>
    <t>20.214.785-2</t>
  </si>
  <si>
    <t>jeraldyariatna@gmail.com</t>
  </si>
  <si>
    <t>Alcaíno Rojas</t>
  </si>
  <si>
    <t>9.556.584-0</t>
  </si>
  <si>
    <t>Bertal05@hotmail.com</t>
  </si>
  <si>
    <t>Alondras 159 V. Lo Miranda Doñihue</t>
  </si>
  <si>
    <t>Serrano Aguilera</t>
  </si>
  <si>
    <t>9.454.754-7</t>
  </si>
  <si>
    <t>miriamserranoaguilera@gmail.com</t>
  </si>
  <si>
    <t>El Arrayan 14 V. el Bosque Lo Miranda  Doñihue</t>
  </si>
  <si>
    <t>Cornejo Aros</t>
  </si>
  <si>
    <t>8.446.186-5</t>
  </si>
  <si>
    <t>damcornejo@gmail.com</t>
  </si>
  <si>
    <t>21 mayo 010 Pobl. Nueva lo Miranda Doñihue</t>
  </si>
  <si>
    <t>Rosenda</t>
  </si>
  <si>
    <t>Espeleta de la Paz</t>
  </si>
  <si>
    <t>8.556.769-1</t>
  </si>
  <si>
    <t xml:space="preserve">Aracelly </t>
  </si>
  <si>
    <t>Arrue Evrard</t>
  </si>
  <si>
    <t>8.469.061-9</t>
  </si>
  <si>
    <t>ariarrue@gmail.com</t>
  </si>
  <si>
    <t>Pedro de Miranda 774 Lo Miranda</t>
  </si>
  <si>
    <t>Angélica</t>
  </si>
  <si>
    <t>Albornoz Cabrera</t>
  </si>
  <si>
    <t>8.505.057-5</t>
  </si>
  <si>
    <t>San Jose 160 V. El Esfuerzo</t>
  </si>
  <si>
    <t>Loncoche</t>
  </si>
  <si>
    <t>González S.</t>
  </si>
  <si>
    <t>6.513.403-9</t>
  </si>
  <si>
    <t>97394 4059</t>
  </si>
  <si>
    <t>Mora San Martin</t>
  </si>
  <si>
    <t>11.304.111-0</t>
  </si>
  <si>
    <t>93057 0976</t>
  </si>
  <si>
    <t>Álvarez F.</t>
  </si>
  <si>
    <t>13.815.11 8-2</t>
  </si>
  <si>
    <t>96767 5509</t>
  </si>
  <si>
    <t>Seguel N.</t>
  </si>
  <si>
    <t>6.669.089-K</t>
  </si>
  <si>
    <t>99154 2670</t>
  </si>
  <si>
    <t>Fernández C.</t>
  </si>
  <si>
    <t>5.567.645-3</t>
  </si>
  <si>
    <t>97654 7041</t>
  </si>
  <si>
    <t>12.421.35 0-9</t>
  </si>
  <si>
    <t>99903 3372</t>
  </si>
  <si>
    <t>Torres H.</t>
  </si>
  <si>
    <t>10.492.62 1-5</t>
  </si>
  <si>
    <t>98837 1011</t>
  </si>
  <si>
    <t>Aburto L.</t>
  </si>
  <si>
    <t>8.732.337-4</t>
  </si>
  <si>
    <t>98796 9235</t>
  </si>
  <si>
    <t>Cares P.</t>
  </si>
  <si>
    <t>7.532.010-8</t>
  </si>
  <si>
    <t>99662 8901</t>
  </si>
  <si>
    <t>21.464.08 9-8</t>
  </si>
  <si>
    <t>96690 1036</t>
  </si>
  <si>
    <t>Matías</t>
  </si>
  <si>
    <t>Aguilar P.</t>
  </si>
  <si>
    <t>21.538.86 1-1</t>
  </si>
  <si>
    <t>96301 5948</t>
  </si>
  <si>
    <t>Gastón</t>
  </si>
  <si>
    <t>Chepo M.</t>
  </si>
  <si>
    <t>21.418.746-9</t>
  </si>
  <si>
    <t>Catary</t>
  </si>
  <si>
    <t>Beltrán A.</t>
  </si>
  <si>
    <t>21.586.160-0</t>
  </si>
  <si>
    <t>9545568 36</t>
  </si>
  <si>
    <t>San Martin H.</t>
  </si>
  <si>
    <t>20.885.587-5</t>
  </si>
  <si>
    <t>9309112 12</t>
  </si>
  <si>
    <t>Aichele C.</t>
  </si>
  <si>
    <t>21.645.926-1</t>
  </si>
  <si>
    <t>9985720 42</t>
  </si>
  <si>
    <t>Vasquez</t>
  </si>
  <si>
    <t>12.565.662-5</t>
  </si>
  <si>
    <t>9540325 39</t>
  </si>
  <si>
    <t>Bustos C.</t>
  </si>
  <si>
    <t>14.074.146-9</t>
  </si>
  <si>
    <t>9932111 01</t>
  </si>
  <si>
    <t>Rodrigo</t>
  </si>
  <si>
    <t>Barril T.</t>
  </si>
  <si>
    <t>18.160.965-6</t>
  </si>
  <si>
    <t>9562176 63</t>
  </si>
  <si>
    <t>Bastidas CH.</t>
  </si>
  <si>
    <t>9.106.043-4</t>
  </si>
  <si>
    <t>9530642 33</t>
  </si>
  <si>
    <t>Antipán</t>
  </si>
  <si>
    <t>Aburto</t>
  </si>
  <si>
    <t>Los Andes</t>
  </si>
  <si>
    <t>ELVIRA INES</t>
  </si>
  <si>
    <t>ADASME URIBE</t>
  </si>
  <si>
    <t>9.341.315-6</t>
  </si>
  <si>
    <t>elvirainesadasme@gmail.com</t>
  </si>
  <si>
    <t>Chacay #540,
Pobl. Virgen del Valle, 
Los Andes</t>
  </si>
  <si>
    <t>PEDRO ROLANDO</t>
  </si>
  <si>
    <t>ALLENDES OLMOS</t>
  </si>
  <si>
    <t>5.332.196-8</t>
  </si>
  <si>
    <t>allendesolmospedro@gmail.com</t>
  </si>
  <si>
    <t>GRAL. DEL CANTO #280 Los Andes</t>
  </si>
  <si>
    <t>PATRICIA ADRIANA</t>
  </si>
  <si>
    <t>BARAHONA SANCHEZ</t>
  </si>
  <si>
    <t>4.348.435-4</t>
  </si>
  <si>
    <t>patitab@hotmail.com</t>
  </si>
  <si>
    <t>San Esteban #296
San Esteban</t>
  </si>
  <si>
    <t>LORENA DEL CARMEN</t>
  </si>
  <si>
    <t>CALDERON MANZANO</t>
  </si>
  <si>
    <t>8.730.866-9</t>
  </si>
  <si>
    <t>Calderonmanzabo1961</t>
  </si>
  <si>
    <t>Manuel Grasso#131,
V. El Horizonte, Los Andes</t>
  </si>
  <si>
    <t>DORIS MAGDALENA</t>
  </si>
  <si>
    <t>CANALES ARRIAGADA</t>
  </si>
  <si>
    <t>7.345.927-3</t>
  </si>
  <si>
    <t>doritamagqhotmail.com</t>
  </si>
  <si>
    <t>San Renato #247 
V. M. Andina
Los Andes</t>
  </si>
  <si>
    <t>CYNTHIA EDITH</t>
  </si>
  <si>
    <t>CIFUENTES BELL</t>
  </si>
  <si>
    <t>3.053.665-1</t>
  </si>
  <si>
    <t>No tiene</t>
  </si>
  <si>
    <t>Papudo #467,
Los Andes</t>
  </si>
  <si>
    <t>MARIA BEATRIZ</t>
  </si>
  <si>
    <t>DIAZ GAJARDO</t>
  </si>
  <si>
    <t>6.655.182-2</t>
  </si>
  <si>
    <t>Las Heras #74
Los Andes</t>
  </si>
  <si>
    <t>CARMEN GLORIA</t>
  </si>
  <si>
    <t>FORTTES GODOY</t>
  </si>
  <si>
    <t>6.760.005-K</t>
  </si>
  <si>
    <t>No responde</t>
  </si>
  <si>
    <t>Las Áreas #27.
Rinconada</t>
  </si>
  <si>
    <t>MARIANA BERNARDA</t>
  </si>
  <si>
    <t>GALLARDO RIVAS</t>
  </si>
  <si>
    <t>7.404.733-5</t>
  </si>
  <si>
    <t>magarri_59@hotmail.com</t>
  </si>
  <si>
    <t>Chacay #890,
Villa Sta. Bárbara,
Los Andes</t>
  </si>
  <si>
    <t>NALDA VIVIANA</t>
  </si>
  <si>
    <t>GALLARDO CARVAJAL</t>
  </si>
  <si>
    <t>8.847.856-8</t>
  </si>
  <si>
    <t>naldagallardo@gmail.com</t>
  </si>
  <si>
    <t>Pasj, 20 Oriente  #333,
V. El Mirador
Los Andes</t>
  </si>
  <si>
    <t>VERONICA DEL CARMEN</t>
  </si>
  <si>
    <t>LAZCANO FERNANDEZ</t>
  </si>
  <si>
    <t>9.308.477-2</t>
  </si>
  <si>
    <t>veronicalazcanofernandez@gmail.com</t>
  </si>
  <si>
    <t>Calle Reyes #1050
San Esteban</t>
  </si>
  <si>
    <t>DONOVAN MANUEL</t>
  </si>
  <si>
    <t>LOPEZ MENDOZA</t>
  </si>
  <si>
    <t>25.454.840-5</t>
  </si>
  <si>
    <t>lopezdonovan9912@gmail.com</t>
  </si>
  <si>
    <t>Pasj. El Manzano #026, V. El Manzano, 
San Esteban</t>
  </si>
  <si>
    <t>MARIA DEL ROSARIO</t>
  </si>
  <si>
    <t>MARDONES VEJAR</t>
  </si>
  <si>
    <t>5.720.315-3</t>
  </si>
  <si>
    <t>Calle 11 Oriente #424,
Villa El Mirador
Los Andes</t>
  </si>
  <si>
    <t>ATRICIO ALEJANDRO</t>
  </si>
  <si>
    <t>MILLA COFRE</t>
  </si>
  <si>
    <t>3.201.484-4</t>
  </si>
  <si>
    <t>-------</t>
  </si>
  <si>
    <t>ROSA ELIANA</t>
  </si>
  <si>
    <t>MORALES JORQUERA</t>
  </si>
  <si>
    <t>5.507.995-5</t>
  </si>
  <si>
    <t>Callejón Mura #03
Pocuro
Calle Larga</t>
  </si>
  <si>
    <t>MARIA ISABEL</t>
  </si>
  <si>
    <t>MOYA PEÑA</t>
  </si>
  <si>
    <t>4.428.237-2</t>
  </si>
  <si>
    <t>Las Lilas #6, 
V. Jardines Familiares
Los Andes</t>
  </si>
  <si>
    <t>SOLANGE ANDREA</t>
  </si>
  <si>
    <t>ORELLANA VILLARREAL</t>
  </si>
  <si>
    <t>13.022.157.2</t>
  </si>
  <si>
    <t>ejama05@gmail.com</t>
  </si>
  <si>
    <t>Hnos. Clark #311, Depto. #504,
Los Andes</t>
  </si>
  <si>
    <t>HELGA WILMA</t>
  </si>
  <si>
    <t>PETERSON MULLER</t>
  </si>
  <si>
    <t>7.477.156-4</t>
  </si>
  <si>
    <t>hpmcreaciones@gmail.com</t>
  </si>
  <si>
    <t>La Palma #763
Calle Larga</t>
  </si>
  <si>
    <t>MARIA EUGENIA</t>
  </si>
  <si>
    <t>PICON PATRI</t>
  </si>
  <si>
    <t>5.023.460-6</t>
  </si>
  <si>
    <t>mariquenappqgmail.com</t>
  </si>
  <si>
    <t>Tres Carrera #165
Los Andes</t>
  </si>
  <si>
    <t>ANA ELIZABETH</t>
  </si>
  <si>
    <t>QUIROGA PIZARRO</t>
  </si>
  <si>
    <t>8.914.214-8</t>
  </si>
  <si>
    <t>anitaquiroga@gmail.com</t>
  </si>
  <si>
    <t>Angamos 1770- 
V. La Gloria,
Los Andes</t>
  </si>
  <si>
    <t>MARISOL DEL CARMEN</t>
  </si>
  <si>
    <t>RODRIGUEZ SUCCO</t>
  </si>
  <si>
    <t>8.494.551-K</t>
  </si>
  <si>
    <t>Marisol242412@hotmail.com</t>
  </si>
  <si>
    <t>O. Arellano #131
V. el Horizonte
Los Andes</t>
  </si>
  <si>
    <t>ANA ELISA</t>
  </si>
  <si>
    <t>SANTIBAÑEZ CHAVEZ</t>
  </si>
  <si>
    <t>5.514.665-9</t>
  </si>
  <si>
    <t>Parinacota #221
V. los Monjes
Los Andes</t>
  </si>
  <si>
    <t>INES ISABEL</t>
  </si>
  <si>
    <t>SEPULVEDA BRAVO</t>
  </si>
  <si>
    <t>7.718.749-9</t>
  </si>
  <si>
    <t>Mateo Díaz #02
Los Andes</t>
  </si>
  <si>
    <t>ANA MARIA</t>
  </si>
  <si>
    <t>VIVANCO FONCEA</t>
  </si>
  <si>
    <t>6.892.192-2</t>
  </si>
  <si>
    <t>anamaria.vivancof@gmail.com</t>
  </si>
  <si>
    <t>Calle Condor#45
Pobl. Vía Monte
Los Andes</t>
  </si>
  <si>
    <t>Egidio</t>
  </si>
  <si>
    <t>Garate Ibacache</t>
  </si>
  <si>
    <t>7.157.305-2</t>
  </si>
  <si>
    <t>MARIA LOURDES</t>
  </si>
  <si>
    <t>VILLARROEL VALLE</t>
  </si>
  <si>
    <t>7.343.323-1</t>
  </si>
  <si>
    <t>maruja_villarroel@hotmail.com</t>
  </si>
  <si>
    <t>V. Aguirre #1373
Pob. Bicentenario
Los Andes</t>
  </si>
  <si>
    <t>Los Ángeles</t>
  </si>
  <si>
    <t>Sanhueza</t>
  </si>
  <si>
    <t>20161869-K</t>
  </si>
  <si>
    <t>Arancibia</t>
  </si>
  <si>
    <t>21472664-5</t>
  </si>
  <si>
    <t>Ortiz</t>
  </si>
  <si>
    <t>6275230-0</t>
  </si>
  <si>
    <t>Ademar</t>
  </si>
  <si>
    <t>17743586-4</t>
  </si>
  <si>
    <t>19836752-4</t>
  </si>
  <si>
    <t>aortiz@udd.cl</t>
  </si>
  <si>
    <t>Rosita</t>
  </si>
  <si>
    <t>Cautivo</t>
  </si>
  <si>
    <t>4548331-2</t>
  </si>
  <si>
    <t>Carrasco</t>
  </si>
  <si>
    <t>filial.losangeles@cruzroja.cl</t>
  </si>
  <si>
    <t>San Martín 301</t>
  </si>
  <si>
    <t>Tello</t>
  </si>
  <si>
    <t>16588879-0</t>
  </si>
  <si>
    <t>Ruby</t>
  </si>
  <si>
    <t>Salinas</t>
  </si>
  <si>
    <t>6848897-6</t>
  </si>
  <si>
    <t>Magdalena</t>
  </si>
  <si>
    <t>Rodríguez</t>
  </si>
  <si>
    <t>9995026-9</t>
  </si>
  <si>
    <t>Karen</t>
  </si>
  <si>
    <t>Torres</t>
  </si>
  <si>
    <t>15145989-K</t>
  </si>
  <si>
    <t>Moreno</t>
  </si>
  <si>
    <t>7018627-6</t>
  </si>
  <si>
    <t>Yasna</t>
  </si>
  <si>
    <t>11647041-1</t>
  </si>
  <si>
    <t>Nora</t>
  </si>
  <si>
    <t>Riquelme</t>
  </si>
  <si>
    <t>4849829-1</t>
  </si>
  <si>
    <t>Mirta</t>
  </si>
  <si>
    <t>7343999-K</t>
  </si>
  <si>
    <t>Isidora</t>
  </si>
  <si>
    <t>21865405-4</t>
  </si>
  <si>
    <t>Los Placeres</t>
  </si>
  <si>
    <t>Abarca Aliste</t>
  </si>
  <si>
    <t>5.578.511-2</t>
  </si>
  <si>
    <t>Mamalicha48@Hotmail</t>
  </si>
  <si>
    <t>Bartolome Vivar 476 Cerro Los Placeres Valparaiso</t>
  </si>
  <si>
    <t>Lorena</t>
  </si>
  <si>
    <t>Colivoro Villalon</t>
  </si>
  <si>
    <t>12.452.160-2</t>
  </si>
  <si>
    <t>Colivorovalpo@Gmail.Com</t>
  </si>
  <si>
    <t>Nueva York 122 El Progreso Cerro Los Placeres Valparaiso</t>
  </si>
  <si>
    <t>Virginia</t>
  </si>
  <si>
    <t>Diaz Torres</t>
  </si>
  <si>
    <t>5.904.285-8</t>
  </si>
  <si>
    <t>Virginiadiaztorrez@Gmail.Com</t>
  </si>
  <si>
    <t>12 De Febre Recreo Viña Del Mar Valparaiso</t>
  </si>
  <si>
    <t>Fuentes Garcia</t>
  </si>
  <si>
    <t>6.173.185-7</t>
  </si>
  <si>
    <t>Loyola San Martin</t>
  </si>
  <si>
    <t>6.759.395-2</t>
  </si>
  <si>
    <t>Sandraloyolasan1952@Gmail.Com</t>
  </si>
  <si>
    <t>Avda. Manuel Antonio Matta 374 Cerro Los Placeres Valparaíso</t>
  </si>
  <si>
    <t>Ossandon Bustamante</t>
  </si>
  <si>
    <t>7.239.088-0</t>
  </si>
  <si>
    <t>Betita56Ossa@Gmail.Com</t>
  </si>
  <si>
    <t>Galway 96 Bloc 16 Depto. 140 Nuevo Placilla Valparaiso</t>
  </si>
  <si>
    <t>Yeldena</t>
  </si>
  <si>
    <t>Smith Pivet</t>
  </si>
  <si>
    <t>10.770.063-3</t>
  </si>
  <si>
    <t>Yely.Esp@Gmail.Com</t>
  </si>
  <si>
    <t>Leonidas Valenzuela 1044 Cerro Los Placeres Valparaiso</t>
  </si>
  <si>
    <t>Lota</t>
  </si>
  <si>
    <t>Ana María</t>
  </si>
  <si>
    <t>Aravena Rodríguez</t>
  </si>
  <si>
    <t>5.754.39-6</t>
  </si>
  <si>
    <t>Anamaria.aravena@iclaud.com</t>
  </si>
  <si>
    <t>Serrano 1005 Lota</t>
  </si>
  <si>
    <t>9 57661715</t>
  </si>
  <si>
    <t>Bernarda</t>
  </si>
  <si>
    <t>Alvear Espinoza</t>
  </si>
  <si>
    <t>15.158.919-7</t>
  </si>
  <si>
    <t>Bernardaalvear123@ gmail.com</t>
  </si>
  <si>
    <t>Soto Aravena</t>
  </si>
  <si>
    <t>15.192.075-6</t>
  </si>
  <si>
    <t>Masaravena@iclaud.com</t>
  </si>
  <si>
    <t>Rojas Ponce</t>
  </si>
  <si>
    <t>10.560.913-2</t>
  </si>
  <si>
    <t>Magalyrojasp@ gmail.com</t>
  </si>
  <si>
    <t>Curva Loyola 249 Lota</t>
  </si>
  <si>
    <t>Garcés Herrera</t>
  </si>
  <si>
    <t>5.772.711-k</t>
  </si>
  <si>
    <t>Urzúa 163- Lota</t>
  </si>
  <si>
    <t>9 78000883</t>
  </si>
  <si>
    <t>Aguayo Salinas</t>
  </si>
  <si>
    <t>12.926.126-9</t>
  </si>
  <si>
    <t>Ángela</t>
  </si>
  <si>
    <t>Toloza Peña</t>
  </si>
  <si>
    <t>7.716.884-2</t>
  </si>
  <si>
    <t>Bannen pabellón 36 Lota</t>
  </si>
  <si>
    <t>Loreto</t>
  </si>
  <si>
    <t>Palma Palma</t>
  </si>
  <si>
    <t>9.831.623-k</t>
  </si>
  <si>
    <t>Carrera 4 - Lota</t>
  </si>
  <si>
    <t>Arriagada González</t>
  </si>
  <si>
    <t>10.474.248-3</t>
  </si>
  <si>
    <t>Velásquez Olivera</t>
  </si>
  <si>
    <t>9.280.642-1</t>
  </si>
  <si>
    <t>Lidiavelasquezv@mail.com</t>
  </si>
  <si>
    <t>L. Cousiño 292 Lota</t>
  </si>
  <si>
    <t>Edelmira</t>
  </si>
  <si>
    <t>Leiva Carvallo</t>
  </si>
  <si>
    <t>7.330.195-5</t>
  </si>
  <si>
    <t>Lanalhue 75 Cousiño Lota</t>
  </si>
  <si>
    <t>Zunilda</t>
  </si>
  <si>
    <t>8.992.550-9</t>
  </si>
  <si>
    <t>Las palomas 11 cantera- Lota</t>
  </si>
  <si>
    <t>José Fernando</t>
  </si>
  <si>
    <t>Rifo Lavín</t>
  </si>
  <si>
    <t>7.277.209-9</t>
  </si>
  <si>
    <t>Soto Soto</t>
  </si>
  <si>
    <t>7.400.324-9</t>
  </si>
  <si>
    <t>1 Mina 20 Lota</t>
  </si>
  <si>
    <t>Rivas Burgos</t>
  </si>
  <si>
    <t>5.767.942-5</t>
  </si>
  <si>
    <t>Pabellón Ingles 516 - Lota</t>
  </si>
  <si>
    <t>Maipú</t>
  </si>
  <si>
    <t>Tobar</t>
  </si>
  <si>
    <t>18.062.018-4</t>
  </si>
  <si>
    <t>8.405.429-1</t>
  </si>
  <si>
    <t>Pje. Malambo 1891. M</t>
  </si>
  <si>
    <t>Nataly</t>
  </si>
  <si>
    <t>Donoso</t>
  </si>
  <si>
    <t>15.823.078-k</t>
  </si>
  <si>
    <t>Natydonosob/gmail.com</t>
  </si>
  <si>
    <t>María A.</t>
  </si>
  <si>
    <t>Farías Ulloa</t>
  </si>
  <si>
    <t>7362953-5</t>
  </si>
  <si>
    <t>mery.farias.ulloa@gmail.com</t>
  </si>
  <si>
    <t>Lanco 3756 Maipú</t>
  </si>
  <si>
    <t>Godoy</t>
  </si>
  <si>
    <t>18.480.944-3</t>
  </si>
  <si>
    <t>Mella</t>
  </si>
  <si>
    <t>Sánchez</t>
  </si>
  <si>
    <t>19.992.913-5</t>
  </si>
  <si>
    <t xml:space="preserve">Gladys </t>
  </si>
  <si>
    <t>López Gajardo</t>
  </si>
  <si>
    <t>7.247.869-k</t>
  </si>
  <si>
    <t>Dorca</t>
  </si>
  <si>
    <t>Solari Cuevas</t>
  </si>
  <si>
    <t>9.668.722-2</t>
  </si>
  <si>
    <t>3 poniente 0280 Maipú</t>
  </si>
  <si>
    <t>Azócar Azócar</t>
  </si>
  <si>
    <t>7972660-5</t>
  </si>
  <si>
    <t>eme.azocar@gmail.com</t>
  </si>
  <si>
    <t>pje Pindaro 1738 Maipú</t>
  </si>
  <si>
    <t>Silva León</t>
  </si>
  <si>
    <t>10.726.026-9</t>
  </si>
  <si>
    <t>p.silvaleon/gmail.com</t>
  </si>
  <si>
    <t>Av. Seis 2834. Cerrillos</t>
  </si>
  <si>
    <t>Barrios Acuña</t>
  </si>
  <si>
    <t>9.109.019-8</t>
  </si>
  <si>
    <t>Vbbarriosa63/gmail. com</t>
  </si>
  <si>
    <t>Ignacio García 2050. Maipú</t>
  </si>
  <si>
    <t>Contreras Sandoval</t>
  </si>
  <si>
    <t>9693385-1</t>
  </si>
  <si>
    <t>ellycs4@hotmail.com</t>
  </si>
  <si>
    <t>pje Rupanco 7200 Maipú</t>
  </si>
  <si>
    <t>Renata</t>
  </si>
  <si>
    <t>Guerrero</t>
  </si>
  <si>
    <t>5.587.304-6</t>
  </si>
  <si>
    <t>Av. Las Parcelas 3447 Maipu</t>
  </si>
  <si>
    <t>Lizana Leyton</t>
  </si>
  <si>
    <t>7.192.697-4</t>
  </si>
  <si>
    <t>Vera</t>
  </si>
  <si>
    <t>10.333.510-8</t>
  </si>
  <si>
    <t>s.veralazo/gmail.com</t>
  </si>
  <si>
    <t>Gaete Montes</t>
  </si>
  <si>
    <t>9.749.929-2</t>
  </si>
  <si>
    <t>3 poniente 851. Maipú</t>
  </si>
  <si>
    <t>Manuel</t>
  </si>
  <si>
    <t>González</t>
  </si>
  <si>
    <t>6.012.086-2</t>
  </si>
  <si>
    <t>Pajaritos 3920 Maipú</t>
  </si>
  <si>
    <t>Mangor7/hotmail.com</t>
  </si>
  <si>
    <t>Velma</t>
  </si>
  <si>
    <t>Carreño</t>
  </si>
  <si>
    <t>6.181.068-4</t>
  </si>
  <si>
    <t>Velmaluz49/gmail.com</t>
  </si>
  <si>
    <t>Premios Nacionales 516. Maipú</t>
  </si>
  <si>
    <t>Villagra</t>
  </si>
  <si>
    <t>4.374.441-0</t>
  </si>
  <si>
    <t>Pje. Mario Ortiz 1138 Maipú</t>
  </si>
  <si>
    <t>Ruth.villagra95/gmail.com</t>
  </si>
  <si>
    <t>Matamala Jofré</t>
  </si>
  <si>
    <t>9560078-6</t>
  </si>
  <si>
    <t>Conquistador 600</t>
  </si>
  <si>
    <t>Luz María</t>
  </si>
  <si>
    <t>Núñez</t>
  </si>
  <si>
    <t>7.102.711-2</t>
  </si>
  <si>
    <t>Los Moais 378. Maipú</t>
  </si>
  <si>
    <t>Fermín</t>
  </si>
  <si>
    <t>5.327.706-3</t>
  </si>
  <si>
    <t>fdonoso49/gmail.com</t>
  </si>
  <si>
    <t>Bárbara</t>
  </si>
  <si>
    <t>Aravena</t>
  </si>
  <si>
    <t>18.905.396-7</t>
  </si>
  <si>
    <t>Mejillones</t>
  </si>
  <si>
    <t>Giulianna Scarlett</t>
  </si>
  <si>
    <t>Pizarro González</t>
  </si>
  <si>
    <t>20.545.384-9</t>
  </si>
  <si>
    <t>giulianna.scar2001@gmail.com</t>
  </si>
  <si>
    <t>Oscar Frías 977</t>
  </si>
  <si>
    <t>Juan Manuel</t>
  </si>
  <si>
    <t>Peña Severiche</t>
  </si>
  <si>
    <t>27.495.120-6</t>
  </si>
  <si>
    <t>Juan.manuel.severiche.3@gmail.com</t>
  </si>
  <si>
    <t>Av Andalican 900 Dep.7</t>
  </si>
  <si>
    <t>Gabriel Alejandro</t>
  </si>
  <si>
    <t>Rojas Godoy</t>
  </si>
  <si>
    <t>20.324.936-5</t>
  </si>
  <si>
    <t>Av. Serrano</t>
  </si>
  <si>
    <t>Yorka Danae</t>
  </si>
  <si>
    <t>Cortes Caripán</t>
  </si>
  <si>
    <t>20.416.037-6</t>
  </si>
  <si>
    <t>Danae11cortes_@hotmai.com</t>
  </si>
  <si>
    <t>Cesar Daniel</t>
  </si>
  <si>
    <t>Pegueroles Vaca</t>
  </si>
  <si>
    <t>23.184.595-k</t>
  </si>
  <si>
    <t>Cesar.daniel.pegueroles1994@gmail.com</t>
  </si>
  <si>
    <t>Katherine Nicol</t>
  </si>
  <si>
    <t>Álvarez Díaz</t>
  </si>
  <si>
    <t>19.822.547-9</t>
  </si>
  <si>
    <t>Katherine.n.alvarez.d@gmail.com</t>
  </si>
  <si>
    <t>Ernesto salinas block 1460 dep.301</t>
  </si>
  <si>
    <t>Cecilia Alejandra</t>
  </si>
  <si>
    <t>Arce Muñoz</t>
  </si>
  <si>
    <t>15.088.835-2</t>
  </si>
  <si>
    <t>Cecilia.arce.ventas@gmail.com</t>
  </si>
  <si>
    <t>Castro Rivera</t>
  </si>
  <si>
    <t>17.606.491-3</t>
  </si>
  <si>
    <t>c.casriver@gmail.com</t>
  </si>
  <si>
    <t>La estudiantina 11664</t>
  </si>
  <si>
    <t>Jackeline</t>
  </si>
  <si>
    <t>Parada Alcocer</t>
  </si>
  <si>
    <t>27.224.809-5</t>
  </si>
  <si>
    <t>Jackelinepaarda89@gmail.com</t>
  </si>
  <si>
    <t>Av. Riquelme Block 1330 dep. 204</t>
  </si>
  <si>
    <t>Inés del Carmen</t>
  </si>
  <si>
    <t>Aguirre Medina</t>
  </si>
  <si>
    <t>15266468-0</t>
  </si>
  <si>
    <t>ines.1776@gmail.com</t>
  </si>
  <si>
    <t>Oscar frías 876 Mejillones</t>
  </si>
  <si>
    <t>Julio Salvador</t>
  </si>
  <si>
    <t>Pallomari Chaparro</t>
  </si>
  <si>
    <t>11.824.416-8</t>
  </si>
  <si>
    <t>juliopallomarichaparro@gmail.com</t>
  </si>
  <si>
    <t>Liza Marlene</t>
  </si>
  <si>
    <t>Sapiain Sapiain</t>
  </si>
  <si>
    <t>13.868.781-3</t>
  </si>
  <si>
    <t>lizapin@hotmail.com</t>
  </si>
  <si>
    <t>Pasaje 11 septiembre 679</t>
  </si>
  <si>
    <t>Danitza del Carmen</t>
  </si>
  <si>
    <t>Quintana Castillo</t>
  </si>
  <si>
    <t>13.221.296-1</t>
  </si>
  <si>
    <t>danicastillo@gmail.com</t>
  </si>
  <si>
    <t>Andalican 953</t>
  </si>
  <si>
    <t>Dennis Marcelo</t>
  </si>
  <si>
    <t>Rojas Concha</t>
  </si>
  <si>
    <t>10.972.623-0</t>
  </si>
  <si>
    <t>denitorojas24@gmail.com</t>
  </si>
  <si>
    <t>Oscar Frías 876</t>
  </si>
  <si>
    <t>María Verónica</t>
  </si>
  <si>
    <t>López Pérez</t>
  </si>
  <si>
    <t>9.823.385-7</t>
  </si>
  <si>
    <t>Sra.marial.almacen@gmail.com</t>
  </si>
  <si>
    <t>Vargas Ferreira</t>
  </si>
  <si>
    <t>10.573.159-0</t>
  </si>
  <si>
    <t>Anarosavargas181mail.com</t>
  </si>
  <si>
    <t>Florentino novoa 1100 los chañares dep.F 13</t>
  </si>
  <si>
    <t>Manuel Antonio</t>
  </si>
  <si>
    <t>Trigo Osses</t>
  </si>
  <si>
    <t>8.071.294-4</t>
  </si>
  <si>
    <t>manueltr.trigo30@gmail.com</t>
  </si>
  <si>
    <t>Km15camino mejillones ,manzana E sitio 5</t>
  </si>
  <si>
    <t>Judy</t>
  </si>
  <si>
    <t>Salces Céspedes</t>
  </si>
  <si>
    <t>24.298.659-8</t>
  </si>
  <si>
    <t>necasalces@gmail.com</t>
  </si>
  <si>
    <t>Almirante Latorre 388</t>
  </si>
  <si>
    <t>Alicia del Carmen</t>
  </si>
  <si>
    <t>Medina Riquelme</t>
  </si>
  <si>
    <t>7.795.040-0</t>
  </si>
  <si>
    <t>Doris Rossy</t>
  </si>
  <si>
    <t>Algañaraz Justiniano</t>
  </si>
  <si>
    <t>27.396.671-4</t>
  </si>
  <si>
    <t>doris1993aj@gmail.com</t>
  </si>
  <si>
    <t>Barón armau de la rivera 1945, Mejillones</t>
  </si>
  <si>
    <t>Fernando Joaquín</t>
  </si>
  <si>
    <t>Zuñiga Arce</t>
  </si>
  <si>
    <t>22.028.433-6</t>
  </si>
  <si>
    <t>fertabino@gmail.com</t>
  </si>
  <si>
    <t>Condominio los chañares Block A dep. 51</t>
  </si>
  <si>
    <t>Raquel</t>
  </si>
  <si>
    <t>Pinto Ledesma</t>
  </si>
  <si>
    <t>8.245.613-9</t>
  </si>
  <si>
    <t>Luis Cuadra 637</t>
  </si>
  <si>
    <t>Paloma Constanza</t>
  </si>
  <si>
    <t>Rojas Leiva</t>
  </si>
  <si>
    <t>19.846.712-k</t>
  </si>
  <si>
    <t>Paloma.rojasleiva1998@gmail.com</t>
  </si>
  <si>
    <t>Ernesto salinas block 1120 dep. 101</t>
  </si>
  <si>
    <t>Daniella Alexandra Bebé</t>
  </si>
  <si>
    <t>20.348.599-9</t>
  </si>
  <si>
    <t>Danifloresv2018@gmail.com</t>
  </si>
  <si>
    <t>Pasaje Granaderos 280</t>
  </si>
  <si>
    <t>Carolina Belén</t>
  </si>
  <si>
    <t>Avalos Avalos</t>
  </si>
  <si>
    <t>20.505.750-1</t>
  </si>
  <si>
    <t>Belen.avalos63@gmail.com</t>
  </si>
  <si>
    <t>Melipilla</t>
  </si>
  <si>
    <t>Victoria Paz</t>
  </si>
  <si>
    <t>Gómez Carmona</t>
  </si>
  <si>
    <t>23.543.827-5</t>
  </si>
  <si>
    <t>Victoria.gocar@gmail.com</t>
  </si>
  <si>
    <t>Josefa Monserrat</t>
  </si>
  <si>
    <t>22.535.026-4</t>
  </si>
  <si>
    <t>Josefa28.gomez@gmail.com</t>
  </si>
  <si>
    <t>Sayen Andrea</t>
  </si>
  <si>
    <t>Espinoza Cerón</t>
  </si>
  <si>
    <t>23.164.426-1</t>
  </si>
  <si>
    <t>Roció Fernanda</t>
  </si>
  <si>
    <t>Vásquez Flores</t>
  </si>
  <si>
    <t>23.066.494-3</t>
  </si>
  <si>
    <t>rociovasflores@gmail.com</t>
  </si>
  <si>
    <t>Gabriel Andrés</t>
  </si>
  <si>
    <t>Pérez Valdebenito</t>
  </si>
  <si>
    <t>22.472.104-8</t>
  </si>
  <si>
    <t>gaperezvaldebenito@gmail.com</t>
  </si>
  <si>
    <t>Maitte Antonia</t>
  </si>
  <si>
    <t>Veas Cordero</t>
  </si>
  <si>
    <t>21.868.279-0</t>
  </si>
  <si>
    <t>veasantoniamaitte@gmail.com</t>
  </si>
  <si>
    <t>Martina Monserrat</t>
  </si>
  <si>
    <t>Orozco Álvarez</t>
  </si>
  <si>
    <t>22.432.843-5</t>
  </si>
  <si>
    <t>Meritxell Franchesca</t>
  </si>
  <si>
    <t>Vera Padilla</t>
  </si>
  <si>
    <t>24.255.937-1</t>
  </si>
  <si>
    <t>meryverap@gmail.com</t>
  </si>
  <si>
    <t>María Trinidad</t>
  </si>
  <si>
    <t>Farías Cofré</t>
  </si>
  <si>
    <t>22.411.364-1</t>
  </si>
  <si>
    <t>Agustín Patricio</t>
  </si>
  <si>
    <t>Romanini Armijo</t>
  </si>
  <si>
    <t>21.788.609-0</t>
  </si>
  <si>
    <t>romaniniagustin@gmail.com</t>
  </si>
  <si>
    <t>Margarita Soledad</t>
  </si>
  <si>
    <t>Cavieres Céspedes</t>
  </si>
  <si>
    <t>22.633.230-8</t>
  </si>
  <si>
    <t>margaritaccespedes@gmail.com</t>
  </si>
  <si>
    <t>Catalina Fernanda</t>
  </si>
  <si>
    <t>Ganga Pávez</t>
  </si>
  <si>
    <t>21.723.666-5</t>
  </si>
  <si>
    <t>Aileen Alexia</t>
  </si>
  <si>
    <t>González Riquelme</t>
  </si>
  <si>
    <t>21.761.824-K</t>
  </si>
  <si>
    <t>aileengonzalezr@gmail.com</t>
  </si>
  <si>
    <t>Valentina Ignacia</t>
  </si>
  <si>
    <t>Martínez Olivares</t>
  </si>
  <si>
    <t>22.013.829-1</t>
  </si>
  <si>
    <t>Amy Lilibel</t>
  </si>
  <si>
    <t>Fuentes Martínez</t>
  </si>
  <si>
    <t>21.173.377-2</t>
  </si>
  <si>
    <t>Amanda Belén</t>
  </si>
  <si>
    <t>Berríos Leiva</t>
  </si>
  <si>
    <t>20.310.950-4</t>
  </si>
  <si>
    <t>Hernán Antonio</t>
  </si>
  <si>
    <t>Núñez Devia</t>
  </si>
  <si>
    <t>21.306.004-K</t>
  </si>
  <si>
    <t>hdevianunez@gmail.com</t>
  </si>
  <si>
    <t>Irma Margarita</t>
  </si>
  <si>
    <t>Miranda Rojas</t>
  </si>
  <si>
    <t>06.613.248-K</t>
  </si>
  <si>
    <t>Irmamargarita041@gmail.com</t>
  </si>
  <si>
    <t>Rocío Andrea</t>
  </si>
  <si>
    <t>Contreras Meza</t>
  </si>
  <si>
    <t>17.670.379-2</t>
  </si>
  <si>
    <t>Teresa del Carmen</t>
  </si>
  <si>
    <t>Castañeda González</t>
  </si>
  <si>
    <t>06.239.299-1</t>
  </si>
  <si>
    <t>Filial.melipilla@cruzroja.cl</t>
  </si>
  <si>
    <t>Delgado Vaca</t>
  </si>
  <si>
    <t>28.447.462-7</t>
  </si>
  <si>
    <t>Danidelgado3214@gmail.com</t>
  </si>
  <si>
    <t>Claudia Del Carmen</t>
  </si>
  <si>
    <t>Gutiérrez González</t>
  </si>
  <si>
    <t>10.873.696-8</t>
  </si>
  <si>
    <t>Claudiagutierrezgonzalez1600@gmail.com</t>
  </si>
  <si>
    <t>Sánchez Urrutia</t>
  </si>
  <si>
    <t>5.804.751-1</t>
  </si>
  <si>
    <t>Patricia Lourdes</t>
  </si>
  <si>
    <t>Leiva Valencia</t>
  </si>
  <si>
    <t>05.164.626-6</t>
  </si>
  <si>
    <t>Pleiva.valencia@gmail.com</t>
  </si>
  <si>
    <t>Isabel Del Pilar</t>
  </si>
  <si>
    <t>Sandoval Alvarado</t>
  </si>
  <si>
    <t>08.902.501-K</t>
  </si>
  <si>
    <t>isabellsand.59@gmail.com</t>
  </si>
  <si>
    <t>Claudia Teresa</t>
  </si>
  <si>
    <t>Carmona Álvarez</t>
  </si>
  <si>
    <t>12.493.420-6</t>
  </si>
  <si>
    <t>Ccarmona_alvarez@hotmail.com</t>
  </si>
  <si>
    <t>Lastenia  Adelaida</t>
  </si>
  <si>
    <t>Jeria Azúa</t>
  </si>
  <si>
    <t>14.488.676-3</t>
  </si>
  <si>
    <t>lasteniajeria@gmail.com</t>
  </si>
  <si>
    <t>María Inelia</t>
  </si>
  <si>
    <t>Calderón Poblete</t>
  </si>
  <si>
    <t>06.358.292-1</t>
  </si>
  <si>
    <t>mariaineliacalderonp@gmail.com</t>
  </si>
  <si>
    <t>Miriam Luz</t>
  </si>
  <si>
    <t>Alvarado Orozco</t>
  </si>
  <si>
    <t>08.732.081-2</t>
  </si>
  <si>
    <t>miriamalvaradoor@gmail.com</t>
  </si>
  <si>
    <t>Maybeline del Carmen</t>
  </si>
  <si>
    <t>Meza Lade</t>
  </si>
  <si>
    <t>07.731.464-4</t>
  </si>
  <si>
    <t>maybemlade@gmail.com</t>
  </si>
  <si>
    <t>Mónica Loreto</t>
  </si>
  <si>
    <t>Salinas Viveros</t>
  </si>
  <si>
    <t>10.723.433-0</t>
  </si>
  <si>
    <t>Monicaccv7@gmail.com</t>
  </si>
  <si>
    <t>Álvarez Rojas</t>
  </si>
  <si>
    <t>07.815.018-1</t>
  </si>
  <si>
    <t>Soniaalvarez1@hotmail.com</t>
  </si>
  <si>
    <t>Fabiola del Carmen</t>
  </si>
  <si>
    <t>Muñoz Vargas</t>
  </si>
  <si>
    <t>09.020.443-2</t>
  </si>
  <si>
    <t>Fabymv1982@gmail.com</t>
  </si>
  <si>
    <t>Elena Julia</t>
  </si>
  <si>
    <t>Marín Marín</t>
  </si>
  <si>
    <t>08.757.340-0</t>
  </si>
  <si>
    <t>elenajmarinm@gmail.com</t>
  </si>
  <si>
    <t>María de las Mercedes</t>
  </si>
  <si>
    <t>Aguilera Diaz</t>
  </si>
  <si>
    <t>05.348.607-K</t>
  </si>
  <si>
    <t>Molina</t>
  </si>
  <si>
    <t>Margarita del Carmen</t>
  </si>
  <si>
    <t>Otárola Jimenez</t>
  </si>
  <si>
    <t>4.774.901-8</t>
  </si>
  <si>
    <t>magiecote@gmail.com</t>
  </si>
  <si>
    <t>Pobl. 23 febrero 12</t>
  </si>
  <si>
    <t>Esperanza Anais</t>
  </si>
  <si>
    <t>Contreras Poblete</t>
  </si>
  <si>
    <t>23.199.004-6</t>
  </si>
  <si>
    <t>esperanza1980poblecontreras@gmail.com</t>
  </si>
  <si>
    <t>Villa Dr. Hurtado calle 1 2517</t>
  </si>
  <si>
    <t>Camila Vanessa</t>
  </si>
  <si>
    <t>Roja Rojas</t>
  </si>
  <si>
    <t>20.169.369-1</t>
  </si>
  <si>
    <t>rojas123camila@gmail.com</t>
  </si>
  <si>
    <t>Cruz Prieto</t>
  </si>
  <si>
    <t>18.679.370-6</t>
  </si>
  <si>
    <t>amcp994@gmail.com</t>
  </si>
  <si>
    <t>Javiera Paz</t>
  </si>
  <si>
    <t>Avendaño Pavez</t>
  </si>
  <si>
    <t>15.306.201-3</t>
  </si>
  <si>
    <t>javipaza.pavez@gmail.com</t>
  </si>
  <si>
    <t>Villa San Alberto Hurtado 2415</t>
  </si>
  <si>
    <t>Isidora Ignacia</t>
  </si>
  <si>
    <t>Riquelme Chávez</t>
  </si>
  <si>
    <t>22.355.082-7</t>
  </si>
  <si>
    <t>ti.nariquelmechavez@gmail.com</t>
  </si>
  <si>
    <t>Villa Salesiano, pje don Bosco 1272</t>
  </si>
  <si>
    <t>Katherine Andrea</t>
  </si>
  <si>
    <t>Diaz Verdugo</t>
  </si>
  <si>
    <t>17.819.548-4</t>
  </si>
  <si>
    <t>katherineandrea1744@gmail.com</t>
  </si>
  <si>
    <t>Jose Patricio</t>
  </si>
  <si>
    <t>Monsalve Acevedo</t>
  </si>
  <si>
    <t>18.967.258-6</t>
  </si>
  <si>
    <t>chilejose2010@outlook.com</t>
  </si>
  <si>
    <t>Antonia Jesus</t>
  </si>
  <si>
    <t>Ramirez Matus</t>
  </si>
  <si>
    <t>21.948.887-4</t>
  </si>
  <si>
    <t>antoramirezmatuslz@gmail.com</t>
  </si>
  <si>
    <t>Pichingal s/n</t>
  </si>
  <si>
    <t>Pia Valentina</t>
  </si>
  <si>
    <t>Zuñiga Valderrama</t>
  </si>
  <si>
    <t>20.269.048-3</t>
  </si>
  <si>
    <t>Marly Florisa</t>
  </si>
  <si>
    <t>Carrasco Gonzalez</t>
  </si>
  <si>
    <t>14.527.121-0</t>
  </si>
  <si>
    <t>marlycarrasco230@gmail.com</t>
  </si>
  <si>
    <t xml:space="preserve">Villa Olimpica 1585 </t>
  </si>
  <si>
    <t>Luisa Herminia</t>
  </si>
  <si>
    <t>Vargas Muñoz</t>
  </si>
  <si>
    <t>7.064.106-2</t>
  </si>
  <si>
    <t>herminiavargas52@gmail.com</t>
  </si>
  <si>
    <t>Ramirez Veliz</t>
  </si>
  <si>
    <t>13.598.879-0</t>
  </si>
  <si>
    <t>gr19794676@gmail.com</t>
  </si>
  <si>
    <t>Villa El Trigal, pje .9 1450</t>
  </si>
  <si>
    <t>Claudia Jimena</t>
  </si>
  <si>
    <t>Quezada Saez</t>
  </si>
  <si>
    <t>12.786.860-3</t>
  </si>
  <si>
    <t>jimenaqs@gmail.com</t>
  </si>
  <si>
    <t>Illanes Araya</t>
  </si>
  <si>
    <t>14.265.209-9</t>
  </si>
  <si>
    <t>isabelillanes2107@gmail.com</t>
  </si>
  <si>
    <t>Av. Quecheregua  Sur 2890</t>
  </si>
  <si>
    <t>Gabriela Elizabeth</t>
  </si>
  <si>
    <t>Silva Campos</t>
  </si>
  <si>
    <t>14.053.728-4</t>
  </si>
  <si>
    <t>gsilca81@gmail.com</t>
  </si>
  <si>
    <t>Maria Cecilia</t>
  </si>
  <si>
    <t>Gutiérrez Reyes</t>
  </si>
  <si>
    <t>10.804.839-5</t>
  </si>
  <si>
    <t>maricecigut@gmail.com</t>
  </si>
  <si>
    <t>Avda. poniente 2360, Villa Araucaria</t>
  </si>
  <si>
    <t>Blanca del Carmen</t>
  </si>
  <si>
    <t>Hernandez Figueroa</t>
  </si>
  <si>
    <t>11.955.229-k</t>
  </si>
  <si>
    <t xml:space="preserve">carmenhernandezfig@gmail.com
</t>
  </si>
  <si>
    <t>Villa Piedra Azul, calle 17950</t>
  </si>
  <si>
    <t>María de los Angeles</t>
  </si>
  <si>
    <t>Ossa Valdés</t>
  </si>
  <si>
    <t>7.734.334-2</t>
  </si>
  <si>
    <t>maruossavaldes@gmail.com</t>
  </si>
  <si>
    <t>Pobl. Gral. Maturana, Calle Aromo 6</t>
  </si>
  <si>
    <t>Lucía del Pilar</t>
  </si>
  <si>
    <t>Aravena Reyes</t>
  </si>
  <si>
    <t>13.205.133-k</t>
  </si>
  <si>
    <t>z2906t@gmail.com</t>
  </si>
  <si>
    <t>Villa La Concepción, calle 1, 2517</t>
  </si>
  <si>
    <t>Maria Isabel</t>
  </si>
  <si>
    <t>Cruz Johnson</t>
  </si>
  <si>
    <t>9.549.567-2</t>
  </si>
  <si>
    <t>mariaisabelcruzjohnson@gmail.com</t>
  </si>
  <si>
    <t>Av. Quecheregua 1473</t>
  </si>
  <si>
    <t>Odeón Octavio</t>
  </si>
  <si>
    <t>Toledo Arias</t>
  </si>
  <si>
    <t>7.339.356-6</t>
  </si>
  <si>
    <t>odeon_tole@gmail.com</t>
  </si>
  <si>
    <t>Pobl. Seguro Social pje. Manuel Orenda 1615</t>
  </si>
  <si>
    <t>Díaz Martínez</t>
  </si>
  <si>
    <t>6.580.374-7</t>
  </si>
  <si>
    <t>mariadiazm2111@gmail.com</t>
  </si>
  <si>
    <t>Pobl. 23 de Febrero 17</t>
  </si>
  <si>
    <t>Díaz Duarte</t>
  </si>
  <si>
    <t>10.665.471-9</t>
  </si>
  <si>
    <t>jessica.pd.diaz@gmail.com</t>
  </si>
  <si>
    <t>Itahue sitio 13</t>
  </si>
  <si>
    <t>Verdugo Ibarra</t>
  </si>
  <si>
    <t>6.665.807-4</t>
  </si>
  <si>
    <t>luzverdugo1952mqgmail.com</t>
  </si>
  <si>
    <t>Maria Ernestina</t>
  </si>
  <si>
    <t>Guerrero Duarte</t>
  </si>
  <si>
    <t>7.663.868-3</t>
  </si>
  <si>
    <t>mg4031921@gmail.com</t>
  </si>
  <si>
    <t>Villa Maria Auxiliadora pje. Claudio Arrau 1665</t>
  </si>
  <si>
    <t>Lucía del Carmen</t>
  </si>
  <si>
    <t>Reyes Contreras</t>
  </si>
  <si>
    <t>8.883.503-4</t>
  </si>
  <si>
    <t>lucydelcar59@gmail.com</t>
  </si>
  <si>
    <t>Pobl.23 Febrero 4</t>
  </si>
  <si>
    <t>Monte Águila</t>
  </si>
  <si>
    <t>Gonzalez Gonzalez</t>
  </si>
  <si>
    <t>20.087.620-2</t>
  </si>
  <si>
    <t>Mariajosegonzalez7724@gmail.com</t>
  </si>
  <si>
    <t>Villa Bicentenario casa 4 Mte Aguila- Cabrero</t>
  </si>
  <si>
    <t>Pamela Nicol</t>
  </si>
  <si>
    <t>Sanchez Perez</t>
  </si>
  <si>
    <t>16393.508-2</t>
  </si>
  <si>
    <t>pamelasanchezts@gmail.com</t>
  </si>
  <si>
    <t>Ohiggins 36 Mte Aguila Cabrero</t>
  </si>
  <si>
    <t>Gisselle Alexandra</t>
  </si>
  <si>
    <t>Salamanca Salamanca</t>
  </si>
  <si>
    <t>19.599.525-7</t>
  </si>
  <si>
    <t>chelsalam1@gmail.com</t>
  </si>
  <si>
    <t>Los Olmos 42 Mte Aguila- Cabrero</t>
  </si>
  <si>
    <t>Paredes Peña</t>
  </si>
  <si>
    <t>6.498.756-9</t>
  </si>
  <si>
    <t>Ahumada299. Mte Aguila- Cabrero</t>
  </si>
  <si>
    <t>Soledad Del Carmen</t>
  </si>
  <si>
    <t>Carrasco Inostroza</t>
  </si>
  <si>
    <t>6.510.455-5</t>
  </si>
  <si>
    <t>Solecarrasco19@gmail.com</t>
  </si>
  <si>
    <t>Ahumada299. Mte Aguila. Cabrero</t>
  </si>
  <si>
    <t>Rosa Ladi</t>
  </si>
  <si>
    <t>Moya Santana</t>
  </si>
  <si>
    <t>5.187.214-2</t>
  </si>
  <si>
    <t>rosamoyasantana@gmail.com</t>
  </si>
  <si>
    <t>Ohiggins 200 Mte Aguila- Cabrero</t>
  </si>
  <si>
    <t>Nancy Elizabeth</t>
  </si>
  <si>
    <t>4.742.127-6</t>
  </si>
  <si>
    <t>munoz.munoz.nancy@gmail.com</t>
  </si>
  <si>
    <t>Zañartu 306 Mte Aguila- Cabrero</t>
  </si>
  <si>
    <t>Johanna Andrea</t>
  </si>
  <si>
    <t>Vallejos Araneda</t>
  </si>
  <si>
    <t>13.625.653-K</t>
  </si>
  <si>
    <t>Johannavallejos16@gmail.com</t>
  </si>
  <si>
    <t>La Colonia pasaje339.Mte Aguila- Cabrero</t>
  </si>
  <si>
    <t>Teresa Jesus</t>
  </si>
  <si>
    <t>Acuña Cid</t>
  </si>
  <si>
    <t>15.953.480-4</t>
  </si>
  <si>
    <t>Teresaacuna567@gmail.com</t>
  </si>
  <si>
    <t>Arturo Prat 515. Mte Aguila-Cabrero</t>
  </si>
  <si>
    <t>Wilma Elizabeth</t>
  </si>
  <si>
    <t>Burgos Rojas</t>
  </si>
  <si>
    <t>6.685.475-2</t>
  </si>
  <si>
    <t>wilmaelyrojas@gmail.com</t>
  </si>
  <si>
    <t>Villa Esperanza. Los Nogales 2. Mte Aguila.Cabrero</t>
  </si>
  <si>
    <t>Marisell Solange Del Carmen</t>
  </si>
  <si>
    <t>Perez Quezada</t>
  </si>
  <si>
    <t>12.697.550-3</t>
  </si>
  <si>
    <t>m_jimenez_saez@hotmail.com</t>
  </si>
  <si>
    <t>Pasaje 1 sur casa 151 Mte Aguila -Cabrero</t>
  </si>
  <si>
    <t>Leonides</t>
  </si>
  <si>
    <t>Rojas Barra</t>
  </si>
  <si>
    <t>5.147.621-7</t>
  </si>
  <si>
    <t>Zañartu 233 Mte águila- Cabrero</t>
  </si>
  <si>
    <t>Ema Solomit</t>
  </si>
  <si>
    <t>Benavente Aguillon</t>
  </si>
  <si>
    <t>11.777.024-9</t>
  </si>
  <si>
    <t>Ema.benavente@hotmail.com</t>
  </si>
  <si>
    <t>Caupolicán 239. Mte Aguila- Cabrero</t>
  </si>
  <si>
    <t>Doris Yanett</t>
  </si>
  <si>
    <t>Rojas Cabezas</t>
  </si>
  <si>
    <t>8.327.106-K</t>
  </si>
  <si>
    <t>dorisrojasc@gmail.com</t>
  </si>
  <si>
    <t>Parcela Los Maitenes Mte Aguila- Cabrero</t>
  </si>
  <si>
    <t>Gloria De Las Nieves</t>
  </si>
  <si>
    <t>Soto Lagos</t>
  </si>
  <si>
    <t>11.293.560-6</t>
  </si>
  <si>
    <t>Sotolagosg@gmail.com</t>
  </si>
  <si>
    <t>Villa Esperanza casa005 pasaje el maiten.-Cabrero</t>
  </si>
  <si>
    <t>Erminda Petronila</t>
  </si>
  <si>
    <t>Inzunza Miquel</t>
  </si>
  <si>
    <t>10.833.505-K</t>
  </si>
  <si>
    <t>inzunza.miquel@gmail.com</t>
  </si>
  <si>
    <t>Km.52 camino Cabrero -Monte Aguila</t>
  </si>
  <si>
    <t>Silvia Orietta</t>
  </si>
  <si>
    <t>Mellado Cardenas</t>
  </si>
  <si>
    <t>6.753.404-2</t>
  </si>
  <si>
    <t>silviamellado1@hotmail.com</t>
  </si>
  <si>
    <t>El Repelón parcela 14.Alto Mte Aguila-Cabrero</t>
  </si>
  <si>
    <t>Brigida Angelica</t>
  </si>
  <si>
    <t>Sanhueza Azócar</t>
  </si>
  <si>
    <t>8.640.909- 7</t>
  </si>
  <si>
    <t>Villa Esperanza.Pasaje Los Almendrales casa 20.</t>
  </si>
  <si>
    <t>Rosa De Las Mercedes</t>
  </si>
  <si>
    <t>Mardones Valdebenito</t>
  </si>
  <si>
    <t>7.352.825-9</t>
  </si>
  <si>
    <t>rositamv1955@gmail.com</t>
  </si>
  <si>
    <t>Villa Esperanza.Coigue 16 Mte Aguila-Cabrero</t>
  </si>
  <si>
    <t>Mercedes Lilianeth</t>
  </si>
  <si>
    <t>Abdala Bobadilla</t>
  </si>
  <si>
    <t>6.851.530-0</t>
  </si>
  <si>
    <t>abdalalilianet@gmail.com</t>
  </si>
  <si>
    <t>José María Echeverría 85- Mte Aguila - Cabrero</t>
  </si>
  <si>
    <t>Nora Del Carmen</t>
  </si>
  <si>
    <t>Herrera Echeverria</t>
  </si>
  <si>
    <t>7.884.358-6</t>
  </si>
  <si>
    <t>noraherrera@gmail.com</t>
  </si>
  <si>
    <t>La Dehesa79villa La Felicidad -Mte Aguila-Cabrero</t>
  </si>
  <si>
    <t>Mulchen</t>
  </si>
  <si>
    <t>Carla Valentina</t>
  </si>
  <si>
    <t>Silva Umaña</t>
  </si>
  <si>
    <t>17.913.681-3</t>
  </si>
  <si>
    <t>cavsilvaum@gmail.com</t>
  </si>
  <si>
    <t>Isabel Del Carmen</t>
  </si>
  <si>
    <t>Cabrera Bizama</t>
  </si>
  <si>
    <t>6.836.502-3</t>
  </si>
  <si>
    <t>isacabrerab@gmail.com</t>
  </si>
  <si>
    <t>Rodriguez Vivero</t>
  </si>
  <si>
    <t>6.165.932-3</t>
  </si>
  <si>
    <t>Ingrid Jeannette</t>
  </si>
  <si>
    <t>Bascur Estrada</t>
  </si>
  <si>
    <t>10.132.900-3</t>
  </si>
  <si>
    <t>Roxana Genoveva</t>
  </si>
  <si>
    <t>Pino Garrido</t>
  </si>
  <si>
    <t>11.094.973-1</t>
  </si>
  <si>
    <t>Roxanapinogarrido29@gmail.com
gmail.com</t>
  </si>
  <si>
    <t>Ercilia Rosa</t>
  </si>
  <si>
    <t>Rios Barriga</t>
  </si>
  <si>
    <t>6.528.712-9</t>
  </si>
  <si>
    <t>Rios Grandon</t>
  </si>
  <si>
    <t>7.732.437-2</t>
  </si>
  <si>
    <t>Rositariosg57@gmail.com</t>
  </si>
  <si>
    <t>Maria Emelina</t>
  </si>
  <si>
    <t>Barriga Rios</t>
  </si>
  <si>
    <t>11.157.672-6</t>
  </si>
  <si>
    <t>Arevalo Betancur</t>
  </si>
  <si>
    <t>10.781.485-K</t>
  </si>
  <si>
    <t>Yoya.arevalob@gmail.com</t>
  </si>
  <si>
    <t>Nelda Del Carmen</t>
  </si>
  <si>
    <t>Rivas Figueroa</t>
  </si>
  <si>
    <t>7.766.656-7</t>
  </si>
  <si>
    <t>Iris Cecilia</t>
  </si>
  <si>
    <t>Castro Romero</t>
  </si>
  <si>
    <t>8.875.825-0</t>
  </si>
  <si>
    <t>Luisa Del Carmen</t>
  </si>
  <si>
    <t>Matus Maureira</t>
  </si>
  <si>
    <t>8.389.409-1</t>
  </si>
  <si>
    <t>Maria Leonor</t>
  </si>
  <si>
    <t>Valenzuela Valdebenito</t>
  </si>
  <si>
    <t>8.814.759-6</t>
  </si>
  <si>
    <t>Isabel Del Rosario</t>
  </si>
  <si>
    <t>Urrutia Diaz</t>
  </si>
  <si>
    <t>7.057.199-4</t>
  </si>
  <si>
    <t>Aurora Rosa</t>
  </si>
  <si>
    <t>Umaña Lizama</t>
  </si>
  <si>
    <t>7.114.681-2</t>
  </si>
  <si>
    <t>Nacimiento</t>
  </si>
  <si>
    <t>Sanchez Andrades</t>
  </si>
  <si>
    <t>13.085.486-9</t>
  </si>
  <si>
    <t>Juana_sanchez@live.cl</t>
  </si>
  <si>
    <t>Roma 1061 Nacimiento</t>
  </si>
  <si>
    <t>Silvia</t>
  </si>
  <si>
    <t>Vásquez Coronado</t>
  </si>
  <si>
    <t>18.951.362-3</t>
  </si>
  <si>
    <t>Millaray 1165 Nacimiento</t>
  </si>
  <si>
    <t>Gudelia</t>
  </si>
  <si>
    <t>Monsalvez Müller</t>
  </si>
  <si>
    <t>3.974.549-6</t>
  </si>
  <si>
    <t>Prieto 349 Nacimiento</t>
  </si>
  <si>
    <t>Ninoska</t>
  </si>
  <si>
    <t>Sanhueza Vargas</t>
  </si>
  <si>
    <t>17.361.892-1</t>
  </si>
  <si>
    <t>C. Medina 1035 Nacimiento</t>
  </si>
  <si>
    <t>Maria E.</t>
  </si>
  <si>
    <t>Montoya Cruzat</t>
  </si>
  <si>
    <t>5.133.126-5</t>
  </si>
  <si>
    <t>marujamontoya6@gmail.com</t>
  </si>
  <si>
    <t>El Palqui 925 Nacimiento</t>
  </si>
  <si>
    <t>Ena</t>
  </si>
  <si>
    <t>Pinto Barra</t>
  </si>
  <si>
    <t>9.089.758-6</t>
  </si>
  <si>
    <t>Salazar Salazar</t>
  </si>
  <si>
    <t>3.589.899-9</t>
  </si>
  <si>
    <t>soniasalazar430@gmail.com</t>
  </si>
  <si>
    <t>Baquedano 362 Nacimiento</t>
  </si>
  <si>
    <t>Elisa</t>
  </si>
  <si>
    <t>Castañeda Mejias</t>
  </si>
  <si>
    <t>5.200.918-9</t>
  </si>
  <si>
    <t>San Martin 1057 Nacimiento</t>
  </si>
  <si>
    <t>Barriga Pérez</t>
  </si>
  <si>
    <t>4.149.361-5</t>
  </si>
  <si>
    <t>Caupolicán 1180 Nacim.</t>
  </si>
  <si>
    <t>Laura</t>
  </si>
  <si>
    <t>Cea Salazar</t>
  </si>
  <si>
    <t>5.754.849-5</t>
  </si>
  <si>
    <t>Errázuriz 496 Nacimiento</t>
  </si>
  <si>
    <t>Díaz Pérez</t>
  </si>
  <si>
    <t>9.108.856-8</t>
  </si>
  <si>
    <t>San Martín 616 Nacimiento</t>
  </si>
  <si>
    <t>Carrillo Suazo</t>
  </si>
  <si>
    <t>5.099.606-9</t>
  </si>
  <si>
    <t xml:space="preserve">elisacastmeji@gmail.com </t>
  </si>
  <si>
    <t>A.Pinto 360 Nacimiento</t>
  </si>
  <si>
    <t>María J.</t>
  </si>
  <si>
    <t>Jara Calderón</t>
  </si>
  <si>
    <t>8.908.271-4</t>
  </si>
  <si>
    <t>Jarajackeline920@gmail.com</t>
  </si>
  <si>
    <t>Pailahuala 1080 Nacimiento</t>
  </si>
  <si>
    <t>Marlene J.</t>
  </si>
  <si>
    <t>Ramirez Reyes</t>
  </si>
  <si>
    <t>9.261.951-6</t>
  </si>
  <si>
    <t>mareyes44@gmail.com</t>
  </si>
  <si>
    <t>Ovalle 293 Nacimiento</t>
  </si>
  <si>
    <t>Gatica Novoa</t>
  </si>
  <si>
    <t>3.074.498-5</t>
  </si>
  <si>
    <t>Ohiggins 260 Nacimiento</t>
  </si>
  <si>
    <t>Ivett Cecilia</t>
  </si>
  <si>
    <t>Salazar Reyes</t>
  </si>
  <si>
    <t>7.828.908-2</t>
  </si>
  <si>
    <t>Ivett.salazar56@gmail.com</t>
  </si>
  <si>
    <t>Sta. Isabel N° 9 Nacimiento</t>
  </si>
  <si>
    <t>María E.</t>
  </si>
  <si>
    <t>Garcés Castro</t>
  </si>
  <si>
    <t>5.764.329-3</t>
  </si>
  <si>
    <t>San Martín 417 Nacimiento</t>
  </si>
  <si>
    <t>María C.</t>
  </si>
  <si>
    <t>Flores Chávez</t>
  </si>
  <si>
    <t>6.836.319-5</t>
  </si>
  <si>
    <t>tityflores@gmail.com</t>
  </si>
  <si>
    <t>Los Libertadores 1020 Nacimiento</t>
  </si>
  <si>
    <t>Negrete</t>
  </si>
  <si>
    <t>Allison Antonia Isidora</t>
  </si>
  <si>
    <t>Castro Cea</t>
  </si>
  <si>
    <t>22.088.90 4-1</t>
  </si>
  <si>
    <t>Allisoncea2006@gmail.com</t>
  </si>
  <si>
    <t>Luis Cruz Martínez 270, Negrete</t>
  </si>
  <si>
    <t>9 91481870</t>
  </si>
  <si>
    <t>Patricia Andrea</t>
  </si>
  <si>
    <t>Pedemont es Lobos</t>
  </si>
  <si>
    <t>13.655.41 2-3</t>
  </si>
  <si>
    <t>Ppedemonteslobos@gmail.co m</t>
  </si>
  <si>
    <t>Miraflores sitio 59 Negrete</t>
  </si>
  <si>
    <t>9 65333854</t>
  </si>
  <si>
    <t>Yordy Andrés</t>
  </si>
  <si>
    <t>Córdova Huaquil</t>
  </si>
  <si>
    <t>20.618.707-7</t>
  </si>
  <si>
    <t>Yordy6364@gmail.com</t>
  </si>
  <si>
    <t>Pedro Boris Beratto N.º 22, Negrete</t>
  </si>
  <si>
    <t>9 55238983</t>
  </si>
  <si>
    <t>Tania Valeska</t>
  </si>
  <si>
    <t>Jorquera Bravo</t>
  </si>
  <si>
    <t>19.286.80 0-9</t>
  </si>
  <si>
    <t>Taniajorquera96@gmail.com</t>
  </si>
  <si>
    <t>José  Joaquín Pérez Nº80,Negrete</t>
  </si>
  <si>
    <t>9 86692916</t>
  </si>
  <si>
    <t>Elizabeth Dy Jarixa</t>
  </si>
  <si>
    <t>Bravo Acuña</t>
  </si>
  <si>
    <t>18.802.92 5-6</t>
  </si>
  <si>
    <t>José  Joaquín  Pérez Nº80, Negrete</t>
  </si>
  <si>
    <t>9 92830891</t>
  </si>
  <si>
    <t>Erika del Carmen</t>
  </si>
  <si>
    <t>Vega Melo</t>
  </si>
  <si>
    <t>7.117.652-5</t>
  </si>
  <si>
    <t>Eduardo Gabriel</t>
  </si>
  <si>
    <t>Araneda  Molina</t>
  </si>
  <si>
    <t>6.111.923 -5</t>
  </si>
  <si>
    <t>Aranedagabriel1@gmail.com</t>
  </si>
  <si>
    <t>Emilio Serrano 225, Negrete</t>
  </si>
  <si>
    <t>9 85489141</t>
  </si>
  <si>
    <t>María Margarita</t>
  </si>
  <si>
    <t>Urra González</t>
  </si>
  <si>
    <t>7.453.902-6</t>
  </si>
  <si>
    <t>Maggieurrea@gmail.com</t>
  </si>
  <si>
    <t>Marta Nieves</t>
  </si>
  <si>
    <t>Neira Aguayo</t>
  </si>
  <si>
    <t>Bernardo David</t>
  </si>
  <si>
    <t>Araya Pacheco</t>
  </si>
  <si>
    <t>13.844.18 2-2</t>
  </si>
  <si>
    <t>Bedabombero@gmail.com</t>
  </si>
  <si>
    <t>Santiago Moncada 915, Negrete</t>
  </si>
  <si>
    <t>9 72291008</t>
  </si>
  <si>
    <t>Lorena del Pilar</t>
  </si>
  <si>
    <t>Cea Segura</t>
  </si>
  <si>
    <t>10.488.42 4-5</t>
  </si>
  <si>
    <t>Ceapilar79@gmail.com</t>
  </si>
  <si>
    <t>Iris Aurora</t>
  </si>
  <si>
    <t>Infante Vilches</t>
  </si>
  <si>
    <t>7.448.002 -0</t>
  </si>
  <si>
    <t>Irisinfante44@gmail.com</t>
  </si>
  <si>
    <t>Baldomero Lillo 113, Negrete</t>
  </si>
  <si>
    <t>9 76233121</t>
  </si>
  <si>
    <t>María Yolanda</t>
  </si>
  <si>
    <t>Martínez Diaz</t>
  </si>
  <si>
    <t>9.181.069-7</t>
  </si>
  <si>
    <t>Muñoz Martínez</t>
  </si>
  <si>
    <t>11.076.69 8-K</t>
  </si>
  <si>
    <t>C.gloria1666@gmail.com</t>
  </si>
  <si>
    <t>Camino a Negrete</t>
  </si>
  <si>
    <t>9 95879353</t>
  </si>
  <si>
    <t>Silvia Teresa</t>
  </si>
  <si>
    <t>Salas Ruminot</t>
  </si>
  <si>
    <t>4.033.235 -9</t>
  </si>
  <si>
    <t>Luis Cruz Martínez, Negrete</t>
  </si>
  <si>
    <t>9 78718493</t>
  </si>
  <si>
    <t>Lucy  del Carmen</t>
  </si>
  <si>
    <t>Aedo  Muñoz</t>
  </si>
  <si>
    <t>8.463.234 -1</t>
  </si>
  <si>
    <t>Aedomuñozlucy@gmail.com</t>
  </si>
  <si>
    <t>Balmaceda 560 , Negrete</t>
  </si>
  <si>
    <t>9 23904989</t>
  </si>
  <si>
    <t>Rosa Mariana</t>
  </si>
  <si>
    <t>Sáez Guzmán</t>
  </si>
  <si>
    <t>10.155.19 9-7</t>
  </si>
  <si>
    <t>Población El Pino pasaje 1,Negrete</t>
  </si>
  <si>
    <t>9 66100810</t>
  </si>
  <si>
    <t>Rosana Jimena</t>
  </si>
  <si>
    <t>Hernández Fritz</t>
  </si>
  <si>
    <t>9.181.431 -7</t>
  </si>
  <si>
    <t>Hacienda Negrete</t>
  </si>
  <si>
    <t>9 53514984</t>
  </si>
  <si>
    <t>Carmen Emelina</t>
  </si>
  <si>
    <t>Vera Ruiz</t>
  </si>
  <si>
    <t>8.175.559 -0</t>
  </si>
  <si>
    <t>Veraveraruiz@gmail.com</t>
  </si>
  <si>
    <t>Camino Sta. Clara Casas Blancas Los Angeles</t>
  </si>
  <si>
    <t>9 56808444</t>
  </si>
  <si>
    <t>Margarita Edith</t>
  </si>
  <si>
    <t>Sepúlveda Zapata</t>
  </si>
  <si>
    <t>6.648.704.0</t>
  </si>
  <si>
    <t>Maysep1@gmail.com</t>
  </si>
  <si>
    <t>María Mildred</t>
  </si>
  <si>
    <t>Martínez Sandoval</t>
  </si>
  <si>
    <t>9.217.270 -8</t>
  </si>
  <si>
    <t>Mariamildred61@gmail.com</t>
  </si>
  <si>
    <t>Balmaceda 396, Negrete</t>
  </si>
  <si>
    <t>9 76355198</t>
  </si>
  <si>
    <t>Mónica Rosa</t>
  </si>
  <si>
    <t>Vázquez Espinoza</t>
  </si>
  <si>
    <t>5.833.824 -9</t>
  </si>
  <si>
    <t>Monica.vazquez.espinoza@gm ail.com</t>
  </si>
  <si>
    <t>Emilio Serrano</t>
  </si>
  <si>
    <t>9 32133263</t>
  </si>
  <si>
    <t>Jacome Riveros</t>
  </si>
  <si>
    <t>7.776.676-6</t>
  </si>
  <si>
    <t>Mireya del Carmen</t>
  </si>
  <si>
    <t>Pacheco Orellana</t>
  </si>
  <si>
    <t>7.565.224 -0</t>
  </si>
  <si>
    <t>Mireyapacheco1952@gmail.co m</t>
  </si>
  <si>
    <t>9 76181519</t>
  </si>
  <si>
    <t>Ñuñoa</t>
  </si>
  <si>
    <t>Montoya Sánchez</t>
  </si>
  <si>
    <t>13.728.737-4</t>
  </si>
  <si>
    <t>Riquelme Arancibia</t>
  </si>
  <si>
    <t>12.638.049-6</t>
  </si>
  <si>
    <t>Carreño Puentes</t>
  </si>
  <si>
    <t>13.064.862-1</t>
  </si>
  <si>
    <t>pcarrenopuentes@gmail.com</t>
  </si>
  <si>
    <t>Arancibia Romero</t>
  </si>
  <si>
    <t>5.193.660-4</t>
  </si>
  <si>
    <t>Augusto  Villanueva 374, Ñuñoa</t>
  </si>
  <si>
    <t>9 8683  9936</t>
  </si>
  <si>
    <t>Arellano Silva</t>
  </si>
  <si>
    <t>8.210.818-1</t>
  </si>
  <si>
    <t>quena38@hotmail.com</t>
  </si>
  <si>
    <t>Las Rosas 1960, Peñalolén</t>
  </si>
  <si>
    <t>9 954 6 6180</t>
  </si>
  <si>
    <t>Armijo Oliva</t>
  </si>
  <si>
    <t>6.867.463-8</t>
  </si>
  <si>
    <t>Avda.Colón 4958, Depto.1101, Las Condes</t>
  </si>
  <si>
    <t>9 8887 7502</t>
  </si>
  <si>
    <t>Cánepa González</t>
  </si>
  <si>
    <t>6.371.834-3</t>
  </si>
  <si>
    <t>isabelcanepa@hotmail.com</t>
  </si>
  <si>
    <t>Carlos Ossandón 51, La Reina</t>
  </si>
  <si>
    <t>9 9299   2324</t>
  </si>
  <si>
    <t>Contreras PEroyenoswski</t>
  </si>
  <si>
    <t>13.297.746-1</t>
  </si>
  <si>
    <t>9 6717 1202</t>
  </si>
  <si>
    <t>Fernandez Kemner</t>
  </si>
  <si>
    <t>9.875.567-5</t>
  </si>
  <si>
    <t>San Juan de La Luz 8830, casa L, Viñedos del Consistorial, Peñalolén</t>
  </si>
  <si>
    <t>9 8248 3180</t>
  </si>
  <si>
    <t>Carolyn</t>
  </si>
  <si>
    <t>Fuentes Ramírez</t>
  </si>
  <si>
    <t>8.928.529-1</t>
  </si>
  <si>
    <t>carolynfr64@gmail.com</t>
  </si>
  <si>
    <t>Avda.Consistorial 5630, casa 5688, El  Otoñal,  Peñalolén</t>
  </si>
  <si>
    <t>9 98631391</t>
  </si>
  <si>
    <t>Doris</t>
  </si>
  <si>
    <t>Gálvez Navarro</t>
  </si>
  <si>
    <t>5.123.976-8</t>
  </si>
  <si>
    <t>Contra Almirannte  Fdez. Vial 1083, Depto.404, Lo Barnechea</t>
  </si>
  <si>
    <t>9 52574172</t>
  </si>
  <si>
    <t>Luisa (E.G.C.)</t>
  </si>
  <si>
    <t>Henríquez Cepeda</t>
  </si>
  <si>
    <t>8.037.922-6</t>
  </si>
  <si>
    <t>9 6588 0382</t>
  </si>
  <si>
    <t>Herrera Brisso</t>
  </si>
  <si>
    <t>7.207.631-1</t>
  </si>
  <si>
    <t>magalyvherrera@gmail.com</t>
  </si>
  <si>
    <t>Emilia Tellez 5070, Depto.43, Ñuñoa</t>
  </si>
  <si>
    <t>9 8234 5340</t>
  </si>
  <si>
    <t>Mireya</t>
  </si>
  <si>
    <t>Hidalgo Gálvez</t>
  </si>
  <si>
    <t>5.222.001-7</t>
  </si>
  <si>
    <t>mireyahidalgog@gmail.com</t>
  </si>
  <si>
    <t>Simón Bolívar 7831, casa D,  La Reina</t>
  </si>
  <si>
    <t>9 9277  8209</t>
  </si>
  <si>
    <t>Ilabaca</t>
  </si>
  <si>
    <t>9.230.994-8</t>
  </si>
  <si>
    <t>maritete8580@gmail.com</t>
  </si>
  <si>
    <t>Martín de Zamora 4420, Depto.31, Las Condes</t>
  </si>
  <si>
    <t>9 9230 9948</t>
  </si>
  <si>
    <t>Beatriz (E.G.C.)</t>
  </si>
  <si>
    <t>Jiménez Marín</t>
  </si>
  <si>
    <t>5.637.053-6</t>
  </si>
  <si>
    <t>Lagos Salinas</t>
  </si>
  <si>
    <t>5.077.473-2</t>
  </si>
  <si>
    <t>Las Aduanas 936,  Depto.32, Ñuñoa</t>
  </si>
  <si>
    <t>9 9389 5153</t>
  </si>
  <si>
    <t>Lilo Mora</t>
  </si>
  <si>
    <t>5.432.637-4</t>
  </si>
  <si>
    <t>Américo  Vespucio Norte  2707,  Depto.603, Las Condes</t>
  </si>
  <si>
    <t>9 7476 1200</t>
  </si>
  <si>
    <t>Patricia I.</t>
  </si>
  <si>
    <t>López Hidalgo</t>
  </si>
  <si>
    <t>5.165.166-9</t>
  </si>
  <si>
    <t>9 9969 9747</t>
  </si>
  <si>
    <t>Montalva Menares</t>
  </si>
  <si>
    <t>6.710.017-4</t>
  </si>
  <si>
    <t>rosamontalvame@gmail.com</t>
  </si>
  <si>
    <t>Licanray 6929, La Florida</t>
  </si>
  <si>
    <t>9 9981 7537</t>
  </si>
  <si>
    <t>Morales Maldonado</t>
  </si>
  <si>
    <t>7.061.491-K</t>
  </si>
  <si>
    <t>veronica.mmorales.cruzroja@gmail.com</t>
  </si>
  <si>
    <t>9  8138 7513</t>
  </si>
  <si>
    <t>Ñúñez Birdsall</t>
  </si>
  <si>
    <t>8.027.479-3</t>
  </si>
  <si>
    <t>Obregón Vargas</t>
  </si>
  <si>
    <t>5.540.862-9</t>
  </si>
  <si>
    <t>nancyobregon22@gmail.com</t>
  </si>
  <si>
    <t>Carlos Aguirre  Luco 785, Depto.C,  Ñuñoa</t>
  </si>
  <si>
    <t>9 9585 7484</t>
  </si>
  <si>
    <t>María Luz (M. de S.)</t>
  </si>
  <si>
    <t>Paredes Yáñez</t>
  </si>
  <si>
    <t>6.316.806-8</t>
  </si>
  <si>
    <t>Jacqueline</t>
  </si>
  <si>
    <t>Parra Cortés</t>
  </si>
  <si>
    <t>11.866.121-4</t>
  </si>
  <si>
    <t>Yelcho 1495, Peñalolén</t>
  </si>
  <si>
    <t>9 9936 4122</t>
  </si>
  <si>
    <t>Marianela</t>
  </si>
  <si>
    <t>Placencio Burdiles</t>
  </si>
  <si>
    <t>5.544.418-8</t>
  </si>
  <si>
    <t>mpplacencio@gmail.com</t>
  </si>
  <si>
    <t>Estrella Solitaria 4666, Depto.604, Ñuñoa</t>
  </si>
  <si>
    <t>9 9342 1992</t>
  </si>
  <si>
    <t>Claudia L.</t>
  </si>
  <si>
    <t>Puebla Bunster</t>
  </si>
  <si>
    <t>11.842.361-5</t>
  </si>
  <si>
    <t>loreto.puebla.b@gmail.com</t>
  </si>
  <si>
    <t>9 7809 8020</t>
  </si>
  <si>
    <t>Rodríguez Parada</t>
  </si>
  <si>
    <t>4.224.498-8</t>
  </si>
  <si>
    <t>lilirodpar@gmail.com</t>
  </si>
  <si>
    <t>Suárez Mujica 2823, Ñuñoa</t>
  </si>
  <si>
    <t>9 9337 5197</t>
  </si>
  <si>
    <t>Saavedra Albornoz</t>
  </si>
  <si>
    <t>20.859.302-1</t>
  </si>
  <si>
    <t>9 9419  6769</t>
  </si>
  <si>
    <t>Salazar Galdames</t>
  </si>
  <si>
    <t>9.478.658-4</t>
  </si>
  <si>
    <t>9 8275 2774</t>
  </si>
  <si>
    <t>Salazar Villanueva</t>
  </si>
  <si>
    <t>6.583.772-2</t>
  </si>
  <si>
    <t>9 9433 0799</t>
  </si>
  <si>
    <t>Sanfuentes Fluhmann</t>
  </si>
  <si>
    <t>9.356.615-7</t>
  </si>
  <si>
    <t>Seminario 909, Depto. C,  Ñuñoa</t>
  </si>
  <si>
    <t>9 9085  9399</t>
  </si>
  <si>
    <t>Santibáñez Ortiz</t>
  </si>
  <si>
    <t>4.103.905-1</t>
  </si>
  <si>
    <t>Avda.Ossa 1156,Depto.706, Ñuñoa</t>
  </si>
  <si>
    <t>9 6605 1269</t>
  </si>
  <si>
    <t>Fresia</t>
  </si>
  <si>
    <t>Silvia Muñoz</t>
  </si>
  <si>
    <t>7.986.319-K</t>
  </si>
  <si>
    <t>Nelia</t>
  </si>
  <si>
    <t>Tapia Acevedo</t>
  </si>
  <si>
    <t>8.191.966-6</t>
  </si>
  <si>
    <t>neliatapia@hotmail.com</t>
  </si>
  <si>
    <t>Monseñor Edwards 1061, La  Reina</t>
  </si>
  <si>
    <t>9 9234 9833</t>
  </si>
  <si>
    <t>Justina</t>
  </si>
  <si>
    <t>Taylor Guerrero</t>
  </si>
  <si>
    <t>5.511.004-2</t>
  </si>
  <si>
    <t>9 9015  2328</t>
  </si>
  <si>
    <t>Tellechea Aldana</t>
  </si>
  <si>
    <t>5.122.671-2</t>
  </si>
  <si>
    <t>pilartellecheea@hotmail.com</t>
  </si>
  <si>
    <t>Francisco Villagra 385, Depto.36,  La Reina</t>
  </si>
  <si>
    <t>9 8479 9944</t>
  </si>
  <si>
    <t>Urzúa Corral</t>
  </si>
  <si>
    <t>6.645.693-5</t>
  </si>
  <si>
    <t>felisau@vtr.net</t>
  </si>
  <si>
    <t>Julia Bernstein 0284, Depto.A, La Reina</t>
  </si>
  <si>
    <t>9 9238 5094</t>
  </si>
  <si>
    <t>Varela Guarda</t>
  </si>
  <si>
    <t>7.004.527-1</t>
  </si>
  <si>
    <t>varela.euge@gmail.com</t>
  </si>
  <si>
    <t>J.Bocacchio  7276, La Reina</t>
  </si>
  <si>
    <t>9 8262 5384</t>
  </si>
  <si>
    <t>Mirtha Ivonne</t>
  </si>
  <si>
    <t>Finot Lillo</t>
  </si>
  <si>
    <t>5.031.220-8</t>
  </si>
  <si>
    <t>mirthafinot@gmail.com</t>
  </si>
  <si>
    <t>San  Fernando 4290, Ñuñoa</t>
  </si>
  <si>
    <t>9 6545 7701</t>
  </si>
  <si>
    <t>Cargas Carrasco</t>
  </si>
  <si>
    <t>9.963.825-7</t>
  </si>
  <si>
    <t>svargas.carrasco.2016@gmail.com</t>
  </si>
  <si>
    <t>Los Castaños 525, Puente Alto</t>
  </si>
  <si>
    <t>9 8546 4504</t>
  </si>
  <si>
    <t>Viera Contreras</t>
  </si>
  <si>
    <t>5.927.370-1</t>
  </si>
  <si>
    <t>Avda.Echeñique 4965, Ñuñoa</t>
  </si>
  <si>
    <t>9  6636 3473</t>
  </si>
  <si>
    <t>Gladys</t>
  </si>
  <si>
    <t>Awad Rivas</t>
  </si>
  <si>
    <t>Farías  Farías</t>
  </si>
  <si>
    <t>10.823.558-6</t>
  </si>
  <si>
    <t>Elsa Marta</t>
  </si>
  <si>
    <t>Galdames Galdames</t>
  </si>
  <si>
    <t>10.030.746-4</t>
  </si>
  <si>
    <t>Karol</t>
  </si>
  <si>
    <t>Marín</t>
  </si>
  <si>
    <t>17.704.471-7</t>
  </si>
  <si>
    <t>Eduardo</t>
  </si>
  <si>
    <t>Pardo P.</t>
  </si>
  <si>
    <t>18.505.041-6</t>
  </si>
  <si>
    <t>Rabié Jachu</t>
  </si>
  <si>
    <t>5.192.078-3</t>
  </si>
  <si>
    <t>Vilma</t>
  </si>
  <si>
    <t>Riffo  Ponce</t>
  </si>
  <si>
    <t>7.949.270-1</t>
  </si>
  <si>
    <t>Robles Rubilar</t>
  </si>
  <si>
    <t>4.701.682-7</t>
  </si>
  <si>
    <t>Saavedra</t>
  </si>
  <si>
    <t>6.361.302-9</t>
  </si>
  <si>
    <t>Saldívar Maldonado</t>
  </si>
  <si>
    <t>7.258.643-3</t>
  </si>
  <si>
    <t>Vega Carvajal</t>
  </si>
  <si>
    <t>5.810.109-5</t>
  </si>
  <si>
    <t>carmaveca@hotmail.com</t>
  </si>
  <si>
    <t>Julia del Pilar</t>
  </si>
  <si>
    <t>Escobar Yáñez</t>
  </si>
  <si>
    <t>7.768.569-3</t>
  </si>
  <si>
    <t>pilarescobar8364@gmail.com</t>
  </si>
  <si>
    <t>Suecia 1592, Depto.604, Providencia</t>
  </si>
  <si>
    <t>9 8219 0367</t>
  </si>
  <si>
    <t>Cid Peña</t>
  </si>
  <si>
    <t>12.529.979-2</t>
  </si>
  <si>
    <t>Reyes Gaminao</t>
  </si>
  <si>
    <t>11.420.774-8</t>
  </si>
  <si>
    <t>Alexandra</t>
  </si>
  <si>
    <t>Serna de Malave</t>
  </si>
  <si>
    <t>26.745.234-2</t>
  </si>
  <si>
    <t>serna.alex.26@gmail.com</t>
  </si>
  <si>
    <t>Anaisa</t>
  </si>
  <si>
    <t>Herman Ossandón</t>
  </si>
  <si>
    <t>7.697.676-7</t>
  </si>
  <si>
    <t>anaisa.herman@gmail.com</t>
  </si>
  <si>
    <t>Barrientos Araneda</t>
  </si>
  <si>
    <t>6.974.326-9</t>
  </si>
  <si>
    <t>mbarrientosaraneda@gmail.com</t>
  </si>
  <si>
    <t>Lantana 8547, La Florida</t>
  </si>
  <si>
    <t>9 5917  3374</t>
  </si>
  <si>
    <t>Olmuè</t>
  </si>
  <si>
    <t>Josè Alberto</t>
  </si>
  <si>
    <t>Valle Catalàn</t>
  </si>
  <si>
    <t>21211797-8</t>
  </si>
  <si>
    <t>catalanjosevalle34@gmail.com</t>
  </si>
  <si>
    <t>Callejón el Bosque, población, 21 de Mayo, sin número,  Olmué</t>
  </si>
  <si>
    <t>Nicolàs Ignacio</t>
  </si>
  <si>
    <t>Becerra Becerra</t>
  </si>
  <si>
    <t>20062026-7</t>
  </si>
  <si>
    <t>nicolasbecerra1945@gmail.com</t>
  </si>
  <si>
    <t>Callejón lo Claro #2025, Paradero 12, Olmué</t>
  </si>
  <si>
    <t>Paola Joanna</t>
  </si>
  <si>
    <t>Madariaga Càrdenas</t>
  </si>
  <si>
    <t>11734554-8</t>
  </si>
  <si>
    <t>paloma_amo71@hotmail.com</t>
  </si>
  <si>
    <t>Pasaje 27 de Abril #5882, lo Narváez, Olmué.</t>
  </si>
  <si>
    <t>Guillermo Enrique</t>
  </si>
  <si>
    <t>Vera Berrios</t>
  </si>
  <si>
    <t>667313-2</t>
  </si>
  <si>
    <t>guillermoverasberrios@gmail.com</t>
  </si>
  <si>
    <t>Colón #143, Limache</t>
  </si>
  <si>
    <t>Francisco Anibal</t>
  </si>
  <si>
    <t>Mànquez Mànquez</t>
  </si>
  <si>
    <t>11821240-1</t>
  </si>
  <si>
    <t>anismz21@hotmail.com</t>
  </si>
  <si>
    <t>Villa Queronque, pasaje de la Vega, Block 21, departamento 21, Limache.</t>
  </si>
  <si>
    <t>Jacqueline Elizabeth</t>
  </si>
  <si>
    <t>Becker Gonzàlez</t>
  </si>
  <si>
    <t>10229079-8</t>
  </si>
  <si>
    <t>jacquelinebecker645@gmail.com</t>
  </si>
  <si>
    <t>El Espino #510, Población Orval, Limache</t>
  </si>
  <si>
    <t>Marìa Teresa</t>
  </si>
  <si>
    <t>Panesi Villalobos</t>
  </si>
  <si>
    <t>5513778-K</t>
  </si>
  <si>
    <t>Av. Granizo #5552 paradero 28, Olmué</t>
  </si>
  <si>
    <t>Marìa Ascensiòn</t>
  </si>
  <si>
    <t>Vargas Navarro</t>
  </si>
  <si>
    <t>2456944-6</t>
  </si>
  <si>
    <t>Henry Dunant #5398, Olmué</t>
  </si>
  <si>
    <t>Rosa Amelia</t>
  </si>
  <si>
    <t>Campos Hernàndez</t>
  </si>
  <si>
    <t>6636480-1</t>
  </si>
  <si>
    <t>Balmaceda #6201, Narváez, Olmué</t>
  </si>
  <si>
    <t>Urfelina Del Carmen</t>
  </si>
  <si>
    <t>Sàez Martìnez</t>
  </si>
  <si>
    <t>4731573-5</t>
  </si>
  <si>
    <t>Sector 5, paradero 7, Isla Mocha, Bellota sur.</t>
  </si>
  <si>
    <t>Elizabeth Del Carmen</t>
  </si>
  <si>
    <t>Sheè Campos</t>
  </si>
  <si>
    <t>13273749-5</t>
  </si>
  <si>
    <t>elizabethahumadashee@gmail.com</t>
  </si>
  <si>
    <t>Teresa De Lourdes</t>
  </si>
  <si>
    <t>Villalobos Villalobos</t>
  </si>
  <si>
    <t>10068081-5</t>
  </si>
  <si>
    <t>teresavillalobos.v@gmail.com</t>
  </si>
  <si>
    <t>Diego Portales #2077, Olmué</t>
  </si>
  <si>
    <t>Verònica Lilian</t>
  </si>
  <si>
    <t>Bartucevic Olivares</t>
  </si>
  <si>
    <t>8153778-K</t>
  </si>
  <si>
    <t>Veronica.bartucecevic@gmail.com</t>
  </si>
  <si>
    <t>Población 21 de Mayo 2925,Olmué</t>
  </si>
  <si>
    <t>Mònica Elena</t>
  </si>
  <si>
    <t>Ratto Rapia</t>
  </si>
  <si>
    <t>9450509-7</t>
  </si>
  <si>
    <t>monica.ratto.tapia@gmail.com</t>
  </si>
  <si>
    <t>Av. granizo #5851, Olmué</t>
  </si>
  <si>
    <t>Marìa Ester</t>
  </si>
  <si>
    <t>Tobar Tapia</t>
  </si>
  <si>
    <t>8195252-3</t>
  </si>
  <si>
    <t>mariasestertobart.56@gmail.com</t>
  </si>
  <si>
    <t>Salvador Gallegos #5390 Olmué</t>
  </si>
  <si>
    <t>Eliana Margarita</t>
  </si>
  <si>
    <t>Ravest Vergara</t>
  </si>
  <si>
    <t>6666272-1</t>
  </si>
  <si>
    <t>Avenida Granizo #5332,, Olmué</t>
  </si>
  <si>
    <t>Osorno</t>
  </si>
  <si>
    <t>Añazco Altamirano</t>
  </si>
  <si>
    <t>4.732.843-3</t>
  </si>
  <si>
    <t>Avda. Zenteno 2786.</t>
  </si>
  <si>
    <t>Aros Baldovino</t>
  </si>
  <si>
    <t>7.610.985-0</t>
  </si>
  <si>
    <t>Verdi 946 Rahue Alto</t>
  </si>
  <si>
    <t>Comigual Turra</t>
  </si>
  <si>
    <t>16.482.305-9</t>
  </si>
  <si>
    <t>Azapa 2041</t>
  </si>
  <si>
    <t>Eckhardt Rivas</t>
  </si>
  <si>
    <t>4.423.934-5</t>
  </si>
  <si>
    <t>martaeck@hotmail.com</t>
  </si>
  <si>
    <t>Pasaje Horsthenke 2640</t>
  </si>
  <si>
    <t>Patricio</t>
  </si>
  <si>
    <t>Guerrero Moraga</t>
  </si>
  <si>
    <t>10.002.638-4</t>
  </si>
  <si>
    <t>Guerrero.patolingmail.com</t>
  </si>
  <si>
    <t>Santa Isabel 2198</t>
  </si>
  <si>
    <t>Ignacio</t>
  </si>
  <si>
    <t>Solís Herrera</t>
  </si>
  <si>
    <t>15.275.356k</t>
  </si>
  <si>
    <t>Ignacio.nachos07@gmail.com</t>
  </si>
  <si>
    <t>Cuba 127 Rahue Alto</t>
  </si>
  <si>
    <t>Montecinos Errázuriz</t>
  </si>
  <si>
    <t>4.612.681-5</t>
  </si>
  <si>
    <t>Cbmontecinoshotmail.com</t>
  </si>
  <si>
    <t>Bilbao 787
410</t>
  </si>
  <si>
    <t>Gertrúdis</t>
  </si>
  <si>
    <t>Vásquez Bahamonde</t>
  </si>
  <si>
    <t>4.471.025.1</t>
  </si>
  <si>
    <t>Pasaje Wetling 819 dept. 44</t>
  </si>
  <si>
    <t>Faviola Elisabeth</t>
  </si>
  <si>
    <t>Vargas Ruíz</t>
  </si>
  <si>
    <t>11.078.635-2</t>
  </si>
  <si>
    <t>Anibal Pinto 1668</t>
  </si>
  <si>
    <t>Ovalle</t>
  </si>
  <si>
    <t>Verdejo Guzman</t>
  </si>
  <si>
    <t>5.248.453 -7</t>
  </si>
  <si>
    <t>Requena</t>
  </si>
  <si>
    <t>18449872-3</t>
  </si>
  <si>
    <t>Gomez Cantillana</t>
  </si>
  <si>
    <t>5.073.362 -9</t>
  </si>
  <si>
    <t>Hgomezcruzrojaovalle.co m</t>
  </si>
  <si>
    <t>Otilia</t>
  </si>
  <si>
    <t>Ochoa Valencia</t>
  </si>
  <si>
    <t>6.485.975 -7</t>
  </si>
  <si>
    <t>Julieta</t>
  </si>
  <si>
    <t>Barrios Cortes</t>
  </si>
  <si>
    <t>4.478.112 -3</t>
  </si>
  <si>
    <t>Cortes Fuentes</t>
  </si>
  <si>
    <t>5.514.729 -9</t>
  </si>
  <si>
    <t>Huerta Segovia</t>
  </si>
  <si>
    <t>7.705.475 -1</t>
  </si>
  <si>
    <t>Albina</t>
  </si>
  <si>
    <t>3.545.647 -3</t>
  </si>
  <si>
    <t>Elsa</t>
  </si>
  <si>
    <t>Ibacache Meneses</t>
  </si>
  <si>
    <t>Parral</t>
  </si>
  <si>
    <t>Romina Marion</t>
  </si>
  <si>
    <t>Gatica Belmar</t>
  </si>
  <si>
    <t>20.317.110-2</t>
  </si>
  <si>
    <t>Tokyo.itori@gmail.com</t>
  </si>
  <si>
    <t>Santiago Urrutia 699 Parral</t>
  </si>
  <si>
    <t>Isabel Margarita</t>
  </si>
  <si>
    <t>Pallini Maureira</t>
  </si>
  <si>
    <t>21.545.003-1</t>
  </si>
  <si>
    <t>Issamau02@gmail.com</t>
  </si>
  <si>
    <t>Chile 29 Bella Vista Parral</t>
  </si>
  <si>
    <t>Jose Matias</t>
  </si>
  <si>
    <t>Amaro Gomez</t>
  </si>
  <si>
    <t>21.531.536-3</t>
  </si>
  <si>
    <t>BALMACEDA 440</t>
  </si>
  <si>
    <t>Macarena Andrea</t>
  </si>
  <si>
    <t>Álvarez Espinoza</t>
  </si>
  <si>
    <t>20.907.675-6</t>
  </si>
  <si>
    <t>Macarenaalvarez1234@gmail.com</t>
  </si>
  <si>
    <t>OHIGGINS 201</t>
  </si>
  <si>
    <t>Valeska Oriette</t>
  </si>
  <si>
    <t>Fica Bravo</t>
  </si>
  <si>
    <t>17.987.723-6</t>
  </si>
  <si>
    <t>Valeskafica.prevencion@gmail.com</t>
  </si>
  <si>
    <t>Villa Valles de Parral calle alegría casa 1150</t>
  </si>
  <si>
    <t>Ivonne Andrea</t>
  </si>
  <si>
    <t>Flores Romero</t>
  </si>
  <si>
    <t>20.316.411-7</t>
  </si>
  <si>
    <t>Ivonneflores891@gmail.com</t>
  </si>
  <si>
    <t>San Nicolas 499 Retiro</t>
  </si>
  <si>
    <t>Álvarez Riquelme</t>
  </si>
  <si>
    <t>17.987.733-6</t>
  </si>
  <si>
    <t>Alejandra Valeria</t>
  </si>
  <si>
    <t>Gatica Rodriguez</t>
  </si>
  <si>
    <t>10.466.351-6</t>
  </si>
  <si>
    <t>Ale.gatica233@hotmail.com</t>
  </si>
  <si>
    <t>Gladys Alejandra</t>
  </si>
  <si>
    <t>Fuentes Duffau</t>
  </si>
  <si>
    <t>9.803.787-K</t>
  </si>
  <si>
    <t>Buin 467 Parral</t>
  </si>
  <si>
    <t>Marcela Ines</t>
  </si>
  <si>
    <t>Maureira Gatica</t>
  </si>
  <si>
    <t>13.626.347-7</t>
  </si>
  <si>
    <t>marcelaimg@gmail.com</t>
  </si>
  <si>
    <t>19.990.908-8</t>
  </si>
  <si>
    <t>Sara María José</t>
  </si>
  <si>
    <t>Ahumada Placencio</t>
  </si>
  <si>
    <t>Gladys Andrea</t>
  </si>
  <si>
    <t>Riquelme Cofre</t>
  </si>
  <si>
    <t>12.545.564-6</t>
  </si>
  <si>
    <t>Edgardo Rigoberto</t>
  </si>
  <si>
    <t>Contreras Villalobos</t>
  </si>
  <si>
    <t>9.420.149-7</t>
  </si>
  <si>
    <t>Alvarez Maigret</t>
  </si>
  <si>
    <t>8.473.477-3</t>
  </si>
  <si>
    <t>Agustinmaigret1961@hotmail.com</t>
  </si>
  <si>
    <t>Ohiggins 201 Parral</t>
  </si>
  <si>
    <t>Nora Aida</t>
  </si>
  <si>
    <t>Rodríguez Contreras</t>
  </si>
  <si>
    <t>5.652.849-0</t>
  </si>
  <si>
    <t>Ruben</t>
  </si>
  <si>
    <t>Maureira</t>
  </si>
  <si>
    <t>6.018.946-</t>
  </si>
  <si>
    <t>Una Sur 879 Parral</t>
  </si>
  <si>
    <t>Agustín Renato</t>
  </si>
  <si>
    <t>21.196.769-2</t>
  </si>
  <si>
    <t>Penco</t>
  </si>
  <si>
    <t>Tomás Antonio</t>
  </si>
  <si>
    <t>Faúndez Pérez</t>
  </si>
  <si>
    <t>22.809.194-4</t>
  </si>
  <si>
    <t>Pasaje 11 casa 30, Villa Belen Penco</t>
  </si>
  <si>
    <t>Benjamín Steve Alexis</t>
  </si>
  <si>
    <t>Barrera Faúndez</t>
  </si>
  <si>
    <t>22.418.200-7</t>
  </si>
  <si>
    <t>Abate Molina 355</t>
  </si>
  <si>
    <t>Florencia Amaranta</t>
  </si>
  <si>
    <t>Lagos Lozano</t>
  </si>
  <si>
    <t>21.961.670-8</t>
  </si>
  <si>
    <t>Hidrus 140 Bahia azul, Penco</t>
  </si>
  <si>
    <t>Sara Sofia</t>
  </si>
  <si>
    <t>Leal Victoria</t>
  </si>
  <si>
    <t>24.760.754-6</t>
  </si>
  <si>
    <t>Calle San Luis 37 block 7 depto. 133. Baquedano, Penco</t>
  </si>
  <si>
    <t>Sofia Andrea</t>
  </si>
  <si>
    <t>Pinto Zambrano</t>
  </si>
  <si>
    <t>22.471.729-6</t>
  </si>
  <si>
    <t>Los canelos 134 Penco</t>
  </si>
  <si>
    <t>Diana Francis</t>
  </si>
  <si>
    <t>Castillo Fica</t>
  </si>
  <si>
    <t>22.412.471-6</t>
  </si>
  <si>
    <t>General Amengal 50, séptimo de línea, Penco</t>
  </si>
  <si>
    <t>Noemi Micaela</t>
  </si>
  <si>
    <t>López Lara</t>
  </si>
  <si>
    <t>22.283.566-6</t>
  </si>
  <si>
    <t>Trabunco 35</t>
  </si>
  <si>
    <t>Francisca Alexandra</t>
  </si>
  <si>
    <t>Bravo Gómez</t>
  </si>
  <si>
    <t>21.291.890-3</t>
  </si>
  <si>
    <t>Malaquías concha 99 Lirquen.</t>
  </si>
  <si>
    <t>Ruiz Miranda</t>
  </si>
  <si>
    <t>Francisca Alejandra</t>
  </si>
  <si>
    <t>20.194.256-k</t>
  </si>
  <si>
    <t>Trabunco 35 Penco</t>
  </si>
  <si>
    <t>Claudia Daniela</t>
  </si>
  <si>
    <t>Nancabil gallardo</t>
  </si>
  <si>
    <t>19-067.089-8</t>
  </si>
  <si>
    <t>Madelaine Denisse</t>
  </si>
  <si>
    <t>Ramírez Ortiz</t>
  </si>
  <si>
    <t>17.510.676-6</t>
  </si>
  <si>
    <t>Pedro de Oña 556, Penco</t>
  </si>
  <si>
    <t>Xiomara Paulette</t>
  </si>
  <si>
    <t>Quilodrán Carrera</t>
  </si>
  <si>
    <t>18.490.281-8</t>
  </si>
  <si>
    <t>Calle dos casas 415, villa Miramar, Penco</t>
  </si>
  <si>
    <t>Leslie Johana</t>
  </si>
  <si>
    <t>Torres Cuevas</t>
  </si>
  <si>
    <t>18.107.190-7</t>
  </si>
  <si>
    <t>El faro147, 9cerro verde bajo. Penco</t>
  </si>
  <si>
    <t>Fabiola Belén</t>
  </si>
  <si>
    <t>Osorio Vidal</t>
  </si>
  <si>
    <t>17.843.189-7</t>
  </si>
  <si>
    <t>Pasaje Patricio Lynch 1, Victor Ortaly, Penco</t>
  </si>
  <si>
    <t>Adán Isaías</t>
  </si>
  <si>
    <t>Bustos Sánchez</t>
  </si>
  <si>
    <t>17.040.933-7</t>
  </si>
  <si>
    <t>isaiasbustossanchez@gmail.com</t>
  </si>
  <si>
    <t>Lindsay Regina</t>
  </si>
  <si>
    <t>Faúndez Vásquez</t>
  </si>
  <si>
    <t>15.184.637-8</t>
  </si>
  <si>
    <t>Lindsayregina.tsocial@gmail.com</t>
  </si>
  <si>
    <t>Abate molina 355 Penco</t>
  </si>
  <si>
    <t>Manuel Francisco</t>
  </si>
  <si>
    <t>Castillo Miranda</t>
  </si>
  <si>
    <t>15.615.891-7</t>
  </si>
  <si>
    <t>Abate molina 365, Penco</t>
  </si>
  <si>
    <t>Claudia Patricia</t>
  </si>
  <si>
    <t>Victoria González</t>
  </si>
  <si>
    <t>24.760.703-k</t>
  </si>
  <si>
    <t>Cvictiraginzakez2@gmail.com</t>
  </si>
  <si>
    <t>Calle San Luis 37 block 7 depto. 133. 7.Banquedano, Penco</t>
  </si>
  <si>
    <t>Luis Alejandro</t>
  </si>
  <si>
    <t>Guerrero Soto</t>
  </si>
  <si>
    <t>15.184.198-8</t>
  </si>
  <si>
    <t>laguerreros@uc.cl</t>
  </si>
  <si>
    <t>Gilda Adriana</t>
  </si>
  <si>
    <t>Medina Iturra</t>
  </si>
  <si>
    <t>9.885.866-0</t>
  </si>
  <si>
    <t>Pasaje Potrerillos salina casa 79 población corahabit Penco</t>
  </si>
  <si>
    <t>Miriam Jeannette</t>
  </si>
  <si>
    <t>Gallardo Rodríguez</t>
  </si>
  <si>
    <t>7.278.283-6</t>
  </si>
  <si>
    <t>Mijega16180@gmail.com</t>
  </si>
  <si>
    <t>Cobadonga 270 Villa marina</t>
  </si>
  <si>
    <t>Carmen Del Pilar</t>
  </si>
  <si>
    <t>Canales Torres</t>
  </si>
  <si>
    <t>7.028.331-k</t>
  </si>
  <si>
    <t>Amanda Eloisa</t>
  </si>
  <si>
    <t>Mardones Muñoz</t>
  </si>
  <si>
    <t>4.401.477-7</t>
  </si>
  <si>
    <t>Manuel montt 148</t>
  </si>
  <si>
    <t>Mora Castañeda</t>
  </si>
  <si>
    <t>5.006.073-k</t>
  </si>
  <si>
    <t>Ramon Carnicer 199 Forjadores de Chile</t>
  </si>
  <si>
    <t>Ana Soraya</t>
  </si>
  <si>
    <t>Roa Peña</t>
  </si>
  <si>
    <t>10.085.402-3</t>
  </si>
  <si>
    <t>Roberto Ovalle 181 Recinto crav, Penco</t>
  </si>
  <si>
    <t>Rene Jorge</t>
  </si>
  <si>
    <t>Nancabil Fernández</t>
  </si>
  <si>
    <t>7.8306.42-4</t>
  </si>
  <si>
    <t>Jnancabil@hotmail.com</t>
  </si>
  <si>
    <t>Margarita Benedicta</t>
  </si>
  <si>
    <t>Durán Pérez</t>
  </si>
  <si>
    <t>7.456.024-5</t>
  </si>
  <si>
    <t>Jorge Ross 34 interior.</t>
  </si>
  <si>
    <t>Marina Del Carmen</t>
  </si>
  <si>
    <t>Soto Valenzuela</t>
  </si>
  <si>
    <t>6.952984-4</t>
  </si>
  <si>
    <t>Calle Canapus 17 Villa los radales. Penco</t>
  </si>
  <si>
    <t>Jorge Iván</t>
  </si>
  <si>
    <t>Corona Inostroza</t>
  </si>
  <si>
    <t>6.678.366-9</t>
  </si>
  <si>
    <t>Jorge Ross 34 interior, Desiderio Guzmán. Penco</t>
  </si>
  <si>
    <t>Celinda Elena</t>
  </si>
  <si>
    <t>Morales Rodríguez</t>
  </si>
  <si>
    <t>6.620.808-0</t>
  </si>
  <si>
    <t>Manuel montt 148, Tom3</t>
  </si>
  <si>
    <t>María Mercedes</t>
  </si>
  <si>
    <t>Alegría Roa</t>
  </si>
  <si>
    <t>5.759.605-8</t>
  </si>
  <si>
    <t>Roberto Ovalle 434, ex Recinto Crav</t>
  </si>
  <si>
    <t>Nilda Del Carmen</t>
  </si>
  <si>
    <t>Bravo Benavides</t>
  </si>
  <si>
    <t>5.605.418-9</t>
  </si>
  <si>
    <t>Membrillar 720, Penco</t>
  </si>
  <si>
    <t>Peñaflor Malloco</t>
  </si>
  <si>
    <t>Alfonso</t>
  </si>
  <si>
    <t>Pérez Vargas</t>
  </si>
  <si>
    <t>20.580.792-2</t>
  </si>
  <si>
    <t>Tamara</t>
  </si>
  <si>
    <t>Sanhueza Jara</t>
  </si>
  <si>
    <t>20.334.847-9</t>
  </si>
  <si>
    <t>Tamara.sanhueza17@gmail.com</t>
  </si>
  <si>
    <t>Verdi 1308</t>
  </si>
  <si>
    <t>Pérez Cáceres</t>
  </si>
  <si>
    <t>18.356.808-6</t>
  </si>
  <si>
    <t>Castillo Fabijanovic</t>
  </si>
  <si>
    <t>11.392.493-4</t>
  </si>
  <si>
    <t>Lfabijanovic_69@hotmail.com</t>
  </si>
  <si>
    <t>Pje La Campana 777,Villa Parque Los Rosales</t>
  </si>
  <si>
    <t>Romero Matamala</t>
  </si>
  <si>
    <t>13.625.978-4</t>
  </si>
  <si>
    <t>luisaadriananany@gmail.com</t>
  </si>
  <si>
    <t>Av. Vicuña Mackenna 3356</t>
  </si>
  <si>
    <t>Rosario Del Carmen</t>
  </si>
  <si>
    <t>Velásquez Díaz</t>
  </si>
  <si>
    <t>6.849.358-7</t>
  </si>
  <si>
    <t>Charivelasquez4@gmail.com</t>
  </si>
  <si>
    <t>Margot Duhalde casa 8, Villa Magdalena Petit</t>
  </si>
  <si>
    <t>Guzmán Morales</t>
  </si>
  <si>
    <t>12.540.278-k</t>
  </si>
  <si>
    <t>Elatajo1842@gmail.com</t>
  </si>
  <si>
    <t>Pje Itata 2446, Villa Porvenir</t>
  </si>
  <si>
    <t>Contreras Cáceres</t>
  </si>
  <si>
    <t>10.548.893-9</t>
  </si>
  <si>
    <t>Opazo Opazo</t>
  </si>
  <si>
    <t>8.852.412-8</t>
  </si>
  <si>
    <t>andy_opazo@hotmail.com</t>
  </si>
  <si>
    <t>Manuel Gonzalez 138, Malloco</t>
  </si>
  <si>
    <t>Tatiana Patricia</t>
  </si>
  <si>
    <t>Gutiérrez Rocha</t>
  </si>
  <si>
    <t>8.961.876-2</t>
  </si>
  <si>
    <t>tati.gr1417@gmail.com</t>
  </si>
  <si>
    <t>Pje Beethoven 1298, Villa Las Brisas</t>
  </si>
  <si>
    <t>1 general</t>
  </si>
  <si>
    <t>Marisela</t>
  </si>
  <si>
    <t>Espinoza Hernández</t>
  </si>
  <si>
    <t>14.244.678-2</t>
  </si>
  <si>
    <t>Marichena404@gmail.com</t>
  </si>
  <si>
    <t>Bilbao 495, Pje 5, casa 7</t>
  </si>
  <si>
    <t>Leonardo</t>
  </si>
  <si>
    <t>Pimentel Pimentel</t>
  </si>
  <si>
    <t>24.925.549-1</t>
  </si>
  <si>
    <t>Ventuari100@gmail.com</t>
  </si>
  <si>
    <t>Vicuña mackenna 1334, Block 03 Depto 34,</t>
  </si>
  <si>
    <t>Matamala Rosales</t>
  </si>
  <si>
    <t>8.781.939-6</t>
  </si>
  <si>
    <t>Mariamatamala2312@gmail.com</t>
  </si>
  <si>
    <t>Herrera Negrioli</t>
  </si>
  <si>
    <t>7.044.287-6</t>
  </si>
  <si>
    <t>Herreranegrioliana@gmail.com</t>
  </si>
  <si>
    <t>Calle 3 N°972, Villa Cruz del Sur, Peñaflor</t>
  </si>
  <si>
    <t>Espinoza Sepúlveda</t>
  </si>
  <si>
    <t>7.974.188-4</t>
  </si>
  <si>
    <t>Pje El Tordo 2317, Villa La Foresta</t>
  </si>
  <si>
    <t>Silva Álvarez</t>
  </si>
  <si>
    <t>14.245.709-1</t>
  </si>
  <si>
    <t>pilarsilvaalvares@gmail.com</t>
  </si>
  <si>
    <t>Av, Los Guindos 1732, Villa Frei</t>
  </si>
  <si>
    <t>Contreras Aedo</t>
  </si>
  <si>
    <t>5.366.573-k</t>
  </si>
  <si>
    <t>Francisco Bilbao 1307, Pitrufquén</t>
  </si>
  <si>
    <t>Muñoz Roa</t>
  </si>
  <si>
    <t>9.445.979-6</t>
  </si>
  <si>
    <t>Cristóbal Colon 318, Pitrufquén</t>
  </si>
  <si>
    <t>Barriga Carrasco</t>
  </si>
  <si>
    <t>6.858.905-3</t>
  </si>
  <si>
    <t>Elsabarriga.cruzroja @gmail.com</t>
  </si>
  <si>
    <t>5 de abril 436, Pitrufquén</t>
  </si>
  <si>
    <t>Opazo González</t>
  </si>
  <si>
    <t>5.494.550-7</t>
  </si>
  <si>
    <t>Molina Torres</t>
  </si>
  <si>
    <t>5.289.050-0</t>
  </si>
  <si>
    <t>Eleuterio Ramírez 120, Pitrufquén</t>
  </si>
  <si>
    <t>González Contreras</t>
  </si>
  <si>
    <t>13.844.709-k</t>
  </si>
  <si>
    <t>Caupolicán 
 Calfuquir 1271, Pitrufquén</t>
  </si>
  <si>
    <t>Rivera Riqueme</t>
  </si>
  <si>
    <t>16.461.657-6</t>
  </si>
  <si>
    <t>Los Gladiolos 1338, Pitrufquén</t>
  </si>
  <si>
    <t>Zambrano Sepúlveda</t>
  </si>
  <si>
    <t>19.197.759-9</t>
  </si>
  <si>
    <t>Curarrehue</t>
  </si>
  <si>
    <t>Kamila</t>
  </si>
  <si>
    <t>Rivera Calderón</t>
  </si>
  <si>
    <t>19.530.39 4-0</t>
  </si>
  <si>
    <t>Francisco Bilbao 1020, Pitrufquén</t>
  </si>
  <si>
    <t>Enerilda</t>
  </si>
  <si>
    <t>Yáñez Torres</t>
  </si>
  <si>
    <t>5.640.491-0</t>
  </si>
  <si>
    <t>Camino a Toltèn 485, Pitrufquén</t>
  </si>
  <si>
    <t>Millamán  Reinao</t>
  </si>
  <si>
    <t>4.979.312-k</t>
  </si>
  <si>
    <t>Francisco Bilbao, Pitrufquén</t>
  </si>
  <si>
    <t>Colpo Jiménez</t>
  </si>
  <si>
    <t>7.593.828-4</t>
  </si>
  <si>
    <t>Faja Maisan, Pitrufquén</t>
  </si>
  <si>
    <t>Cabrera Ortiz</t>
  </si>
  <si>
    <t>5.905.392-2</t>
  </si>
  <si>
    <t>Los Coigues 1571, Temuco</t>
  </si>
  <si>
    <t>Playa Ancha</t>
  </si>
  <si>
    <t>Paredes Alarcón</t>
  </si>
  <si>
    <t>10.833.608.9</t>
  </si>
  <si>
    <t>teresaherminda@gmail.com</t>
  </si>
  <si>
    <t>Alejandro Navarrete 319 Nueva Aurora</t>
  </si>
  <si>
    <t>Díaz Gutiérrez</t>
  </si>
  <si>
    <t>11.401.795-7</t>
  </si>
  <si>
    <t>Monic1610@hotmail.com</t>
  </si>
  <si>
    <t>Pje Los Quiyalles 66 Playa Ancha4</t>
  </si>
  <si>
    <t>Sagardia Perez</t>
  </si>
  <si>
    <t>8.833.608-9</t>
  </si>
  <si>
    <t>Rosysagardia58@gmail.com</t>
  </si>
  <si>
    <t>Avenida Gran Bretaña Playa Ancha</t>
  </si>
  <si>
    <t>Cuadra Sanchez</t>
  </si>
  <si>
    <t>7.907.840-9</t>
  </si>
  <si>
    <t>Bernardacuadra905@gmail.com</t>
  </si>
  <si>
    <t>Espinoza León</t>
  </si>
  <si>
    <t>6.393.508-K</t>
  </si>
  <si>
    <t>Carmen47espinoza@gmail.com</t>
  </si>
  <si>
    <t>Zulema</t>
  </si>
  <si>
    <t>Bahamondes Galdames</t>
  </si>
  <si>
    <t>7803611-7</t>
  </si>
  <si>
    <t>Zulemabahamondes @g.mail.com</t>
  </si>
  <si>
    <t>Pje 11#121 4°S. Playa Ancha</t>
  </si>
  <si>
    <t>Torres Nahuelquin</t>
  </si>
  <si>
    <t>10.178.830-K</t>
  </si>
  <si>
    <t>Luisa.torres.n@gmail.com</t>
  </si>
  <si>
    <t>Navarino91 San Martin Playa Ancha</t>
  </si>
  <si>
    <t>Rozas Sanchez</t>
  </si>
  <si>
    <t>6.763.518-3</t>
  </si>
  <si>
    <t>Gmo. Plumer #24 Miramar Playa Ancha</t>
  </si>
  <si>
    <t>Emperatriz</t>
  </si>
  <si>
    <t>Rivera Saavedra</t>
  </si>
  <si>
    <t>8.653.621-8</t>
  </si>
  <si>
    <t>Emperatriz.svd@g.mail.com</t>
  </si>
  <si>
    <t>5°Sector Calle Iquique Block 11 Dpto 301 Playa Ancha</t>
  </si>
  <si>
    <t>Salinas Pizarro</t>
  </si>
  <si>
    <t>9.034.928-7</t>
  </si>
  <si>
    <t>Anita_1957@live.cl</t>
  </si>
  <si>
    <t>San Pablo 131 C° Mesilla</t>
  </si>
  <si>
    <t>Felicia</t>
  </si>
  <si>
    <t>González Argel</t>
  </si>
  <si>
    <t>6.481.791-4</t>
  </si>
  <si>
    <t>Calle S/Marcos 296 Playa Ancha</t>
  </si>
  <si>
    <t>Thiare</t>
  </si>
  <si>
    <t>Alfaro</t>
  </si>
  <si>
    <t>20.248.924-9</t>
  </si>
  <si>
    <t>thiiareantoniia@gmail.com</t>
  </si>
  <si>
    <t>Virgilio Méndez 1076</t>
  </si>
  <si>
    <t>Melody</t>
  </si>
  <si>
    <t>Chávez</t>
  </si>
  <si>
    <t>22.580.233-5</t>
  </si>
  <si>
    <t>Melodycastillocortez1023@gmail.com</t>
  </si>
  <si>
    <t>Estanislao del canto 1018</t>
  </si>
  <si>
    <t>Cari</t>
  </si>
  <si>
    <t>23.086.495-0</t>
  </si>
  <si>
    <t>Carivictoria01@gmail.com</t>
  </si>
  <si>
    <t>Tomas Price 032 - B</t>
  </si>
  <si>
    <t>Barraza</t>
  </si>
  <si>
    <t>15.696.143-4</t>
  </si>
  <si>
    <t>Florabarraza15julio@gmail.com</t>
  </si>
  <si>
    <t>Cansosa 05 las quintas</t>
  </si>
  <si>
    <t>Álvarez</t>
  </si>
  <si>
    <t>12.395,481-5</t>
  </si>
  <si>
    <t>Cala cala 639 Santa Ana</t>
  </si>
  <si>
    <t>Marambio</t>
  </si>
  <si>
    <t>10.013.780-1</t>
  </si>
  <si>
    <t>Quinterosjose019@gmail.com</t>
  </si>
  <si>
    <t>San fuentes sitio 15</t>
  </si>
  <si>
    <t>Castillo</t>
  </si>
  <si>
    <t>17.555.225-1</t>
  </si>
  <si>
    <t>Carolinacastillo1213@gmail.com</t>
  </si>
  <si>
    <t>13.636.824-9</t>
  </si>
  <si>
    <t>Barrazariveraj28@gmail.com</t>
  </si>
  <si>
    <t>Riffo</t>
  </si>
  <si>
    <t>16.703.849-8</t>
  </si>
  <si>
    <t>Kerostix13@gmail.com</t>
  </si>
  <si>
    <t>Prolongación lincoyan st. 49</t>
  </si>
  <si>
    <t>16.773.393-K</t>
  </si>
  <si>
    <t>Patriciarivera05@yahoo.com.ar</t>
  </si>
  <si>
    <t>La cruz 05</t>
  </si>
  <si>
    <t>17.430.024-0</t>
  </si>
  <si>
    <t>mamanichallapagloriacecilia@gmail.com</t>
  </si>
  <si>
    <t>Fuentes</t>
  </si>
  <si>
    <t>8.462.879-4</t>
  </si>
  <si>
    <t>Virgilio Méndez 1076 villa 2000</t>
  </si>
  <si>
    <t>Denis</t>
  </si>
  <si>
    <t>Verdejo</t>
  </si>
  <si>
    <t>14.615.354-2</t>
  </si>
  <si>
    <t>Denisse.vs9021@gmail.com</t>
  </si>
  <si>
    <t>Luis Alfaro 29 la tirana</t>
  </si>
  <si>
    <t>Yamileth</t>
  </si>
  <si>
    <t>Villarreal</t>
  </si>
  <si>
    <t>27.242.001-7</t>
  </si>
  <si>
    <t>Jannethvillarreal2009@hotmail.com</t>
  </si>
  <si>
    <t>S. corazón por trás huasito s/n</t>
  </si>
  <si>
    <t>Peredo</t>
  </si>
  <si>
    <t>6.954.047-3</t>
  </si>
  <si>
    <t>Cala cala 639 santa Ana</t>
  </si>
  <si>
    <t>Ortega</t>
  </si>
  <si>
    <t>11.841.040-8</t>
  </si>
  <si>
    <t>Marce.ortega.saez@gmail.com</t>
  </si>
  <si>
    <t>21 May 0262</t>
  </si>
  <si>
    <t>Ditzia</t>
  </si>
  <si>
    <t>9.946.756-8</t>
  </si>
  <si>
    <t>Ditzia2009@gmail.com</t>
  </si>
  <si>
    <t>21 mayo  N° 267</t>
  </si>
  <si>
    <t>Toro</t>
  </si>
  <si>
    <t>7.134.405-3</t>
  </si>
  <si>
    <t>teresitatorod@gmail.com</t>
  </si>
  <si>
    <t>San Lorenzo 703</t>
  </si>
  <si>
    <t>Gonzalez</t>
  </si>
  <si>
    <t>11.466.572-4</t>
  </si>
  <si>
    <t>Rozas</t>
  </si>
  <si>
    <t>8.017.560-4</t>
  </si>
  <si>
    <t>Juanrozas1957@gmail.com</t>
  </si>
  <si>
    <t>Cancosa 05</t>
  </si>
  <si>
    <t>7.202.306-4</t>
  </si>
  <si>
    <t>Ortizpatricia.900@gmail.com</t>
  </si>
  <si>
    <t>Estación 921</t>
  </si>
  <si>
    <t>José</t>
  </si>
  <si>
    <t>Quinteros</t>
  </si>
  <si>
    <t>8.200.797-9</t>
  </si>
  <si>
    <t>9.551.664-5</t>
  </si>
  <si>
    <t>Pas. vecinal 02 S. Rosa tirana</t>
  </si>
  <si>
    <t>Reyes</t>
  </si>
  <si>
    <t>10.010.917-3</t>
  </si>
  <si>
    <t>p.reyesnavarro64@gmail.com</t>
  </si>
  <si>
    <t>Soledad</t>
  </si>
  <si>
    <t>Arriagada</t>
  </si>
  <si>
    <t>7.118.157-6</t>
  </si>
  <si>
    <t>Zabala</t>
  </si>
  <si>
    <t>8.242.548-9</t>
  </si>
  <si>
    <t>Lenka</t>
  </si>
  <si>
    <t>Poblete</t>
  </si>
  <si>
    <t>7.228.237-K</t>
  </si>
  <si>
    <t>Circunvalación casa 11 tirana</t>
  </si>
  <si>
    <t>8.355.676-5</t>
  </si>
  <si>
    <t>cuadra</t>
  </si>
  <si>
    <t>8.229.612-3</t>
  </si>
  <si>
    <t>Juliacuadra2023@gmail.com</t>
  </si>
  <si>
    <t>Cancosa  05 las quintas</t>
  </si>
  <si>
    <t>Ferreira</t>
  </si>
  <si>
    <t>4.989.815-0</t>
  </si>
  <si>
    <t>Pallauna</t>
  </si>
  <si>
    <t>6.853.801-7</t>
  </si>
  <si>
    <t>Andrés farias 120 tirana</t>
  </si>
  <si>
    <t>Ocaranza</t>
  </si>
  <si>
    <t>6.650.177-9</t>
  </si>
  <si>
    <t>Chuncos de victoria sitio 34</t>
  </si>
  <si>
    <t>Cuevas</t>
  </si>
  <si>
    <t>5.337.004-7</t>
  </si>
  <si>
    <t>.Cuevasliliana970@gmail.com</t>
  </si>
  <si>
    <t>Avenida A. Prat 207 tirana</t>
  </si>
  <si>
    <t>6.817.960-2</t>
  </si>
  <si>
    <t>Calle buen retiro s/n</t>
  </si>
  <si>
    <t>Héctor</t>
  </si>
  <si>
    <t>Farías</t>
  </si>
  <si>
    <t>5.081.829-2</t>
  </si>
  <si>
    <t>21 mayo N° 206</t>
  </si>
  <si>
    <t>Luzmira</t>
  </si>
  <si>
    <t>Mancilla</t>
  </si>
  <si>
    <t>4.678.834-6</t>
  </si>
  <si>
    <t>Julián Alonso</t>
  </si>
  <si>
    <t>Germain Costoya</t>
  </si>
  <si>
    <t>22894212-K</t>
  </si>
  <si>
    <t>biglian42@gmail.com</t>
  </si>
  <si>
    <t>Las Limas 1608. Las Condes</t>
  </si>
  <si>
    <t>Maité</t>
  </si>
  <si>
    <t>Van De Perre Cáceres</t>
  </si>
  <si>
    <t>22779417-8</t>
  </si>
  <si>
    <t>mavvcaceres@gmail.co m</t>
  </si>
  <si>
    <t>Ave. José Pedro Alexandre 557. Dpto. 515. Ñuñoa</t>
  </si>
  <si>
    <t>Disirette</t>
  </si>
  <si>
    <t>Álvarez Ibáñez</t>
  </si>
  <si>
    <t>17608536-6</t>
  </si>
  <si>
    <t>danea.alvarez@gmail.co m</t>
  </si>
  <si>
    <t>Huérfanos 1490 Dpto. 502B. Santiago</t>
  </si>
  <si>
    <t>César</t>
  </si>
  <si>
    <t>Casas Palencia</t>
  </si>
  <si>
    <t>26296065-K</t>
  </si>
  <si>
    <t>yakufotos@gmail.com</t>
  </si>
  <si>
    <t>Carmen 616. Santiago</t>
  </si>
  <si>
    <t>Ángel</t>
  </si>
  <si>
    <t>Bernal Cariqueo</t>
  </si>
  <si>
    <t>22363146-0</t>
  </si>
  <si>
    <t>angelbernalcariqueo@g mail.com</t>
  </si>
  <si>
    <t>El Molino 75 Casa 25. Colina</t>
  </si>
  <si>
    <t>Felipe Matías</t>
  </si>
  <si>
    <t>Sánchez Godoy</t>
  </si>
  <si>
    <t>19867705-1</t>
  </si>
  <si>
    <t>felipe.s.cruzroja@gmail.c om</t>
  </si>
  <si>
    <t>Ave. Vitacura 2653. Las Condes</t>
  </si>
  <si>
    <t>Ilse</t>
  </si>
  <si>
    <t>Arenas Venegas</t>
  </si>
  <si>
    <t>21885175-4</t>
  </si>
  <si>
    <t>ilave1507@gmail.com</t>
  </si>
  <si>
    <t>Pedro Lagos 1144 Dpto. 501. Santiago</t>
  </si>
  <si>
    <t>Violeta</t>
  </si>
  <si>
    <t>Riquelme Michell</t>
  </si>
  <si>
    <t>21768670-9</t>
  </si>
  <si>
    <t>violeta.r.michell@gmail.com</t>
  </si>
  <si>
    <t>Francisco. Bilbao 2939 Dpto. 11. Providencia</t>
  </si>
  <si>
    <t>Gustavo Andrés</t>
  </si>
  <si>
    <t>Hauva Leighton</t>
  </si>
  <si>
    <t>21941458-7</t>
  </si>
  <si>
    <t>gushauva@gmail.com</t>
  </si>
  <si>
    <t>Mar Del Sur 1172. Las Condes</t>
  </si>
  <si>
    <t>Piri Esperanza</t>
  </si>
  <si>
    <t>Mengue Nadon</t>
  </si>
  <si>
    <t>21952008-5</t>
  </si>
  <si>
    <t>pirimengue@gmail.com</t>
  </si>
  <si>
    <t>Silvina Hurtado 1605. Dpto 401. Providencia</t>
  </si>
  <si>
    <t>Sofía</t>
  </si>
  <si>
    <t>Oyarce Olivares</t>
  </si>
  <si>
    <t>21733271-0</t>
  </si>
  <si>
    <t>sofia.oyarce@gmail.com</t>
  </si>
  <si>
    <t>Comandante Malbec 12871. Lo Barnechea</t>
  </si>
  <si>
    <t>Constanza Antonia</t>
  </si>
  <si>
    <t>Guerra Moya</t>
  </si>
  <si>
    <t>21927026-7</t>
  </si>
  <si>
    <t>cony.guerra.m@gmail.com</t>
  </si>
  <si>
    <t>Paloma Antonia</t>
  </si>
  <si>
    <t>Zúñiga Vergara</t>
  </si>
  <si>
    <t>21589551-3</t>
  </si>
  <si>
    <t>paloantonia2004@gmail.com</t>
  </si>
  <si>
    <t>Estribo Sur 7539. Puente Alto</t>
  </si>
  <si>
    <t>Klaus</t>
  </si>
  <si>
    <t>Scholtbach Chaigneau</t>
  </si>
  <si>
    <t>21731778-9</t>
  </si>
  <si>
    <t>scholtbach04@gmail.co m</t>
  </si>
  <si>
    <t>Irarrazaval 5485. Ñuñoa</t>
  </si>
  <si>
    <t>Javiera</t>
  </si>
  <si>
    <t>Budd Lanas</t>
  </si>
  <si>
    <t>21219767-K</t>
  </si>
  <si>
    <t>javieralanas1@gmail.co m</t>
  </si>
  <si>
    <t>Alcántara 1155. Las Condes</t>
  </si>
  <si>
    <t>Josiel</t>
  </si>
  <si>
    <t>Arenas Lira</t>
  </si>
  <si>
    <t>21090674-6</t>
  </si>
  <si>
    <t>jociel.arenas@mail.udp.c l</t>
  </si>
  <si>
    <t>Alonso De Córdova 5255. Las Condes</t>
  </si>
  <si>
    <t>Carolina Antonia</t>
  </si>
  <si>
    <t>Bulnes Padilla</t>
  </si>
  <si>
    <t>21137824-7</t>
  </si>
  <si>
    <t>carobulnesp@gmail.com</t>
  </si>
  <si>
    <t>Ave. Ossa 1156. Ñuñoa</t>
  </si>
  <si>
    <t>Valentina Jesús</t>
  </si>
  <si>
    <t>Pau Roca</t>
  </si>
  <si>
    <t>20427695-1</t>
  </si>
  <si>
    <t>valentinapauroca0@gmail.com</t>
  </si>
  <si>
    <t>Padre Dehon 6190. Las Condes</t>
  </si>
  <si>
    <t>Catalina Constanza</t>
  </si>
  <si>
    <t>Urrea Alarcón</t>
  </si>
  <si>
    <t>2018611-8</t>
  </si>
  <si>
    <t>catalinaurrea3@gmail.com</t>
  </si>
  <si>
    <t>Azufre 454. Recoleta</t>
  </si>
  <si>
    <t>Nuñez Vásquez</t>
  </si>
  <si>
    <t>20287092-9</t>
  </si>
  <si>
    <t>cnunezva@gmail.com</t>
  </si>
  <si>
    <t>Ricardo Lyon 2830. Dpto 101. Providencia</t>
  </si>
  <si>
    <t>Alberto</t>
  </si>
  <si>
    <t>Bella Wail</t>
  </si>
  <si>
    <t>19605484-7</t>
  </si>
  <si>
    <t>albertobella@hotmail.com</t>
  </si>
  <si>
    <t>Langenmair Infante</t>
  </si>
  <si>
    <t>19659476-0</t>
  </si>
  <si>
    <t>langenmaircarolina@gm ail.com</t>
  </si>
  <si>
    <t>Sta. Isabel 176. Providencia</t>
  </si>
  <si>
    <t>Leydy Viviana</t>
  </si>
  <si>
    <t>Girón Jurado</t>
  </si>
  <si>
    <t>28504206-2</t>
  </si>
  <si>
    <t>mdleidygiron@gmail.co m</t>
  </si>
  <si>
    <t>Ave. General Bustamante 1007. Ñuñoa</t>
  </si>
  <si>
    <t>Beatriz Salomé</t>
  </si>
  <si>
    <t>Garcia Bravo</t>
  </si>
  <si>
    <t>19514654-3</t>
  </si>
  <si>
    <t>bs.garciabravo@gmail.co m</t>
  </si>
  <si>
    <t>Pedro De Valdivia 2086. Dpto 305. Providencia</t>
  </si>
  <si>
    <t>Sofía A.</t>
  </si>
  <si>
    <t>Sánchez Marín</t>
  </si>
  <si>
    <t>19307752-8</t>
  </si>
  <si>
    <t>sasanchezn96@gmail.co m</t>
  </si>
  <si>
    <t>Alcalde Jorge Monckever 35. Ñuñoa</t>
  </si>
  <si>
    <t>Rodrigo E.</t>
  </si>
  <si>
    <t>Guerro Reyes</t>
  </si>
  <si>
    <t>18926742-8</t>
  </si>
  <si>
    <t>rodrigo.greves@gmail.co m</t>
  </si>
  <si>
    <t>Pasaje Cerro Nevado 1735. Maipú</t>
  </si>
  <si>
    <t>Renato Alejandro</t>
  </si>
  <si>
    <t>Parra Torres</t>
  </si>
  <si>
    <t>18433717-7</t>
  </si>
  <si>
    <t>aleho180@outlook.com</t>
  </si>
  <si>
    <t>Obispo Salas 0285. Dpto 2. Providencia</t>
  </si>
  <si>
    <t>Estafanía</t>
  </si>
  <si>
    <t>Cansaya Condori</t>
  </si>
  <si>
    <t>23634433-4</t>
  </si>
  <si>
    <t>sthepy15.5@gamil.com</t>
  </si>
  <si>
    <t>Alberto Blest Gana 0378. La Granja</t>
  </si>
  <si>
    <t>Sandoval Álvarez</t>
  </si>
  <si>
    <t>4750653-0</t>
  </si>
  <si>
    <t>miriam.sandoval58@gail.com</t>
  </si>
  <si>
    <t>Sherlock Holmes 775. Las Condes</t>
  </si>
  <si>
    <t>Estai Kraus</t>
  </si>
  <si>
    <t>20283959-3</t>
  </si>
  <si>
    <t>matiasestai@gmail.com</t>
  </si>
  <si>
    <t>Alfredo N.</t>
  </si>
  <si>
    <t>Sánchez Cobo</t>
  </si>
  <si>
    <t>17252991-7</t>
  </si>
  <si>
    <t>bscobo@gmail.com</t>
  </si>
  <si>
    <t>Ramos Martínez</t>
  </si>
  <si>
    <t>22436962-K</t>
  </si>
  <si>
    <t>eduardolobos@gmail.com</t>
  </si>
  <si>
    <t>Blest Gana 378. La Granja</t>
  </si>
  <si>
    <t>Biagini Frigero</t>
  </si>
  <si>
    <t>16361878-8</t>
  </si>
  <si>
    <t>constanzabia@gmail.com</t>
  </si>
  <si>
    <t>Joglar Pérez</t>
  </si>
  <si>
    <t>1536890-7</t>
  </si>
  <si>
    <t>rfjoglar@gmail.com</t>
  </si>
  <si>
    <t>Juaquín Cerda 6165- 6. Vitacura</t>
  </si>
  <si>
    <t>Hernández Rivero</t>
  </si>
  <si>
    <t>26451723-0</t>
  </si>
  <si>
    <t>rossanahernandez24@h otmail.com</t>
  </si>
  <si>
    <t>Av. Américo Vespucio Norte 22. Dpto 1113. Las Conde</t>
  </si>
  <si>
    <t>Jadue Jarufe</t>
  </si>
  <si>
    <t>5631033-9</t>
  </si>
  <si>
    <t>mariajaduejarufe@gmail .com</t>
  </si>
  <si>
    <t>Ave. Perú 602 Dpto. 702. Santiago</t>
  </si>
  <si>
    <t>María Paz</t>
  </si>
  <si>
    <t>González Pacheco</t>
  </si>
  <si>
    <t>14538381-1</t>
  </si>
  <si>
    <t>mariapazgp@gmail.com</t>
  </si>
  <si>
    <t>Los Tulipanes 2986. Providencia</t>
  </si>
  <si>
    <t>Mujica Martínez</t>
  </si>
  <si>
    <t>7312632-0</t>
  </si>
  <si>
    <t>marcelamujicam@gmail.com</t>
  </si>
  <si>
    <t>Vasco De Gama 4820. Dpto 1006. Las Condes</t>
  </si>
  <si>
    <t>Karlita</t>
  </si>
  <si>
    <t>Venegas Aguirre</t>
  </si>
  <si>
    <t>9887647-8</t>
  </si>
  <si>
    <t>karlita1502ksva@gmail.com</t>
  </si>
  <si>
    <t>Pedro Lagos 1144. Santiago</t>
  </si>
  <si>
    <t>Naranjo Poblete</t>
  </si>
  <si>
    <t>13069985-5</t>
  </si>
  <si>
    <t>mariela.naranjo.2804@g mail.com</t>
  </si>
  <si>
    <t>Torino 198. Lo Barnechea</t>
  </si>
  <si>
    <t>Alicia Del Carmen</t>
  </si>
  <si>
    <t>Tapia Maira</t>
  </si>
  <si>
    <t>5812378-1</t>
  </si>
  <si>
    <t>lalita.tapia8@gmail.com</t>
  </si>
  <si>
    <t>Vecinal 13872. Lo Barnechea</t>
  </si>
  <si>
    <t>Tatiana A.</t>
  </si>
  <si>
    <t>Farias Martínez</t>
  </si>
  <si>
    <t>10859797-6</t>
  </si>
  <si>
    <t>tatifariasm@gmail.com</t>
  </si>
  <si>
    <t>Federico Froebel 1840. Dpto. 402. Providencia</t>
  </si>
  <si>
    <t>Stappung</t>
  </si>
  <si>
    <t>11965788-1</t>
  </si>
  <si>
    <t>constanzamstappung@g mail.com</t>
  </si>
  <si>
    <t>Ave. Guanaco 2000. La Liguria. Huechuraba</t>
  </si>
  <si>
    <t>María Cristina</t>
  </si>
  <si>
    <t>Vargas Ortiz</t>
  </si>
  <si>
    <t>10992367-2</t>
  </si>
  <si>
    <t>mcristinavargasortiz@g mail.com</t>
  </si>
  <si>
    <t>Paseo Bulnes 169. Dpto 202. Santiago</t>
  </si>
  <si>
    <t>Lunas Fuentes</t>
  </si>
  <si>
    <t>8967220-1</t>
  </si>
  <si>
    <t>sonia.lunas@gmail.com</t>
  </si>
  <si>
    <t>Villa Navidad, Block 112. Apto 22. San Juaquin.</t>
  </si>
  <si>
    <t>Mura Castillo</t>
  </si>
  <si>
    <t>9410649-4</t>
  </si>
  <si>
    <t>valeriamuracastillo@gm ail.com</t>
  </si>
  <si>
    <t>Luís Zegers 594. Las Condes</t>
  </si>
  <si>
    <t>Ponce Valencia</t>
  </si>
  <si>
    <t>10391762-K</t>
  </si>
  <si>
    <t>patriciaponcevalencia09 @gmail.com</t>
  </si>
  <si>
    <t>Álvarez 13969. Lo Barnechea</t>
  </si>
  <si>
    <t>Solís Welzel</t>
  </si>
  <si>
    <t>7202920-8</t>
  </si>
  <si>
    <t>claudiasoliswelzel@gmai l.com</t>
  </si>
  <si>
    <t>Cristal De Abelli 2988. Dpto 1601. Las Condes</t>
  </si>
  <si>
    <t>Verónica P.</t>
  </si>
  <si>
    <t>Molina Jiménez</t>
  </si>
  <si>
    <t>7627977-2</t>
  </si>
  <si>
    <t>vpmolina@gmail.com</t>
  </si>
  <si>
    <t>Hernán Cortés 2675. Dpto 503. Ñuñoa</t>
  </si>
  <si>
    <t>Condori Mamani</t>
  </si>
  <si>
    <t>22232818-7</t>
  </si>
  <si>
    <t>ransi35.tcm@gmail.com</t>
  </si>
  <si>
    <t>Martha</t>
  </si>
  <si>
    <t>Izquierdo Roa</t>
  </si>
  <si>
    <t>25846130-4</t>
  </si>
  <si>
    <t>maiz@solages.net</t>
  </si>
  <si>
    <t>Camino Al Parque 100, Dpto 2804. San Damian. Vitacura</t>
  </si>
  <si>
    <t>Paulina S.</t>
  </si>
  <si>
    <t>Howard Palma</t>
  </si>
  <si>
    <t>12069411-1</t>
  </si>
  <si>
    <t>howardpauly21@gmail.c om</t>
  </si>
  <si>
    <t>Detroit 1655. Dpto 1402. Vitacura</t>
  </si>
  <si>
    <t>Martínez Peña</t>
  </si>
  <si>
    <t>6696511-2</t>
  </si>
  <si>
    <t>misiacecilia@hotmail.co m</t>
  </si>
  <si>
    <t>Arroyo De La Luz 8861. Las Condes</t>
  </si>
  <si>
    <t>Morales Ramírez</t>
  </si>
  <si>
    <t>7836037-2</t>
  </si>
  <si>
    <t>a.moralesramires@gmail .com</t>
  </si>
  <si>
    <t>Tegualda 1829. Dpto 307. Ñuñoa</t>
  </si>
  <si>
    <t>Salman Zacarías</t>
  </si>
  <si>
    <t>6372759-8</t>
  </si>
  <si>
    <t>salzac@hotmail.com</t>
  </si>
  <si>
    <t>Marco Polo 1120. Las Condes</t>
  </si>
  <si>
    <t>Nelly Marisol</t>
  </si>
  <si>
    <t>Garcia Sudario</t>
  </si>
  <si>
    <t>14734855-K</t>
  </si>
  <si>
    <t>nellymarisol.garcia07@g mail.com</t>
  </si>
  <si>
    <t>Manuel Rodríguez Sur 540. Santiago</t>
  </si>
  <si>
    <t>Vitali San Martín</t>
  </si>
  <si>
    <t>9578884-K</t>
  </si>
  <si>
    <t>jvsama@msn.com</t>
  </si>
  <si>
    <t>Ave Apoquindo 8340. Dpto 61. Las Condes</t>
  </si>
  <si>
    <t>Mercedes</t>
  </si>
  <si>
    <t>Tapia Espinosa</t>
  </si>
  <si>
    <t>8179410-3</t>
  </si>
  <si>
    <t>mercelstapiae@gmail.co m</t>
  </si>
  <si>
    <t>Milán 12787. Lo Barnechea</t>
  </si>
  <si>
    <t>Lizzette</t>
  </si>
  <si>
    <t>Albumohor Salmam</t>
  </si>
  <si>
    <t>6343624-0</t>
  </si>
  <si>
    <t>chettyabu@gmail.com</t>
  </si>
  <si>
    <t>Navidad 1129, Dpto 61. Vitacura</t>
  </si>
  <si>
    <t>7810764-2</t>
  </si>
  <si>
    <t>ale.tmaira@gmail.com</t>
  </si>
  <si>
    <t>Maira 13876. Lo Barnechea</t>
  </si>
  <si>
    <t>Leonilda del C.</t>
  </si>
  <si>
    <t>Quiroz Veas</t>
  </si>
  <si>
    <t>7811534-3</t>
  </si>
  <si>
    <t>leitoq@gmail.com</t>
  </si>
  <si>
    <t>Villa Nebraska Pasaje 4 #1050. Lo Barnechea</t>
  </si>
  <si>
    <t>Emiko</t>
  </si>
  <si>
    <t>Hombo Hombo</t>
  </si>
  <si>
    <t>6557667-8</t>
  </si>
  <si>
    <t>emikome@gmail.com</t>
  </si>
  <si>
    <t>Padre Errazuriz 6918-A. Las Condes</t>
  </si>
  <si>
    <t>Norma Mariela</t>
  </si>
  <si>
    <t>Seguel Quezada</t>
  </si>
  <si>
    <t>5882286-8</t>
  </si>
  <si>
    <t>seguel1446@gmail.com</t>
  </si>
  <si>
    <t>Eleuterio Ramírez 1446. Dpto 1314. Santiago</t>
  </si>
  <si>
    <t>Crespo Chirighin</t>
  </si>
  <si>
    <t>4775460-7</t>
  </si>
  <si>
    <t>pcrespoch@vtr.net</t>
  </si>
  <si>
    <t>Robles 12730. Dpto 309. Lo Barnechea</t>
  </si>
  <si>
    <t>Rebeca</t>
  </si>
  <si>
    <t>Adones Montaño</t>
  </si>
  <si>
    <t>6147686-5</t>
  </si>
  <si>
    <t>rebecaadones50@gmail. com</t>
  </si>
  <si>
    <t>Adones Lo Encalada 140 Block 700-C. Dpto 11. Santiago</t>
  </si>
  <si>
    <t>Castro Ormazábal</t>
  </si>
  <si>
    <t>6405535-6</t>
  </si>
  <si>
    <t xml:space="preserve">monitacastro244@hotmail.com
</t>
  </si>
  <si>
    <t>Américo Vespucio Norte 280. Dpto 901. Las Condes</t>
  </si>
  <si>
    <t>Pto. Natales</t>
  </si>
  <si>
    <t>Alvarez Vera</t>
  </si>
  <si>
    <t>16.966.029-8</t>
  </si>
  <si>
    <t>Orozco Vera</t>
  </si>
  <si>
    <t>21.763.731-7</t>
  </si>
  <si>
    <t>Benitez Ruiz</t>
  </si>
  <si>
    <t>18.551.414-5</t>
  </si>
  <si>
    <t>Soto Molina</t>
  </si>
  <si>
    <t>17.639.580-K</t>
  </si>
  <si>
    <t>Brisna</t>
  </si>
  <si>
    <t>Oyarzun Moreno</t>
  </si>
  <si>
    <t>9.763.765-2</t>
  </si>
  <si>
    <t>Barrientos Lopez</t>
  </si>
  <si>
    <t>3.762.255-9</t>
  </si>
  <si>
    <t>Molina Hernandez</t>
  </si>
  <si>
    <t>11.310.006-0</t>
  </si>
  <si>
    <t>Bustamante Villegas</t>
  </si>
  <si>
    <t>10.673.433-K</t>
  </si>
  <si>
    <t>Nuñez Magaña</t>
  </si>
  <si>
    <t>6.363.816-1</t>
  </si>
  <si>
    <t>Carrasco Carrasco</t>
  </si>
  <si>
    <t>7.791.580-K</t>
  </si>
  <si>
    <t>Diaz Mansilla</t>
  </si>
  <si>
    <t>5.263.326-5</t>
  </si>
  <si>
    <t>Alvarado Sotomayor</t>
  </si>
  <si>
    <t>8.425.423-1</t>
  </si>
  <si>
    <t>Vivallo Perez</t>
  </si>
  <si>
    <t>9.208.397-7</t>
  </si>
  <si>
    <t>Maryrosy</t>
  </si>
  <si>
    <t>Ortega Barrena</t>
  </si>
  <si>
    <t>11.274.646-3</t>
  </si>
  <si>
    <t>Onofre</t>
  </si>
  <si>
    <t>Soto Montiel</t>
  </si>
  <si>
    <t>8.616.106-0</t>
  </si>
  <si>
    <t>Oscar</t>
  </si>
  <si>
    <t>Arenas Galindo</t>
  </si>
  <si>
    <t>9.635.224-7</t>
  </si>
  <si>
    <t>Bilma</t>
  </si>
  <si>
    <t>Ojeda Diaz</t>
  </si>
  <si>
    <t>7.289.592-4</t>
  </si>
  <si>
    <t>Ruminot Rojas</t>
  </si>
  <si>
    <t>3.888.964-8</t>
  </si>
  <si>
    <t>Arlette</t>
  </si>
  <si>
    <t>Fritz Flores</t>
  </si>
  <si>
    <t>6.309.412-9</t>
  </si>
  <si>
    <t>Gonzalez Romero</t>
  </si>
  <si>
    <t>8.601.179-4</t>
  </si>
  <si>
    <t>Barrientos Paradis</t>
  </si>
  <si>
    <t>7.247.074-5</t>
  </si>
  <si>
    <t>Pucón</t>
  </si>
  <si>
    <t>Valentina Alejandra</t>
  </si>
  <si>
    <t>Sanzana Oses</t>
  </si>
  <si>
    <t>21854668- 4</t>
  </si>
  <si>
    <t>Valentinasanzana5@gmail.com</t>
  </si>
  <si>
    <t>Sector tres esquinas</t>
  </si>
  <si>
    <t>Raichell Aline</t>
  </si>
  <si>
    <t>Valenzuela Gutiérrez</t>
  </si>
  <si>
    <t>19762555- 2</t>
  </si>
  <si>
    <t>Raichell98@icloud.cl</t>
  </si>
  <si>
    <t>Rio Claro 328, jardines del claro</t>
  </si>
  <si>
    <t>Sofia Paz</t>
  </si>
  <si>
    <t>Carrasco Esparza</t>
  </si>
  <si>
    <t>22589068- 4</t>
  </si>
  <si>
    <t>sofia.carrasco.esparza @gmail.com</t>
  </si>
  <si>
    <t>Ex balsa Quelhue n°175 sector tres esquinas</t>
  </si>
  <si>
    <t>Fernanda Belén</t>
  </si>
  <si>
    <t>Sánchez Salazar</t>
  </si>
  <si>
    <t>18434601- k</t>
  </si>
  <si>
    <t>fbsanchez@uc.cl</t>
  </si>
  <si>
    <t>Camino Internacional 1930</t>
  </si>
  <si>
    <t>Miranda Ñanco</t>
  </si>
  <si>
    <t>19522414- 5</t>
  </si>
  <si>
    <t>Katherinemiranda27@gmail.com</t>
  </si>
  <si>
    <t>Calle las amapol as 394, jardines del claro</t>
  </si>
  <si>
    <t>Vernet Benjamín</t>
  </si>
  <si>
    <t>Barra Epulef</t>
  </si>
  <si>
    <t>21907632- 0</t>
  </si>
  <si>
    <t>vernetbarraepulef.9@gmail.com</t>
  </si>
  <si>
    <t>Emiliano Córdova n° 3375, Población los Bomberos</t>
  </si>
  <si>
    <t>Alex Sebastián</t>
  </si>
  <si>
    <t>Brevis Rojas</t>
  </si>
  <si>
    <t>21626948- 9</t>
  </si>
  <si>
    <t>alex.funtime.brevis @gmail.com</t>
  </si>
  <si>
    <t>Villa entre ríos, pasaje Liucura n° 45</t>
  </si>
  <si>
    <t>Jhazmin Katherine</t>
  </si>
  <si>
    <t>Evangelista Vidal</t>
  </si>
  <si>
    <t>24053958- 6</t>
  </si>
  <si>
    <t>Vidalkatherine61@gmail.com</t>
  </si>
  <si>
    <t>Sector tres esquinas, pasaje Lolco, casa 4</t>
  </si>
  <si>
    <t>Emma Flor</t>
  </si>
  <si>
    <t>Salazar González</t>
  </si>
  <si>
    <t>9717153-k</t>
  </si>
  <si>
    <t>emisa@live.cl</t>
  </si>
  <si>
    <t>Veloso Figueroa</t>
  </si>
  <si>
    <t>9500683-3</t>
  </si>
  <si>
    <t>manuelvelosopucon @h otmail.com</t>
  </si>
  <si>
    <t>Km 19 camino Caburgua - Pucon</t>
  </si>
  <si>
    <t>Hellen</t>
  </si>
  <si>
    <t>Perez Saez</t>
  </si>
  <si>
    <t>13398681- 2</t>
  </si>
  <si>
    <t>Hlnperez32@gmail 
.co m</t>
  </si>
  <si>
    <t>Calle Brasil 324</t>
  </si>
  <si>
    <t>Gladys Margarita</t>
  </si>
  <si>
    <t>Sanzana Fuentes</t>
  </si>
  <si>
    <t>7751877-0</t>
  </si>
  <si>
    <t>marsanzana@gmail 
.co m</t>
  </si>
  <si>
    <t>Camino internacional 1720 B</t>
  </si>
  <si>
    <t>Paula Constanza</t>
  </si>
  <si>
    <t>Salinas Valdebenito</t>
  </si>
  <si>
    <t>18517565- 0</t>
  </si>
  <si>
    <t>pcsalinas@uc.cl</t>
  </si>
  <si>
    <t>Carlos sabugal 335</t>
  </si>
  <si>
    <t>Patricia Marisol</t>
  </si>
  <si>
    <t>Riquelme Epulef</t>
  </si>
  <si>
    <t>17499343- 2</t>
  </si>
  <si>
    <t>marisolriquelme497@gmail.com</t>
  </si>
  <si>
    <t>Población Los Arrayanes, pasaje el mañio 70</t>
  </si>
  <si>
    <t>9385827 20</t>
  </si>
  <si>
    <t>Avilés Arias</t>
  </si>
  <si>
    <t>7.445.164 -0</t>
  </si>
  <si>
    <t>Sebasti án Engler 520, Pucón</t>
  </si>
  <si>
    <t>Solís Tralma</t>
  </si>
  <si>
    <t>15706469- k</t>
  </si>
  <si>
    <t>mist0240@hotmail 
.co m</t>
  </si>
  <si>
    <t>Julio Gustivianovich n° 3365, población los Bomberos</t>
  </si>
  <si>
    <t>Andrés</t>
  </si>
  <si>
    <t>Guerrero Rojas</t>
  </si>
  <si>
    <t>15.008.040-1</t>
  </si>
  <si>
    <t>Andregrojas30@gmail. com</t>
  </si>
  <si>
    <t>Saba Eltit 870</t>
  </si>
  <si>
    <t>Luis Edgardo</t>
  </si>
  <si>
    <t>Sánchez Larena</t>
  </si>
  <si>
    <t>7188157-1</t>
  </si>
  <si>
    <t>Mireya Alejandra</t>
  </si>
  <si>
    <t>Henríquez Gutiérrez</t>
  </si>
  <si>
    <t>13814700- 2</t>
  </si>
  <si>
    <t>mireyahenriquezg@ gm ail.com</t>
  </si>
  <si>
    <t>Variante Internacional 1955</t>
  </si>
  <si>
    <t>9 53967353</t>
  </si>
  <si>
    <t>Rodríguez Guzmán</t>
  </si>
  <si>
    <t>15255245- 9</t>
  </si>
  <si>
    <t>m.rodriguezguzman 01 @gmail.com</t>
  </si>
  <si>
    <t>Villa entre ríos, calle rio trancura 220</t>
  </si>
  <si>
    <t>Blanca Edith</t>
  </si>
  <si>
    <t>Valenzuela Jara</t>
  </si>
  <si>
    <t>8640775-2</t>
  </si>
  <si>
    <t>satorival@hotmail.com</t>
  </si>
  <si>
    <t>Rio claro 328</t>
  </si>
  <si>
    <t>Raúl Alfredo</t>
  </si>
  <si>
    <t>Hernández Riquelme</t>
  </si>
  <si>
    <t>11410738- 7</t>
  </si>
  <si>
    <t>raul.4433@hotmail 
.co m</t>
  </si>
  <si>
    <t>9 68071743</t>
  </si>
  <si>
    <t>Bernardita del Carmen</t>
  </si>
  <si>
    <t>Campos González</t>
  </si>
  <si>
    <t>7.361.313 -2</t>
  </si>
  <si>
    <t>Bcampos@gmail.com</t>
  </si>
  <si>
    <t>Calle Brasil N° 230</t>
  </si>
  <si>
    <t>Helia Ester</t>
  </si>
  <si>
    <t>Roa Burgos</t>
  </si>
  <si>
    <t>9287646-2</t>
  </si>
  <si>
    <t>Natalia Anais</t>
  </si>
  <si>
    <t>Alfaro Solis</t>
  </si>
  <si>
    <t>21881666- 5</t>
  </si>
  <si>
    <t>Nataliaanais7@gmail.com</t>
  </si>
  <si>
    <t>Julio Gustivianovich n°365, poblaci ón los Bomberos</t>
  </si>
  <si>
    <t>Marcela Patricia</t>
  </si>
  <si>
    <t>Ojeda Álvarez</t>
  </si>
  <si>
    <t>10963262- 7</t>
  </si>
  <si>
    <t>Marce03122009@gmail.com</t>
  </si>
  <si>
    <t>Camino al Volcán n° 930</t>
  </si>
  <si>
    <t>Elena del Carmen</t>
  </si>
  <si>
    <t>Acuña Salgado</t>
  </si>
  <si>
    <t>9691402-4</t>
  </si>
  <si>
    <t>Camino al volcán, km 1.5</t>
  </si>
  <si>
    <t>María Haidee Inés</t>
  </si>
  <si>
    <t>Lizama Barria</t>
  </si>
  <si>
    <t>7604039-7</t>
  </si>
  <si>
    <t>Villa puesta del sol n°45</t>
  </si>
  <si>
    <t>Puerto Montt</t>
  </si>
  <si>
    <t>Barrientos Sotomayor</t>
  </si>
  <si>
    <t>7356505-7</t>
  </si>
  <si>
    <t>miriambsotomayor@gmail.com</t>
  </si>
  <si>
    <t>Vilcún #379 Antonio Varas
P.MONTT</t>
  </si>
  <si>
    <t>Rodriguez Arena</t>
  </si>
  <si>
    <t>18753274-4</t>
  </si>
  <si>
    <t>Alvarez E.</t>
  </si>
  <si>
    <t>7299261-K</t>
  </si>
  <si>
    <t>anamalug@gmail.com</t>
  </si>
  <si>
    <t>Juan soler Manfredini S/N 
P.MONTT</t>
  </si>
  <si>
    <t>Gonzalez Riquelme</t>
  </si>
  <si>
    <t>16857503-3</t>
  </si>
  <si>
    <t>Mg.pvaras@gmail.com</t>
  </si>
  <si>
    <t>Alonso bintrup #5252
P.Varas</t>
  </si>
  <si>
    <t>Stange G.</t>
  </si>
  <si>
    <t>4503663-4</t>
  </si>
  <si>
    <t>Garcia C.</t>
  </si>
  <si>
    <t>11086938-K</t>
  </si>
  <si>
    <t>Ninfag10@gmail.com</t>
  </si>
  <si>
    <t>Los notros #1576 bosque mar
P.MONTT</t>
  </si>
  <si>
    <t>Vanesa Claudia</t>
  </si>
  <si>
    <t>Herrera</t>
  </si>
  <si>
    <t>26547448-9</t>
  </si>
  <si>
    <t>Yañez Del Pino</t>
  </si>
  <si>
    <t>14607412-K</t>
  </si>
  <si>
    <t>Yvaleria1977@gmail.com</t>
  </si>
  <si>
    <t>Población alerce pasaje Pedro Aguirre cerda #459
P.MONTT</t>
  </si>
  <si>
    <t>Jeanette</t>
  </si>
  <si>
    <t>Aburto Garcia</t>
  </si>
  <si>
    <t>12756826-K</t>
  </si>
  <si>
    <t>jeanetteaburtog@gmail.com</t>
  </si>
  <si>
    <t>Fuente de Sevilla #1943 jardín oriente 3
P.MONTT</t>
  </si>
  <si>
    <t>Uribe M.</t>
  </si>
  <si>
    <t>8574787-8</t>
  </si>
  <si>
    <t>Suribe1992@gmail.com</t>
  </si>
  <si>
    <t>Chamiza km 11.
P.MONTT</t>
  </si>
  <si>
    <t>Cheuquel</t>
  </si>
  <si>
    <t>7806106-5</t>
  </si>
  <si>
    <t>patriciocheuquelh@gmail.com</t>
  </si>
  <si>
    <t>Población chile barrio #3325
P.MONTT</t>
  </si>
  <si>
    <t>Maria C</t>
  </si>
  <si>
    <t>Aguila Ojeda</t>
  </si>
  <si>
    <t>7531472-8</t>
  </si>
  <si>
    <t>aguilaojedamaria@gmail.com</t>
  </si>
  <si>
    <t>Lago Llanquihue #1 pichi pelluco
P.MONTT</t>
  </si>
  <si>
    <t>Onorato G.</t>
  </si>
  <si>
    <t>7116581-7</t>
  </si>
  <si>
    <t>Hortencia</t>
  </si>
  <si>
    <t>Mancilla M.</t>
  </si>
  <si>
    <t>4069066-2</t>
  </si>
  <si>
    <t>Puerto Varas</t>
  </si>
  <si>
    <t>Ana Francisca</t>
  </si>
  <si>
    <t>Paez Trincado</t>
  </si>
  <si>
    <t>20.788.961-K</t>
  </si>
  <si>
    <t>anafranciscapaez2001@gmail.com</t>
  </si>
  <si>
    <t>Eva Maria</t>
  </si>
  <si>
    <t>Vera Soto</t>
  </si>
  <si>
    <t>6.070.696-4</t>
  </si>
  <si>
    <t>Evamariaverarinconazul_pv@hotmail.com</t>
  </si>
  <si>
    <t>Toledo Cardenas</t>
  </si>
  <si>
    <t>8.244.703-2</t>
  </si>
  <si>
    <t>tmagy2@gmail.com</t>
  </si>
  <si>
    <t>Duarte Gonzalez</t>
  </si>
  <si>
    <t>9.461.541-0</t>
  </si>
  <si>
    <t>maritzadu@gmail.com</t>
  </si>
  <si>
    <t>5.301.251-5</t>
  </si>
  <si>
    <t>n.judithvargasvargas@gmail.com</t>
  </si>
  <si>
    <t>Wevar Torres</t>
  </si>
  <si>
    <t>7.593.346-0</t>
  </si>
  <si>
    <t>crstiwevar@gmail.com</t>
  </si>
  <si>
    <t>Kreuzburg Rios</t>
  </si>
  <si>
    <t>7.717.550-4</t>
  </si>
  <si>
    <t>mirtakr@gmail.com</t>
  </si>
  <si>
    <t>Diaz Fluhmann</t>
  </si>
  <si>
    <t>8.059.985-1</t>
  </si>
  <si>
    <t>soledfl@gmail.com</t>
  </si>
  <si>
    <t>Pizarro Villarroel</t>
  </si>
  <si>
    <t>11.318.894-4</t>
  </si>
  <si>
    <t>soniapizarrov@gmail.com</t>
  </si>
  <si>
    <t>Gilda</t>
  </si>
  <si>
    <t>Agüero Olivarez</t>
  </si>
  <si>
    <t>4.788.476-4</t>
  </si>
  <si>
    <t>mamagilda41@gmail.com</t>
  </si>
  <si>
    <t>Pinochet Alfaro</t>
  </si>
  <si>
    <t>8.690.513-2</t>
  </si>
  <si>
    <t>amparo.pinochet@outlook.com</t>
  </si>
  <si>
    <t>Rivera Carrasco</t>
  </si>
  <si>
    <t>9.325.944-0</t>
  </si>
  <si>
    <t>yolanda_2010_xz@hotmail.com</t>
  </si>
  <si>
    <t>Vasquez Caro</t>
  </si>
  <si>
    <t>8.755.716-2</t>
  </si>
  <si>
    <t>anni.vasquezcaro@gmail.com</t>
  </si>
  <si>
    <t>Hedwich</t>
  </si>
  <si>
    <t>Tomassovich Alvarado</t>
  </si>
  <si>
    <t>5.031.966-0</t>
  </si>
  <si>
    <t>hedytomass@outlook.com</t>
  </si>
  <si>
    <t>Vasquez Sepulveda</t>
  </si>
  <si>
    <t>8.132.202-3</t>
  </si>
  <si>
    <t>carmengloriaeuro@hotmail.com</t>
  </si>
  <si>
    <t>Amalia Victoria</t>
  </si>
  <si>
    <t>Rojas Alvarado</t>
  </si>
  <si>
    <t>6.224.317-1</t>
  </si>
  <si>
    <t>amalia2008victoria@gmail.com</t>
  </si>
  <si>
    <t>Purén</t>
  </si>
  <si>
    <t>Francesca</t>
  </si>
  <si>
    <t>Iubini Fuentes</t>
  </si>
  <si>
    <t>22.355.778-1</t>
  </si>
  <si>
    <t>Fcatalina2007@Gmail.Com</t>
  </si>
  <si>
    <t>Contulmo</t>
  </si>
  <si>
    <t>Mendoza Fuentes</t>
  </si>
  <si>
    <t>17.461.138-6</t>
  </si>
  <si>
    <t>Constanza.Mendoza@Outlook.Com</t>
  </si>
  <si>
    <t>Almagro 476</t>
  </si>
  <si>
    <t>Clotilde</t>
  </si>
  <si>
    <t>Muñoz Reyes</t>
  </si>
  <si>
    <t>5.996.686-3</t>
  </si>
  <si>
    <t>Coty.Muñoz@Araucanianorte.Cl</t>
  </si>
  <si>
    <t>Contulmo 654</t>
  </si>
  <si>
    <t>Iveth</t>
  </si>
  <si>
    <t>Salgado Flores</t>
  </si>
  <si>
    <t>15.226.340-6</t>
  </si>
  <si>
    <t>Salgado.Viviana@Gmail.Com</t>
  </si>
  <si>
    <t>Almagro 114</t>
  </si>
  <si>
    <t>Bonia Arguelles</t>
  </si>
  <si>
    <t>26.388.636-4</t>
  </si>
  <si>
    <t>Mariabonia16@Gmail.Com</t>
  </si>
  <si>
    <t>Km8 Camino Puren Contulmo</t>
  </si>
  <si>
    <t>Carla</t>
  </si>
  <si>
    <t>Fuentes Gonzalez</t>
  </si>
  <si>
    <t>17.557.890-0</t>
  </si>
  <si>
    <t>Carlayfuentesg@Gmail.Com</t>
  </si>
  <si>
    <t>Arturo Prat 100, Pobl. 21 Mayo</t>
  </si>
  <si>
    <t>Estefania</t>
  </si>
  <si>
    <t>Marin Spichiger</t>
  </si>
  <si>
    <t>17.212.959-5</t>
  </si>
  <si>
    <t>Eamarinsp@Gmail.Com</t>
  </si>
  <si>
    <t>Manuel Montt 1140</t>
  </si>
  <si>
    <t>Pradena Pradena</t>
  </si>
  <si>
    <t>18.809.104-0</t>
  </si>
  <si>
    <t>Paulinapradenap@Gmail.Com</t>
  </si>
  <si>
    <t>Quiroga 202</t>
  </si>
  <si>
    <t>Mirtha</t>
  </si>
  <si>
    <t>Sanzana Sein</t>
  </si>
  <si>
    <t>10.889.950-K</t>
  </si>
  <si>
    <t>Mysanzana@Gmail.Com</t>
  </si>
  <si>
    <t>Contulmo 1001</t>
  </si>
  <si>
    <t>Cid Vidal</t>
  </si>
  <si>
    <t>8.442.026-3</t>
  </si>
  <si>
    <t>Susanacidvidal136@Gmail.Com</t>
  </si>
  <si>
    <t>Hurtado 743</t>
  </si>
  <si>
    <t>Blanca</t>
  </si>
  <si>
    <t>Vilche Valenzuela</t>
  </si>
  <si>
    <t>8.349.301-1</t>
  </si>
  <si>
    <t>Blancavilche1959@Gmail.Com</t>
  </si>
  <si>
    <t>Saavedra 137</t>
  </si>
  <si>
    <t>Katia</t>
  </si>
  <si>
    <t>Ormazabal Ortiz</t>
  </si>
  <si>
    <t>12.473.452-5</t>
  </si>
  <si>
    <t>Katiaosorno@Gmail.Com</t>
  </si>
  <si>
    <t>Quiroga 539</t>
  </si>
  <si>
    <t>Spichiger Khen</t>
  </si>
  <si>
    <t>8.597.635-4</t>
  </si>
  <si>
    <t>Erikaspichiger@Gmail.Com</t>
  </si>
  <si>
    <t>Manuel Montt 1152</t>
  </si>
  <si>
    <t>Marin Contreras</t>
  </si>
  <si>
    <t>6.188.047-K</t>
  </si>
  <si>
    <t>Jose.Marin@Hotmail.Com</t>
  </si>
  <si>
    <t>Israelita</t>
  </si>
  <si>
    <t>Novoa Cid</t>
  </si>
  <si>
    <t>5.623.367-9</t>
  </si>
  <si>
    <t>Itanovoa@Gmail.Com</t>
  </si>
  <si>
    <t>Almagro 238</t>
  </si>
  <si>
    <t>Aguayo Conejeros</t>
  </si>
  <si>
    <t>5.741.351-4</t>
  </si>
  <si>
    <t>Contulmo 848</t>
  </si>
  <si>
    <t>Ida</t>
  </si>
  <si>
    <t>Alvarez Altamirano</t>
  </si>
  <si>
    <t>10.813.379-1</t>
  </si>
  <si>
    <t>Almagro 481</t>
  </si>
  <si>
    <t>Quilicura</t>
  </si>
  <si>
    <t>Verónica del Carmen</t>
  </si>
  <si>
    <t>Espinoza Cornejo</t>
  </si>
  <si>
    <t>6690665-5</t>
  </si>
  <si>
    <t>Psje. Bayo 1511 Huechuraba</t>
  </si>
  <si>
    <t>Gómez Hermosilla</t>
  </si>
  <si>
    <t>20331144-3</t>
  </si>
  <si>
    <t>Horacio Ried Carrera 83 Quilicura</t>
  </si>
  <si>
    <t>Ortega Pereira</t>
  </si>
  <si>
    <t>8190608-4</t>
  </si>
  <si>
    <t>Briones Requerín</t>
  </si>
  <si>
    <t>10302120-0</t>
  </si>
  <si>
    <t>María Ximena</t>
  </si>
  <si>
    <t>Tobar Cárdenas</t>
  </si>
  <si>
    <t>5437613-8</t>
  </si>
  <si>
    <t>Doña Leticia 529 Quilicura</t>
  </si>
  <si>
    <t>Moncada Valenzuela</t>
  </si>
  <si>
    <t>18990278-6</t>
  </si>
  <si>
    <t>Psje. Quitral 591 Quilicura</t>
  </si>
  <si>
    <t>González Reyes</t>
  </si>
  <si>
    <t>7984815-8</t>
  </si>
  <si>
    <t>Valenzuela Alvial</t>
  </si>
  <si>
    <t>7474948-8</t>
  </si>
  <si>
    <t>Claudia Fabiola</t>
  </si>
  <si>
    <t>Ojeda Morales</t>
  </si>
  <si>
    <t>14414641-7</t>
  </si>
  <si>
    <t>Las Garzas Psje.14 N°574 Quilicura</t>
  </si>
  <si>
    <t>Myriam de las M.</t>
  </si>
  <si>
    <t>Lagos Velásquez</t>
  </si>
  <si>
    <t>10110375-2</t>
  </si>
  <si>
    <t>Las Frutillas V/Parque Quilicura</t>
  </si>
  <si>
    <t>Roxana Mariela</t>
  </si>
  <si>
    <t>Alarcón Cortés</t>
  </si>
  <si>
    <t>12187485-7</t>
  </si>
  <si>
    <t>Estero Dumo 057</t>
  </si>
  <si>
    <t>Uribe Durán</t>
  </si>
  <si>
    <t>10291854-1</t>
  </si>
  <si>
    <t>Juana Elena</t>
  </si>
  <si>
    <t>Sepúlveda Bugueño</t>
  </si>
  <si>
    <t>10293676-0</t>
  </si>
  <si>
    <t>Villa San José N° 26 Lampa</t>
  </si>
  <si>
    <t>Aurelia</t>
  </si>
  <si>
    <t>Huanca Gómez</t>
  </si>
  <si>
    <t>14654117-8</t>
  </si>
  <si>
    <t>Gatica Bustos</t>
  </si>
  <si>
    <t>9784606-5</t>
  </si>
  <si>
    <t>Pdte. Gabriel G.V.132 Quilicura</t>
  </si>
  <si>
    <t>Berta Bernardita</t>
  </si>
  <si>
    <t>Astorga Contreras</t>
  </si>
  <si>
    <t>7747806-K</t>
  </si>
  <si>
    <t>Alberto Undurraga 1567
 Huechuraba</t>
  </si>
  <si>
    <t>Lucerina</t>
  </si>
  <si>
    <t>Roa Uribe</t>
  </si>
  <si>
    <t>7369859-6</t>
  </si>
  <si>
    <t>Méndez Moreno</t>
  </si>
  <si>
    <t>6565537-5</t>
  </si>
  <si>
    <t>José Fco. Vergara 048 Depto.42</t>
  </si>
  <si>
    <t>Quillota</t>
  </si>
  <si>
    <t>Elia</t>
  </si>
  <si>
    <t>Alarcón Pérez</t>
  </si>
  <si>
    <t>7.466.005-3</t>
  </si>
  <si>
    <t>elia.alarcon.perez@gamail.com</t>
  </si>
  <si>
    <t>Calle La Capilla paradero 14. 1/2 Boco Norte Quillota</t>
  </si>
  <si>
    <t>Ahumada Vílchez</t>
  </si>
  <si>
    <t>4.379.958-4</t>
  </si>
  <si>
    <t>lalita.ahumada@gmail.com</t>
  </si>
  <si>
    <t>La Concepción Nº 918-B Quillota</t>
  </si>
  <si>
    <t>Marjorie</t>
  </si>
  <si>
    <t>Campos Inostroza</t>
  </si>
  <si>
    <t>14.253.453-3</t>
  </si>
  <si>
    <t>marcamisola@gmail.com</t>
  </si>
  <si>
    <t>Blanco 959-C Población Corvi  Quillota</t>
  </si>
  <si>
    <t>Castro Concha</t>
  </si>
  <si>
    <t>6.539.635-1</t>
  </si>
  <si>
    <t>luis_castro131@hotmail.com</t>
  </si>
  <si>
    <t>Emanuel</t>
  </si>
  <si>
    <t>Castro Campos</t>
  </si>
  <si>
    <t>21.390.595-3</t>
  </si>
  <si>
    <t>emanuelcastrocampos16@gmail.com</t>
  </si>
  <si>
    <t>Froilina</t>
  </si>
  <si>
    <t>Carvajal Ramos</t>
  </si>
  <si>
    <t>7.700.169-7</t>
  </si>
  <si>
    <t>froilinacarvajal@gmail.com</t>
  </si>
  <si>
    <t>Avda Valparaíso Nº 1673 Quillota</t>
  </si>
  <si>
    <t>Carvajal Fajardo</t>
  </si>
  <si>
    <t>6.434.239-8</t>
  </si>
  <si>
    <t>lidiacarvajalfajardo@gmail.com</t>
  </si>
  <si>
    <t>Calle 18 Septiembre Nº78 Limache</t>
  </si>
  <si>
    <t>Canala Cortes</t>
  </si>
  <si>
    <t>21.988.275-0</t>
  </si>
  <si>
    <t>martinacanalac@gmail.com</t>
  </si>
  <si>
    <t>Balmaceda N125 Boco Quillota</t>
  </si>
  <si>
    <t>Reinaldo</t>
  </si>
  <si>
    <t>Chong Hormazabal</t>
  </si>
  <si>
    <t>10.028.196-1</t>
  </si>
  <si>
    <t>Población Sisem Pasaje A casa 2
La Cruz</t>
  </si>
  <si>
    <t>Díaz Guzmán</t>
  </si>
  <si>
    <t>8.020.473-6</t>
  </si>
  <si>
    <t>marisoldiazguzman@gmail.com</t>
  </si>
  <si>
    <t>Calle Vásquez Paradero13 Boco Quillota</t>
  </si>
  <si>
    <t>Díaz Henríquez</t>
  </si>
  <si>
    <t>6.771.785-6</t>
  </si>
  <si>
    <t>Pobl. Amanecer calle Quillota  Nº 925 Quillota</t>
  </si>
  <si>
    <t>Estay Herrera</t>
  </si>
  <si>
    <t>6.768.992-5</t>
  </si>
  <si>
    <t>Calle La Capilla paradero 16  1/2 Boco Norte Quillota</t>
  </si>
  <si>
    <t>Álvaro</t>
  </si>
  <si>
    <t>Farías Espinoza</t>
  </si>
  <si>
    <t>8.105.210-7</t>
  </si>
  <si>
    <t>alvaro_@hotmail.com</t>
  </si>
  <si>
    <t>Freire Nº 1437 Esq. J .Montt Quillota</t>
  </si>
  <si>
    <t>Rodolfo</t>
  </si>
  <si>
    <t>Godoy Araya</t>
  </si>
  <si>
    <t>8.977.945-6</t>
  </si>
  <si>
    <t>Pasaje Catalina 2009 18 Sept Limache</t>
  </si>
  <si>
    <t>Guerra Soto</t>
  </si>
  <si>
    <t>20.172.573-9</t>
  </si>
  <si>
    <t>javieraguerrasoto@gmail.com</t>
  </si>
  <si>
    <t>Condominio Alto de Merced Torre 1 Dpto Nº 53 Quillota</t>
  </si>
  <si>
    <t>Neira Cisternas</t>
  </si>
  <si>
    <t>14.523.409-3</t>
  </si>
  <si>
    <t>danieljneira@gmail.com</t>
  </si>
  <si>
    <t>Barrio Los Boldos Nº 2043 Quillota</t>
  </si>
  <si>
    <t>Yessilett</t>
  </si>
  <si>
    <t>López Castillo</t>
  </si>
  <si>
    <t>17.413.724-2</t>
  </si>
  <si>
    <t>yessilett.I@gmail.com</t>
  </si>
  <si>
    <t>Rojas Gálvez</t>
  </si>
  <si>
    <t>7.450.705-0</t>
  </si>
  <si>
    <t>Pobl. Amanecer calle Quillota  Nº 925</t>
  </si>
  <si>
    <t>Reyes Navarros</t>
  </si>
  <si>
    <t>10.019.917-3</t>
  </si>
  <si>
    <t>Calle 18 Nº640 Quillota</t>
  </si>
  <si>
    <t>Priscilla</t>
  </si>
  <si>
    <t>Reyes Reyes</t>
  </si>
  <si>
    <t>13.986.346-1</t>
  </si>
  <si>
    <t>Florive1972@gmail.com</t>
  </si>
  <si>
    <t>Avda 21 Mayo Las Ágatas Nº 117 Villa El Crisol  Quillota</t>
  </si>
  <si>
    <t>Cristóbal</t>
  </si>
  <si>
    <t>Muñoz Caneo</t>
  </si>
  <si>
    <t>20.530.800-8</t>
  </si>
  <si>
    <t>cristobaluwu@gmail.com</t>
  </si>
  <si>
    <t>Parcela N°12 Callejon Lo Mardones La Palma Quillota</t>
  </si>
  <si>
    <t>Pérez Espinoza</t>
  </si>
  <si>
    <t>7.467.421-6</t>
  </si>
  <si>
    <t>Pobl. Reyes Católicos Salvador Said Nº1321 Quillota</t>
  </si>
  <si>
    <t>Silva Reyes</t>
  </si>
  <si>
    <t>21.267.051-0</t>
  </si>
  <si>
    <t>antonia.silva.reyes@gmail.com</t>
  </si>
  <si>
    <t>Toro Cataldo</t>
  </si>
  <si>
    <t>11.166.388-2</t>
  </si>
  <si>
    <t>lucia­_1966@hotmail.com</t>
  </si>
  <si>
    <t>Pobl. El Esfuerzo calle 2 N°68 Quillota</t>
  </si>
  <si>
    <t>Yañez Yañez</t>
  </si>
  <si>
    <t>13.536.117-8</t>
  </si>
  <si>
    <t>Monita_3333@hotmail.com</t>
  </si>
  <si>
    <t>Calle Rugendas N°|1648 Maniantales del Inca Quillota</t>
  </si>
  <si>
    <t>Damaris Nayeli E.</t>
  </si>
  <si>
    <t>20.530.499-1</t>
  </si>
  <si>
    <t>Quilpué</t>
  </si>
  <si>
    <t>Daniel Eduardo</t>
  </si>
  <si>
    <t>Cancino Valdes</t>
  </si>
  <si>
    <t>16.676.999-K</t>
  </si>
  <si>
    <t>Teniente Merino 51 paradero 8 camino Olmue</t>
  </si>
  <si>
    <t>Alvarez Pizarro</t>
  </si>
  <si>
    <t>5.405.830-9</t>
  </si>
  <si>
    <t>Las Rosas 172 El Sol Quilpue</t>
  </si>
  <si>
    <t>Aranda Saldivia</t>
  </si>
  <si>
    <t>12.452.370-2</t>
  </si>
  <si>
    <t>Pasaje B 854 Belloto Sur Quilpue</t>
  </si>
  <si>
    <t>------</t>
  </si>
  <si>
    <t>Matheo</t>
  </si>
  <si>
    <t>Aranguiz Cortés</t>
  </si>
  <si>
    <t>20.656.477-6</t>
  </si>
  <si>
    <t>Pasaje Abtao 720 Pobl.Aosis Belloton Nporte Quilpué</t>
  </si>
  <si>
    <t>Aravena Guerrero</t>
  </si>
  <si>
    <t>22.609.890-9</t>
  </si>
  <si>
    <t>El Rocio c/la Estrofa 1007 Roque Esteban Escarpa Villa Alemana</t>
  </si>
  <si>
    <t>Balbontin Grez</t>
  </si>
  <si>
    <t>6.662.717-9</t>
  </si>
  <si>
    <t>Baquedano 1774El Sol Quilpué</t>
  </si>
  <si>
    <t>Barrientos Carvajal</t>
  </si>
  <si>
    <t>13.767.063-1</t>
  </si>
  <si>
    <t>Gomez Carreño 062 Belloto Centro Quilpué</t>
  </si>
  <si>
    <t>Bugueño Bugueño</t>
  </si>
  <si>
    <t>20.982.981-9</t>
  </si>
  <si>
    <t>Pasaje Rosedal 1377 las Rosas Quilpué</t>
  </si>
  <si>
    <t>16.676.999-k</t>
  </si>
  <si>
    <t>Capó Llancas</t>
  </si>
  <si>
    <t>16.971.638-2</t>
  </si>
  <si>
    <t>No informado</t>
  </si>
  <si>
    <t>Nelson 10 depto.42 Valparaíso</t>
  </si>
  <si>
    <t>Ignacio Alberto</t>
  </si>
  <si>
    <t>Tapia Farfan</t>
  </si>
  <si>
    <t>20.271.814-8</t>
  </si>
  <si>
    <t>Deysi</t>
  </si>
  <si>
    <t>Caro Leon</t>
  </si>
  <si>
    <t>8.877.803-0</t>
  </si>
  <si>
    <t>Tuliperos 12 Belloto 2000 Quilpué</t>
  </si>
  <si>
    <t>Malva</t>
  </si>
  <si>
    <t>Castro Olivares</t>
  </si>
  <si>
    <t>7.637.429-5</t>
  </si>
  <si>
    <t>Piedra Lanceta 2016 Villa manquehue Quilpué</t>
  </si>
  <si>
    <t>Paulina Alejandra</t>
  </si>
  <si>
    <t>Capo Llancas</t>
  </si>
  <si>
    <t>Dorila Eliana</t>
  </si>
  <si>
    <t>Carvajal Galves</t>
  </si>
  <si>
    <t>7.759.537-6</t>
  </si>
  <si>
    <t>Figueroa Cisterna</t>
  </si>
  <si>
    <t>5.130.543-4</t>
  </si>
  <si>
    <t>Block 13 C depto. 22 Playa Ancha</t>
  </si>
  <si>
    <t>Ma. Isabel</t>
  </si>
  <si>
    <t>Gonzalez Montiel</t>
  </si>
  <si>
    <t>6.702.648-9</t>
  </si>
  <si>
    <t>Buenos Aires 1720 Poblacion Araya Quilpué</t>
  </si>
  <si>
    <t>Ma. Cecilia</t>
  </si>
  <si>
    <t>Gonzalez Muñoz</t>
  </si>
  <si>
    <t>5.841.284-8</t>
  </si>
  <si>
    <t>Piedra Lanceta1992 Villa Manquehue Quilpué</t>
  </si>
  <si>
    <t>Ema Rosa</t>
  </si>
  <si>
    <t>Urquieta Serrano</t>
  </si>
  <si>
    <t>8.590.359-4</t>
  </si>
  <si>
    <t>Hidalgo Vega</t>
  </si>
  <si>
    <t>10.124.314-1</t>
  </si>
  <si>
    <t>El Abanderado 920 block 23 Depto 306 Villa Alemana</t>
  </si>
  <si>
    <t>Linda</t>
  </si>
  <si>
    <t>Inzunza Soto</t>
  </si>
  <si>
    <t>8.888.092-7</t>
  </si>
  <si>
    <t>Marga Marga 940 Pobl. Araya Quilpué</t>
  </si>
  <si>
    <t>Alejandro</t>
  </si>
  <si>
    <t>Ibañez Ulloa</t>
  </si>
  <si>
    <t>15.388.446-8</t>
  </si>
  <si>
    <t>Santa Rosa 030casa 2 condominio Santa Rosa  Quilpué</t>
  </si>
  <si>
    <t>Dominga</t>
  </si>
  <si>
    <t>Jara Oñate</t>
  </si>
  <si>
    <t>4.761.090-7</t>
  </si>
  <si>
    <t>Los Aromos 1949Quilpué</t>
  </si>
  <si>
    <t>Lopez Parra</t>
  </si>
  <si>
    <t>5.850.956-6</t>
  </si>
  <si>
    <t>Los Carrera 544 block H Quilpué</t>
  </si>
  <si>
    <t>Clarisa</t>
  </si>
  <si>
    <t>Lucero Berríos</t>
  </si>
  <si>
    <t>5.483.360-8</t>
  </si>
  <si>
    <t>Gonzalo Pizarro pasaje 2 n°267 El Sol Quilpué</t>
  </si>
  <si>
    <t>15/388/446-8</t>
  </si>
  <si>
    <t>Maturana Oyarce</t>
  </si>
  <si>
    <t>5.776.653-0</t>
  </si>
  <si>
    <t>San Jorge 327 Belloto Centro Quilpué</t>
  </si>
  <si>
    <t>Jenniffer Romina</t>
  </si>
  <si>
    <t>Mella Paredes</t>
  </si>
  <si>
    <t>16.483.542-1</t>
  </si>
  <si>
    <t>Garay alto 1189 depto 54Villa Alemana</t>
  </si>
  <si>
    <t>Mendoza Jara</t>
  </si>
  <si>
    <t>8.831.704-6</t>
  </si>
  <si>
    <t>Pasaje Puyehue 0314 Quilpué</t>
  </si>
  <si>
    <t>Muñoz Meneses</t>
  </si>
  <si>
    <t>10.093.235-9</t>
  </si>
  <si>
    <t>Bernardo leighton 2531 torre  6 depto 21  Villa Alemana</t>
  </si>
  <si>
    <t>9.394.324-4</t>
  </si>
  <si>
    <t>Peru 240 block 27 depto21 Belloto CentroQuilpué</t>
  </si>
  <si>
    <t>Noli Cortés</t>
  </si>
  <si>
    <t>7.117.216-3</t>
  </si>
  <si>
    <t>Olivera Muñoz</t>
  </si>
  <si>
    <t>10.979.374-4</t>
  </si>
  <si>
    <t>Santa Rosa 030casa 2 condominio Santa Rosa Quilpué</t>
  </si>
  <si>
    <t>Ordoñez Mazuela</t>
  </si>
  <si>
    <t>6.640.405-6</t>
  </si>
  <si>
    <t>Pasaje Los Zorzales 636 belloto 2000 Quilpué</t>
  </si>
  <si>
    <t>Oyarce Vergara</t>
  </si>
  <si>
    <t>20.522.315-0</t>
  </si>
  <si>
    <t>Los Zafiros 442 Colinas De Oro  Quilpué</t>
  </si>
  <si>
    <t>Ramírez Robles</t>
  </si>
  <si>
    <t>6.103.004-2</t>
  </si>
  <si>
    <t>Buenos Aires 1111 Villa Alemana Centro</t>
  </si>
  <si>
    <t>Retamal Julio</t>
  </si>
  <si>
    <t>7.140.220-7</t>
  </si>
  <si>
    <t>Los Carrera 1172 Quilpué</t>
  </si>
  <si>
    <t>Rosales Gutiérrez</t>
  </si>
  <si>
    <t>5.052.067-6</t>
  </si>
  <si>
    <t>Jose Uribe 524 Belloto Norte Quilpué</t>
  </si>
  <si>
    <t>Rosas Madrid</t>
  </si>
  <si>
    <t>21.891.935-9</t>
  </si>
  <si>
    <t>Cumming 1362 Quilpué</t>
  </si>
  <si>
    <t>Salazar Álvarez</t>
  </si>
  <si>
    <t>8.988.073-4</t>
  </si>
  <si>
    <t>Prolongacion Angamos 127 Quilpué</t>
  </si>
  <si>
    <t>6.404.784-1</t>
  </si>
  <si>
    <t>Los Tilos 1879 Quilpué</t>
  </si>
  <si>
    <t>Silva Urbina</t>
  </si>
  <si>
    <t>13.995.433-5</t>
  </si>
  <si>
    <t>Samuel Valencia 1195 Quilpué</t>
  </si>
  <si>
    <t>Silva Vargas</t>
  </si>
  <si>
    <t>21.394.808-3</t>
  </si>
  <si>
    <t>Calle Tramontana 1870 Villa Alemana</t>
  </si>
  <si>
    <t>20.271.418-8</t>
  </si>
  <si>
    <t>Aviador Figueroa 1460 Villa Alemana</t>
  </si>
  <si>
    <t>Ema</t>
  </si>
  <si>
    <t>Urquita Serrano</t>
  </si>
  <si>
    <t>Pasaje Moreé 1650 Quilpué</t>
  </si>
  <si>
    <t>Florencia</t>
  </si>
  <si>
    <t>Vargas Luque</t>
  </si>
  <si>
    <t>22.417.720-8</t>
  </si>
  <si>
    <t>Cavancha 16 El Olivar Viña del mar</t>
  </si>
  <si>
    <t>Quintero</t>
  </si>
  <si>
    <t>Oscar Edurado</t>
  </si>
  <si>
    <t>Gonzalez Carreño</t>
  </si>
  <si>
    <t>20.549.822-2</t>
  </si>
  <si>
    <t>ogc140@gmail.com</t>
  </si>
  <si>
    <t>Conjunto habitacional, Alberto Bachelet (el Bunker), Block P Nª 565 Depto. 303 Quintero</t>
  </si>
  <si>
    <t>Luis Felipe</t>
  </si>
  <si>
    <t>Palma Tejo</t>
  </si>
  <si>
    <t>20.706.701-0</t>
  </si>
  <si>
    <t>Constanza Natalia Belen</t>
  </si>
  <si>
    <t>Alarcon Jara</t>
  </si>
  <si>
    <t>22.082.790-9</t>
  </si>
  <si>
    <t>Alarconjara.c@gmail.com</t>
  </si>
  <si>
    <t>Calle Ernesto Riquelme Nª 735 Quintero</t>
  </si>
  <si>
    <t>Maria Adriana</t>
  </si>
  <si>
    <t>Bravo Bonhomm</t>
  </si>
  <si>
    <t>6.773.343-6</t>
  </si>
  <si>
    <t>marybravo@gmail.com</t>
  </si>
  <si>
    <t>Av. Estrella de Chile Nª371 Quintero</t>
  </si>
  <si>
    <t>Leddy Irene</t>
  </si>
  <si>
    <t>Miranda Herrea</t>
  </si>
  <si>
    <t>6.609.952-0</t>
  </si>
  <si>
    <t>Calle El Cobre Nª 2992 Pob. Nueva Serena Quintero</t>
  </si>
  <si>
    <t>Maria Del Carmen</t>
  </si>
  <si>
    <t>Maturana Acevedo</t>
  </si>
  <si>
    <t>4.164.399-4</t>
  </si>
  <si>
    <t>Julia Elena</t>
  </si>
  <si>
    <t>Maturana Pinto</t>
  </si>
  <si>
    <t>7.619.039-9</t>
  </si>
  <si>
    <t>Maturanajulia.o @gmail.com</t>
  </si>
  <si>
    <t>Calle Hermanos Carrera Nª 396 Quintero</t>
  </si>
  <si>
    <t>Vilma Rosa</t>
  </si>
  <si>
    <t>Gonzalez Bello</t>
  </si>
  <si>
    <t>8.058.364-8</t>
  </si>
  <si>
    <t>Psaje las verbenas 2727, Jardines del sol Villa Alemana</t>
  </si>
  <si>
    <t>Valezka Carolina</t>
  </si>
  <si>
    <t>Pizarro Cornejo</t>
  </si>
  <si>
    <t>14.012.729-9</t>
  </si>
  <si>
    <t>Julia De Lourdes</t>
  </si>
  <si>
    <t>Parraguez Moraga</t>
  </si>
  <si>
    <t>7.762.484-8</t>
  </si>
  <si>
    <t>lulita1955@gmail.com</t>
  </si>
  <si>
    <t>Condominio Campo Mar Pasaje. Nª 3 casa Nª 4  Puchuncavi</t>
  </si>
  <si>
    <t>Elvira Del Carmen</t>
  </si>
  <si>
    <t>Contreras Anabalon</t>
  </si>
  <si>
    <t>5.782.468-9</t>
  </si>
  <si>
    <t>Margarita Delcarmen</t>
  </si>
  <si>
    <t>Marin Astudillo</t>
  </si>
  <si>
    <t>7.100.315-9</t>
  </si>
  <si>
    <t>Pasaje Los Olmos Nª 2422 Loncura</t>
  </si>
  <si>
    <t>Victor Rene</t>
  </si>
  <si>
    <t>Diaz Godoy</t>
  </si>
  <si>
    <t>6.391.523-8</t>
  </si>
  <si>
    <t>Virginia Erika</t>
  </si>
  <si>
    <t>Terraza Rojas</t>
  </si>
  <si>
    <t>15.830.060-5</t>
  </si>
  <si>
    <t>Maria Jesus</t>
  </si>
  <si>
    <t>Catalan Veloso</t>
  </si>
  <si>
    <t>4.136.181-6</t>
  </si>
  <si>
    <t>Cecilia Aurora</t>
  </si>
  <si>
    <t>Fajardo Yañez</t>
  </si>
  <si>
    <t>7.813.387-2</t>
  </si>
  <si>
    <t>Cecifajardo58@gmail.com</t>
  </si>
  <si>
    <t>Pasaje interior 1647 Villa German RiecoLoncura</t>
  </si>
  <si>
    <t>Ines De Jesus</t>
  </si>
  <si>
    <t>Gomez Marulanda</t>
  </si>
  <si>
    <t>14.642.863-0</t>
  </si>
  <si>
    <t>Inèsgomez.ma@gmail.com</t>
  </si>
  <si>
    <t>Villa Caucahe Nª 469 Horcón</t>
  </si>
  <si>
    <t>Sabina Angelica</t>
  </si>
  <si>
    <t>Palma Vilches</t>
  </si>
  <si>
    <t>5.049.663-5</t>
  </si>
  <si>
    <t>Sabina.palma.v@gmail.com</t>
  </si>
  <si>
    <t>Luis deLa Cruz Nª 2871 Quintero</t>
  </si>
  <si>
    <t>Valenzuela Villanueva</t>
  </si>
  <si>
    <t>8.912.664-9</t>
  </si>
  <si>
    <t>alisval57@gmail.com</t>
  </si>
  <si>
    <t>Psj.Los Suspiros Nª 2028 Loncura</t>
  </si>
  <si>
    <t>Gloriadel Carmen</t>
  </si>
  <si>
    <t>Leiva Ormeño</t>
  </si>
  <si>
    <t>9.411.726-7</t>
  </si>
  <si>
    <t>glorialeivaor@gmail.com</t>
  </si>
  <si>
    <t>Campo Mar Nª7 parcela Nª 8 Valle Alegre</t>
  </si>
  <si>
    <t>Marina Adriana</t>
  </si>
  <si>
    <t>Abalos Flores</t>
  </si>
  <si>
    <t>3.758.588-2</t>
  </si>
  <si>
    <t>entretencionescaritas@hotmail.com</t>
  </si>
  <si>
    <t>Dagoberto Godoy 2962 Quintero</t>
  </si>
  <si>
    <t>Yolanda Del Carmen</t>
  </si>
  <si>
    <t>8.118.837-8</t>
  </si>
  <si>
    <t>Rancagua</t>
  </si>
  <si>
    <t>Denisse</t>
  </si>
  <si>
    <t>Mellado Zúñiga</t>
  </si>
  <si>
    <t>21.449.892-8</t>
  </si>
  <si>
    <t>Menares Barrera</t>
  </si>
  <si>
    <t>21.083.863-5</t>
  </si>
  <si>
    <t>Patricia Jeannette</t>
  </si>
  <si>
    <t>Mora Leyton</t>
  </si>
  <si>
    <t>11.386.009-k</t>
  </si>
  <si>
    <t>Bósques San Fco. Sur, calle El llan-llan 1171, Rgua</t>
  </si>
  <si>
    <t>Lizette Hellen</t>
  </si>
  <si>
    <t>Serrano Cartagena</t>
  </si>
  <si>
    <t>8.934.956-7</t>
  </si>
  <si>
    <t>Villa Alto Verde, casa 28,Machalí</t>
  </si>
  <si>
    <t>Isolina del Carmen</t>
  </si>
  <si>
    <t>Poblete Vistoso</t>
  </si>
  <si>
    <t>6.943.340-5</t>
  </si>
  <si>
    <t>Alto Caren 67, Villa Sn Joaquín, Rgua</t>
  </si>
  <si>
    <t>Casanova roche</t>
  </si>
  <si>
    <t>6.54.658-6</t>
  </si>
  <si>
    <t>VILLA BRASILIA PUERTO ALEGRE 415</t>
  </si>
  <si>
    <t>Contardo Valdenegro</t>
  </si>
  <si>
    <t>7.956.571-7</t>
  </si>
  <si>
    <t>Escorpión 1705, Villa Hermanos Vera, Rgua.</t>
  </si>
  <si>
    <t>Delia Ester</t>
  </si>
  <si>
    <t>Pérez Amaya</t>
  </si>
  <si>
    <t>5.187.249-3</t>
  </si>
  <si>
    <t>Santa María 0540 Rgua.</t>
  </si>
  <si>
    <t>Marcia Cecilia</t>
  </si>
  <si>
    <t>Contreras Molina</t>
  </si>
  <si>
    <t>13.827.860-3</t>
  </si>
  <si>
    <t>Campiña 01250 villa Brasialia C</t>
  </si>
  <si>
    <t>González Ahumada</t>
  </si>
  <si>
    <t>21.088.084-4</t>
  </si>
  <si>
    <t>Patricia Elizabeth</t>
  </si>
  <si>
    <t>Agurto Casanova</t>
  </si>
  <si>
    <t>7.555.839-2</t>
  </si>
  <si>
    <t>Hermanos Amunategui 384 Manzanal</t>
  </si>
  <si>
    <t>María Ida del Carmen</t>
  </si>
  <si>
    <t>Torres Díaz</t>
  </si>
  <si>
    <t>6.044.535-4</t>
  </si>
  <si>
    <t>Granada 61 Pobl . Recreo</t>
  </si>
  <si>
    <t>Gladys Magdalena</t>
  </si>
  <si>
    <t>Gálvez Rodríguez</t>
  </si>
  <si>
    <t>8.486.057-3</t>
  </si>
  <si>
    <t>Volcán Villarrica 1157 Villa Tuniche</t>
  </si>
  <si>
    <t>Irma Inés</t>
  </si>
  <si>
    <t>Pérez Saavedra</t>
  </si>
  <si>
    <t>5.996.406-2</t>
  </si>
  <si>
    <t>Huásco 1844, Pobl. San Francisco, Rgua</t>
  </si>
  <si>
    <t>Sara Mabel</t>
  </si>
  <si>
    <t>Gálvez Beltrán</t>
  </si>
  <si>
    <t>9.271.099-8</t>
  </si>
  <si>
    <t>Avenida Kennedy 01325 depto. 207 torre E</t>
  </si>
  <si>
    <t>María Paulina</t>
  </si>
  <si>
    <t>Benítez Tapia</t>
  </si>
  <si>
    <t>6.912.153-5</t>
  </si>
  <si>
    <t>Campiña 01250, Villa Brasilia C, Rgua</t>
  </si>
  <si>
    <t>Fresia Del Carmen</t>
  </si>
  <si>
    <t>Muñoz González</t>
  </si>
  <si>
    <t>2.965.151-5</t>
  </si>
  <si>
    <t>Avenida Einstein 515 manzanal</t>
  </si>
  <si>
    <t>Gladys Aida</t>
  </si>
  <si>
    <t>Quintanilla Escalante</t>
  </si>
  <si>
    <t>4.721.868-3</t>
  </si>
  <si>
    <t>Arcadio 105, Pobl. Manso de Velasco 1, Rgua</t>
  </si>
  <si>
    <t>Elsa Georgina</t>
  </si>
  <si>
    <t>Meneses Migueles</t>
  </si>
  <si>
    <t>4.477.478-k</t>
  </si>
  <si>
    <t>Las Hortensias 420 José Tomás Urmeneta</t>
  </si>
  <si>
    <t>Shirley Sonia del Carmen</t>
  </si>
  <si>
    <t>Cabello Olguín</t>
  </si>
  <si>
    <t>4.132.620-4</t>
  </si>
  <si>
    <t>Cáceres 28</t>
  </si>
  <si>
    <t>Renca</t>
  </si>
  <si>
    <t>Lopez Oro</t>
  </si>
  <si>
    <t>7.677.447-1</t>
  </si>
  <si>
    <t>Filial.renca@cruzroja.cl</t>
  </si>
  <si>
    <t>Balmaceda 4540 Renc</t>
  </si>
  <si>
    <t>Hilda</t>
  </si>
  <si>
    <t>Martinez Lagos</t>
  </si>
  <si>
    <t>16.422.412-0</t>
  </si>
  <si>
    <t>Pasaje 10 N° 1478 Renca</t>
  </si>
  <si>
    <t>Yorky</t>
  </si>
  <si>
    <t>Saez Geisser</t>
  </si>
  <si>
    <t>9.772.165-3</t>
  </si>
  <si>
    <t>Los Aromos 3886 Renca</t>
  </si>
  <si>
    <t>Peña Cornejo</t>
  </si>
  <si>
    <t>16.008.093-0</t>
  </si>
  <si>
    <t>Sarap.85@hotmail.com</t>
  </si>
  <si>
    <t>Morales Toledo</t>
  </si>
  <si>
    <t>6.280.361-4</t>
  </si>
  <si>
    <t>Estrecho Magallanes 1680 Renc</t>
  </si>
  <si>
    <t>Lagos Fuentes</t>
  </si>
  <si>
    <t>8.344.270-0</t>
  </si>
  <si>
    <t>Jara Lagos</t>
  </si>
  <si>
    <t>6.243.600-k</t>
  </si>
  <si>
    <t>y.jara9@yahoo.es</t>
  </si>
  <si>
    <t>Eloisa</t>
  </si>
  <si>
    <t>Paredes Muñoz</t>
  </si>
  <si>
    <t>Leon Jara</t>
  </si>
  <si>
    <t>5.630.724-9</t>
  </si>
  <si>
    <t>Ivan</t>
  </si>
  <si>
    <t>Lobos Orellana</t>
  </si>
  <si>
    <t>6.254.459-7</t>
  </si>
  <si>
    <t>Roxana</t>
  </si>
  <si>
    <t>Rojas Hernández</t>
  </si>
  <si>
    <t>Avila Rubio</t>
  </si>
  <si>
    <t>6.005.577-7</t>
  </si>
  <si>
    <t>Balmaceda 4218 Renc</t>
  </si>
  <si>
    <t>Berioska</t>
  </si>
  <si>
    <t>12.237.908-6</t>
  </si>
  <si>
    <t>inesbero@hotmail.com</t>
  </si>
  <si>
    <t>Sargento candelaria 1130 renc</t>
  </si>
  <si>
    <t>Ines Del Carmen</t>
  </si>
  <si>
    <t>Cornejo Riquelme</t>
  </si>
  <si>
    <t>5.037.710-5</t>
  </si>
  <si>
    <t>Inescornejo49@gmail.com</t>
  </si>
  <si>
    <t>Sargento candelaria 1130 Renc</t>
  </si>
  <si>
    <t>Lorca Andañez</t>
  </si>
  <si>
    <t>8.578.842-6</t>
  </si>
  <si>
    <t>Cayufilo Gatica</t>
  </si>
  <si>
    <t>7.593.242-7</t>
  </si>
  <si>
    <t>Bastias Bastias</t>
  </si>
  <si>
    <t>9.359.380-4</t>
  </si>
  <si>
    <t>Navarro Duarte</t>
  </si>
  <si>
    <t>5.070.951-5</t>
  </si>
  <si>
    <t>Marco</t>
  </si>
  <si>
    <t>Huenutripay Cerda</t>
  </si>
  <si>
    <t>18.843.808-3</t>
  </si>
  <si>
    <t>20.536.344-0</t>
  </si>
  <si>
    <t>Contreras Barriga</t>
  </si>
  <si>
    <t>18.132.763-4</t>
  </si>
  <si>
    <t>Cerda Cerda</t>
  </si>
  <si>
    <t>8.878.295-k</t>
  </si>
  <si>
    <t>Fuentealba</t>
  </si>
  <si>
    <t>17.757.846-1</t>
  </si>
  <si>
    <t>Olivera Ovando</t>
  </si>
  <si>
    <t>12.994.967-8</t>
  </si>
  <si>
    <t>Eveling</t>
  </si>
  <si>
    <t>Fuentes Burgo</t>
  </si>
  <si>
    <t>16.168.522-3</t>
  </si>
  <si>
    <t xml:space="preserve">María </t>
  </si>
  <si>
    <t>Triviño Navarro</t>
  </si>
  <si>
    <t>10.623.425-6</t>
  </si>
  <si>
    <t>Oliva Cid</t>
  </si>
  <si>
    <t>15.814.649-5</t>
  </si>
  <si>
    <t>Dilverd</t>
  </si>
  <si>
    <t>Alvarado Flores</t>
  </si>
  <si>
    <t>13.814.516-6</t>
  </si>
  <si>
    <t>Villarreal Aguero</t>
  </si>
  <si>
    <t>6.707.698-2</t>
  </si>
  <si>
    <t>Adriana</t>
  </si>
  <si>
    <t>7.870.223-0</t>
  </si>
  <si>
    <t>Curumilla Arriagada</t>
  </si>
  <si>
    <t>10.597.881-2</t>
  </si>
  <si>
    <t>Wernex Gumpel</t>
  </si>
  <si>
    <t>8.524.164-8</t>
  </si>
  <si>
    <t>Moya Campos</t>
  </si>
  <si>
    <t>8.099.956-9</t>
  </si>
  <si>
    <t>Río Bueno</t>
  </si>
  <si>
    <t>Ana Evelyn</t>
  </si>
  <si>
    <t>Dinamarca</t>
  </si>
  <si>
    <t>18.852.181-9</t>
  </si>
  <si>
    <t>Cortes Navarrete</t>
  </si>
  <si>
    <t>Patricio Linch 1251</t>
  </si>
  <si>
    <t>Elias Jose</t>
  </si>
  <si>
    <t>Solis Delgado</t>
  </si>
  <si>
    <t>16.397.236-0</t>
  </si>
  <si>
    <t>Elvia</t>
  </si>
  <si>
    <t>Santibañez A.</t>
  </si>
  <si>
    <t>7.750.200-9</t>
  </si>
  <si>
    <t xml:space="preserve">Elena </t>
  </si>
  <si>
    <t>11.324.120-9</t>
  </si>
  <si>
    <t>Concha Montiel</t>
  </si>
  <si>
    <t>8.173.922-6</t>
  </si>
  <si>
    <t>Estrada M.</t>
  </si>
  <si>
    <t>9.165.442-3</t>
  </si>
  <si>
    <t>Fuentealba M.</t>
  </si>
  <si>
    <t>6.627.092-0</t>
  </si>
  <si>
    <t>Elgueta R.</t>
  </si>
  <si>
    <t>5.440.832-3</t>
  </si>
  <si>
    <t>Salamanca</t>
  </si>
  <si>
    <t>Elia Victoria</t>
  </si>
  <si>
    <t>Olivares Cruz</t>
  </si>
  <si>
    <t>16.299.914-1</t>
  </si>
  <si>
    <t>totota7@gmail.com</t>
  </si>
  <si>
    <t>Barbara  Karina</t>
  </si>
  <si>
    <t>Sancristobal Valencia</t>
  </si>
  <si>
    <t>20.387.274-7</t>
  </si>
  <si>
    <t>Sancristobal.barbara99@gmail.com</t>
  </si>
  <si>
    <t>Belén Mical</t>
  </si>
  <si>
    <t>Bugueño Olivares</t>
  </si>
  <si>
    <t>20.025.959-9</t>
  </si>
  <si>
    <t>Belen.b.olivares@gmail.com</t>
  </si>
  <si>
    <t>Jordan de la Cruz</t>
  </si>
  <si>
    <t>Gomez Badillo</t>
  </si>
  <si>
    <t>17.965.844-5</t>
  </si>
  <si>
    <t>Jordanjgb79@gmail.com</t>
  </si>
  <si>
    <t>Yeraly Alexandra</t>
  </si>
  <si>
    <t>Tapia</t>
  </si>
  <si>
    <t>19.569.197-5</t>
  </si>
  <si>
    <t>Ya.ordenes@gmail.com</t>
  </si>
  <si>
    <t>Minerva  Alicia</t>
  </si>
  <si>
    <t>Jiménez  Argandoña</t>
  </si>
  <si>
    <t>9.728.380-k</t>
  </si>
  <si>
    <t>minervajimenez.crs@gmail.com</t>
  </si>
  <si>
    <t>Jenny  Katherine</t>
  </si>
  <si>
    <t>Villalobos Gallo</t>
  </si>
  <si>
    <t>15.047.924-k</t>
  </si>
  <si>
    <t>Dulce_zahira26@hotmail.com</t>
  </si>
  <si>
    <t>Eugenia  Esther</t>
  </si>
  <si>
    <t>Gálvez Ibacache</t>
  </si>
  <si>
    <t>7.440.442-1</t>
  </si>
  <si>
    <t>Gabriel  Alejandro</t>
  </si>
  <si>
    <t>Zaccaro fiorillo</t>
  </si>
  <si>
    <t>27398931-5</t>
  </si>
  <si>
    <t>Gaboz717@gmail.com</t>
  </si>
  <si>
    <t>Silvina del  Valle</t>
  </si>
  <si>
    <t>Aguirre Radel</t>
  </si>
  <si>
    <t>27.926.647-1</t>
  </si>
  <si>
    <t>silvinaradelli@gmail.com</t>
  </si>
  <si>
    <t>Jannette del Carmen</t>
  </si>
  <si>
    <t>Vega Roco</t>
  </si>
  <si>
    <t>10.479.305-3</t>
  </si>
  <si>
    <t>Rosa de las Mercedes</t>
  </si>
  <si>
    <t>Valenzuela Guerra</t>
  </si>
  <si>
    <t>11.329.048-k</t>
  </si>
  <si>
    <t>Luciana  Judith</t>
  </si>
  <si>
    <t>Silva Cortes</t>
  </si>
  <si>
    <t>4.274.361-5</t>
  </si>
  <si>
    <t>lucianasilva.crs@gmail.com</t>
  </si>
  <si>
    <t>Mónica  Patricia</t>
  </si>
  <si>
    <t>Barraza Barraza</t>
  </si>
  <si>
    <t>12.621.646-7</t>
  </si>
  <si>
    <t>Monik.p1349@gmail.com</t>
  </si>
  <si>
    <t>Yosnanfehr Rossana</t>
  </si>
  <si>
    <t>Rojo Cuevas</t>
  </si>
  <si>
    <t>13.977.172-9</t>
  </si>
  <si>
    <t>Julia Gladys</t>
  </si>
  <si>
    <t>Segura Olcay</t>
  </si>
  <si>
    <t>4.873.024-8</t>
  </si>
  <si>
    <t>juliagladyssegurao@hotmail.com</t>
  </si>
  <si>
    <t>San Antonio</t>
  </si>
  <si>
    <t>Margarita de las Nieves</t>
  </si>
  <si>
    <t>Garrido Garrido</t>
  </si>
  <si>
    <t>6.803.691-7</t>
  </si>
  <si>
    <t>Psje tenglo 864</t>
  </si>
  <si>
    <t>35-2-216245</t>
  </si>
  <si>
    <t>Sonia Ester</t>
  </si>
  <si>
    <t>Concha Jara</t>
  </si>
  <si>
    <t>5.939.836-9</t>
  </si>
  <si>
    <t>Sconchajgmail.com</t>
  </si>
  <si>
    <t>Los lirios 759</t>
  </si>
  <si>
    <t>Felipe Javier</t>
  </si>
  <si>
    <t>Leon Freire</t>
  </si>
  <si>
    <t>17.078.540-1</t>
  </si>
  <si>
    <t>felipeleonfreire@gmail.com</t>
  </si>
  <si>
    <t>Los lirios 751</t>
  </si>
  <si>
    <t>Celia rosa</t>
  </si>
  <si>
    <t>Ulloa Astorga</t>
  </si>
  <si>
    <t>5.763.334-4</t>
  </si>
  <si>
    <t>ulloaastorgacelia@gmail.com</t>
  </si>
  <si>
    <t>Recabarren 2060</t>
  </si>
  <si>
    <t>Silvia de las mercedes</t>
  </si>
  <si>
    <t>Diaz Aguillon</t>
  </si>
  <si>
    <t>5.043.613-6</t>
  </si>
  <si>
    <t>sdiazaguillon@gmail.com</t>
  </si>
  <si>
    <t>Luis reuss casa 17</t>
  </si>
  <si>
    <t>Hortensia del Carmen</t>
  </si>
  <si>
    <t>Jaque Bustos</t>
  </si>
  <si>
    <t>5.692.572-4</t>
  </si>
  <si>
    <t>Rodriguez mura 1075</t>
  </si>
  <si>
    <t>Caceres Garrido</t>
  </si>
  <si>
    <t>6.038.516-5</t>
  </si>
  <si>
    <t>Venecia 987</t>
  </si>
  <si>
    <t>Rosa Iris</t>
  </si>
  <si>
    <t>Reyes Toro</t>
  </si>
  <si>
    <t>3.327.677-8</t>
  </si>
  <si>
    <t>Robinson Crusoe 517</t>
  </si>
  <si>
    <t>35-570310</t>
  </si>
  <si>
    <t>Maria del carmen</t>
  </si>
  <si>
    <t>Silva Loyola</t>
  </si>
  <si>
    <t>6.534.333-9</t>
  </si>
  <si>
    <t>Centenario 977</t>
  </si>
  <si>
    <t>Rosa Jesus</t>
  </si>
  <si>
    <t>Hernandez Castro</t>
  </si>
  <si>
    <t>10-454.241-7</t>
  </si>
  <si>
    <t>Holanda 749</t>
  </si>
  <si>
    <t>Eliana del Carmen</t>
  </si>
  <si>
    <t>Freire Muñoz</t>
  </si>
  <si>
    <t>6.078.796-4</t>
  </si>
  <si>
    <t>González Tobar</t>
  </si>
  <si>
    <t>6.751.285-5</t>
  </si>
  <si>
    <t>Mariaines2274@gmail.com</t>
  </si>
  <si>
    <t>Indepemdencia 2275</t>
  </si>
  <si>
    <t>Mario Fernando</t>
  </si>
  <si>
    <t>Martinez Medina</t>
  </si>
  <si>
    <t>9.070.154-1</t>
  </si>
  <si>
    <t>Los ciervos 1152</t>
  </si>
  <si>
    <t>Rhode Febe</t>
  </si>
  <si>
    <t>Farias Carreño</t>
  </si>
  <si>
    <t>8.507.487-3</t>
  </si>
  <si>
    <t>Delia del Carmen</t>
  </si>
  <si>
    <t>5.774.510-k</t>
  </si>
  <si>
    <t>Lautaro 2216</t>
  </si>
  <si>
    <t>Rojas Rojas</t>
  </si>
  <si>
    <t>5.593.607-2</t>
  </si>
  <si>
    <t>Sixto gonzalez 250</t>
  </si>
  <si>
    <t>Patricia Orieta</t>
  </si>
  <si>
    <t>Cornejo Barrera</t>
  </si>
  <si>
    <t>5.418.029-2</t>
  </si>
  <si>
    <t>Hnos carrera 296</t>
  </si>
  <si>
    <t>Nuñez Labraña</t>
  </si>
  <si>
    <t>5.338.026-3</t>
  </si>
  <si>
    <t>Nelly de las Mercedes</t>
  </si>
  <si>
    <t>Elgueta Muñoz</t>
  </si>
  <si>
    <t>6.100.582-5</t>
  </si>
  <si>
    <t>Cefac22@gmail.com</t>
  </si>
  <si>
    <t>Los maques sur 28500 parcela 176</t>
  </si>
  <si>
    <t>San Carlos</t>
  </si>
  <si>
    <t>Antonella Alejandra</t>
  </si>
  <si>
    <t>Bravo Ortega</t>
  </si>
  <si>
    <t>23.272.786-1</t>
  </si>
  <si>
    <t>Luis Acevedo 098, San Carlos</t>
  </si>
  <si>
    <t>Magdalena de los Ángeles</t>
  </si>
  <si>
    <t>Briones Oyarce</t>
  </si>
  <si>
    <t>18.788.782-8</t>
  </si>
  <si>
    <t>Los Queltehues 0755, San Carlos</t>
  </si>
  <si>
    <t>Mariana Antonia</t>
  </si>
  <si>
    <t>Méndez Alarcón</t>
  </si>
  <si>
    <t>22.831.430-7</t>
  </si>
  <si>
    <t>Ñuble 1100</t>
  </si>
  <si>
    <t>Javiera Alejandra</t>
  </si>
  <si>
    <t>Venegas Rojas</t>
  </si>
  <si>
    <t>20.363.181-2</t>
  </si>
  <si>
    <t>Ñuble 22 San Carlos</t>
  </si>
  <si>
    <t>Patricio Ignacio</t>
  </si>
  <si>
    <t>Zenteno Campos</t>
  </si>
  <si>
    <t>18.573.994-5</t>
  </si>
  <si>
    <t>Panguipulli 874 San Carlos</t>
  </si>
  <si>
    <t>Antonia Belén</t>
  </si>
  <si>
    <t>Valenzuela Rojas</t>
  </si>
  <si>
    <t>21.433.714-2</t>
  </si>
  <si>
    <t>Rocío del Pilar</t>
  </si>
  <si>
    <t>Méndez Roa</t>
  </si>
  <si>
    <t>18.156.125-4</t>
  </si>
  <si>
    <t>Villa La Virgen San Andrés 1678</t>
  </si>
  <si>
    <t>Victoria Crecencia</t>
  </si>
  <si>
    <t>17.901.591-9</t>
  </si>
  <si>
    <t>Felipe Andrés</t>
  </si>
  <si>
    <t>Valenzuela Venegas</t>
  </si>
  <si>
    <t>21.386.790-3</t>
  </si>
  <si>
    <t>Huenutil Centro S/N Ñiquén</t>
  </si>
  <si>
    <t>Julio Alexis</t>
  </si>
  <si>
    <t>Núñez Bustamante</t>
  </si>
  <si>
    <t>7.126.068-2</t>
  </si>
  <si>
    <t>Los Queltehues 0755 San Carlos</t>
  </si>
  <si>
    <t>Rodríguez Orrego</t>
  </si>
  <si>
    <t>20.363.616-4</t>
  </si>
  <si>
    <t>Cancha Rayada 80 Villa Carlos Ávila, San Carlos</t>
  </si>
  <si>
    <t>Ninette Alejandra</t>
  </si>
  <si>
    <t>Astudillo Osorio</t>
  </si>
  <si>
    <t>13.378.731-3</t>
  </si>
  <si>
    <t>Bilbao 243 San Carlos</t>
  </si>
  <si>
    <t>Belén Elízabeth</t>
  </si>
  <si>
    <t>Palacios Valladares</t>
  </si>
  <si>
    <t>5.513.301-8</t>
  </si>
  <si>
    <t>Todos los Santos 738 San Carlos</t>
  </si>
  <si>
    <t>Rodrigo Francisco</t>
  </si>
  <si>
    <t>Suazo Rebolledo</t>
  </si>
  <si>
    <t>21.234.557-1</t>
  </si>
  <si>
    <t>Parcela San Francisco, Km 3.6, camino San Fabián San Carlos</t>
  </si>
  <si>
    <t>Verónica de las Mercedes</t>
  </si>
  <si>
    <t>Romero Candia</t>
  </si>
  <si>
    <t>11.289.960-K</t>
  </si>
  <si>
    <t>René Schneider 964 San Carlos</t>
  </si>
  <si>
    <t>Carola Andrea</t>
  </si>
  <si>
    <t>Soto Leiva</t>
  </si>
  <si>
    <t>20.619.854-0</t>
  </si>
  <si>
    <t>Carrera 269 San Carlos</t>
  </si>
  <si>
    <t>Juan Pablo</t>
  </si>
  <si>
    <t>Orrego Barrera</t>
  </si>
  <si>
    <t>Cancha Rayada 80 Villa Carlos Ávila San Carlos</t>
  </si>
  <si>
    <t>Wanda Scarleth</t>
  </si>
  <si>
    <t>Repiso Arriagada</t>
  </si>
  <si>
    <t>9.365.572-9</t>
  </si>
  <si>
    <t>Vicuña Mackenna 325, San Carlos</t>
  </si>
  <si>
    <t>Ruth Germania</t>
  </si>
  <si>
    <t>Bravo Moreno</t>
  </si>
  <si>
    <t>14.601.464-K</t>
  </si>
  <si>
    <t>Villa Pacífico Pas. Playa Blanca 1364 San Carlos</t>
  </si>
  <si>
    <t>María del Pilar</t>
  </si>
  <si>
    <t>Venegas Toloza</t>
  </si>
  <si>
    <t>8.566.341–0</t>
  </si>
  <si>
    <t>Riquelme 531 San Carlos</t>
  </si>
  <si>
    <t>Bárbara Carola</t>
  </si>
  <si>
    <t>Sepúlveda Vergara</t>
  </si>
  <si>
    <t>18.489.901-6</t>
  </si>
  <si>
    <t>Matta 0333 San Carlos</t>
  </si>
  <si>
    <t>María Alicia</t>
  </si>
  <si>
    <t>Muñoz Soto</t>
  </si>
  <si>
    <t>Grl. Venegas 627 San Carlos</t>
  </si>
  <si>
    <t>Myrella del Carmen</t>
  </si>
  <si>
    <t>Fuentes Leiva</t>
  </si>
  <si>
    <t>6.850.955-6</t>
  </si>
  <si>
    <t>Zemita Comuna Ñiquén</t>
  </si>
  <si>
    <t>Rosa del Carmen</t>
  </si>
  <si>
    <t>Gallardo Villegas</t>
  </si>
  <si>
    <t>5.800.962-8</t>
  </si>
  <si>
    <t>Pedro Aguirre Cerda 118 San Carlos</t>
  </si>
  <si>
    <t>José Juvenal</t>
  </si>
  <si>
    <t>Rubio Rubio</t>
  </si>
  <si>
    <t>10.384.688-9</t>
  </si>
  <si>
    <t>Ossa 859 San Carlos</t>
  </si>
  <si>
    <t>Bravo Correa</t>
  </si>
  <si>
    <t>5.138.956-5</t>
  </si>
  <si>
    <t>Matta 144 San Carlos</t>
  </si>
  <si>
    <t>Julia Emperatriz</t>
  </si>
  <si>
    <t>Gallegos Pereira</t>
  </si>
  <si>
    <t>6.621.824-4</t>
  </si>
  <si>
    <t>Bilbao 552 San Carlos</t>
  </si>
  <si>
    <t>Candía Cerda</t>
  </si>
  <si>
    <t>8.064.948-7</t>
  </si>
  <si>
    <t>Villa Paraíso Los Ángeles 1283, San Carlos</t>
  </si>
  <si>
    <t>Viviana Hailín</t>
  </si>
  <si>
    <t>Barrera Inzunza</t>
  </si>
  <si>
    <t>6.760.269-2</t>
  </si>
  <si>
    <t>Lucia del Tránsito</t>
  </si>
  <si>
    <t>Caro Canales</t>
  </si>
  <si>
    <t>11.032.892-3</t>
  </si>
  <si>
    <t>Carrera 615 San Carlos</t>
  </si>
  <si>
    <t>Mireya Victoria</t>
  </si>
  <si>
    <t>Astudillo Espinosa</t>
  </si>
  <si>
    <t>8.895.333-9</t>
  </si>
  <si>
    <t>Parcela 12 Pomuyeto San Carlos</t>
  </si>
  <si>
    <t>Ruth Noemí</t>
  </si>
  <si>
    <t>Ortega Müller</t>
  </si>
  <si>
    <t>Callejón Los Palacios S/N San Carlos</t>
  </si>
  <si>
    <t>Ana Olga</t>
  </si>
  <si>
    <t>Bravo Hernández</t>
  </si>
  <si>
    <t>7.265.787-K</t>
  </si>
  <si>
    <t>Bilbao 772 San Carlos</t>
  </si>
  <si>
    <t>Edith del Carmen</t>
  </si>
  <si>
    <t>Muñoz Guzmán</t>
  </si>
  <si>
    <t>Pedro Lagos 364 San Carlos</t>
  </si>
  <si>
    <t>Clara Nieve</t>
  </si>
  <si>
    <t>Molina Toro</t>
  </si>
  <si>
    <t>5.758.996-5</t>
  </si>
  <si>
    <t>Matta 755 San Carlos</t>
  </si>
  <si>
    <t>Jesuinda del Carmen</t>
  </si>
  <si>
    <t>Muñoz Palma</t>
  </si>
  <si>
    <t>Vicuña Mackenna 0131 San Carlos</t>
  </si>
  <si>
    <t>Vizcarra Venegas</t>
  </si>
  <si>
    <t>6.766.979-7</t>
  </si>
  <si>
    <t>Callejón Los Palacios Parcela 19San Carlos</t>
  </si>
  <si>
    <t>Gladys Beatriz</t>
  </si>
  <si>
    <t>Suazo Sepúlveda</t>
  </si>
  <si>
    <t>4.258.537-8</t>
  </si>
  <si>
    <t>Diego Portales 323 San Carlos</t>
  </si>
  <si>
    <t>Cancino Ramos</t>
  </si>
  <si>
    <t>5.399.794-5</t>
  </si>
  <si>
    <t>Luis Acevedo 020, San Carlos</t>
  </si>
  <si>
    <t>Ana Isabel</t>
  </si>
  <si>
    <t>Devia González</t>
  </si>
  <si>
    <t>7.129.592-3</t>
  </si>
  <si>
    <t>Roble 587 San Carlos</t>
  </si>
  <si>
    <t>Yolanda Marina</t>
  </si>
  <si>
    <t>Aliaga Sánchez</t>
  </si>
  <si>
    <t>6.735.728-0</t>
  </si>
  <si>
    <t>Pino Riquelme</t>
  </si>
  <si>
    <t>7.467.760-6</t>
  </si>
  <si>
    <t>Parcela Santa Julia K 2 ½ San Carlos</t>
  </si>
  <si>
    <t>Alicia Agustina</t>
  </si>
  <si>
    <t>Bustos Soto</t>
  </si>
  <si>
    <t>4.037.210-5</t>
  </si>
  <si>
    <t>Francisco Pereira 326, San Carlos</t>
  </si>
  <si>
    <t>Gladys Elena del Carmen</t>
  </si>
  <si>
    <t>González Cohas</t>
  </si>
  <si>
    <t>5.000.915-7</t>
  </si>
  <si>
    <t>Bilbao 241 San Carlos</t>
  </si>
  <si>
    <t>Brunilda Clementina</t>
  </si>
  <si>
    <t>Henríquez Parada</t>
  </si>
  <si>
    <t>6.159.685-2</t>
  </si>
  <si>
    <t>Balmaceda San Carlos</t>
  </si>
  <si>
    <t>Elena de Lurdes</t>
  </si>
  <si>
    <t>Henríquez Sepúlveda</t>
  </si>
  <si>
    <t>4.479.763-1</t>
  </si>
  <si>
    <t>Ibáñez de la Fuente</t>
  </si>
  <si>
    <t>7.441.021-9</t>
  </si>
  <si>
    <t>Brasil66 San Carlos</t>
  </si>
  <si>
    <t>Olga Ruth</t>
  </si>
  <si>
    <t>Lara Ruz</t>
  </si>
  <si>
    <t>5.726.005-K</t>
  </si>
  <si>
    <t>Brasil 450 San Carlos Depto. 3</t>
  </si>
  <si>
    <t>Matus Oñate</t>
  </si>
  <si>
    <t>5.488.309-9</t>
  </si>
  <si>
    <t>Buli Km 368 Ñiquén</t>
  </si>
  <si>
    <t>Audilia del Carmen</t>
  </si>
  <si>
    <t>Mena Campos</t>
  </si>
  <si>
    <t>8.635.793-3</t>
  </si>
  <si>
    <t>Camino San Camilo K 1.3 San Carlos</t>
  </si>
  <si>
    <t>San Fco. Mostazal</t>
  </si>
  <si>
    <t>González González</t>
  </si>
  <si>
    <t>20.971.689-5</t>
  </si>
  <si>
    <t>Población Bernardo Retamal Block H Dpto. #302</t>
  </si>
  <si>
    <t>Amanda</t>
  </si>
  <si>
    <t>Núñez Núñez</t>
  </si>
  <si>
    <t>6.755.055-2</t>
  </si>
  <si>
    <t>Villa Portal de Asís Avenida Teresa de los Andes N° 132-Mostazal</t>
  </si>
  <si>
    <t>Moreno Galaz</t>
  </si>
  <si>
    <t>13.775.862-8</t>
  </si>
  <si>
    <t>Calle San Francisco de Asís N°225 Villa Todos los Santos-Mostazal</t>
  </si>
  <si>
    <t>Angelica</t>
  </si>
  <si>
    <t>Valenzuela Valenzuela</t>
  </si>
  <si>
    <t>5.672.131-9</t>
  </si>
  <si>
    <t>Calle 1 Población Invernada</t>
  </si>
  <si>
    <t>Muñoz Rojas</t>
  </si>
  <si>
    <t>5.245.213-9</t>
  </si>
  <si>
    <t>Población Invernada Calle 1 N°138-Mostazal</t>
  </si>
  <si>
    <t>Naranjo Arriagada</t>
  </si>
  <si>
    <t>9.150.897-1</t>
  </si>
  <si>
    <t>Calle San Fco #351 Mostazal</t>
  </si>
  <si>
    <t>María Julia</t>
  </si>
  <si>
    <t>Guerrero Jaña</t>
  </si>
  <si>
    <t>7.593.497-1</t>
  </si>
  <si>
    <t>Villa Los Presidentes Pasaje Salvador Allende N° 7-Mostazal</t>
  </si>
  <si>
    <t>Miranda Farias</t>
  </si>
  <si>
    <t>8.231.548-9</t>
  </si>
  <si>
    <t>Avenida Independencia# 55 Mostazal</t>
  </si>
  <si>
    <t>Morales Catalán</t>
  </si>
  <si>
    <t>8.596.675-8</t>
  </si>
  <si>
    <t>Población Bernardo Retamal Calle 2 Sur N°37-Mostazal</t>
  </si>
  <si>
    <t>Cáceres Orellana</t>
  </si>
  <si>
    <t>9.792.815-0</t>
  </si>
  <si>
    <t>Sector Angostura s/n</t>
  </si>
  <si>
    <t>San Felipe</t>
  </si>
  <si>
    <t>Olivares</t>
  </si>
  <si>
    <t>21.474.542-9</t>
  </si>
  <si>
    <t>Escuela Agricola 1127/San Felipe</t>
  </si>
  <si>
    <t>Caserez</t>
  </si>
  <si>
    <t>20.541.458-4</t>
  </si>
  <si>
    <t>Fernando De La Plata 2241/ San Felipe</t>
  </si>
  <si>
    <t>Belen</t>
  </si>
  <si>
    <t>Mestas</t>
  </si>
  <si>
    <t>23.240.020-K</t>
  </si>
  <si>
    <t>Costanera 1455 Dpto 23/ San Felipe</t>
  </si>
  <si>
    <t>Olivarez</t>
  </si>
  <si>
    <t>20.231.292-5</t>
  </si>
  <si>
    <t>Villa Portal Aconcagua/ San Felipe</t>
  </si>
  <si>
    <t>Pizarro</t>
  </si>
  <si>
    <t>13.981.169-0</t>
  </si>
  <si>
    <t>PIZARRO.JUANC@GMAIL.COM</t>
  </si>
  <si>
    <t>Pje. Las Melias 9 / San Felipe</t>
  </si>
  <si>
    <t>Yilian</t>
  </si>
  <si>
    <t>26.670.118-7</t>
  </si>
  <si>
    <t>YILIGRAT@GMAIL.COM</t>
  </si>
  <si>
    <t>Pedro De Valdivia 436 / San Felipe</t>
  </si>
  <si>
    <t>13.979.970-4</t>
  </si>
  <si>
    <t>Oswaldo</t>
  </si>
  <si>
    <t>Candelario</t>
  </si>
  <si>
    <t>25.587.131-5</t>
  </si>
  <si>
    <t>OSWALDOCANDELARIO@GM,AIL.COM</t>
  </si>
  <si>
    <t>Crisantemus 2206/San Felipe</t>
  </si>
  <si>
    <t>Luisney</t>
  </si>
  <si>
    <t>26.678.834-7</t>
  </si>
  <si>
    <t>Villa Cordillera Pje. 3 / San Felipe</t>
  </si>
  <si>
    <t>Betzabeth</t>
  </si>
  <si>
    <t>Ahumada</t>
  </si>
  <si>
    <t>7.263.230-3</t>
  </si>
  <si>
    <t>ROBETSYTHY@GMAIL.COM</t>
  </si>
  <si>
    <t>Las Compuertas Casa 09. /Putaendo</t>
  </si>
  <si>
    <t>Maldonado</t>
  </si>
  <si>
    <t>10.218.473-4</t>
  </si>
  <si>
    <t>Vicente Arteno 1046/ San Felipe</t>
  </si>
  <si>
    <t>Bonifas</t>
  </si>
  <si>
    <t>14.713.200-K</t>
  </si>
  <si>
    <t>JOSEORDOÑEZ@GMAIL.COM</t>
  </si>
  <si>
    <t>Prat 185/San Felipe</t>
  </si>
  <si>
    <t>Guillermina</t>
  </si>
  <si>
    <t>Lopez</t>
  </si>
  <si>
    <t>10.974.725-4</t>
  </si>
  <si>
    <t>Pje, Pantaleon Cortez 13/ San Felipe</t>
  </si>
  <si>
    <t>Maria A.</t>
  </si>
  <si>
    <t>Martínez</t>
  </si>
  <si>
    <t>6.195.283-7</t>
  </si>
  <si>
    <t>Centenario 1359/ Putaendo</t>
  </si>
  <si>
    <t>Vidal</t>
  </si>
  <si>
    <t>8.068.996-9</t>
  </si>
  <si>
    <t>Gullermo Roble 30, Las Acasias / San Felipe</t>
  </si>
  <si>
    <t>6.937.540-5</t>
  </si>
  <si>
    <t>Guillermo Roble 30, Las Acasias / San Felipe</t>
  </si>
  <si>
    <t>Robert</t>
  </si>
  <si>
    <t>Tremainer</t>
  </si>
  <si>
    <t>14.470.654-4</t>
  </si>
  <si>
    <t>RHTREMAINE@GMAIL.COM</t>
  </si>
  <si>
    <t>Troncal S/N Parcela 3/ Panquehue</t>
  </si>
  <si>
    <t>Natalia</t>
  </si>
  <si>
    <t>20.805.084-2</t>
  </si>
  <si>
    <t>NMOLINA915@GMAIL.COM</t>
  </si>
  <si>
    <t>Pablo Silva 1369/San Felipe</t>
  </si>
  <si>
    <t>San Miguel</t>
  </si>
  <si>
    <t>Ossandon Labbe</t>
  </si>
  <si>
    <t>20.780.423-1</t>
  </si>
  <si>
    <t>Felipe Ignacio</t>
  </si>
  <si>
    <t>Riffo Soto</t>
  </si>
  <si>
    <t>20.418.187-1</t>
  </si>
  <si>
    <t>Hidalgo</t>
  </si>
  <si>
    <t>6.422.939-3</t>
  </si>
  <si>
    <t>Cea</t>
  </si>
  <si>
    <t>4.225.504-1</t>
  </si>
  <si>
    <t>Balboa</t>
  </si>
  <si>
    <t>10.448.816-1</t>
  </si>
  <si>
    <t>Melania</t>
  </si>
  <si>
    <t>Navarro</t>
  </si>
  <si>
    <t>7.109.582-7</t>
  </si>
  <si>
    <t>Plaza</t>
  </si>
  <si>
    <t>4.544.782-0</t>
  </si>
  <si>
    <t>Raquela</t>
  </si>
  <si>
    <t>7.125.839-4</t>
  </si>
  <si>
    <t>Parra</t>
  </si>
  <si>
    <t>7.831.483-4</t>
  </si>
  <si>
    <t>MªAngélica</t>
  </si>
  <si>
    <t>5.633.591-9</t>
  </si>
  <si>
    <t>Fredes</t>
  </si>
  <si>
    <t>9.475.639-1</t>
  </si>
  <si>
    <t>6.599.367-8</t>
  </si>
  <si>
    <t>5.746.382-1</t>
  </si>
  <si>
    <t>Jean Paul</t>
  </si>
  <si>
    <t>Reinberg</t>
  </si>
  <si>
    <t>Tomás</t>
  </si>
  <si>
    <t>Salomé Del Carmen</t>
  </si>
  <si>
    <t>Vallejos Ruiz</t>
  </si>
  <si>
    <t>Sepúlveda</t>
  </si>
  <si>
    <t>Vargas</t>
  </si>
  <si>
    <t>Elias</t>
  </si>
  <si>
    <t>Arce</t>
  </si>
  <si>
    <t>6.241.033-7</t>
  </si>
  <si>
    <t>San Pablo</t>
  </si>
  <si>
    <t>Cárdenas Angulo</t>
  </si>
  <si>
    <t>12.150.934-2</t>
  </si>
  <si>
    <t>Osvaldo Otarola 280</t>
  </si>
  <si>
    <t>Magdalena Montserrat</t>
  </si>
  <si>
    <t>Ramírez González</t>
  </si>
  <si>
    <t>18.846.460-2</t>
  </si>
  <si>
    <t>San Francisco 301</t>
  </si>
  <si>
    <t>Ernesto Benjamín</t>
  </si>
  <si>
    <t>Caro Carrillo</t>
  </si>
  <si>
    <t>18.733.623-6</t>
  </si>
  <si>
    <t>Alicia Liliana</t>
  </si>
  <si>
    <t>Wetzel Rosemberg</t>
  </si>
  <si>
    <t>5.889.824-4</t>
  </si>
  <si>
    <t>San Francisco 445</t>
  </si>
  <si>
    <t>Elena Domitila</t>
  </si>
  <si>
    <t>Sandoval Subiabre</t>
  </si>
  <si>
    <t>5.765.107-5</t>
  </si>
  <si>
    <t>Paglieta 351</t>
  </si>
  <si>
    <t>Vásquez Miranda</t>
  </si>
  <si>
    <t>5.486.441-8</t>
  </si>
  <si>
    <t>San Francisco 580</t>
  </si>
  <si>
    <t>Paulina Beatriz</t>
  </si>
  <si>
    <t>Castillo Ruiz</t>
  </si>
  <si>
    <t>15.795.995-6</t>
  </si>
  <si>
    <t>Carlos Valentín 3221</t>
  </si>
  <si>
    <t>Sandra Elena</t>
  </si>
  <si>
    <t>Caro Sansoval</t>
  </si>
  <si>
    <t>10.449.845-0</t>
  </si>
  <si>
    <t>Nelly Haydee</t>
  </si>
  <si>
    <t>Mansilla Mansilla</t>
  </si>
  <si>
    <t>9.323.088-4</t>
  </si>
  <si>
    <t>Perú 460</t>
  </si>
  <si>
    <t>Erica</t>
  </si>
  <si>
    <t>Martel Vera</t>
  </si>
  <si>
    <t>5.052.334-9</t>
  </si>
  <si>
    <t>San Francisco 498</t>
  </si>
  <si>
    <t>Noches Gatica</t>
  </si>
  <si>
    <t>6.568.952-9</t>
  </si>
  <si>
    <t>Las Araucarias 791</t>
  </si>
  <si>
    <t>Villanueva Pardo</t>
  </si>
  <si>
    <t>9.593.372-6</t>
  </si>
  <si>
    <t>Covarrubias 101</t>
  </si>
  <si>
    <t>Maria Angélica</t>
  </si>
  <si>
    <t>Cárdenas Vargas</t>
  </si>
  <si>
    <t>8.597.336-3</t>
  </si>
  <si>
    <t>Osvaldo Otarola 270</t>
  </si>
  <si>
    <t>Maldonado Paillahueque</t>
  </si>
  <si>
    <t>6.289.322-2</t>
  </si>
  <si>
    <t>Alvarado 371</t>
  </si>
  <si>
    <t>Santa Bárbara</t>
  </si>
  <si>
    <t>Mitzy</t>
  </si>
  <si>
    <t>Parra Saavedra</t>
  </si>
  <si>
    <t>15925798-3</t>
  </si>
  <si>
    <t>Mitzypara1984@gmail.com</t>
  </si>
  <si>
    <t>Sierra belluda429</t>
  </si>
  <si>
    <t>Farías Campos</t>
  </si>
  <si>
    <t>7279742-6</t>
  </si>
  <si>
    <t>Iturrieta Burboa</t>
  </si>
  <si>
    <t>5381517-0</t>
  </si>
  <si>
    <t>Uribe Uribe</t>
  </si>
  <si>
    <t>13579287-5</t>
  </si>
  <si>
    <t>adanysvego@hotmail.com</t>
  </si>
  <si>
    <t>Coihue565</t>
  </si>
  <si>
    <t>Bascuñán Cofré</t>
  </si>
  <si>
    <t>12093460-0</t>
  </si>
  <si>
    <t>Alciarosa.bas@gmail.com</t>
  </si>
  <si>
    <t>Calle estación 215</t>
  </si>
  <si>
    <t>Urrea Sandoval</t>
  </si>
  <si>
    <t>9504711-4</t>
  </si>
  <si>
    <t>Luisa.urrea.lu@gmail.com</t>
  </si>
  <si>
    <t>Rogelio Aravena617</t>
  </si>
  <si>
    <t>Amelia</t>
  </si>
  <si>
    <t>Daza Soto</t>
  </si>
  <si>
    <t>7465837-7</t>
  </si>
  <si>
    <t>amelia.daza6689@gmail.com</t>
  </si>
  <si>
    <t>Fermín Contreras 20</t>
  </si>
  <si>
    <t>Oriabel</t>
  </si>
  <si>
    <t>Vásquez Peralta</t>
  </si>
  <si>
    <t>11835037-5</t>
  </si>
  <si>
    <t>Navarrete Muñoz</t>
  </si>
  <si>
    <t>4555465-6</t>
  </si>
  <si>
    <t>[GB1]</t>
  </si>
  <si>
    <t>Roa Arias</t>
  </si>
  <si>
    <t>7153106-6</t>
  </si>
  <si>
    <t>Vergara Vera</t>
  </si>
  <si>
    <t>8919643-4</t>
  </si>
  <si>
    <t>Ximenavergaravera1@gmail.com</t>
  </si>
  <si>
    <t>Las lilas km 1</t>
  </si>
  <si>
    <t>Umaña Reyes</t>
  </si>
  <si>
    <t>7806293-2</t>
  </si>
  <si>
    <t>Frecia.umana2017@gmail.com</t>
  </si>
  <si>
    <t>Baquedano 580</t>
  </si>
  <si>
    <t>Fuentes Valenzuela</t>
  </si>
  <si>
    <t>6629963-5</t>
  </si>
  <si>
    <t>Martuca.fuentes@gmail.com</t>
  </si>
  <si>
    <t>Zenteno 191</t>
  </si>
  <si>
    <t>Santiago Ind.</t>
  </si>
  <si>
    <t>Hortua Torres</t>
  </si>
  <si>
    <t>27.417.489-7</t>
  </si>
  <si>
    <t>manuelalejandrohortuatorres12@gmail.com</t>
  </si>
  <si>
    <t>Miguel Arturo</t>
  </si>
  <si>
    <t>Aravena Wright</t>
  </si>
  <si>
    <t>13.458.259-6</t>
  </si>
  <si>
    <t>miguel.aravena@cruzroja.cl</t>
  </si>
  <si>
    <t>Schiavetii 954</t>
  </si>
  <si>
    <t>Diego Alberto</t>
  </si>
  <si>
    <t>Oyarzún Rojas</t>
  </si>
  <si>
    <t>19.564.871-9</t>
  </si>
  <si>
    <t>doyarzun.cruzroja@gmail.com</t>
  </si>
  <si>
    <t>Francisca Belen</t>
  </si>
  <si>
    <t>Sanzon Abarzua</t>
  </si>
  <si>
    <t>22.482.647-8</t>
  </si>
  <si>
    <t>fransan156@gmail.com</t>
  </si>
  <si>
    <t>Jeanine Patricia Nicolle</t>
  </si>
  <si>
    <t>Soto Díaz</t>
  </si>
  <si>
    <t>19.498.133-3</t>
  </si>
  <si>
    <t>Carlos Andrés</t>
  </si>
  <si>
    <t>Vasquez González</t>
  </si>
  <si>
    <t>21.207.611-2</t>
  </si>
  <si>
    <t>carlos.vasquezcontador@gmail.com</t>
  </si>
  <si>
    <t>Amalia Errázuriz 956</t>
  </si>
  <si>
    <t>Kayren Jhoselín</t>
  </si>
  <si>
    <t>Zúñiga Hurtado</t>
  </si>
  <si>
    <t>13.769.032-9</t>
  </si>
  <si>
    <t>kjhoselin8@gmail.com</t>
  </si>
  <si>
    <t>Stephanie María</t>
  </si>
  <si>
    <t>Garcés Barra</t>
  </si>
  <si>
    <t>19.314.715-1</t>
  </si>
  <si>
    <t>stephanie.garcesb@gmail.com</t>
  </si>
  <si>
    <t>Amalia Errázuriz 956 depto 1217</t>
  </si>
  <si>
    <t>Danny Eduardo</t>
  </si>
  <si>
    <t>Silva Meneses</t>
  </si>
  <si>
    <t>12.904.048-3</t>
  </si>
  <si>
    <t>danedusilva81@gmail.com</t>
  </si>
  <si>
    <t>Av. Central 162</t>
  </si>
  <si>
    <t>Nathaly Daniela</t>
  </si>
  <si>
    <t>Renjifo Castillo</t>
  </si>
  <si>
    <t>18.410.094-0</t>
  </si>
  <si>
    <t>natha.renjifo@gmail.com</t>
  </si>
  <si>
    <t>Jeanette Eliana</t>
  </si>
  <si>
    <t>18.421.901-8</t>
  </si>
  <si>
    <t>jeanette.vasquezgonzalez@gmail.com</t>
  </si>
  <si>
    <t>Las Gárzas M10</t>
  </si>
  <si>
    <t>Max</t>
  </si>
  <si>
    <t>Bravo Portocarrero</t>
  </si>
  <si>
    <t>10.453.844-4</t>
  </si>
  <si>
    <t>Santo Domingo 1161 DEPTO 909</t>
  </si>
  <si>
    <t>Blanca Isabel</t>
  </si>
  <si>
    <t>Torres Vela</t>
  </si>
  <si>
    <t>27.399.801-2</t>
  </si>
  <si>
    <t>torvelisa@gmail.com</t>
  </si>
  <si>
    <t>Rosa Aries</t>
  </si>
  <si>
    <t>Guzmán Loza</t>
  </si>
  <si>
    <t>22.649.446-4</t>
  </si>
  <si>
    <t>legachong4@gmail.com</t>
  </si>
  <si>
    <t>06.799.943-6</t>
  </si>
  <si>
    <t>MARGARITA.MARTINEZ@CRUZROJA.CL</t>
  </si>
  <si>
    <t>CALLE EYZAGUIRRE 85 DEPTO 32B</t>
  </si>
  <si>
    <t>Carolina Esther</t>
  </si>
  <si>
    <t>Navarro Leiva</t>
  </si>
  <si>
    <t>09.899.951-9</t>
  </si>
  <si>
    <t>carito.emilia.n@gmail.com</t>
  </si>
  <si>
    <t>Angélica Teresa</t>
  </si>
  <si>
    <t>Ayaviri Silvestre</t>
  </si>
  <si>
    <t>24.363.114-9</t>
  </si>
  <si>
    <t>atasmlvm79@gmail.com</t>
  </si>
  <si>
    <t>Pasaje Hércules 1824</t>
  </si>
  <si>
    <t>Gabriel Mauricio</t>
  </si>
  <si>
    <t>Criado Jaramillo</t>
  </si>
  <si>
    <t>8.706.611-8</t>
  </si>
  <si>
    <t>gcriado.cruzroja@gmail.com</t>
  </si>
  <si>
    <t>Capitán Fuentes 250 Dep. 402</t>
  </si>
  <si>
    <t>Eliana Libia</t>
  </si>
  <si>
    <t>12.812.559-0</t>
  </si>
  <si>
    <t>eliana.cruzrojamlt@gmail.com</t>
  </si>
  <si>
    <t>Santos Dumont 191</t>
  </si>
  <si>
    <t>Mercy Janet</t>
  </si>
  <si>
    <t>Gonzales Quispe</t>
  </si>
  <si>
    <t>14.687.704-4</t>
  </si>
  <si>
    <t>mercygonzales@live.cl</t>
  </si>
  <si>
    <t>Marycarmen</t>
  </si>
  <si>
    <t>León Rincón</t>
  </si>
  <si>
    <t>15.937.395-4</t>
  </si>
  <si>
    <t>leonrmaryc@gmail.com</t>
  </si>
  <si>
    <t>Wendy del Carmen</t>
  </si>
  <si>
    <t>Venegas Herrera</t>
  </si>
  <si>
    <t>14.408.688-0</t>
  </si>
  <si>
    <t>wendy.20venegas@gmail.com</t>
  </si>
  <si>
    <t>Marcela Rocio</t>
  </si>
  <si>
    <t>Castañeda Trigoso</t>
  </si>
  <si>
    <t>24.016.962-2</t>
  </si>
  <si>
    <t>marcelarct2019@gmail.com</t>
  </si>
  <si>
    <t>Ximena Ibeth</t>
  </si>
  <si>
    <t>Palma prieto</t>
  </si>
  <si>
    <t>11.325.644-3</t>
  </si>
  <si>
    <t>ximena.1234.xime@gmail.com</t>
  </si>
  <si>
    <t>Fernando Miguel</t>
  </si>
  <si>
    <t>Borquez González</t>
  </si>
  <si>
    <t>9.093.052-4</t>
  </si>
  <si>
    <t>fernandomiguiel60@gmail.com</t>
  </si>
  <si>
    <t>Psj. La Tapera 6045</t>
  </si>
  <si>
    <t>Carmen Rosa</t>
  </si>
  <si>
    <t>Llajaruna Guzman</t>
  </si>
  <si>
    <t>24.246.256-4</t>
  </si>
  <si>
    <t>llajarunaguzmancarmenrosa@gmail.com</t>
  </si>
  <si>
    <t>Ligia del Carmen</t>
  </si>
  <si>
    <t>Fernandez Henriquez</t>
  </si>
  <si>
    <t>27.140.113-2</t>
  </si>
  <si>
    <t>ligiafernandez050@gmail.com</t>
  </si>
  <si>
    <t>Rosa Alicia</t>
  </si>
  <si>
    <t>Gutierrez Sepulveda</t>
  </si>
  <si>
    <t>5.956.330-0</t>
  </si>
  <si>
    <t>rosaalicia.cruzroja@gmail.com</t>
  </si>
  <si>
    <t>Sn J. Mariquina</t>
  </si>
  <si>
    <t>Ramírez</t>
  </si>
  <si>
    <t>12205843-3</t>
  </si>
  <si>
    <t>Cj12ramirez@gmail.com</t>
  </si>
  <si>
    <t>Isable</t>
  </si>
  <si>
    <t>Cornuy</t>
  </si>
  <si>
    <t>6.652.075-7</t>
  </si>
  <si>
    <t>laurac@surnet.cl</t>
  </si>
  <si>
    <t>Mellado</t>
  </si>
  <si>
    <t>16.049.235-K</t>
  </si>
  <si>
    <t>Melladop.natalia@gmail.com</t>
  </si>
  <si>
    <t>Loyola</t>
  </si>
  <si>
    <t>12.749.111-9</t>
  </si>
  <si>
    <t>Huaquimilla</t>
  </si>
  <si>
    <t>11.804.705-2</t>
  </si>
  <si>
    <t>Pulquillanca</t>
  </si>
  <si>
    <t>7.161.215-5</t>
  </si>
  <si>
    <t>Ipm49@gmail.com</t>
  </si>
  <si>
    <t>Montencinos</t>
  </si>
  <si>
    <t>4.961.900-5</t>
  </si>
  <si>
    <t>Asalia</t>
  </si>
  <si>
    <t>8.833.478-7</t>
  </si>
  <si>
    <t>Asaliavargas1958@gmail.com</t>
  </si>
  <si>
    <t>Vergara</t>
  </si>
  <si>
    <t>8.098.522-3</t>
  </si>
  <si>
    <t>Ancara2030@gmail.com</t>
  </si>
  <si>
    <t>Cisternas</t>
  </si>
  <si>
    <t>5.140.498-K</t>
  </si>
  <si>
    <t>Filial.sanjosede
mariquina@cru
zroja.cl</t>
  </si>
  <si>
    <t>Nirian</t>
  </si>
  <si>
    <t>9.591.233-8</t>
  </si>
  <si>
    <t>Marinanirian@gmail.com</t>
  </si>
  <si>
    <t>8.263.867-9</t>
  </si>
  <si>
    <t>Monymellado1@gmail.com</t>
  </si>
  <si>
    <t>Quilapán</t>
  </si>
  <si>
    <t>7.175.000-0</t>
  </si>
  <si>
    <t>Oqulapan@gmail.com</t>
  </si>
  <si>
    <t>Luz</t>
  </si>
  <si>
    <t>6.566.734-7</t>
  </si>
  <si>
    <t>6.519.868-1</t>
  </si>
  <si>
    <t>5.525.427-3</t>
  </si>
  <si>
    <t>Marialalvarez12@agmail.com</t>
  </si>
  <si>
    <t>SR Antofagasta</t>
  </si>
  <si>
    <t>Hector Osvaldo</t>
  </si>
  <si>
    <t>Castillo Berrios</t>
  </si>
  <si>
    <t>9.426.993-8</t>
  </si>
  <si>
    <t>hcastilloberrios@gmail.com</t>
  </si>
  <si>
    <t>Pje.Petrohue Sur 3044 Calama</t>
  </si>
  <si>
    <t>Dorys Marfa</t>
  </si>
  <si>
    <t>Quinteros Pfeng</t>
  </si>
  <si>
    <t>Pje.  Chinchilla 1474 Calama</t>
  </si>
  <si>
    <t>Editta Eloisa</t>
  </si>
  <si>
    <t>Barrera Godoy</t>
  </si>
  <si>
    <t>11.378.381-8</t>
  </si>
  <si>
    <t>edittagodoy@hotmail.com</t>
  </si>
  <si>
    <t>Diagonal O’Higgins 951 Mejillones</t>
  </si>
  <si>
    <t>Veas Alfaro</t>
  </si>
  <si>
    <t>19.252.984-0</t>
  </si>
  <si>
    <t>Chacabuco 3538 Calama</t>
  </si>
  <si>
    <t>Brayan Eduardo</t>
  </si>
  <si>
    <t>Ossandon Ossandon</t>
  </si>
  <si>
    <t>brayaneduradoossandon@gmail.com</t>
  </si>
  <si>
    <t>Quetena 2868 Calama</t>
  </si>
  <si>
    <t xml:space="preserve">Mauricio </t>
  </si>
  <si>
    <t>Madariaga Madariaga</t>
  </si>
  <si>
    <t>17.937.327-0</t>
  </si>
  <si>
    <t>mauricio.amplitud@gmail.com</t>
  </si>
  <si>
    <t>Matta 3250 Antofagasta</t>
  </si>
  <si>
    <t>Rodriguez Iglesias</t>
  </si>
  <si>
    <t>10.588.663-2</t>
  </si>
  <si>
    <t>angelarodriguez.iglesias@gmail.com</t>
  </si>
  <si>
    <t>O’higgins 823 Taltal</t>
  </si>
  <si>
    <t>Juan M.</t>
  </si>
  <si>
    <t>Riquelme Mieres</t>
  </si>
  <si>
    <t>Americo Vespucio 2747 Calama</t>
  </si>
  <si>
    <t>SR Araucanía</t>
  </si>
  <si>
    <t>Alex</t>
  </si>
  <si>
    <t>Brevis Gonzalez</t>
  </si>
  <si>
    <t>13.964.793-9</t>
  </si>
  <si>
    <t>alexbrevis@gmail.com</t>
  </si>
  <si>
    <t>Manuel Montt 2199, Temuco</t>
  </si>
  <si>
    <t>Genesis</t>
  </si>
  <si>
    <t>Mendoza Urra</t>
  </si>
  <si>
    <t>22.188.664-K</t>
  </si>
  <si>
    <t>danae.gmendoza@gmail.com</t>
  </si>
  <si>
    <t>Erices Labrin</t>
  </si>
  <si>
    <t>9.192.392-0</t>
  </si>
  <si>
    <t>mariela.ercies@cruzroja.cl</t>
  </si>
  <si>
    <t>97559365 0</t>
  </si>
  <si>
    <t>Yasmin</t>
  </si>
  <si>
    <t>Gallegos Saldivia</t>
  </si>
  <si>
    <t>20.353.608-9</t>
  </si>
  <si>
    <t>yazminalex andrasaldivi a@gmail.com</t>
  </si>
  <si>
    <t>Toledo Cariaga</t>
  </si>
  <si>
    <t>21.785.617-5</t>
  </si>
  <si>
    <t>ecovidauniv ersal@gmail.com</t>
  </si>
  <si>
    <t>Kelly</t>
  </si>
  <si>
    <t>Seguel Villacura</t>
  </si>
  <si>
    <t>21.615.159-3</t>
  </si>
  <si>
    <t>kellyseguel33@gmail.com</t>
  </si>
  <si>
    <t>Troncoso Narvaez</t>
  </si>
  <si>
    <t>21.223.925-9</t>
  </si>
  <si>
    <t>vale.12.ntin atroncoso@ gmail.com</t>
  </si>
  <si>
    <t>Teran Alvarez</t>
  </si>
  <si>
    <t>21.355.331-3</t>
  </si>
  <si>
    <t>jtatemuco@gmail. com</t>
  </si>
  <si>
    <t>Betsabe</t>
  </si>
  <si>
    <t>Cerda Rojas</t>
  </si>
  <si>
    <t>20.118.727-3</t>
  </si>
  <si>
    <t>betsabe.cerda1998@gmail.com</t>
  </si>
  <si>
    <t>Cid Balmaceda</t>
  </si>
  <si>
    <t>21.197.438-9</t>
  </si>
  <si>
    <t>javiiibalm acid23@g mail.com</t>
  </si>
  <si>
    <t>Morales Ormeño</t>
  </si>
  <si>
    <t>21.154.380-9</t>
  </si>
  <si>
    <t>Milaoriette @gmail.com</t>
  </si>
  <si>
    <t>Cynthia</t>
  </si>
  <si>
    <t>Carcamo Aros</t>
  </si>
  <si>
    <t>19.285.960-3</t>
  </si>
  <si>
    <t>cynthiacarca mo24@gmail .com</t>
  </si>
  <si>
    <t>Millaray</t>
  </si>
  <si>
    <t>Llanquileo Llanquinao</t>
  </si>
  <si>
    <t>20.882.166-0</t>
  </si>
  <si>
    <t>millarayllan quileo.2001 @gmail.com</t>
  </si>
  <si>
    <t>Lagos Roa</t>
  </si>
  <si>
    <t>19.765.492-9</t>
  </si>
  <si>
    <t>Rocío.b.la gos@gma il.com</t>
  </si>
  <si>
    <t>Tiburcio Saavedra 1420, Temuco</t>
  </si>
  <si>
    <t>Vasquez Parra</t>
  </si>
  <si>
    <t>19.914.693-9</t>
  </si>
  <si>
    <t>vasquezcam ila481@gm ail.com</t>
  </si>
  <si>
    <t>Paola</t>
  </si>
  <si>
    <t>18.254.522-8</t>
  </si>
  <si>
    <t>paolaseguell@gmail.com</t>
  </si>
  <si>
    <t>Francisco</t>
  </si>
  <si>
    <t>Gatica Catalan</t>
  </si>
  <si>
    <t>17.916.268-7</t>
  </si>
  <si>
    <t>fj.gatica.c@g mail.com</t>
  </si>
  <si>
    <t>Gil Parada</t>
  </si>
  <si>
    <t>15.250.665-1</t>
  </si>
  <si>
    <t>bgil.parada@gmail.com</t>
  </si>
  <si>
    <t>Volcan Maca 0675, Labranza</t>
  </si>
  <si>
    <t>Riquelme Rapiman</t>
  </si>
  <si>
    <t>11.586.920-5</t>
  </si>
  <si>
    <t>regional.novena@cruzroja.cl</t>
  </si>
  <si>
    <t>Alarcon Perez</t>
  </si>
  <si>
    <t>12.386.893-5</t>
  </si>
  <si>
    <t>carolina7alarpe@gmail. com</t>
  </si>
  <si>
    <t>Sepulveda Rebolledo</t>
  </si>
  <si>
    <t>6.669.899-8</t>
  </si>
  <si>
    <t>Meza Carrasco</t>
  </si>
  <si>
    <t>09.933.689-7</t>
  </si>
  <si>
    <t>margaritameza811@gm ail.com</t>
  </si>
  <si>
    <t>Mabel</t>
  </si>
  <si>
    <t>Pizarro Alvarez</t>
  </si>
  <si>
    <t>11.271.637-8</t>
  </si>
  <si>
    <t>mabelpizarroalvarez68@gm ail.com</t>
  </si>
  <si>
    <t>SR Atacama Coquimbo</t>
  </si>
  <si>
    <t>Camilo</t>
  </si>
  <si>
    <t>Loaiza Gallardo</t>
  </si>
  <si>
    <t>17.016.954-9</t>
  </si>
  <si>
    <t>Camiloandres_loaiza@hotmail.com</t>
  </si>
  <si>
    <t>x</t>
  </si>
  <si>
    <t>Aguirre Varas</t>
  </si>
  <si>
    <t>22.957.475-2</t>
  </si>
  <si>
    <t>Jo.bts.2009@gmail.com</t>
  </si>
  <si>
    <t>Varas Aguirre</t>
  </si>
  <si>
    <t>22.097.089-2</t>
  </si>
  <si>
    <t>David.varas.aguirre@gmail.com</t>
  </si>
  <si>
    <t>Lirayen</t>
  </si>
  <si>
    <t>Lobos Carvajal</t>
  </si>
  <si>
    <t>21.901.667-0</t>
  </si>
  <si>
    <t>Liry.lobos@gmail.com</t>
  </si>
  <si>
    <t>Ricardo</t>
  </si>
  <si>
    <t>Santana Avalos</t>
  </si>
  <si>
    <t>21.501.906-3</t>
  </si>
  <si>
    <t>Missahel.snt@gmail.com</t>
  </si>
  <si>
    <t>Cortes López</t>
  </si>
  <si>
    <t>8.765.635-7</t>
  </si>
  <si>
    <t>Miranda Vásquez</t>
  </si>
  <si>
    <t>6.828.00-6</t>
  </si>
  <si>
    <t>Carrasco Zapata</t>
  </si>
  <si>
    <t>6.527.417-5</t>
  </si>
  <si>
    <t>Altamirano Pizarro</t>
  </si>
  <si>
    <t>5.856.538-5</t>
  </si>
  <si>
    <t>Tapia Palacios</t>
  </si>
  <si>
    <t>9.113.753-4</t>
  </si>
  <si>
    <t>Frías Bulo</t>
  </si>
  <si>
    <t>6.069.554-7</t>
  </si>
  <si>
    <t>Papic Molina</t>
  </si>
  <si>
    <t>12.220.934-2</t>
  </si>
  <si>
    <t>Lamas Olivares</t>
  </si>
  <si>
    <t>10.747.894-9</t>
  </si>
  <si>
    <t>eduardolamasolivares@gmail.com</t>
  </si>
  <si>
    <t>SR Biobío/Ñuble</t>
  </si>
  <si>
    <t>Barrera Faundez</t>
  </si>
  <si>
    <t>22.418.205-7</t>
  </si>
  <si>
    <t>benjastevealexis@gmail.com</t>
  </si>
  <si>
    <t>Abatte Molina 955 Penco</t>
  </si>
  <si>
    <t>Lindsay</t>
  </si>
  <si>
    <t>Faundez Vásquez</t>
  </si>
  <si>
    <t>lindsayregina.faundezv
@gmail.com</t>
  </si>
  <si>
    <t>Andrés Esteban</t>
  </si>
  <si>
    <t>Elgueta Capilla</t>
  </si>
  <si>
    <t>15.222.810-4</t>
  </si>
  <si>
    <t>Arroyo Gallardo</t>
  </si>
  <si>
    <t>12.420.864-1</t>
  </si>
  <si>
    <t>Hualqui</t>
  </si>
  <si>
    <t>Barrera Correa</t>
  </si>
  <si>
    <t>12.086.086-0</t>
  </si>
  <si>
    <t>Regional.octava@cruzroja.cl</t>
  </si>
  <si>
    <t>Simón</t>
  </si>
  <si>
    <t>Suazo Salceo</t>
  </si>
  <si>
    <t>9.596.021-9</t>
  </si>
  <si>
    <t>Sector rural Concepción</t>
  </si>
  <si>
    <t>María E</t>
  </si>
  <si>
    <t>Urzua Aimé</t>
  </si>
  <si>
    <t>4.905.434-3</t>
  </si>
  <si>
    <t>Paicaví Concepción</t>
  </si>
  <si>
    <t>Rosa Patricia</t>
  </si>
  <si>
    <t>Barrera Muñoz</t>
  </si>
  <si>
    <t>6.167.689-9</t>
  </si>
  <si>
    <t>Ángel Parra 661 Chillan viejo</t>
  </si>
  <si>
    <t>Palma Parra</t>
  </si>
  <si>
    <t>6.833.731-3</t>
  </si>
  <si>
    <t>palmaparragladys@gmail.com</t>
  </si>
  <si>
    <t>Calle1 casa 2661 villa esperanza Chgte</t>
  </si>
  <si>
    <t>Salas Cerpa</t>
  </si>
  <si>
    <t>4.832.155-6</t>
  </si>
  <si>
    <t>Silvia del Carmen</t>
  </si>
  <si>
    <t>4.793.923 - 2</t>
  </si>
  <si>
    <t>Berta Iris</t>
  </si>
  <si>
    <t>Hermosilla Almonacid</t>
  </si>
  <si>
    <t>9.726.643 – 3</t>
  </si>
  <si>
    <t>Jenny Mariza</t>
  </si>
  <si>
    <t>San Martin Barria</t>
  </si>
  <si>
    <t>7.999.176 – 7</t>
  </si>
  <si>
    <t>Mariane Elizabeth</t>
  </si>
  <si>
    <t>Venegas Aguilar</t>
  </si>
  <si>
    <t>9.826.496 – 5</t>
  </si>
  <si>
    <t>SR Los Ríos</t>
  </si>
  <si>
    <t>Benjamin Ignacio</t>
  </si>
  <si>
    <t>Vasquez Gavilan</t>
  </si>
  <si>
    <t>22.676.724-k</t>
  </si>
  <si>
    <t>Vasquez73chile@gmail.com</t>
  </si>
  <si>
    <t>La Goleta N° 171 Las Animas</t>
  </si>
  <si>
    <t>María Enriqueta</t>
  </si>
  <si>
    <t>Escribano de la Fuente</t>
  </si>
  <si>
    <t>6.254.322-1</t>
  </si>
  <si>
    <t>mariaescribanodelafuente@gmail.com</t>
  </si>
  <si>
    <t>Omar Felipe</t>
  </si>
  <si>
    <t>Villanueva Contreras</t>
  </si>
  <si>
    <t>16.806.677-5</t>
  </si>
  <si>
    <t>ofvillanueva@gmail.com</t>
  </si>
  <si>
    <t>Pintora Clara Werkmeister Martin N° 1057 Valdivia</t>
  </si>
  <si>
    <t xml:space="preserve">Claudia Isabel </t>
  </si>
  <si>
    <t>Bartsch Cossio</t>
  </si>
  <si>
    <t>15.293.339-8</t>
  </si>
  <si>
    <t>claudiabartsch@uach.cl</t>
  </si>
  <si>
    <t>Los Tordos N° 1870 Valdivia</t>
  </si>
  <si>
    <t>Correa Figueroa</t>
  </si>
  <si>
    <t>15.513.264-7</t>
  </si>
  <si>
    <t>Kcorrea.fi@gmail.com</t>
  </si>
  <si>
    <t>Egipto N°469 Sta. Elena -Valdivia</t>
  </si>
  <si>
    <t>María Lidia</t>
  </si>
  <si>
    <t>Huenchual Soto</t>
  </si>
  <si>
    <t>11.688.822-k</t>
  </si>
  <si>
    <t>mariahuenchual9@gmail.com</t>
  </si>
  <si>
    <t>Los Lilium N°1542 Rio Bueno</t>
  </si>
  <si>
    <t>Cordova Medina</t>
  </si>
  <si>
    <t>11.409.893-0</t>
  </si>
  <si>
    <t>marisol.cordova03@gmail.com</t>
  </si>
  <si>
    <t>Cochrane N°485 Mariquina</t>
  </si>
  <si>
    <t>Irma Ines</t>
  </si>
  <si>
    <t>Pulquillanca Manqui</t>
  </si>
  <si>
    <t>Irma.pm49@gmail.com</t>
  </si>
  <si>
    <t>Jose Puchi N° 2019 Mariquina</t>
  </si>
  <si>
    <t>Jeannette del Carmen</t>
  </si>
  <si>
    <t>Garrido Ceron</t>
  </si>
  <si>
    <t>9.385.107-2</t>
  </si>
  <si>
    <t>Jeannetteceron@gmail.com</t>
  </si>
  <si>
    <t>Pleamar N° 1334 Edif.Ensenada Depto 12</t>
  </si>
  <si>
    <t>SR O'Higgins</t>
  </si>
  <si>
    <t>Pizarro Silva</t>
  </si>
  <si>
    <t>18.723.060-0</t>
  </si>
  <si>
    <t>Alexandra.pizarro.silvagmail.com</t>
  </si>
  <si>
    <t>Osvaldo Rengifo 1785 Villa Eduardo Berrios III San Fernando</t>
  </si>
  <si>
    <t>Gajardo Moya</t>
  </si>
  <si>
    <t>11.261.975-5</t>
  </si>
  <si>
    <t>Caupolicàn 90 Rengo</t>
  </si>
  <si>
    <t>Oyarzun Reyes</t>
  </si>
  <si>
    <t>8.644.328-7</t>
  </si>
  <si>
    <t>racoyarzun@hotmail.com</t>
  </si>
  <si>
    <t>Caupolicán 940 Rengo</t>
  </si>
  <si>
    <t>jamorenogalaz@gmail.com</t>
  </si>
  <si>
    <t>Calle San Fco, de Asis 225 Villa Todos Los Santos San Fco, de Mostazal</t>
  </si>
  <si>
    <t>Silva Barrera</t>
  </si>
  <si>
    <t>9.449.503-2</t>
  </si>
  <si>
    <t>Calle El Pehuen 0691 Villa Georgina 1 San Fernando</t>
  </si>
  <si>
    <t>Muñoz Vergara</t>
  </si>
  <si>
    <t>8.004.980-3</t>
  </si>
  <si>
    <t>Pasaje Atardecer playa hermosa Pichilemu</t>
  </si>
  <si>
    <t>Joaquín Emilio</t>
  </si>
  <si>
    <t>Droguett Moya</t>
  </si>
  <si>
    <t>10.279.194-0</t>
  </si>
  <si>
    <t>Avda. San Joaquín 0230 Depto. 308 Torre Dios Condominio Alto Rancagua</t>
  </si>
  <si>
    <t>Novoa Moraga</t>
  </si>
  <si>
    <t>8.290.175-2</t>
  </si>
  <si>
    <t>Villa los conquistadores pasaje Fco. Aguirre 069 Lo Miranda Comuna Doñihue</t>
  </si>
  <si>
    <t>Toledo Puebla</t>
  </si>
  <si>
    <t>6.835.194-4</t>
  </si>
  <si>
    <t>Pedro Aguirre Cerda Lautaro 167 Graneros</t>
  </si>
  <si>
    <t>SR Valparaíso</t>
  </si>
  <si>
    <t>Pedreros Barrera</t>
  </si>
  <si>
    <t>7.449.159-6</t>
  </si>
  <si>
    <t>Regional.quinta@cruzroja.cl</t>
  </si>
  <si>
    <t>Katerine</t>
  </si>
  <si>
    <t>Lara Rivera</t>
  </si>
  <si>
    <t>14.612.236-1</t>
  </si>
  <si>
    <t>79kattylara@gmail.com</t>
  </si>
  <si>
    <t>Madrid 3143 villa alemana</t>
  </si>
  <si>
    <t>Severino Montenegro</t>
  </si>
  <si>
    <t>9.932.269-1</t>
  </si>
  <si>
    <t>Rosaseverino.m@gmail.com</t>
  </si>
  <si>
    <t>Calle Roma 130 Pob. Fuentes. Villa alemana</t>
  </si>
  <si>
    <t>Julián</t>
  </si>
  <si>
    <t>Mazuela Borquez</t>
  </si>
  <si>
    <t>15.743.079-3</t>
  </si>
  <si>
    <t>Julian.mazuela@gmail.com</t>
  </si>
  <si>
    <t>Serrano 752, La Calera</t>
  </si>
  <si>
    <t>Ivelda Eugenia</t>
  </si>
  <si>
    <t>Manni Vergara</t>
  </si>
  <si>
    <t>10.352.486-5</t>
  </si>
  <si>
    <t>ive.manni.v@gmail.com</t>
  </si>
  <si>
    <t>Pacifico 272, Pla Ancha</t>
  </si>
  <si>
    <t>Erna Del Carmen</t>
  </si>
  <si>
    <t>Sepúlveda Artigas</t>
  </si>
  <si>
    <t>9.132.868-2</t>
  </si>
  <si>
    <t>Esa.chikita64@gmail.com</t>
  </si>
  <si>
    <t>Pasaje 27 de abril 5909 pob. Carlos condell olmue</t>
  </si>
  <si>
    <t>María Ester</t>
  </si>
  <si>
    <t>González Pérez</t>
  </si>
  <si>
    <t>7.211.788-3</t>
  </si>
  <si>
    <t>1.comunicacione.regional@gmail
.com</t>
  </si>
  <si>
    <t>Av. Del mar 2250 block c-2 dep. 16 recreo alto, viña del mar</t>
  </si>
  <si>
    <t>Nicolás Luis</t>
  </si>
  <si>
    <t>Jerez Salinas</t>
  </si>
  <si>
    <t>19.489.648-4</t>
  </si>
  <si>
    <t>Nicolas.jls9720@gmail.com</t>
  </si>
  <si>
    <t>Pasaje Ignacio Carrera Pinto 048, Villa Alemana</t>
  </si>
  <si>
    <t>Lineros Álvarez</t>
  </si>
  <si>
    <t>13.275.331-8</t>
  </si>
  <si>
    <t>linerosvergara@gmail.com</t>
  </si>
  <si>
    <t>Av. Hipodromo 1150 T4 D302 Peñablanca</t>
  </si>
  <si>
    <t>Tapia Farfán</t>
  </si>
  <si>
    <t>nachotapiaf99@gmail.com</t>
  </si>
  <si>
    <t>Aviador Figueroa 1460, Villa Alemana</t>
  </si>
  <si>
    <t>Makarena</t>
  </si>
  <si>
    <t>Paz Manni</t>
  </si>
  <si>
    <t>18.904.801-7</t>
  </si>
  <si>
    <t>pspazmanni@gmail.com</t>
  </si>
  <si>
    <t>Pares Pares</t>
  </si>
  <si>
    <t>19.488.851-1</t>
  </si>
  <si>
    <t>jpablopares@gmaila.com</t>
  </si>
  <si>
    <t>Libertad 184, Viña del Mar</t>
  </si>
  <si>
    <t>Kabriell Ariadnna</t>
  </si>
  <si>
    <t>Valencia Mrdones</t>
  </si>
  <si>
    <t>20.530.643-9</t>
  </si>
  <si>
    <t>Kae.valencia.m@gmail.com</t>
  </si>
  <si>
    <t>Gisela Andrea</t>
  </si>
  <si>
    <t>Ordoñez Sandoval</t>
  </si>
  <si>
    <t>21.181.573-6</t>
  </si>
  <si>
    <t>gseoedonez@gmail.com</t>
  </si>
  <si>
    <t>Katherina Alexandra</t>
  </si>
  <si>
    <t>Pablo Tijmons</t>
  </si>
  <si>
    <t>15.326.012-5</t>
  </si>
  <si>
    <t>Oscar Eduardo</t>
  </si>
  <si>
    <t>Carreño González</t>
  </si>
  <si>
    <t>Ogc140@gmail.com</t>
  </si>
  <si>
    <t>Vera Rojas</t>
  </si>
  <si>
    <t>14.241.046-k</t>
  </si>
  <si>
    <t>Negrovera3@gmail.com</t>
  </si>
  <si>
    <t>Sonia Aida</t>
  </si>
  <si>
    <t>Pong Lopez</t>
  </si>
  <si>
    <t>12.622.831-7</t>
  </si>
  <si>
    <t>soniapong@hotmail.com</t>
  </si>
  <si>
    <t>Arturo Danilo</t>
  </si>
  <si>
    <t>Olivares Calderon</t>
  </si>
  <si>
    <t>10.318.177-1</t>
  </si>
  <si>
    <t>Robin Rodolfo</t>
  </si>
  <si>
    <t>Rojas Rozas</t>
  </si>
  <si>
    <t>12.954.273-k</t>
  </si>
  <si>
    <t>Robinrojad.rr3930@gmail.com</t>
  </si>
  <si>
    <t>6.677.313-2</t>
  </si>
  <si>
    <t>filial.olmue@cruzroja.cl</t>
  </si>
  <si>
    <t>Ibarra González</t>
  </si>
  <si>
    <t>6.469040-k</t>
  </si>
  <si>
    <t>ibarragonzalezema298@gmail.com</t>
  </si>
  <si>
    <t>M° Teresa</t>
  </si>
  <si>
    <t>Cienfuegos Ugarte</t>
  </si>
  <si>
    <t>6.643.559-8</t>
  </si>
  <si>
    <t>materesacu@gmail.com</t>
  </si>
  <si>
    <t>diego.eps@outlook.com</t>
  </si>
  <si>
    <t>mariainesgonzalez2275@gmail.com</t>
  </si>
  <si>
    <t>Omar</t>
  </si>
  <si>
    <t>Pérez Pérez</t>
  </si>
  <si>
    <t>11.261.181-9</t>
  </si>
  <si>
    <t>omarcitocrpp@gmail.com</t>
  </si>
  <si>
    <t>Díaz Pineda</t>
  </si>
  <si>
    <t>12.603.163-7</t>
  </si>
  <si>
    <t>ana.diazpineda03@gmail.com</t>
  </si>
  <si>
    <t>Sanhueza Tureuna</t>
  </si>
  <si>
    <t>9.022.664-9</t>
  </si>
  <si>
    <t>miriamest_1963@hotmail.com</t>
  </si>
  <si>
    <t>myriamolivera24@gmail.com</t>
  </si>
  <si>
    <t>Cid Alarcón</t>
  </si>
  <si>
    <t>5.162.238-3</t>
  </si>
  <si>
    <t>patriciacidalar@gmail.com</t>
  </si>
  <si>
    <t>Tal Tal</t>
  </si>
  <si>
    <t>Cristopher Antonio</t>
  </si>
  <si>
    <t>Gutiérrez Pizarro</t>
  </si>
  <si>
    <t>19.939.507-6</t>
  </si>
  <si>
    <t>Cristo.1999.antoni@gmail.com</t>
  </si>
  <si>
    <t>Wiliams Eduardo</t>
  </si>
  <si>
    <t>Payacán payacán</t>
  </si>
  <si>
    <t>21.382.614-K</t>
  </si>
  <si>
    <t>Eduardopayacan1990@gmail.com</t>
  </si>
  <si>
    <t>Choque Ramos</t>
  </si>
  <si>
    <t>27.891.502-6</t>
  </si>
  <si>
    <t>Av.ohiggis 1027 taltal</t>
  </si>
  <si>
    <t>Ohiggis 823taltal</t>
  </si>
  <si>
    <t>Gloria Raquel</t>
  </si>
  <si>
    <t>Reyes Quezada</t>
  </si>
  <si>
    <t>10.501.566-6</t>
  </si>
  <si>
    <t>g.reyesquezada@gmail.com</t>
  </si>
  <si>
    <t>Georgette</t>
  </si>
  <si>
    <t>Silva Marulli</t>
  </si>
  <si>
    <t>26.463.131-9</t>
  </si>
  <si>
    <t>Campamento villa vista hermosa casa 23 taltal</t>
  </si>
  <si>
    <t>Daniza</t>
  </si>
  <si>
    <t>Perez Collao</t>
  </si>
  <si>
    <t>8.186.895-6</t>
  </si>
  <si>
    <t>Prat 895 taltal</t>
  </si>
  <si>
    <t>Audrey Geraldine</t>
  </si>
  <si>
    <t>Montiel Rodríguez</t>
  </si>
  <si>
    <t>26.867.092-0</t>
  </si>
  <si>
    <t>Audrey89montiel@gmail.com</t>
  </si>
  <si>
    <t>Jorquera Guzmán</t>
  </si>
  <si>
    <t>12.170.719-5</t>
  </si>
  <si>
    <t>fjorqueraguzman@gmail.com</t>
  </si>
  <si>
    <t>Ramos Huillca</t>
  </si>
  <si>
    <t>25.549.631-K</t>
  </si>
  <si>
    <t>Helen</t>
  </si>
  <si>
    <t>Romero Choquetilla</t>
  </si>
  <si>
    <t>14.098.481-7</t>
  </si>
  <si>
    <t>Davila Baeza816 taltal</t>
  </si>
  <si>
    <t>Henriquez pizarro</t>
  </si>
  <si>
    <t>5.846.708-1</t>
  </si>
  <si>
    <t>Camino a la puntilla 294 taltal</t>
  </si>
  <si>
    <t>Natalia Loreto</t>
  </si>
  <si>
    <t>Zuleta contreras</t>
  </si>
  <si>
    <t>13.530.201-5</t>
  </si>
  <si>
    <t>Loreto.zuleta36@gmail.com</t>
  </si>
  <si>
    <t>Yoana</t>
  </si>
  <si>
    <t>Valverde Mondragon</t>
  </si>
  <si>
    <t>22.153.246-5</t>
  </si>
  <si>
    <t>San martin 375 taltal</t>
  </si>
  <si>
    <t>Urrutia torres</t>
  </si>
  <si>
    <t>12.185.979-3</t>
  </si>
  <si>
    <t>Sargento aldea 204 talt</t>
  </si>
  <si>
    <t>Juan de Jesús</t>
  </si>
  <si>
    <t>Giraldo Rivera</t>
  </si>
  <si>
    <t>44.247.317-K</t>
  </si>
  <si>
    <t>Campameto villa vista hermosa casa 19 taltal</t>
  </si>
  <si>
    <t>Asmara</t>
  </si>
  <si>
    <t>Zuleta peña</t>
  </si>
  <si>
    <t>10.294.551-4</t>
  </si>
  <si>
    <t>Riquelme 545 taltal</t>
  </si>
  <si>
    <t>Milka</t>
  </si>
  <si>
    <t>Marín Barraza</t>
  </si>
  <si>
    <t>10.456.162-4</t>
  </si>
  <si>
    <t>Alesandri 812 taltal</t>
  </si>
  <si>
    <t>Carmen Luisa</t>
  </si>
  <si>
    <t>Vega Araya</t>
  </si>
  <si>
    <t>10.574.317-3</t>
  </si>
  <si>
    <t>Yumbes 777 taltal</t>
  </si>
  <si>
    <t>Cuello Garate</t>
  </si>
  <si>
    <t>5.486.710-7</t>
  </si>
  <si>
    <t>Marllory</t>
  </si>
  <si>
    <t>Alcota Hidalgo</t>
  </si>
  <si>
    <t>9.598.856-1</t>
  </si>
  <si>
    <t>Luis Godoy 1735 taltal</t>
  </si>
  <si>
    <t>Zuleta castillo</t>
  </si>
  <si>
    <t>8.076.540-1</t>
  </si>
  <si>
    <t>ggarday@gmail.com</t>
  </si>
  <si>
    <t>Marlene del Rosario</t>
  </si>
  <si>
    <t>Quintana Egaña</t>
  </si>
  <si>
    <t>9.711.316-5</t>
  </si>
  <si>
    <t>Pasaje perales 777</t>
  </si>
  <si>
    <t>Milena del Rosario</t>
  </si>
  <si>
    <t>9.020.757-1</t>
  </si>
  <si>
    <t>Pasaje los lirio 736</t>
  </si>
  <si>
    <t>Talcahuano</t>
  </si>
  <si>
    <t>Nicolas Esteban Javier</t>
  </si>
  <si>
    <t>Tiznado Rojas</t>
  </si>
  <si>
    <t>22.722.76 2-1</t>
  </si>
  <si>
    <t>nicolastiznado56@gmail.com</t>
  </si>
  <si>
    <t>punta  amparo  1619, Centinela 2,  Talcahuano</t>
  </si>
  <si>
    <t>569 429681</t>
  </si>
  <si>
    <t>Rayen</t>
  </si>
  <si>
    <t>Mercado</t>
  </si>
  <si>
    <t>21.525.777-0</t>
  </si>
  <si>
    <t>rayennmi@gmail.com</t>
  </si>
  <si>
    <t>Daniel Matías</t>
  </si>
  <si>
    <t>Henríquez Utreras</t>
  </si>
  <si>
    <t>21.328.78 7-7</t>
  </si>
  <si>
    <t>dmhenriquez2003@gmail.com</t>
  </si>
  <si>
    <t>playa pingueral block 1602 departamento 105, Talcahuano</t>
  </si>
  <si>
    <t>56 9 4625 808</t>
  </si>
  <si>
    <t>Javier Ignacio</t>
  </si>
  <si>
    <t>Vásquez Pozo</t>
  </si>
  <si>
    <t>19.530.70 8-3</t>
  </si>
  <si>
    <t>El Rosal  1119, Perales, Talcahuano</t>
  </si>
  <si>
    <t>56 9 6338 345</t>
  </si>
  <si>
    <t>Rueda Seguel</t>
  </si>
  <si>
    <t>16.897.92 2-3</t>
  </si>
  <si>
    <t>Callejón  Tempier  Lote 3-10, Quillón</t>
  </si>
  <si>
    <t>569 75748598</t>
  </si>
  <si>
    <t>Miguel Antonio</t>
  </si>
  <si>
    <t>Matamala Hernández</t>
  </si>
  <si>
    <t>21.133.587-4</t>
  </si>
  <si>
    <t>miguelmatamala2011@hotmail.cl</t>
  </si>
  <si>
    <t>Rosse Mary</t>
  </si>
  <si>
    <t>Alarcón Toro</t>
  </si>
  <si>
    <t>8.846.142 -8</t>
  </si>
  <si>
    <t>rossemaryat@hotmail.com</t>
  </si>
  <si>
    <t>Colón 1331 depto 202  Edificio San  Edmundo  Talcahuano</t>
  </si>
  <si>
    <t>56 9 9489 0896</t>
  </si>
  <si>
    <t>Sebastián Francisco</t>
  </si>
  <si>
    <t>Vidal Mendoza</t>
  </si>
  <si>
    <t>20.957.640-6</t>
  </si>
  <si>
    <t>Sebavidal145@gmail.com</t>
  </si>
  <si>
    <t>Eliana Paola</t>
  </si>
  <si>
    <t>Cabezas Cortes</t>
  </si>
  <si>
    <t>20.695.42 6-4</t>
  </si>
  <si>
    <t>elia.cab ezas@duocuc.cl</t>
  </si>
  <si>
    <t>Claudio gay Oriente 3837, San Marcos 2000, Talcahuano</t>
  </si>
  <si>
    <t>56 9 3528 0650</t>
  </si>
  <si>
    <t>Catalina Ester</t>
  </si>
  <si>
    <t>Ayala Vásquez</t>
  </si>
  <si>
    <t>23.156.02 4-6</t>
  </si>
  <si>
    <t>Avenida campos deportivos 198, Concepción</t>
  </si>
  <si>
    <t>56 9 4560 435</t>
  </si>
  <si>
    <t>Iván Andrés</t>
  </si>
  <si>
    <t>Freire Suazo</t>
  </si>
  <si>
    <t>16.764.17 2-5</t>
  </si>
  <si>
    <t>red.talcahuano@gmail.com</t>
  </si>
  <si>
    <t>calle Riquelme 121, Talcahuano</t>
  </si>
  <si>
    <t>569 42439577</t>
  </si>
  <si>
    <t>Néstor Ignacio Andrés</t>
  </si>
  <si>
    <t>Zora -Carvajal Alvarez</t>
  </si>
  <si>
    <t>20.115.058-2</t>
  </si>
  <si>
    <t>nestor.zora@gmail.com</t>
  </si>
  <si>
    <t>Verónica Lidia</t>
  </si>
  <si>
    <t>Flores Soto</t>
  </si>
  <si>
    <t>9.432.796 -2</t>
  </si>
  <si>
    <t>vfloressot@gmail.com</t>
  </si>
  <si>
    <t>56 93185 4605</t>
  </si>
  <si>
    <t>Eliana Isolina del Carmen</t>
  </si>
  <si>
    <t>Catalán  Paredes</t>
  </si>
  <si>
    <t>8.767.569-6</t>
  </si>
  <si>
    <t>56 98418 2306</t>
  </si>
  <si>
    <t>Ruth Blanca</t>
  </si>
  <si>
    <t>Godoy Rivas</t>
  </si>
  <si>
    <t>6.514.332-1</t>
  </si>
  <si>
    <t>ruth.godoyrivas@gmail. com</t>
  </si>
  <si>
    <t>Av.los Tilos  0769  Bellavista</t>
  </si>
  <si>
    <t>56 9 9553 484</t>
  </si>
  <si>
    <t>Carolina Elena</t>
  </si>
  <si>
    <t>Collarte Medel</t>
  </si>
  <si>
    <t>14.060.99 9-4</t>
  </si>
  <si>
    <t>Río Toltén  5263,  Denavi Sur, Talcahuano</t>
  </si>
  <si>
    <t>56 9 7184 021</t>
  </si>
  <si>
    <t>14.060.999-4</t>
  </si>
  <si>
    <t>carolina.coll artemedel@ gmail.com</t>
  </si>
  <si>
    <t>Isabel Jessica</t>
  </si>
  <si>
    <t>Seguel Gavilán</t>
  </si>
  <si>
    <t>10.557.04 2-2</t>
  </si>
  <si>
    <t>y.seguel.g@gmail.com</t>
  </si>
  <si>
    <t>Manuel zañartu 664, Talcahuano</t>
  </si>
  <si>
    <t>56 968452246</t>
  </si>
  <si>
    <t>Luis Anselmo</t>
  </si>
  <si>
    <t>Villagra Cabello</t>
  </si>
  <si>
    <t>7.828.689-K</t>
  </si>
  <si>
    <t>anvillagra@gmail.com</t>
  </si>
  <si>
    <t>Parques De Carriel 5580 Casa 47 San Andres Del Valle, Talcahuano</t>
  </si>
  <si>
    <t>56 9 9895 9063</t>
  </si>
  <si>
    <t>Hilda Albina</t>
  </si>
  <si>
    <t>Miranda Ponce</t>
  </si>
  <si>
    <t>13.125.982-4</t>
  </si>
  <si>
    <t>hildamirand a18@gmail. com</t>
  </si>
  <si>
    <t>Isabel del Carmen</t>
  </si>
  <si>
    <t>Muñoz Molina</t>
  </si>
  <si>
    <t>11.984.37 0-7</t>
  </si>
  <si>
    <t>panchit acarlita _16@hotmail.com</t>
  </si>
  <si>
    <t>Guacolda 3254 Las  Canchas</t>
  </si>
  <si>
    <t>56 9 8848 0006</t>
  </si>
  <si>
    <t>María Cecilia del Carmen</t>
  </si>
  <si>
    <t>Alarcón Salgado</t>
  </si>
  <si>
    <t>6.605.406-3</t>
  </si>
  <si>
    <t>Calle  Valparaíso  #142  interior/ cerro buena vista</t>
  </si>
  <si>
    <t>56 9 8195 5243</t>
  </si>
  <si>
    <t>Bustos</t>
  </si>
  <si>
    <t>8.602.513-2</t>
  </si>
  <si>
    <t>Valdivia 661,  Talcahuano</t>
  </si>
  <si>
    <t>56 98665 4608</t>
  </si>
  <si>
    <t>Marisol del Carmen</t>
  </si>
  <si>
    <t>Jara Garcés</t>
  </si>
  <si>
    <t>9.186.367-7</t>
  </si>
  <si>
    <t>Patricio lynch #161. Cerro David Fuentes,  Talcahuano</t>
  </si>
  <si>
    <t>56 9 9654 846</t>
  </si>
  <si>
    <t>Matamala Constanzo</t>
  </si>
  <si>
    <t>7.797.169-6</t>
  </si>
  <si>
    <t>marilu.matcon@gmail. com</t>
  </si>
  <si>
    <t>Av. Colón 3060, Talcahuano</t>
  </si>
  <si>
    <t>56 97962 3239</t>
  </si>
  <si>
    <t>Raúl Ismael Oliverio</t>
  </si>
  <si>
    <t>González Griffiths</t>
  </si>
  <si>
    <t>7.997.333-5</t>
  </si>
  <si>
    <t>Eugenia Adriana</t>
  </si>
  <si>
    <t>6.989.20 9-4</t>
  </si>
  <si>
    <t>La Roca 16, Dichato, Tomé</t>
  </si>
  <si>
    <t>56 9 9129  4611</t>
  </si>
  <si>
    <t>Eusebio Hernán</t>
  </si>
  <si>
    <t>Ramos Padilla</t>
  </si>
  <si>
    <t>10.112.634-K</t>
  </si>
  <si>
    <t>Brunilda del Carmen</t>
  </si>
  <si>
    <t>Orias Concha</t>
  </si>
  <si>
    <t>7.764.710-4</t>
  </si>
  <si>
    <t>bdorias@ya hoo.es</t>
  </si>
  <si>
    <t>Teno</t>
  </si>
  <si>
    <t>Maria Camila</t>
  </si>
  <si>
    <t>Urzua Valdes</t>
  </si>
  <si>
    <t>19.997.675-3</t>
  </si>
  <si>
    <t>Mendez Contreras</t>
  </si>
  <si>
    <t>19998595-7</t>
  </si>
  <si>
    <t>San Jose La Laguna, Teno</t>
  </si>
  <si>
    <t>Tomas Ignacio</t>
  </si>
  <si>
    <t>Castro Parraguez</t>
  </si>
  <si>
    <t>21.483.097-3</t>
  </si>
  <si>
    <t>Vi Pc 32 Primavera Cs 29</t>
  </si>
  <si>
    <t>Nayely Danixsa</t>
  </si>
  <si>
    <t>Diaz Rodriguez</t>
  </si>
  <si>
    <t>21.151.806-5</t>
  </si>
  <si>
    <t>Santa Adela, Teno</t>
  </si>
  <si>
    <t>Bustamante Herrera</t>
  </si>
  <si>
    <t>18.683.243-4</t>
  </si>
  <si>
    <t>Valle La Palma #109, Teno</t>
  </si>
  <si>
    <t>Parraguez Sanchez</t>
  </si>
  <si>
    <t>15.914.737-1</t>
  </si>
  <si>
    <t>Las Arboledas, Teno</t>
  </si>
  <si>
    <t>Cepeda Carrasco</t>
  </si>
  <si>
    <t>17.936.292-9</t>
  </si>
  <si>
    <t>Don Alvaro 2, Psje El Ciruelo 165, Teno</t>
  </si>
  <si>
    <t>Florinda</t>
  </si>
  <si>
    <t>Sanchez Bascuñan</t>
  </si>
  <si>
    <t>9.184.307-2</t>
  </si>
  <si>
    <t>florsanbas@gmail.com</t>
  </si>
  <si>
    <t>Isolina Del Rosario</t>
  </si>
  <si>
    <t>Orellana Romero</t>
  </si>
  <si>
    <t>14.015.183-1</t>
  </si>
  <si>
    <t>La Laguna, Teno</t>
  </si>
  <si>
    <t>Ramirez Madrid</t>
  </si>
  <si>
    <t>13.783.347-6</t>
  </si>
  <si>
    <t>Piran80@gmail.com</t>
  </si>
  <si>
    <t>Valderrama Sepulveda</t>
  </si>
  <si>
    <t>15.989.702-8</t>
  </si>
  <si>
    <t>Población Lautaro Pasaje D 8</t>
  </si>
  <si>
    <t>Urra Pavez</t>
  </si>
  <si>
    <t>15.132.356-1</t>
  </si>
  <si>
    <t>El Cisne, Teno</t>
  </si>
  <si>
    <t>Vergara González</t>
  </si>
  <si>
    <t>13.350.233-5</t>
  </si>
  <si>
    <t>Narvaez Aliaga</t>
  </si>
  <si>
    <t>8.880.851-7</t>
  </si>
  <si>
    <t>Piedra Blanca, Teno</t>
  </si>
  <si>
    <t>Maria Zulema</t>
  </si>
  <si>
    <t>Valdes Figueroa</t>
  </si>
  <si>
    <t>11.282.422-7</t>
  </si>
  <si>
    <t>Santa Susana, Teno</t>
  </si>
  <si>
    <t>Ilma Victoria</t>
  </si>
  <si>
    <t>Mellado Peres</t>
  </si>
  <si>
    <t>10.870.805-0</t>
  </si>
  <si>
    <t>Serrano esquina Sotomayor, Teno</t>
  </si>
  <si>
    <t>Alicia Del Pilar</t>
  </si>
  <si>
    <t>Fuentealva San Martin</t>
  </si>
  <si>
    <t>11.799.517-8</t>
  </si>
  <si>
    <t>Esmeralda #135, Teno</t>
  </si>
  <si>
    <t>Hugette Rosa</t>
  </si>
  <si>
    <t>Garrido Arenas</t>
  </si>
  <si>
    <t>8.300.376-6</t>
  </si>
  <si>
    <t>Pbl. Esperanza #153 Teno</t>
  </si>
  <si>
    <t>Troncoso Cofre</t>
  </si>
  <si>
    <t>8.169.736-1</t>
  </si>
  <si>
    <t>Estero Comalle, Teno</t>
  </si>
  <si>
    <t>Silvia Del Pilar</t>
  </si>
  <si>
    <t>Palma Valenzuela</t>
  </si>
  <si>
    <t>9560670-9</t>
  </si>
  <si>
    <t>Aquiles Servando</t>
  </si>
  <si>
    <t>Solis Diaz</t>
  </si>
  <si>
    <t>6.620.798-6</t>
  </si>
  <si>
    <t>D.VARGAS V.ESP.TENO</t>
  </si>
  <si>
    <t>Parraguez Calderon</t>
  </si>
  <si>
    <t>7.000.229-9</t>
  </si>
  <si>
    <t>Horacio Francisco</t>
  </si>
  <si>
    <t>Parada Tapia</t>
  </si>
  <si>
    <t>5.747.043-7</t>
  </si>
  <si>
    <t>CALLEJON STA ELENA S/N TENO</t>
  </si>
  <si>
    <t>Tolten</t>
  </si>
  <si>
    <t>Maida</t>
  </si>
  <si>
    <t>Núñez Pineda</t>
  </si>
  <si>
    <t>22944653-3</t>
  </si>
  <si>
    <t>Leal Saravia</t>
  </si>
  <si>
    <t>19811090-6</t>
  </si>
  <si>
    <t>pablol140@gmail.com</t>
  </si>
  <si>
    <t>Angeles</t>
  </si>
  <si>
    <t>Cabrera Jara</t>
  </si>
  <si>
    <t>20794366-5</t>
  </si>
  <si>
    <t>acabrerajara2015@gmail.com</t>
  </si>
  <si>
    <t>Saravia Soto</t>
  </si>
  <si>
    <t>6883276-4</t>
  </si>
  <si>
    <t>silviasaravia11@gmail.com</t>
  </si>
  <si>
    <t>Huenchuleo Cheuqueo</t>
  </si>
  <si>
    <t>9513580-3</t>
  </si>
  <si>
    <t>Beltrán Zapata</t>
  </si>
  <si>
    <t>9790376-K</t>
  </si>
  <si>
    <t>Holzaphel Carrillo</t>
  </si>
  <si>
    <t>5106312-0</t>
  </si>
  <si>
    <t>8413301-9</t>
  </si>
  <si>
    <t>Soto Carrasco</t>
  </si>
  <si>
    <t>3572859-9</t>
  </si>
  <si>
    <t>Mardones Pineda</t>
  </si>
  <si>
    <t>9915990-1</t>
  </si>
  <si>
    <t>Natacha</t>
  </si>
  <si>
    <t>Reus Valenzuela</t>
  </si>
  <si>
    <t>19124142-8</t>
  </si>
  <si>
    <t>Paloma</t>
  </si>
  <si>
    <t>Arnaiz</t>
  </si>
  <si>
    <t>17265936-5</t>
  </si>
  <si>
    <t>Repol González</t>
  </si>
  <si>
    <t>17397035-8</t>
  </si>
  <si>
    <t>Salgado Carrasco</t>
  </si>
  <si>
    <t>10692941-6</t>
  </si>
  <si>
    <t>Leal Vargas</t>
  </si>
  <si>
    <t>4720339-2</t>
  </si>
  <si>
    <t>Puente Vásquez</t>
  </si>
  <si>
    <t>9849128-7</t>
  </si>
  <si>
    <t>Pacheco Leal</t>
  </si>
  <si>
    <t>7447598-1</t>
  </si>
  <si>
    <t>Vallejos Manríquez</t>
  </si>
  <si>
    <t>5961982-9</t>
  </si>
  <si>
    <t>Lucrecia</t>
  </si>
  <si>
    <t>Soto Cruces</t>
  </si>
  <si>
    <t>10239307-4</t>
  </si>
  <si>
    <t>Sánchez Peña</t>
  </si>
  <si>
    <t>6277948-9</t>
  </si>
  <si>
    <t>Herta</t>
  </si>
  <si>
    <t>Cayuqueo Zambrano</t>
  </si>
  <si>
    <t>10282705-8</t>
  </si>
  <si>
    <t>Cuevas Bustos</t>
  </si>
  <si>
    <t>7966041-8</t>
  </si>
  <si>
    <t>Pineda Cid</t>
  </si>
  <si>
    <t>13607751-1</t>
  </si>
  <si>
    <t>Konnings</t>
  </si>
  <si>
    <t>6723698-K</t>
  </si>
  <si>
    <t>Fanny</t>
  </si>
  <si>
    <t>Aravena Robles</t>
  </si>
  <si>
    <t>5372302-0</t>
  </si>
  <si>
    <t>Tomé</t>
  </si>
  <si>
    <t>Braylinne</t>
  </si>
  <si>
    <t>Osorio Villegas</t>
  </si>
  <si>
    <t>21.224.097-4</t>
  </si>
  <si>
    <t>Pedro Leon Ugalde N° 85 Dichato,Tome</t>
  </si>
  <si>
    <t>Retamal Flores</t>
  </si>
  <si>
    <t>21.053.066-5</t>
  </si>
  <si>
    <t>Retamalpaulina7@gmail.com</t>
  </si>
  <si>
    <t>Lord Cochrane Depto 504, Tome</t>
  </si>
  <si>
    <t>Mitzi</t>
  </si>
  <si>
    <t>Rivera Muñoz</t>
  </si>
  <si>
    <t>8.947.051.K</t>
  </si>
  <si>
    <t>Mitzy6090@gmail.com</t>
  </si>
  <si>
    <t>Noiguera N°1239,Tome</t>
  </si>
  <si>
    <t>Medina Medina</t>
  </si>
  <si>
    <t>12.320.467-0</t>
  </si>
  <si>
    <t>Andrea.pamela@gamil.com</t>
  </si>
  <si>
    <t>Los Jacintos N° 4, 3L Santo ,Tome</t>
  </si>
  <si>
    <t>Yisley</t>
  </si>
  <si>
    <t>Grez Castillo</t>
  </si>
  <si>
    <t>15.681.075-4</t>
  </si>
  <si>
    <t>Marcelo Chaves, Depto 103 Frutillares, Tome</t>
  </si>
  <si>
    <t>Gatica Grez</t>
  </si>
  <si>
    <t>20.379.63-1</t>
  </si>
  <si>
    <t>gaticagrezsofia@gmail.com</t>
  </si>
  <si>
    <t>Avenida Werner N°1276,Tome</t>
  </si>
  <si>
    <t>Quintero Aravena</t>
  </si>
  <si>
    <t>19.814.615-3</t>
  </si>
  <si>
    <t>camilaquinterosa@gmail.com</t>
  </si>
  <si>
    <t>Buenos Aires N°1099,Tome</t>
  </si>
  <si>
    <t>Aravena Gonzalez</t>
  </si>
  <si>
    <t>8.806.951-K</t>
  </si>
  <si>
    <t>Buenos Aries 1099,Tome</t>
  </si>
  <si>
    <t>19.927.783-9</t>
  </si>
  <si>
    <t>Debora</t>
  </si>
  <si>
    <t>Riquelme Bustos</t>
  </si>
  <si>
    <t>9.522.034-7</t>
  </si>
  <si>
    <t>Arteaga Riquelme</t>
  </si>
  <si>
    <t>14.048.568-3</t>
  </si>
  <si>
    <t>Virraude Leal N° 368, Los Lirios , Concepcion</t>
  </si>
  <si>
    <t>Nelda</t>
  </si>
  <si>
    <t>Esparza Cartes</t>
  </si>
  <si>
    <t>6.969.827-1</t>
  </si>
  <si>
    <t>Florentina N°223, Bellavista ,Tome</t>
  </si>
  <si>
    <t>Matilde Aracely</t>
  </si>
  <si>
    <t>Villegas Riquelme</t>
  </si>
  <si>
    <t>13.132.620-3</t>
  </si>
  <si>
    <t>Maximo</t>
  </si>
  <si>
    <t>Ordenes Martines</t>
  </si>
  <si>
    <t>10.834.993-K</t>
  </si>
  <si>
    <t>Figueroa Ramirez</t>
  </si>
  <si>
    <t>8.717.073-K</t>
  </si>
  <si>
    <t>Miriam.figueroaramirez1958@gmail.com</t>
  </si>
  <si>
    <t>Psje.Alicia N°594, Dichato,Tome</t>
  </si>
  <si>
    <t>Sanhueza Muñoz</t>
  </si>
  <si>
    <t>5.779.646-3</t>
  </si>
  <si>
    <t>La Paz N° 690, Cerro Navidad , Tome</t>
  </si>
  <si>
    <t>8.806.948-K</t>
  </si>
  <si>
    <t>margaritaaravena@gmail.com</t>
  </si>
  <si>
    <t>Gabriela Mistral 1473,Navidad,Tome</t>
  </si>
  <si>
    <t>Jeannette</t>
  </si>
  <si>
    <t>Flores Reyes</t>
  </si>
  <si>
    <t>11.789.876-8</t>
  </si>
  <si>
    <t>Marcelitaf47@gmail.com</t>
  </si>
  <si>
    <t>Los Ciruelos N°552, Quinta Cocholgue,Tome</t>
  </si>
  <si>
    <t>Yaneira</t>
  </si>
  <si>
    <t>Ortin Espinoza</t>
  </si>
  <si>
    <t>27.136.669-8</t>
  </si>
  <si>
    <t>yaneiraortin2917@gmail.com</t>
  </si>
  <si>
    <t>Bustamante Duran</t>
  </si>
  <si>
    <t>5.798.091-5</t>
  </si>
  <si>
    <t>Canto Aravena</t>
  </si>
  <si>
    <t>11.445.154-1</t>
  </si>
  <si>
    <t>Cabrales Espinoza</t>
  </si>
  <si>
    <t>10.267.301-8</t>
  </si>
  <si>
    <t>Jimenez Calzadilla</t>
  </si>
  <si>
    <t>4.127.002-0</t>
  </si>
  <si>
    <t>Villagran Sanhueza</t>
  </si>
  <si>
    <t>9.300.684-4</t>
  </si>
  <si>
    <t>Esmeralda N°1153, Bellavista ,Tome</t>
  </si>
  <si>
    <t>Ramos Sepulveda</t>
  </si>
  <si>
    <t>7.671.474-6</t>
  </si>
  <si>
    <t>olgainesramos@gmail.con</t>
  </si>
  <si>
    <t>Senda 1, N°620,Bellavista</t>
  </si>
  <si>
    <t>Leonila</t>
  </si>
  <si>
    <t>Cid Placencia</t>
  </si>
  <si>
    <t>8.897.445-K</t>
  </si>
  <si>
    <t>Medina Sanchez</t>
  </si>
  <si>
    <t>8.244.931-0</t>
  </si>
  <si>
    <t>Egaña N°1287,Tome</t>
  </si>
  <si>
    <t>Escalona Maldonado</t>
  </si>
  <si>
    <t>6.777.202-4</t>
  </si>
  <si>
    <t>carmenescalona@gmail.com</t>
  </si>
  <si>
    <t>Nogeira N°1270 , Tome</t>
  </si>
  <si>
    <t>Jimenez Halabi</t>
  </si>
  <si>
    <t>6.108.015-5</t>
  </si>
  <si>
    <t>Duran Diaz</t>
  </si>
  <si>
    <t>Juana.rdd@gmail.com</t>
  </si>
  <si>
    <t>Acacios N°108 Vellavista,Tome</t>
  </si>
  <si>
    <t>Hinrichs Olivares</t>
  </si>
  <si>
    <t>2.248.717-5</t>
  </si>
  <si>
    <t>Méndez Sánchez</t>
  </si>
  <si>
    <t>17.450.282-K</t>
  </si>
  <si>
    <t>yasna.mendez14@gmail.com</t>
  </si>
  <si>
    <t>Unidos N° 1593 Traiguén</t>
  </si>
  <si>
    <t>Manar</t>
  </si>
  <si>
    <t>Sellami Arenas</t>
  </si>
  <si>
    <t>22.704.701-1</t>
  </si>
  <si>
    <t>Saavedra N°1178 Traiguén</t>
  </si>
  <si>
    <t>Soto Oliveros</t>
  </si>
  <si>
    <t>22.284.881-4</t>
  </si>
  <si>
    <t>antoniasoto151206@gmail.com</t>
  </si>
  <si>
    <t>Ignacio Carrera Pinto N°1608</t>
  </si>
  <si>
    <t>Avendaño LLanquinao</t>
  </si>
  <si>
    <t>22.398.750-8</t>
  </si>
  <si>
    <t>Chanco, Collipulli s/n Traiguén</t>
  </si>
  <si>
    <t>Oliveros Yáñez</t>
  </si>
  <si>
    <t>22.245.700-9</t>
  </si>
  <si>
    <t>josesilva21.colipi@gmail.com</t>
  </si>
  <si>
    <t>Freire N°837 Traiguén</t>
  </si>
  <si>
    <t>Antonella</t>
  </si>
  <si>
    <t>Cortesi Altamirano</t>
  </si>
  <si>
    <t>22.360.997-K</t>
  </si>
  <si>
    <t>Juan Lerdon Rojas N°334 Traiguén</t>
  </si>
  <si>
    <t>Krishna</t>
  </si>
  <si>
    <t>Landero Sepúlveda</t>
  </si>
  <si>
    <t>22.416.212-k</t>
  </si>
  <si>
    <t>landero.anais2007@gmail.com</t>
  </si>
  <si>
    <t>Quichamahuida N°059 Los Graneros Traiguén</t>
  </si>
  <si>
    <t>Muñoz Fuentes</t>
  </si>
  <si>
    <t>22.392.026-8</t>
  </si>
  <si>
    <t>Pablo Neruda N°1904 Traiguén</t>
  </si>
  <si>
    <t>Riffo Silva</t>
  </si>
  <si>
    <t>22.205.699-3</t>
  </si>
  <si>
    <t>fernanda.riffos@gmail.com</t>
  </si>
  <si>
    <t>Pje. Aguilera N°626 Pob. Mallín Traiguén</t>
  </si>
  <si>
    <t>Sophie</t>
  </si>
  <si>
    <t>Putz Alveal</t>
  </si>
  <si>
    <t>22.146.216-5</t>
  </si>
  <si>
    <t>sophieputz.a@gmail.com</t>
  </si>
  <si>
    <t>El Ulmo N°1526 Guacolda Traiguén</t>
  </si>
  <si>
    <t>Samir</t>
  </si>
  <si>
    <t>Abad Berindoague</t>
  </si>
  <si>
    <t>22.093.503-5</t>
  </si>
  <si>
    <t>samir.abad.berindoague@gmail.com</t>
  </si>
  <si>
    <t>San José s/n Km.23 Traiguén</t>
  </si>
  <si>
    <t>Susana</t>
  </si>
  <si>
    <t>9.260.395-4</t>
  </si>
  <si>
    <t>misssusychile@yahoo.com</t>
  </si>
  <si>
    <t>Avenida Brasil N° 750 Traiguén</t>
  </si>
  <si>
    <t>San Miguel Rivas</t>
  </si>
  <si>
    <t>9.977.936-5</t>
  </si>
  <si>
    <t>elenasanmiguel92@gmail.com</t>
  </si>
  <si>
    <t>Errázuriz N°559 Traiguén</t>
  </si>
  <si>
    <t>Aracelly</t>
  </si>
  <si>
    <t>Soto Céspedes</t>
  </si>
  <si>
    <t>20.400.477-7</t>
  </si>
  <si>
    <t>aracellysoto3@gmail.com</t>
  </si>
  <si>
    <t>Balmaceda N°1335 Traiguén</t>
  </si>
  <si>
    <t>Galdames Herrera</t>
  </si>
  <si>
    <t>10.027.072-2</t>
  </si>
  <si>
    <t>General Pinto N°764 Traiguén</t>
  </si>
  <si>
    <t>Toloza San Martín</t>
  </si>
  <si>
    <t>20.643.986-6</t>
  </si>
  <si>
    <t>General Pinto N°564 Traiguén</t>
  </si>
  <si>
    <t>Macalusso Núñez</t>
  </si>
  <si>
    <t>7.854.646-8</t>
  </si>
  <si>
    <t>macalusso.rossana@gmail.com</t>
  </si>
  <si>
    <t>General Gana N°702 Traiguén</t>
  </si>
  <si>
    <t>Alarcón Carriconde</t>
  </si>
  <si>
    <t>8.178.201-6</t>
  </si>
  <si>
    <t>Aníbal Pinto N°661 Traiguén</t>
  </si>
  <si>
    <t>Yessenia</t>
  </si>
  <si>
    <t>Riveros San Martin</t>
  </si>
  <si>
    <t>18.700.272-9</t>
  </si>
  <si>
    <t>yesseniariveros0516@gmail.com</t>
  </si>
  <si>
    <t>Pérez N°715 Traiguén</t>
  </si>
  <si>
    <t>Silva Colipi</t>
  </si>
  <si>
    <t>19.330.712-4</t>
  </si>
  <si>
    <t>Sargento Aldea N°999 Traiguén</t>
  </si>
  <si>
    <t>Catherine</t>
  </si>
  <si>
    <t>Ponce Baeza</t>
  </si>
  <si>
    <t>17.709.756-K</t>
  </si>
  <si>
    <t>catherinegcf@gmail.com</t>
  </si>
  <si>
    <t>Aníbal Pinto N°203 Traiguén</t>
  </si>
  <si>
    <t>Pedreros Ormeño</t>
  </si>
  <si>
    <t>9.013.048-k</t>
  </si>
  <si>
    <t>pedrerostita@gmail.com</t>
  </si>
  <si>
    <t>Vergara Albano N° 561 Traiguén</t>
  </si>
  <si>
    <t>Paillao López</t>
  </si>
  <si>
    <t>18.587.366-8</t>
  </si>
  <si>
    <t>Emilia del Villar N°1942 Traiguén</t>
  </si>
  <si>
    <t>Riquelme Macalusso</t>
  </si>
  <si>
    <t>15.846.714-3</t>
  </si>
  <si>
    <t>riquelmemacalusso.fe@gmail.com</t>
  </si>
  <si>
    <t>Rodríguez Rojas</t>
  </si>
  <si>
    <t>22.313.876-4</t>
  </si>
  <si>
    <t>Saavedra N°188 Traiguén</t>
  </si>
  <si>
    <t>Yohana</t>
  </si>
  <si>
    <t>Ramírez Mardones</t>
  </si>
  <si>
    <t>14.215.715-2</t>
  </si>
  <si>
    <t>yohana.ramirez1@gmail.com</t>
  </si>
  <si>
    <t>Avenida Suiza N°756 Traiguén</t>
  </si>
  <si>
    <t>Peña Muñoz</t>
  </si>
  <si>
    <t>15.228.823-9</t>
  </si>
  <si>
    <t>claudita_andrep@hotmail.com</t>
  </si>
  <si>
    <t>Pablo Neruda N° 1575 Traiguén</t>
  </si>
  <si>
    <t>Sebastián</t>
  </si>
  <si>
    <t>Gallardo Álvarez</t>
  </si>
  <si>
    <t>15.911.441-4</t>
  </si>
  <si>
    <t>lic.sebastiangallardo@gmail.com</t>
  </si>
  <si>
    <t>Barra Uribe</t>
  </si>
  <si>
    <t>10.850.097-2</t>
  </si>
  <si>
    <t>wilmabarrauribe@gmail.com</t>
  </si>
  <si>
    <t>Parcela 53 El Valle Traiguén</t>
  </si>
  <si>
    <t>Alexis</t>
  </si>
  <si>
    <t>Olivero Torres</t>
  </si>
  <si>
    <t>13.514.177-1</t>
  </si>
  <si>
    <t>El Avellano N°838 Traiguén</t>
  </si>
  <si>
    <t>Castillo Villanueva</t>
  </si>
  <si>
    <t>10.005.183-4</t>
  </si>
  <si>
    <t>blanquita.ita@gmail.com</t>
  </si>
  <si>
    <t>San Martín N°562 Traiguén</t>
  </si>
  <si>
    <t>Betanzo France</t>
  </si>
  <si>
    <t>12.025.589-4</t>
  </si>
  <si>
    <t>monicabetanzo4@gmail.com</t>
  </si>
  <si>
    <t>Basilio Urrutia N° 670 Traiguén</t>
  </si>
  <si>
    <t>Lucila</t>
  </si>
  <si>
    <t>Muñoz Suazo</t>
  </si>
  <si>
    <t>7.642.753-4</t>
  </si>
  <si>
    <t>Pasaje Vergara Albano N°965 Traiguén</t>
  </si>
  <si>
    <t>10.267.422-7</t>
  </si>
  <si>
    <t>Sector Agua Potable km 2, El Valle Traiguén</t>
  </si>
  <si>
    <t>Pavez Caamaño</t>
  </si>
  <si>
    <t>12.089.977-5</t>
  </si>
  <si>
    <t>San Martín N°972 Traiguén</t>
  </si>
  <si>
    <t>Ledys</t>
  </si>
  <si>
    <t>Mata Díaz</t>
  </si>
  <si>
    <t>27.197.397-7</t>
  </si>
  <si>
    <t>dr.ledysmata@gmail.com</t>
  </si>
  <si>
    <t>Ignacio Carrera Pinto N°3013 Traiguén</t>
  </si>
  <si>
    <t>González Bastías</t>
  </si>
  <si>
    <t>8.180.256-4</t>
  </si>
  <si>
    <t>neldagonzalez.bastias@gmail.com</t>
  </si>
  <si>
    <t>Pasaje Amaya N°55 Pobl.Chumay Traiguén</t>
  </si>
  <si>
    <t>Beltrán Labrín</t>
  </si>
  <si>
    <t>4.571.582-5</t>
  </si>
  <si>
    <t>mbeltranlabrin@gmail.com</t>
  </si>
  <si>
    <t>Diego Portales N°58 Traiguén</t>
  </si>
  <si>
    <t>Valdivia</t>
  </si>
  <si>
    <t>Franquez Monsalve</t>
  </si>
  <si>
    <t>22.763.138-4</t>
  </si>
  <si>
    <t>valeriafranquezm13@gmail.com</t>
  </si>
  <si>
    <t>Acharan  Arce 26 Valdivia</t>
  </si>
  <si>
    <t>Lovera Barrientos</t>
  </si>
  <si>
    <t>10.838.575-8</t>
  </si>
  <si>
    <t>verolovera195@gmail.com</t>
  </si>
  <si>
    <t>Pedro Montoya 195-Valdivia</t>
  </si>
  <si>
    <t>9 35420528</t>
  </si>
  <si>
    <t>Natalia Esperanza</t>
  </si>
  <si>
    <t>Ruz Campos</t>
  </si>
  <si>
    <t>21.300.495-6</t>
  </si>
  <si>
    <t>nruz4159@gmail.com</t>
  </si>
  <si>
    <t>Bueras 501, Valdivia</t>
  </si>
  <si>
    <t>9 92484570</t>
  </si>
  <si>
    <t>Gustavo Alejandro</t>
  </si>
  <si>
    <t>Jager Rivera</t>
  </si>
  <si>
    <t>18.348.832-5</t>
  </si>
  <si>
    <t>gus_alexander_93@hotmail.com</t>
  </si>
  <si>
    <t>Pino Huacho 50 Valdivia</t>
  </si>
  <si>
    <t>Carolina Andrea</t>
  </si>
  <si>
    <t>Morales Moena</t>
  </si>
  <si>
    <t>16.159.527-6</t>
  </si>
  <si>
    <t>animita2003@cruzrja.cl</t>
  </si>
  <si>
    <t>Santa Dollis  712, San Pedro Valdivia</t>
  </si>
  <si>
    <t>Marco Aurelio</t>
  </si>
  <si>
    <t>Navarrete Sepúlveda</t>
  </si>
  <si>
    <t>4.828.334-9</t>
  </si>
  <si>
    <t>filial.valdivia@cruzroja.cl</t>
  </si>
  <si>
    <t>Raul Labbe 125 Valdivia</t>
  </si>
  <si>
    <t>Ingrid Fabiola</t>
  </si>
  <si>
    <t>Guzmán Sáez</t>
  </si>
  <si>
    <t>13.587.682-8</t>
  </si>
  <si>
    <t>decima.guzman@gmail.com</t>
  </si>
  <si>
    <t>Camino Luna 110 Valdivia</t>
  </si>
  <si>
    <t>Jessica Yuris</t>
  </si>
  <si>
    <t>Carrasco Schaaf</t>
  </si>
  <si>
    <t>10.618.020-2</t>
  </si>
  <si>
    <t>miscorreos253@cruzroja.cl</t>
  </si>
  <si>
    <t>Puerto Cisnes 598 Valdivia</t>
  </si>
  <si>
    <t>Miriam Marlen</t>
  </si>
  <si>
    <t>Leal Rojas</t>
  </si>
  <si>
    <t>6.916.664-4</t>
  </si>
  <si>
    <t>miriamleal@cruzroja.cl</t>
  </si>
  <si>
    <t>Picarte 3000 Valdivia</t>
  </si>
  <si>
    <t>Marta Luisa</t>
  </si>
  <si>
    <t>Sepúlveda Gajardo</t>
  </si>
  <si>
    <t>4.164.073-1</t>
  </si>
  <si>
    <t>Lastarria 2501 Valdivia</t>
  </si>
  <si>
    <t>María de la Luz</t>
  </si>
  <si>
    <t>Moena Norambuena</t>
  </si>
  <si>
    <t>9.650.986-3</t>
  </si>
  <si>
    <t>Obando Rojas</t>
  </si>
  <si>
    <t>9.013.334-9</t>
  </si>
  <si>
    <t>San Pedro 12 Valdivia</t>
  </si>
  <si>
    <t>Hernán Lautaro</t>
  </si>
  <si>
    <t>Atencio Muñoz</t>
  </si>
  <si>
    <t>3.520.323-0</t>
  </si>
  <si>
    <t>Bobadilla Cordones</t>
  </si>
  <si>
    <t>6.070.429-5</t>
  </si>
  <si>
    <t>Julian Gutierrez 9085 Valdivia</t>
  </si>
  <si>
    <t>Edie del Carmen</t>
  </si>
  <si>
    <t>Olivera Barrientos</t>
  </si>
  <si>
    <t>6.731.298-8</t>
  </si>
  <si>
    <t>Mariño Lobera 110-Valdivia</t>
  </si>
  <si>
    <t>9 88881169</t>
  </si>
  <si>
    <t>Gloria Amalia</t>
  </si>
  <si>
    <t>Araya Gaete</t>
  </si>
  <si>
    <t>5.576.970-2</t>
  </si>
  <si>
    <t>Tornagaleones 115, Valdivia</t>
  </si>
  <si>
    <t>9 95079007</t>
  </si>
  <si>
    <t>Kingslee</t>
  </si>
  <si>
    <t>Espinoza Sanchez</t>
  </si>
  <si>
    <t>20.412.848-0</t>
  </si>
  <si>
    <t>Margarita Isabel</t>
  </si>
  <si>
    <t>Soto Parra</t>
  </si>
  <si>
    <t>22.193.076-2</t>
  </si>
  <si>
    <t>Yanixa Loreto</t>
  </si>
  <si>
    <t>Ramirez Gomez</t>
  </si>
  <si>
    <t>19.353.412-K</t>
  </si>
  <si>
    <t>San Martin Nº 1309</t>
  </si>
  <si>
    <t>Angel</t>
  </si>
  <si>
    <t>Parra Soto</t>
  </si>
  <si>
    <t>21.039.867.8</t>
  </si>
  <si>
    <t>Claudio Andres</t>
  </si>
  <si>
    <t>Lagos Castro</t>
  </si>
  <si>
    <t>18.867.580-8</t>
  </si>
  <si>
    <t>Treisy Loreto</t>
  </si>
  <si>
    <t>Gomez Sandoval</t>
  </si>
  <si>
    <t>17.802.446-9</t>
  </si>
  <si>
    <t>Carrera Nº 630</t>
  </si>
  <si>
    <t>Carlos Sebastian</t>
  </si>
  <si>
    <t>19.224.542-7</t>
  </si>
  <si>
    <t>Ana Milen</t>
  </si>
  <si>
    <t>Fierro Fernandez</t>
  </si>
  <si>
    <t>17.990.671-6</t>
  </si>
  <si>
    <t>Echeverria Morales</t>
  </si>
  <si>
    <t>16.353.201-8</t>
  </si>
  <si>
    <t>Eduardo Frei Nº 1506</t>
  </si>
  <si>
    <t>Arias Morales</t>
  </si>
  <si>
    <t>14.244.845-9</t>
  </si>
  <si>
    <t>Tomsom Nº 1474</t>
  </si>
  <si>
    <t>Veronica Del Carmen</t>
  </si>
  <si>
    <t>Soto Perez</t>
  </si>
  <si>
    <t>12.986.045-6</t>
  </si>
  <si>
    <t>Albornoz Arias</t>
  </si>
  <si>
    <t>18.867.607-K</t>
  </si>
  <si>
    <t>Maribel Margot</t>
  </si>
  <si>
    <t>Sandoval Angulo</t>
  </si>
  <si>
    <t>12.053.990-9</t>
  </si>
  <si>
    <t>Eloina</t>
  </si>
  <si>
    <t>Alarcon Astudillo</t>
  </si>
  <si>
    <t>14.420.794-7</t>
  </si>
  <si>
    <t>Las Cardas</t>
  </si>
  <si>
    <t>Daily Marlene</t>
  </si>
  <si>
    <t>Sanchez Venegas</t>
  </si>
  <si>
    <t>8.688.328-7</t>
  </si>
  <si>
    <t>Lord Cockrane Nº 300</t>
  </si>
  <si>
    <t>Washington</t>
  </si>
  <si>
    <t>Espinoza Lara</t>
  </si>
  <si>
    <t>7.140.171-5</t>
  </si>
  <si>
    <t>Pasaje 1 Nº 144</t>
  </si>
  <si>
    <t>Liduvina Del Carmen</t>
  </si>
  <si>
    <t>Castillo Paredes</t>
  </si>
  <si>
    <t>7.587.991-1</t>
  </si>
  <si>
    <t>Quilapan Nº 50</t>
  </si>
  <si>
    <t>Ruth Irene</t>
  </si>
  <si>
    <t>Cea Fernandez</t>
  </si>
  <si>
    <t>5.061.520-0</t>
  </si>
  <si>
    <t>Villa Alemana</t>
  </si>
  <si>
    <t>Allende Rodríguez</t>
  </si>
  <si>
    <t>Borquez Bugueño</t>
  </si>
  <si>
    <t xml:space="preserve">cataborquezb@gmail.com </t>
  </si>
  <si>
    <t>Crother Canales</t>
  </si>
  <si>
    <t>Cortés Alvarado</t>
  </si>
  <si>
    <t>12602163-7</t>
  </si>
  <si>
    <t xml:space="preserve">ana.diaz03@gmail.com </t>
  </si>
  <si>
    <t>Noemí</t>
  </si>
  <si>
    <t>Espinoza Riquelme</t>
  </si>
  <si>
    <t xml:space="preserve">noemiespinozariquelme@gmail.com </t>
  </si>
  <si>
    <t>Escobar Molina</t>
  </si>
  <si>
    <t xml:space="preserve">anaescobarmolina2014@gmail.com </t>
  </si>
  <si>
    <t>Figueroa Garay</t>
  </si>
  <si>
    <t>patoka_68@hotmail.com</t>
  </si>
  <si>
    <t>Figueroa Morales</t>
  </si>
  <si>
    <t>Mimes85@gmail.com</t>
  </si>
  <si>
    <t>Gamboa Cepeda</t>
  </si>
  <si>
    <t xml:space="preserve">claudiaclaudia866@gmail.com </t>
  </si>
  <si>
    <t xml:space="preserve">Marta </t>
  </si>
  <si>
    <t>Leiva Guzmán</t>
  </si>
  <si>
    <t>Ornela</t>
  </si>
  <si>
    <t>Machuca Huennuguie</t>
  </si>
  <si>
    <t>Aurea</t>
  </si>
  <si>
    <t>Morales Hermosilla</t>
  </si>
  <si>
    <t>nanymoraleshermosilla@gmail.com</t>
  </si>
  <si>
    <t>Mella Torres</t>
  </si>
  <si>
    <t>11261181-9</t>
  </si>
  <si>
    <t xml:space="preserve">omarcitocrpp@gmail.com </t>
  </si>
  <si>
    <t>Quargolo Muñoz</t>
  </si>
  <si>
    <t>Rojas Eastman</t>
  </si>
  <si>
    <t>Salinas Díaz</t>
  </si>
  <si>
    <t xml:space="preserve">x.salinas.dsva@gmail.com </t>
  </si>
  <si>
    <t>Roberto</t>
  </si>
  <si>
    <t>Valencia Herrera</t>
  </si>
  <si>
    <t>rvalenciah08@gmail.com</t>
  </si>
  <si>
    <t>Vera Fuentes</t>
  </si>
  <si>
    <t xml:space="preserve">sandraverafuentes@gmail.com </t>
  </si>
  <si>
    <t>Dayana</t>
  </si>
  <si>
    <t>Moreno Morales</t>
  </si>
  <si>
    <t xml:space="preserve">od.dayana.moreno@gmail.com </t>
  </si>
  <si>
    <t>Salazar Moya</t>
  </si>
  <si>
    <t xml:space="preserve">valentinaszalazar@gmail.com </t>
  </si>
  <si>
    <t>Dassonvalle Aracena</t>
  </si>
  <si>
    <t xml:space="preserve">jecadass@yahoo.com </t>
  </si>
  <si>
    <t>Janet</t>
  </si>
  <si>
    <t>Calderón Chandia</t>
  </si>
  <si>
    <t xml:space="preserve">yanetd19@hotmail.com </t>
  </si>
  <si>
    <t xml:space="preserve">mariaoyartoro@gmail.com </t>
  </si>
  <si>
    <t>Nayeli</t>
  </si>
  <si>
    <t>Tavali Ortiz</t>
  </si>
  <si>
    <t xml:space="preserve">nayel.tavali@alumnosuv.cl </t>
  </si>
  <si>
    <t>Villalon Tapia</t>
  </si>
  <si>
    <t xml:space="preserve">sandravillalon.tapia@gmail.com </t>
  </si>
  <si>
    <t>Miranda Espinoza</t>
  </si>
  <si>
    <t xml:space="preserve">loverito.miranda@gmail.com </t>
  </si>
  <si>
    <t>9022664-9</t>
  </si>
  <si>
    <t xml:space="preserve">miriamsanhueza2@gmail.com </t>
  </si>
  <si>
    <t>Rojas Tapia</t>
  </si>
  <si>
    <t xml:space="preserve">gtapiar@gmail.com </t>
  </si>
  <si>
    <t>Mancilla Aparicio</t>
  </si>
  <si>
    <t xml:space="preserve">ceciliamancilla@gmail.com </t>
  </si>
  <si>
    <t>Lucy</t>
  </si>
  <si>
    <t>Araya Sepúlveda</t>
  </si>
  <si>
    <t xml:space="preserve">lucyestherarayas@gmail.com </t>
  </si>
  <si>
    <t>Aaron</t>
  </si>
  <si>
    <t>Rojas Pérez</t>
  </si>
  <si>
    <t>Pérez Aros</t>
  </si>
  <si>
    <t xml:space="preserve">elianagladysperezharos@gmail.com </t>
  </si>
  <si>
    <t>Amelie</t>
  </si>
  <si>
    <t>De La Peña Rojas</t>
  </si>
  <si>
    <t xml:space="preserve">amelie.mar682@gmail.com </t>
  </si>
  <si>
    <t>Villarrica</t>
  </si>
  <si>
    <t>Monserrat</t>
  </si>
  <si>
    <t>Manqueco y Rodriguez</t>
  </si>
  <si>
    <t>22.280.697-6</t>
  </si>
  <si>
    <t>manquecoyrodriguez@gmail.co m</t>
  </si>
  <si>
    <t>Sector Pedregos o, Vca</t>
  </si>
  <si>
    <t>García Alarcón</t>
  </si>
  <si>
    <t>22.193.263-3</t>
  </si>
  <si>
    <t>Paz.garcía.alarcon@gmail.com</t>
  </si>
  <si>
    <t>Av. Estación, Villarrica</t>
  </si>
  <si>
    <t>Soto 
Castro</t>
  </si>
  <si>
    <t>21.686.867-6</t>
  </si>
  <si>
    <t>Cpaz13950@gmail.com</t>
  </si>
  <si>
    <t>Sector Altos Vca</t>
  </si>
  <si>
    <t>Quijón Gajardo</t>
  </si>
  <si>
    <t>21.647.212-8</t>
  </si>
  <si>
    <t>Catalinaquijon49@gmail.com</t>
  </si>
  <si>
    <t>Cruz Blanca LicanRay</t>
  </si>
  <si>
    <t>Neculhueque 
Neculpan</t>
  </si>
  <si>
    <t>21.440.153-3</t>
  </si>
  <si>
    <t>Los Volcanes 781, Vca</t>
  </si>
  <si>
    <t>Allison</t>
  </si>
  <si>
    <t>Ramos González</t>
  </si>
  <si>
    <t>20.054.965-1</t>
  </si>
  <si>
    <t>Allí.rg99@gmail.com</t>
  </si>
  <si>
    <t>Rio Baker 1540, Vca</t>
  </si>
  <si>
    <t>Luna Pinto</t>
  </si>
  <si>
    <t>19.701.227-7</t>
  </si>
  <si>
    <t>andrealunapinto@gmail.com</t>
  </si>
  <si>
    <t>Ancahual , vca</t>
  </si>
  <si>
    <t>Josselin</t>
  </si>
  <si>
    <t>Saez Herrera</t>
  </si>
  <si>
    <t>17.881.213-0</t>
  </si>
  <si>
    <t>Josselinsaezher.92@gmail.com</t>
  </si>
  <si>
    <t>LLaima, 79, Vca</t>
  </si>
  <si>
    <t>Salamanca LLancañir</t>
  </si>
  <si>
    <t>19.059.162-K</t>
  </si>
  <si>
    <t>Raquelsalamanca.01@gmail.co m</t>
  </si>
  <si>
    <t>Ñancul, Vca</t>
  </si>
  <si>
    <t>Rebolledo Oporto</t>
  </si>
  <si>
    <t>7.837.979-2</t>
  </si>
  <si>
    <t>maleoporto@gmail.com</t>
  </si>
  <si>
    <t>Pasaje 1, Vca</t>
  </si>
  <si>
    <t>Abarzúa Figueroa</t>
  </si>
  <si>
    <t>18.434.635-4</t>
  </si>
  <si>
    <t>Beatrizabarzua0@gmail.com</t>
  </si>
  <si>
    <t>Sector Cruz Blanca, Lican Ray</t>
  </si>
  <si>
    <t>Reyes Alarcon</t>
  </si>
  <si>
    <t>14.523.362-3</t>
  </si>
  <si>
    <t>Emitareyes1978@gmail.com</t>
  </si>
  <si>
    <t>Sector Ñancul, Vca</t>
  </si>
  <si>
    <t>Jennifer</t>
  </si>
  <si>
    <t>Martinez Martinez</t>
  </si>
  <si>
    <t>15.579.011-3</t>
  </si>
  <si>
    <t>Martinezj.mgt@gmail.com</t>
  </si>
  <si>
    <t>Volcan 91, Vca</t>
  </si>
  <si>
    <t>González Pizárro</t>
  </si>
  <si>
    <t>12.406.246-2</t>
  </si>
  <si>
    <t>Pinina973@gmail.com</t>
  </si>
  <si>
    <t>Baker 1540 vca</t>
  </si>
  <si>
    <t>Huenulef Manriquez</t>
  </si>
  <si>
    <t>13.814.367-8</t>
  </si>
  <si>
    <t>myhuenulefmanriquez@gmail.c om</t>
  </si>
  <si>
    <t>Vista Hermosa, Vca</t>
  </si>
  <si>
    <t>Lagos Ordenes</t>
  </si>
  <si>
    <t>13.157.847-4</t>
  </si>
  <si>
    <t>elagoso@yahoo.es</t>
  </si>
  <si>
    <t>Huincacara, Vca</t>
  </si>
  <si>
    <t>Deissy</t>
  </si>
  <si>
    <t>González Palma</t>
  </si>
  <si>
    <t>15.254.734-K</t>
  </si>
  <si>
    <t>Deissyg.p@hotmail.com</t>
  </si>
  <si>
    <t>Cruz Blanca Vca</t>
  </si>
  <si>
    <t>Aburto Igor</t>
  </si>
  <si>
    <t>8.194.375-3</t>
  </si>
  <si>
    <t>Aliciaaburto62@gmail.com</t>
  </si>
  <si>
    <t>Valentin Letelier 701, Villarrica</t>
  </si>
  <si>
    <t>Ceferino</t>
  </si>
  <si>
    <t>Huenulef Quelimpan</t>
  </si>
  <si>
    <t>6.411.979-6</t>
  </si>
  <si>
    <t>Vista hermosa, vca</t>
  </si>
  <si>
    <t>Iturra Iturra</t>
  </si>
  <si>
    <t>11.702.436-9</t>
  </si>
  <si>
    <t>Iturramirta7@gmail.com</t>
  </si>
  <si>
    <t>Cerro k 1380,vca</t>
  </si>
  <si>
    <t>Maldonado Sepulveda</t>
  </si>
  <si>
    <t>11.410.789-1</t>
  </si>
  <si>
    <t>rosamaldonadosepulveda@gmai l.com</t>
  </si>
  <si>
    <t>Sector huiscapi, vca</t>
  </si>
  <si>
    <t>Navarrete Barriga</t>
  </si>
  <si>
    <t>10.401.150-0</t>
  </si>
  <si>
    <t>yessynav@hotmail.com</t>
  </si>
  <si>
    <t>Sector Molco, Vca</t>
  </si>
  <si>
    <t>Herrera López</t>
  </si>
  <si>
    <t>9.725.562-8</t>
  </si>
  <si>
    <t>mchlvillarrica@gmail.com</t>
  </si>
  <si>
    <t>Hortencias 245 vca</t>
  </si>
  <si>
    <t>Berríos Correa</t>
  </si>
  <si>
    <t>9.045.705-5</t>
  </si>
  <si>
    <t>veronicaberriosc@gmail.com</t>
  </si>
  <si>
    <t>Sector molco, Villarrica</t>
  </si>
  <si>
    <t>Maldonado Marchant</t>
  </si>
  <si>
    <t>10.841.492-8</t>
  </si>
  <si>
    <t>Cmaldonadom73@gmail.com</t>
  </si>
  <si>
    <t>Baker 1540, vca</t>
  </si>
  <si>
    <t>Paredes Silva</t>
  </si>
  <si>
    <t>9.403.375-6</t>
  </si>
  <si>
    <t>Eugenia.cecilia.predes.silva@gmail.com</t>
  </si>
  <si>
    <t>Andres Bello 455, Vca</t>
  </si>
  <si>
    <t>Burgos Toy</t>
  </si>
  <si>
    <t>7.391.329-2</t>
  </si>
  <si>
    <t>psburgos@hotmail.com</t>
  </si>
  <si>
    <t>Los Alamos 455, Villarrica</t>
  </si>
  <si>
    <t>Paredes Aburto</t>
  </si>
  <si>
    <t>6.461.347-2</t>
  </si>
  <si>
    <t>Cantarespucon2@gmail.com</t>
  </si>
  <si>
    <t>Sector Luna, Pucon</t>
  </si>
  <si>
    <t>Viña Del Mar</t>
  </si>
  <si>
    <t>Alexis Gabriel</t>
  </si>
  <si>
    <t>15.761.861-k</t>
  </si>
  <si>
    <t>Alvarez Perez</t>
  </si>
  <si>
    <t>Benjamin Gabriel</t>
  </si>
  <si>
    <t>Silva Vera</t>
  </si>
  <si>
    <t>21.905.039-9</t>
  </si>
  <si>
    <t>Maria del Carmen</t>
  </si>
  <si>
    <t>Squadritto Moggia</t>
  </si>
  <si>
    <t>6.301.252-1</t>
  </si>
  <si>
    <t>Gonzalo</t>
  </si>
  <si>
    <t>Monroy Cortes</t>
  </si>
  <si>
    <t>20.545.165-k</t>
  </si>
  <si>
    <t>Contreras Contreras</t>
  </si>
  <si>
    <t>9.544.397-4</t>
  </si>
  <si>
    <t>Barbara Lucia</t>
  </si>
  <si>
    <t>Rojas Cruzat</t>
  </si>
  <si>
    <t>6.619.331-4</t>
  </si>
  <si>
    <t>Stefanie</t>
  </si>
  <si>
    <t>Videla Santana</t>
  </si>
  <si>
    <t>15.561.141-3</t>
  </si>
  <si>
    <t>Martha Eliana</t>
  </si>
  <si>
    <t>Urrutia Schneider</t>
  </si>
  <si>
    <t>3.581.103-3</t>
  </si>
  <si>
    <t>Casagran Comas</t>
  </si>
  <si>
    <t>3.637.8338-7</t>
  </si>
  <si>
    <t>Guerrero Vilches</t>
  </si>
  <si>
    <t>5.736.206-5</t>
  </si>
  <si>
    <t>Alfaro Marin</t>
  </si>
  <si>
    <t>9.487.246-4</t>
  </si>
  <si>
    <t>Campos Poblete</t>
  </si>
  <si>
    <t>4.485.135-0</t>
  </si>
  <si>
    <t>Alejandra Ximena</t>
  </si>
  <si>
    <t>Vera Ahumada</t>
  </si>
  <si>
    <t>13.998.748-9</t>
  </si>
  <si>
    <t>Marie de los Angeles</t>
  </si>
  <si>
    <t>Fernandez Lavin</t>
  </si>
  <si>
    <t>6.751.418-1</t>
  </si>
  <si>
    <t>Ema luisa</t>
  </si>
  <si>
    <t>Ibarra Gonzalez</t>
  </si>
  <si>
    <t>6.469.040-k</t>
  </si>
  <si>
    <t>Elisa Victoria</t>
  </si>
  <si>
    <t>Dogman Ceballos</t>
  </si>
  <si>
    <t>5.150.950-1</t>
  </si>
  <si>
    <t>Jacqueline del Rosario</t>
  </si>
  <si>
    <t>Araya Araya</t>
  </si>
  <si>
    <t>11.605.975-4</t>
  </si>
  <si>
    <t>Romo Castillo</t>
  </si>
  <si>
    <t>5.376.860-1</t>
  </si>
  <si>
    <t>Carmen Ivonne</t>
  </si>
  <si>
    <t>Grecco Saavedra</t>
  </si>
  <si>
    <t>5.048.206-5</t>
  </si>
  <si>
    <t>Garcia Galaz</t>
  </si>
  <si>
    <t>6.577.599-9</t>
  </si>
  <si>
    <t>Abbott 
Matus</t>
  </si>
  <si>
    <t>8.440.287-7</t>
  </si>
  <si>
    <t>Jimena Orielly</t>
  </si>
  <si>
    <t>4.984.560-k</t>
  </si>
  <si>
    <t>Elizabeth del Carmen</t>
  </si>
  <si>
    <t>Salas Jara</t>
  </si>
  <si>
    <t>8.565.586-1</t>
  </si>
  <si>
    <t>Arza Brito</t>
  </si>
  <si>
    <t>7.969.014-7</t>
  </si>
  <si>
    <t>Hilda Yolanda</t>
  </si>
  <si>
    <t>Merino Valenzuela</t>
  </si>
  <si>
    <t>5.315.764-5</t>
  </si>
  <si>
    <t>Cristine Michelle</t>
  </si>
  <si>
    <t>Gaultier Lopez</t>
  </si>
  <si>
    <t>Soto Pizarro</t>
  </si>
  <si>
    <t>Anatibia Illanes</t>
  </si>
  <si>
    <t>Lepe Sabando</t>
  </si>
  <si>
    <t>Olave jara</t>
  </si>
  <si>
    <t>Borrowman Rodriguez</t>
  </si>
  <si>
    <t>6.017.573-k</t>
  </si>
  <si>
    <t>Yungay</t>
  </si>
  <si>
    <t>Rosalia</t>
  </si>
  <si>
    <t>Duarte Opazo</t>
  </si>
  <si>
    <t>4.964.729-8</t>
  </si>
  <si>
    <t>Perez Escobar</t>
  </si>
  <si>
    <t>18264544-3</t>
  </si>
  <si>
    <t>elias.perez@alumnos.usm.cl</t>
  </si>
  <si>
    <t>Yohanna</t>
  </si>
  <si>
    <t>Fredes Fredes</t>
  </si>
  <si>
    <t>12.622.076- 6</t>
  </si>
  <si>
    <t>Yfredesfredes@gmail.com</t>
  </si>
  <si>
    <t>Vengas Alvarado</t>
  </si>
  <si>
    <t>6.688.014-1</t>
  </si>
  <si>
    <t>Navarro Quijon</t>
  </si>
  <si>
    <t>7.706.536-9</t>
  </si>
  <si>
    <t>Rebolledo Garai</t>
  </si>
  <si>
    <t>10.414.288- 5</t>
  </si>
  <si>
    <t>Cuadra Aillapan</t>
  </si>
  <si>
    <t>8.488.168-6</t>
  </si>
  <si>
    <t>sanraivonnecuadraa@gmail.com</t>
  </si>
  <si>
    <t>Montoya Bustos</t>
  </si>
  <si>
    <t>9.725.674-8</t>
  </si>
  <si>
    <t xml:space="preserve">ruthmnt@gmail.com </t>
  </si>
  <si>
    <t>Estrella</t>
  </si>
  <si>
    <t>Ruiz Diaz</t>
  </si>
  <si>
    <t>8.133.818-3</t>
  </si>
  <si>
    <t>estrellaruizdiaz53@gmail.com</t>
  </si>
  <si>
    <t>Esmeralda Colina</t>
  </si>
  <si>
    <t>Aguilar Lopez</t>
  </si>
  <si>
    <t>5.193.169-6</t>
  </si>
  <si>
    <t>Sotomayor 121, sitio interior E</t>
  </si>
  <si>
    <t>9 65366724</t>
  </si>
  <si>
    <t>Lopez Ortiz</t>
  </si>
  <si>
    <t>4.468.792-5</t>
  </si>
  <si>
    <t>Juan xxlll, población San Martin</t>
  </si>
  <si>
    <t>9 52073981</t>
  </si>
  <si>
    <t>Segovia Berrocal</t>
  </si>
  <si>
    <t>6.021.634-7</t>
  </si>
  <si>
    <t>Las tullerias 1023</t>
  </si>
  <si>
    <t>Godoy Aguilar</t>
  </si>
  <si>
    <t>11.390.357-0</t>
  </si>
  <si>
    <t>eva.tp@live.cl</t>
  </si>
  <si>
    <t>Sotomayor 121, sitio J</t>
  </si>
  <si>
    <t>Arancibia Vargas</t>
  </si>
  <si>
    <t>4.948.178-0</t>
  </si>
  <si>
    <t>rebeca Olivares 0131</t>
  </si>
  <si>
    <t>4 43364706</t>
  </si>
  <si>
    <t>18.422.003-2</t>
  </si>
  <si>
    <t>felipesgg92@gmail.com</t>
  </si>
  <si>
    <t>Sotomayor 121, sitio j</t>
  </si>
  <si>
    <t>Perez Castillo</t>
  </si>
  <si>
    <t>6.970.419-0</t>
  </si>
  <si>
    <t>Luz Cruz Martinez 0100</t>
  </si>
  <si>
    <t>9 92094429</t>
  </si>
  <si>
    <t>Galaz Astorga</t>
  </si>
  <si>
    <t>10.441.301-3</t>
  </si>
  <si>
    <t>Condominio san guillermo 24</t>
  </si>
  <si>
    <t>9 82028403</t>
  </si>
  <si>
    <t>16.454.564-4</t>
  </si>
  <si>
    <t>diana_vr@yahoo.es</t>
  </si>
  <si>
    <t>Avda. santa Maria 669 v. cordillera</t>
  </si>
  <si>
    <t>9 37122539</t>
  </si>
  <si>
    <t xml:space="preserve">Ariel </t>
  </si>
  <si>
    <t>Palma Arriagada</t>
  </si>
  <si>
    <t>13.489.330-3</t>
  </si>
  <si>
    <t>arieland74@gmail.com</t>
  </si>
  <si>
    <t>Psje 22, casa 690. I.C.P</t>
  </si>
  <si>
    <t>9 91263056</t>
  </si>
  <si>
    <t>Urbina Urbina</t>
  </si>
  <si>
    <t>18.422.986-2</t>
  </si>
  <si>
    <t>urbinaedith2018@gmail.com</t>
  </si>
  <si>
    <t>Callejón murua, sitio 11</t>
  </si>
  <si>
    <t>9 72859620</t>
  </si>
  <si>
    <t>Tomas</t>
  </si>
  <si>
    <t>Rojas Carcamo</t>
  </si>
  <si>
    <t>20.288.423-7</t>
  </si>
  <si>
    <t>proptomy@mail.com</t>
  </si>
  <si>
    <t>Juan puga Pérez 103</t>
  </si>
  <si>
    <t>9 36335899</t>
  </si>
  <si>
    <t>Nicole</t>
  </si>
  <si>
    <t>Alvarez Ahumada</t>
  </si>
  <si>
    <t>17.665.899-1</t>
  </si>
  <si>
    <t>nicole.alvareza@gmail.com</t>
  </si>
  <si>
    <t>Espindola Farias</t>
  </si>
  <si>
    <t>14.093.876-9</t>
  </si>
  <si>
    <t>clauespindolafarias@gmail.com</t>
  </si>
  <si>
    <t>Pje 10de julio 078 Luz Cruz martinez</t>
  </si>
  <si>
    <t>9 88800777</t>
  </si>
  <si>
    <t xml:space="preserve">Salomon </t>
  </si>
  <si>
    <t>Gutierrez Tejo</t>
  </si>
  <si>
    <t>13.884.940-6</t>
  </si>
  <si>
    <t xml:space="preserve">Paula </t>
  </si>
  <si>
    <t>Segovia Segovia</t>
  </si>
  <si>
    <t>9.819.326-k</t>
  </si>
  <si>
    <t>paulitajss@hotmail.com</t>
  </si>
  <si>
    <t>9 89851380</t>
  </si>
  <si>
    <t>sonia</t>
  </si>
  <si>
    <t>Luengo riquelme</t>
  </si>
  <si>
    <t>13.688.086-1</t>
  </si>
  <si>
    <t>sonyaluengo@gmail.com</t>
  </si>
  <si>
    <t>Pje amatista 1345</t>
  </si>
  <si>
    <t>9 79476713</t>
  </si>
  <si>
    <t>Gonzalez alavarez</t>
  </si>
  <si>
    <t>9.903.842-k</t>
  </si>
  <si>
    <t>15.416.173-2</t>
  </si>
  <si>
    <t>mgodoy@corporacioncolina.cl</t>
  </si>
  <si>
    <t>Sotomayor 121 sitio e</t>
  </si>
  <si>
    <t>9 20232481</t>
  </si>
  <si>
    <t>Griselda</t>
  </si>
  <si>
    <t>Lobos Lobos</t>
  </si>
  <si>
    <t>17.646.376-7</t>
  </si>
  <si>
    <t>Gricel.lobos@gmail.com</t>
  </si>
  <si>
    <t>Av. Chicureo, 2800</t>
  </si>
  <si>
    <t>9 83766773</t>
  </si>
  <si>
    <t>Escobar suazo</t>
  </si>
  <si>
    <t>9.343.716-0</t>
  </si>
  <si>
    <t>Pobl las águilas c/ tucapel 086</t>
  </si>
  <si>
    <t>9 49112548</t>
  </si>
  <si>
    <t>Lueiza Rodriguez</t>
  </si>
  <si>
    <t>6.085.031-3</t>
  </si>
  <si>
    <t>9 32203939</t>
  </si>
  <si>
    <t>Cuevas Valenzuela</t>
  </si>
  <si>
    <t>18.536.019-9</t>
  </si>
  <si>
    <t>Alexandracuevasvalenzuela@gmail.com</t>
  </si>
  <si>
    <t>Coquimbo 2813, Glorias Navales</t>
  </si>
  <si>
    <t>9 39214484</t>
  </si>
  <si>
    <t>Raul</t>
  </si>
  <si>
    <t>Troncoso Mardones</t>
  </si>
  <si>
    <t>15.362.543-3</t>
  </si>
  <si>
    <t>Raultroncoso1@gmail.com</t>
  </si>
  <si>
    <t>Serrano Valenzuela</t>
  </si>
  <si>
    <t>8.401.942-9</t>
  </si>
  <si>
    <t>mellyserrano1956@gmail.com</t>
  </si>
  <si>
    <t>Mejia Olivos</t>
  </si>
  <si>
    <t>5.228.034-6</t>
  </si>
  <si>
    <t>Rebecamejias26@gmail.com</t>
  </si>
  <si>
    <t>Gallegos Urriola</t>
  </si>
  <si>
    <t>20.237.135-3</t>
  </si>
  <si>
    <t>Marcos</t>
  </si>
  <si>
    <t>17.070.145-3</t>
  </si>
  <si>
    <t>markos.daniel.g@gmail.com</t>
  </si>
  <si>
    <t>21.685.217-6</t>
  </si>
  <si>
    <t>Tapia Leiva</t>
  </si>
  <si>
    <t>20.086.491-3</t>
  </si>
  <si>
    <t>Parra Figueroa</t>
  </si>
  <si>
    <t>18.237.421-0</t>
  </si>
  <si>
    <t>Makarena.parrafigueroa@gmail.com</t>
  </si>
  <si>
    <t>Linares</t>
  </si>
  <si>
    <t>Maria Mercedes</t>
  </si>
  <si>
    <t>Baeza Riquelme</t>
  </si>
  <si>
    <t>6.530.117-2</t>
  </si>
  <si>
    <t>El Amanecer N° 1651</t>
  </si>
  <si>
    <t>Bascur Reyes</t>
  </si>
  <si>
    <t>11.441.224-4</t>
  </si>
  <si>
    <t>Ramón Olate # 1196</t>
  </si>
  <si>
    <t>De la Vega  Urrutia</t>
  </si>
  <si>
    <t>7.601.666-6</t>
  </si>
  <si>
    <t>Chupallar N° 906</t>
  </si>
  <si>
    <t>Bernardita</t>
  </si>
  <si>
    <t>Diaz Salazar</t>
  </si>
  <si>
    <t>7.134.473-8</t>
  </si>
  <si>
    <t>Chacabuco N°  440</t>
  </si>
  <si>
    <t>Douglas Arenas</t>
  </si>
  <si>
    <t>Margarita Elena</t>
  </si>
  <si>
    <t>7.168.916-6</t>
  </si>
  <si>
    <t>Hugo Baeza N° 0098</t>
  </si>
  <si>
    <t>Fuentes Márquez</t>
  </si>
  <si>
    <t>8.300.167-4</t>
  </si>
  <si>
    <t>Javiera Carrera N° 0233</t>
  </si>
  <si>
    <t>Rebeca De Las Merced.</t>
  </si>
  <si>
    <t>Fuentes Orellana</t>
  </si>
  <si>
    <t>6..103.319.K</t>
  </si>
  <si>
    <t>Los Nardos N° 184</t>
  </si>
  <si>
    <t>Flor María</t>
  </si>
  <si>
    <t>Fuentes Tapia</t>
  </si>
  <si>
    <t>11.441.560-K</t>
  </si>
  <si>
    <t>Freire N° 210</t>
  </si>
  <si>
    <t>Ma. Germana</t>
  </si>
  <si>
    <t>Gómez Vásquez</t>
  </si>
  <si>
    <t>5.539.747-3</t>
  </si>
  <si>
    <t>Imperial N° 0325</t>
  </si>
  <si>
    <t>González Garrido</t>
  </si>
  <si>
    <t>4.569.473-9</t>
  </si>
  <si>
    <t>Pacifico N° 116</t>
  </si>
  <si>
    <t>Julia Hortensia</t>
  </si>
  <si>
    <t>Gutiérrez Leyton</t>
  </si>
  <si>
    <t>6.956.498-4</t>
  </si>
  <si>
    <t>Maica N° 1342</t>
  </si>
  <si>
    <t>Sandra Inés</t>
  </si>
  <si>
    <t>Martínez Baeza</t>
  </si>
  <si>
    <t>13.003.517-5</t>
  </si>
  <si>
    <t>León Gajardo Nuche # 1767</t>
  </si>
  <si>
    <t>Martínez Benavides</t>
  </si>
  <si>
    <t>4.112.830-5</t>
  </si>
  <si>
    <t>Las Toscas 3</t>
  </si>
  <si>
    <t>Amanda DelCarmen</t>
  </si>
  <si>
    <t>Martínez Martínez</t>
  </si>
  <si>
    <t>7.638.729-k</t>
  </si>
  <si>
    <t>Pablo Neruda N° 455</t>
  </si>
  <si>
    <t>Rosa Ivette</t>
  </si>
  <si>
    <t>Morales Solari</t>
  </si>
  <si>
    <t>7.643.958-3</t>
  </si>
  <si>
    <t>Carmen N° 52-A</t>
  </si>
  <si>
    <t>Muñoz Alfaro</t>
  </si>
  <si>
    <t>6.853.107-3</t>
  </si>
  <si>
    <t>Imperial N° 17</t>
  </si>
  <si>
    <t>Zenobia Del Carmen</t>
  </si>
  <si>
    <t>Ocampo Cancino</t>
  </si>
  <si>
    <t>2.157.481-3</t>
  </si>
  <si>
    <t>Coló coló N° 1480</t>
  </si>
  <si>
    <t>Carolina Andra</t>
  </si>
  <si>
    <t>RiffoChávez</t>
  </si>
  <si>
    <t>15.920.797-8</t>
  </si>
  <si>
    <t>Paraguay S/N</t>
  </si>
  <si>
    <t>Fresia Nelda</t>
  </si>
  <si>
    <t>Rubilar Burboa</t>
  </si>
  <si>
    <t>5.214.424-8</t>
  </si>
  <si>
    <t>San AntonioS/N</t>
  </si>
  <si>
    <t>Ginebra Alicia</t>
  </si>
  <si>
    <t>Valdebenito Valdés</t>
  </si>
  <si>
    <t>7.587.530-4</t>
  </si>
  <si>
    <t>Freire  N° 847</t>
  </si>
  <si>
    <t>Magaly Teresa</t>
  </si>
  <si>
    <t>Vásquez Luna</t>
  </si>
  <si>
    <t>6.541.618-2</t>
  </si>
  <si>
    <t>Ig. Chacón N° 1039</t>
  </si>
  <si>
    <t xml:space="preserve">Rafael </t>
  </si>
  <si>
    <t>Martinez Baeza</t>
  </si>
  <si>
    <t>12.373.116-6</t>
  </si>
  <si>
    <t>La Florida</t>
  </si>
  <si>
    <t>Fabrizzio</t>
  </si>
  <si>
    <t>Badaracco Sepulveda</t>
  </si>
  <si>
    <t>15321255-4</t>
  </si>
  <si>
    <t>Fabrizzio.badaracco@gmail.com</t>
  </si>
  <si>
    <t>Caleta camarones N°0999</t>
  </si>
  <si>
    <t>Patricia Alejandra</t>
  </si>
  <si>
    <t>Cortes piderit</t>
  </si>
  <si>
    <t>7779080-2</t>
  </si>
  <si>
    <t>Pcortes73@gmail.com</t>
  </si>
  <si>
    <t>Monseñor Eyzaguirre 454</t>
  </si>
  <si>
    <t>Anabella</t>
  </si>
  <si>
    <t>Linares Ariza</t>
  </si>
  <si>
    <t>14597834-3</t>
  </si>
  <si>
    <t>Anabellin09@gmail.com</t>
  </si>
  <si>
    <t>Am.  Vesp. 7555 Casa D</t>
  </si>
  <si>
    <t>Torres bustamante</t>
  </si>
  <si>
    <t>8829404-1</t>
  </si>
  <si>
    <t>beaty_torres@hotmail.com</t>
  </si>
  <si>
    <t>PJE PELANTARO 1380</t>
  </si>
  <si>
    <t>agustin</t>
  </si>
  <si>
    <t>Muñoz salazar</t>
  </si>
  <si>
    <t>19673435-k</t>
  </si>
  <si>
    <t>agustinmunoz36@gmail.com</t>
  </si>
  <si>
    <t>VIC. MACK. ORIENTE N° 6640</t>
  </si>
  <si>
    <t>Sasha Milenka</t>
  </si>
  <si>
    <t>Cea Bustos</t>
  </si>
  <si>
    <t>20931871-7</t>
  </si>
  <si>
    <t>sashamilenka13@gmail.com</t>
  </si>
  <si>
    <t>Pdte Luis Ignacio lula da silva 6436</t>
  </si>
  <si>
    <t>Javiera Millaray</t>
  </si>
  <si>
    <t>Rivas Sanchez</t>
  </si>
  <si>
    <t>17.175.377-5</t>
  </si>
  <si>
    <t>RIVASJAVIERA.M@GMAIL.COM</t>
  </si>
  <si>
    <t>Fresia 7627 dpt. D 32</t>
  </si>
  <si>
    <t>Gloria Angelica</t>
  </si>
  <si>
    <t>Riquelme Jorquera</t>
  </si>
  <si>
    <t>12058202-k</t>
  </si>
  <si>
    <t>riquelmejorquera@gmail.com</t>
  </si>
  <si>
    <t>Psje Tricahue 02394</t>
  </si>
  <si>
    <t>Bastian Paul</t>
  </si>
  <si>
    <t>Bravo Arancibia</t>
  </si>
  <si>
    <t>21273570-1</t>
  </si>
  <si>
    <t>Bravoarancibia2003@gamil.com</t>
  </si>
  <si>
    <t>Jorge Rafael</t>
  </si>
  <si>
    <t>23031603-1</t>
  </si>
  <si>
    <t>Jorgitopro326@gmail.com</t>
  </si>
  <si>
    <t>Gabriela Anais</t>
  </si>
  <si>
    <t>Wilson Fuentes</t>
  </si>
  <si>
    <t>21411763-0</t>
  </si>
  <si>
    <t>Gabriela.wilson@derecho.uchile.cl</t>
  </si>
  <si>
    <t>Sebastian Alejandro</t>
  </si>
  <si>
    <t>Quinche DIaz</t>
  </si>
  <si>
    <t>21342215-4</t>
  </si>
  <si>
    <t>5.quinche1022@gmail.com</t>
  </si>
  <si>
    <t>Gabriel Ignacio</t>
  </si>
  <si>
    <t>Maturana Flores</t>
  </si>
  <si>
    <t>21125183-2</t>
  </si>
  <si>
    <t>Gabrielmaturana02@gmail.com</t>
  </si>
  <si>
    <t>Angelica Maria</t>
  </si>
  <si>
    <t>Lizama Mansilla</t>
  </si>
  <si>
    <t>12671699-0</t>
  </si>
  <si>
    <t>Angelica.lizama1974@gmail.com</t>
  </si>
  <si>
    <t>Ester Beatriz</t>
  </si>
  <si>
    <t>Barahona Ruiz</t>
  </si>
  <si>
    <t>14273184-3</t>
  </si>
  <si>
    <t>Barahonaester25@gmail.com</t>
  </si>
  <si>
    <t>Daniel Antonio</t>
  </si>
  <si>
    <t>Diaz Gonzalez</t>
  </si>
  <si>
    <t>20397195-8</t>
  </si>
  <si>
    <t>Danieldiaz149@gmail.com</t>
  </si>
  <si>
    <t>Leonor Javiera</t>
  </si>
  <si>
    <t>Reyes Sandoval</t>
  </si>
  <si>
    <t>22537758-8</t>
  </si>
  <si>
    <t>Leonor.j.reyess@gmail.com</t>
  </si>
  <si>
    <t>Fabian Antonio</t>
  </si>
  <si>
    <t>Venegas Quevedo</t>
  </si>
  <si>
    <t>19517772-4</t>
  </si>
  <si>
    <t>Od.fabianvenegas@gmail.com</t>
  </si>
  <si>
    <t>Anais Alexandra</t>
  </si>
  <si>
    <t>Espinoza Andrade</t>
  </si>
  <si>
    <t>20455464-1</t>
  </si>
  <si>
    <t>a.espinozatm@gmail.com</t>
  </si>
  <si>
    <t>Navarro Cabrera</t>
  </si>
  <si>
    <t>18839541-4</t>
  </si>
  <si>
    <t>Olga.alvaradocabrera@gmail.com</t>
  </si>
  <si>
    <t>Javiera Natalia</t>
  </si>
  <si>
    <t>Carvajal Quilodran</t>
  </si>
  <si>
    <t>19276522-6</t>
  </si>
  <si>
    <t>Mariajaviera23@gmail.com</t>
  </si>
  <si>
    <t>Pino Zapata</t>
  </si>
  <si>
    <t>19961221-2</t>
  </si>
  <si>
    <t>fpinozapata@gmail.com</t>
  </si>
  <si>
    <t>Fernanda Belen</t>
  </si>
  <si>
    <t>Soriano Toro</t>
  </si>
  <si>
    <t>21049877-k</t>
  </si>
  <si>
    <t>Ferr.soriano@gmail.com</t>
  </si>
  <si>
    <t>Dominique constance</t>
  </si>
  <si>
    <t>Darraidou buschmann</t>
  </si>
  <si>
    <t>20591180-4</t>
  </si>
  <si>
    <t>Domi.darraidou@gmail.com</t>
  </si>
  <si>
    <t>Milena Rildeth</t>
  </si>
  <si>
    <t>Cancino Riquelme</t>
  </si>
  <si>
    <t>16884917-6</t>
  </si>
  <si>
    <t>milenarildeth@gmail.com</t>
  </si>
  <si>
    <t>Stefano Guillermo</t>
  </si>
  <si>
    <t>Cataldo Cabeza</t>
  </si>
  <si>
    <t>19571523-8</t>
  </si>
  <si>
    <t>Stefanocataldo97@gmail.com</t>
  </si>
  <si>
    <t>Sergio Alvaro</t>
  </si>
  <si>
    <t>Marchessi pinot</t>
  </si>
  <si>
    <t>18729184-4</t>
  </si>
  <si>
    <t>Tm.sergiomarchessi@gmail.com</t>
  </si>
  <si>
    <t>Fernando Edgard</t>
  </si>
  <si>
    <t>Silvi Guzman</t>
  </si>
  <si>
    <t>18571116-1</t>
  </si>
  <si>
    <t>fernisilbi@gmail.com</t>
  </si>
  <si>
    <t>Doris del carmen</t>
  </si>
  <si>
    <t>Soto Klagges</t>
  </si>
  <si>
    <t>15282185-9</t>
  </si>
  <si>
    <t>Dorissoto.psi.2020@gmail.com</t>
  </si>
  <si>
    <t>Garcia Mardones</t>
  </si>
  <si>
    <t>10392698-k</t>
  </si>
  <si>
    <t>Macasgarciain23@gmail.com</t>
  </si>
  <si>
    <t>Meyling Kioto</t>
  </si>
  <si>
    <t>Ly Cortez</t>
  </si>
  <si>
    <t>12833621-4</t>
  </si>
  <si>
    <t>Meyling-ly@hotmail.com</t>
  </si>
  <si>
    <t>Gajardo Moreno</t>
  </si>
  <si>
    <t>Carla.gajardo.m@gmail.com</t>
  </si>
  <si>
    <t>Mathias Gustavo</t>
  </si>
  <si>
    <t>Silva Lemarchand</t>
  </si>
  <si>
    <t>16619690-6</t>
  </si>
  <si>
    <t>msilval@live.cl</t>
  </si>
  <si>
    <t>Veronica Carolina</t>
  </si>
  <si>
    <t>Aravena Opitz</t>
  </si>
  <si>
    <t>20455720-9</t>
  </si>
  <si>
    <t>o.veronica.aravena@gmail.com</t>
  </si>
  <si>
    <t>Colomba Valentina</t>
  </si>
  <si>
    <t>Padilla Caro</t>
  </si>
  <si>
    <t>23202867-k</t>
  </si>
  <si>
    <t>cv.padillac@icloud.com</t>
  </si>
  <si>
    <t>Leiva Hauway</t>
  </si>
  <si>
    <t>23071522-k</t>
  </si>
  <si>
    <t>Isita.leiva.hauway@gmail.com</t>
  </si>
  <si>
    <t>Danae</t>
  </si>
  <si>
    <t>Epuñañ painevilo</t>
  </si>
  <si>
    <t>19291357-8</t>
  </si>
  <si>
    <t>Danae.epunan@gmail.com</t>
  </si>
  <si>
    <t>Stephanie Nicolle</t>
  </si>
  <si>
    <t>Ruiz Soto</t>
  </si>
  <si>
    <t>16.955.434-k</t>
  </si>
  <si>
    <t>stephanienrs@gmail.com</t>
  </si>
  <si>
    <t>Maximiliano Eduardo</t>
  </si>
  <si>
    <t>López Cortes</t>
  </si>
  <si>
    <t>21.753.291-4</t>
  </si>
  <si>
    <t>lmaxi0114@gmail.com</t>
  </si>
  <si>
    <t>Carrasco Aguilera</t>
  </si>
  <si>
    <t>5.306.773-5</t>
  </si>
  <si>
    <t>guenita.c@gmail.com</t>
  </si>
  <si>
    <t>Ana Karina</t>
  </si>
  <si>
    <t>Puga Matter</t>
  </si>
  <si>
    <t>15.770.931-3</t>
  </si>
  <si>
    <t>anakarinapuga@gmail.com</t>
  </si>
  <si>
    <t>Valeria Antonia</t>
  </si>
  <si>
    <t>Pinto González</t>
  </si>
  <si>
    <t>20.075.939-7</t>
  </si>
  <si>
    <t>valeria.pinto@uc.cl</t>
  </si>
  <si>
    <t>Los Vilos</t>
  </si>
  <si>
    <t>Rojas Vargas</t>
  </si>
  <si>
    <t>10.984.719-4</t>
  </si>
  <si>
    <t>Sin mail</t>
  </si>
  <si>
    <t>Ensenada 160</t>
  </si>
  <si>
    <t>Zapata Olavarría</t>
  </si>
  <si>
    <t>5.020.886-9</t>
  </si>
  <si>
    <t>Rengo 111</t>
  </si>
  <si>
    <t>Tordecilla Gonzalez</t>
  </si>
  <si>
    <t>6.806.603-4</t>
  </si>
  <si>
    <t>Pasaje 6 Casa 651</t>
  </si>
  <si>
    <t>Saso Rojo</t>
  </si>
  <si>
    <t>6.910.119-4</t>
  </si>
  <si>
    <t>Lautaro 180</t>
  </si>
  <si>
    <t>7.734.173-0</t>
  </si>
  <si>
    <t>Elicura 510</t>
  </si>
  <si>
    <t>Julio Saavedra</t>
  </si>
  <si>
    <t>6.146.760-2</t>
  </si>
  <si>
    <t>Sin Mail</t>
  </si>
  <si>
    <t>Caupolicán 68</t>
  </si>
  <si>
    <t>German</t>
  </si>
  <si>
    <t>Neculam Cayulao</t>
  </si>
  <si>
    <t>11.187.677-0</t>
  </si>
  <si>
    <t>Pasaje Rio Choapa 320</t>
  </si>
  <si>
    <t>Noemi</t>
  </si>
  <si>
    <t>Millanao Curilam</t>
  </si>
  <si>
    <t>10.563.784-5</t>
  </si>
  <si>
    <t>Pasaje Rio Choapa 620</t>
  </si>
  <si>
    <t>Leiva Tordecilla</t>
  </si>
  <si>
    <t>20.556.672-6</t>
  </si>
  <si>
    <t>Cinthia</t>
  </si>
  <si>
    <t>11.941.525-k</t>
  </si>
  <si>
    <t>Punta Arenas</t>
  </si>
  <si>
    <t>Aguilar Ojeda</t>
  </si>
  <si>
    <t>5.426.263-5</t>
  </si>
  <si>
    <t>Eugenio Gligo 0174</t>
  </si>
  <si>
    <t>Alvarado Cárcamo</t>
  </si>
  <si>
    <t>7.176.063-4</t>
  </si>
  <si>
    <t>Mauricio Levet 049</t>
  </si>
  <si>
    <t>Barría Asencio</t>
  </si>
  <si>
    <t>9.756.652-6</t>
  </si>
  <si>
    <t>Avda. España 01140</t>
  </si>
  <si>
    <t>Cárdenas Navarro</t>
  </si>
  <si>
    <t>7.888.276-K</t>
  </si>
  <si>
    <t>Mateo Paravic 0165</t>
  </si>
  <si>
    <t>Cárcamo Saavedra</t>
  </si>
  <si>
    <t>9.540.341-7</t>
  </si>
  <si>
    <t>Pje. España 119</t>
  </si>
  <si>
    <t>Díaz Coñuecar</t>
  </si>
  <si>
    <t>8.929.294-8</t>
  </si>
  <si>
    <t>Miguel de Cervantes 0200</t>
  </si>
  <si>
    <t>Garay Bórquez</t>
  </si>
  <si>
    <t>6.987.351-0</t>
  </si>
  <si>
    <t>Pje. Carlos Timaeus 3478</t>
  </si>
  <si>
    <t>Henríquez Herrera</t>
  </si>
  <si>
    <t>5.793.483-2</t>
  </si>
  <si>
    <t>Pje. Ballesteros 0152</t>
  </si>
  <si>
    <t>Leuquén Catepillan</t>
  </si>
  <si>
    <t>8.261.063-4</t>
  </si>
  <si>
    <t>Santo Domingo 935</t>
  </si>
  <si>
    <t>María Estela</t>
  </si>
  <si>
    <t>Mancilla Cárdenas</t>
  </si>
  <si>
    <t>6.900.856-9</t>
  </si>
  <si>
    <t>Armando Sanhueza 2462</t>
  </si>
  <si>
    <t>Maldonado Haro</t>
  </si>
  <si>
    <t>8.784.661-K</t>
  </si>
  <si>
    <t>Los Glaciares 04352</t>
  </si>
  <si>
    <t>Matamala Soto</t>
  </si>
  <si>
    <t>4.734.764-5</t>
  </si>
  <si>
    <t>Avda. España 01139</t>
  </si>
  <si>
    <t>Mirna</t>
  </si>
  <si>
    <t>Oyarzo Alderete</t>
  </si>
  <si>
    <t>9.130.302-7</t>
  </si>
  <si>
    <t>Padre Dagostini 0756</t>
  </si>
  <si>
    <t>Oyarzo Godoy</t>
  </si>
  <si>
    <t>5.829.746-1</t>
  </si>
  <si>
    <t>Zenteno 108</t>
  </si>
  <si>
    <t>Oyarzún Paredes</t>
  </si>
  <si>
    <t>8.221.983-8</t>
  </si>
  <si>
    <t>1 de May 0907</t>
  </si>
  <si>
    <t>Leontina</t>
  </si>
  <si>
    <t>Peña Becerra</t>
  </si>
  <si>
    <t>8.815.925-K</t>
  </si>
  <si>
    <t>Fco. Javier Reyna 017</t>
  </si>
  <si>
    <t>Sánchez Gómez</t>
  </si>
  <si>
    <t>7.447.895-6</t>
  </si>
  <si>
    <t>Vol.Antonio Gallardo 3097</t>
  </si>
  <si>
    <t>6.973.375-1</t>
  </si>
  <si>
    <t>Prat 2547</t>
  </si>
  <si>
    <t>Uribe Soto</t>
  </si>
  <si>
    <t>6.269.466-1</t>
  </si>
  <si>
    <t>Mejicana 446</t>
  </si>
  <si>
    <t>Nilia</t>
  </si>
  <si>
    <t>Andrade Paillacán</t>
  </si>
  <si>
    <t>15.309.192-7</t>
  </si>
  <si>
    <t>Niliaa.podologaclinica@outlook.cl</t>
  </si>
  <si>
    <t>Cárdenas Levicán</t>
  </si>
  <si>
    <t>10.044.615-4</t>
  </si>
  <si>
    <t>Angycar72@hotmail.com</t>
  </si>
  <si>
    <t>9.746.094-k</t>
  </si>
  <si>
    <t>Gómez Gómez</t>
  </si>
  <si>
    <t>7.592.498-4</t>
  </si>
  <si>
    <t>Ojeda Oyarzo</t>
  </si>
  <si>
    <t>18.551.912-0</t>
  </si>
  <si>
    <t>c.pazojeda@gmail.com</t>
  </si>
  <si>
    <t>Vidal Vidal</t>
  </si>
  <si>
    <t>13.000.173-4</t>
  </si>
  <si>
    <t>javiermaullin@gmail.com</t>
  </si>
  <si>
    <t>La Calera</t>
  </si>
  <si>
    <t>FRESIA</t>
  </si>
  <si>
    <t>DURAN MARAMBIO</t>
  </si>
  <si>
    <t>8733014-1</t>
  </si>
  <si>
    <t>Michimalongo # 402</t>
  </si>
  <si>
    <t>EDITH</t>
  </si>
  <si>
    <t>CATALDO OJEDA</t>
  </si>
  <si>
    <t>7165808-2</t>
  </si>
  <si>
    <t>Adriana #1147</t>
  </si>
  <si>
    <t>CARLOS</t>
  </si>
  <si>
    <t>RODRIGUEZ SALDOVAL</t>
  </si>
  <si>
    <t>5120946-k</t>
  </si>
  <si>
    <t>Unión #579</t>
  </si>
  <si>
    <t>AMALIA</t>
  </si>
  <si>
    <t>ELOS CHOQUE</t>
  </si>
  <si>
    <t>5458456-3</t>
  </si>
  <si>
    <t>Petorquita
#601 Hijuelas</t>
  </si>
  <si>
    <t>MARIA</t>
  </si>
  <si>
    <t>7482032-7</t>
  </si>
  <si>
    <t>Condominio Sol oriente casa 60</t>
  </si>
  <si>
    <t>ARANCIBIA FABRES</t>
  </si>
  <si>
    <t>7594615-5</t>
  </si>
  <si>
    <t>Troncal S/N</t>
  </si>
  <si>
    <t>JUAN</t>
  </si>
  <si>
    <t>ORDENES TAPIA</t>
  </si>
  <si>
    <t>15069323-3</t>
  </si>
  <si>
    <t>Caracoles #50, depto 401-D La Crus</t>
  </si>
  <si>
    <t>CAMILA</t>
  </si>
  <si>
    <t>EATON DURAN</t>
  </si>
  <si>
    <t>18878819-k</t>
  </si>
  <si>
    <t>Arturo Perez Canto #541</t>
  </si>
  <si>
    <t>MARGARITA</t>
  </si>
  <si>
    <t>8733358-2</t>
  </si>
  <si>
    <t>Michimalongo #402</t>
  </si>
  <si>
    <t>GATICA BUGUEÑO</t>
  </si>
  <si>
    <t>7792231-8</t>
  </si>
  <si>
    <t>Pob. Panamericana, las maravillas #180 artificio</t>
  </si>
  <si>
    <t>SANCHEZ LOPEZ</t>
  </si>
  <si>
    <t>7924795-2</t>
  </si>
  <si>
    <t>Viñas de Quillota pje. Syrah #1157</t>
  </si>
  <si>
    <t>MONICA</t>
  </si>
  <si>
    <t>RUDOLFFI BUGUEÑO</t>
  </si>
  <si>
    <t>18160870-3</t>
  </si>
  <si>
    <t>Instituto # 591, villa paraíso Quillota</t>
  </si>
  <si>
    <t>SARA</t>
  </si>
  <si>
    <t>UBILLO PLAZA</t>
  </si>
  <si>
    <t>738450-6</t>
  </si>
  <si>
    <t>Los Molinos de Quillota, calle Galerna #1744</t>
  </si>
  <si>
    <t>OLGA</t>
  </si>
  <si>
    <t>ASTUDILLO</t>
  </si>
  <si>
    <t>13750917-2</t>
  </si>
  <si>
    <t>Las Margaritas 345</t>
  </si>
  <si>
    <t>JULIA</t>
  </si>
  <si>
    <t>PRADO ORTEGA</t>
  </si>
  <si>
    <t>7491472-1</t>
  </si>
  <si>
    <t>DEISY</t>
  </si>
  <si>
    <t>GAETE SIERRA</t>
  </si>
  <si>
    <t>10102820-8</t>
  </si>
  <si>
    <t>PIA</t>
  </si>
  <si>
    <t>ROJAS REYES</t>
  </si>
  <si>
    <t>21594213-9</t>
  </si>
  <si>
    <t>MARIAPAZ</t>
  </si>
  <si>
    <t>MENESES TAPIA</t>
  </si>
  <si>
    <t>BENJAMIN</t>
  </si>
  <si>
    <t>SEPULVEDA MORALES</t>
  </si>
  <si>
    <t>20499352-1</t>
  </si>
  <si>
    <t>OLIVER</t>
  </si>
  <si>
    <t>OLIVARES POZO</t>
  </si>
  <si>
    <t>13763412-0</t>
  </si>
  <si>
    <t>POZO HENRIQUEZ</t>
  </si>
  <si>
    <t>9200631-k</t>
  </si>
  <si>
    <t>ANA</t>
  </si>
  <si>
    <t>MONTINO PACHECO</t>
  </si>
  <si>
    <t>7527317-7</t>
  </si>
  <si>
    <t>Garcia Gonzalez</t>
  </si>
  <si>
    <t>21.066.595-1</t>
  </si>
  <si>
    <t>2do de línea 813 Quilpue</t>
  </si>
  <si>
    <t>Arce Gutierrez</t>
  </si>
  <si>
    <t>20.521.989-7</t>
  </si>
  <si>
    <t>Longitudinal f 18 Las Vegas Villa Alemana</t>
  </si>
  <si>
    <t>Moya Moya</t>
  </si>
  <si>
    <t>5.843.949-5</t>
  </si>
  <si>
    <t>Ovalle 1754 las Rosas Quilpue</t>
  </si>
  <si>
    <t>ALBERTO</t>
  </si>
  <si>
    <t>GODOY TORDOYA</t>
  </si>
  <si>
    <t>15.741.081-4</t>
  </si>
  <si>
    <t>CLAUDIO FREDDY</t>
  </si>
  <si>
    <t>RAMÍREZ PIZARRO</t>
  </si>
  <si>
    <t>8.940.126-7</t>
  </si>
  <si>
    <t>MILKO</t>
  </si>
  <si>
    <t>GÁLVEZ ANGEL</t>
  </si>
  <si>
    <t>20.347.522-5</t>
  </si>
  <si>
    <t>SERGIO GUISSEPPE</t>
  </si>
  <si>
    <t>SALVEMINI QUINTERO</t>
  </si>
  <si>
    <t>26.894.719-1</t>
  </si>
  <si>
    <t>Talagante</t>
  </si>
  <si>
    <t>Calderon Carvajal</t>
  </si>
  <si>
    <t>5.419.267-3</t>
  </si>
  <si>
    <t>Rio Simpson 603 Talagante</t>
  </si>
  <si>
    <t>Beatriz Angelica</t>
  </si>
  <si>
    <t>13.705.530-9</t>
  </si>
  <si>
    <t>Hans Steffen 1121 Talagante</t>
  </si>
  <si>
    <t>Lilian Alejandra</t>
  </si>
  <si>
    <t>Bravo Muñoz</t>
  </si>
  <si>
    <t>12.176.519-5</t>
  </si>
  <si>
    <t>Julio Vranken 2629 Talagante</t>
  </si>
  <si>
    <t>Maria Celia</t>
  </si>
  <si>
    <t>Parra Sepulveda</t>
  </si>
  <si>
    <t>9.505.505-2</t>
  </si>
  <si>
    <t>Los Clarines 1772 Talagante</t>
  </si>
  <si>
    <t>Patricia Jimena</t>
  </si>
  <si>
    <t>9.820.458-K</t>
  </si>
  <si>
    <t>Los Nardos 1213 Talagante</t>
  </si>
  <si>
    <t>Galvez Cespedes</t>
  </si>
  <si>
    <t>21.06.548-0</t>
  </si>
  <si>
    <t>Baltazar Castro 958 Peñaflor</t>
  </si>
  <si>
    <t>Antonia Millaray</t>
  </si>
  <si>
    <t>Alarcon Nuñez</t>
  </si>
  <si>
    <t>20.985.936-K</t>
  </si>
  <si>
    <t>Arturo Prat 1039 Talagante</t>
  </si>
  <si>
    <t>Valdes Rozas</t>
  </si>
  <si>
    <t>7.944.360-3</t>
  </si>
  <si>
    <t>Pasaje 6 casa 432 Talagante</t>
  </si>
  <si>
    <t>Angelina  Vivian</t>
  </si>
  <si>
    <t>Navarro Navarro</t>
  </si>
  <si>
    <t>14.239.391-3</t>
  </si>
  <si>
    <t>Lonquen sur sitio 16 Talagante</t>
  </si>
  <si>
    <t>Requinoa</t>
  </si>
  <si>
    <t>ana</t>
  </si>
  <si>
    <t>droguett ramirez</t>
  </si>
  <si>
    <t>6.193.046-9</t>
  </si>
  <si>
    <t>el abra #227 – requinoa</t>
  </si>
  <si>
    <t>mireya</t>
  </si>
  <si>
    <t>olguin espinoza</t>
  </si>
  <si>
    <t>7.152.548-1</t>
  </si>
  <si>
    <t>-</t>
  </si>
  <si>
    <t>pob el esfuerzo – requinoa</t>
  </si>
  <si>
    <t>luz</t>
  </si>
  <si>
    <t>san martin garcia</t>
  </si>
  <si>
    <t>9.504.591-k</t>
  </si>
  <si>
    <t>villa eden, los lirios – requinoa</t>
  </si>
  <si>
    <t>eugenia</t>
  </si>
  <si>
    <t>bustamante camilo</t>
  </si>
  <si>
    <t>6.983.445-0</t>
  </si>
  <si>
    <t>lo hermogenes – requinoa</t>
  </si>
  <si>
    <t>magdalena</t>
  </si>
  <si>
    <t>huerta solis</t>
  </si>
  <si>
    <t>7.556.618-2</t>
  </si>
  <si>
    <t>villa baquedano – requinoa</t>
  </si>
  <si>
    <t>irma</t>
  </si>
  <si>
    <t>cerda mejias</t>
  </si>
  <si>
    <t>5.592.544-5</t>
  </si>
  <si>
    <t>santa amalia – requinoa</t>
  </si>
  <si>
    <t>celinda</t>
  </si>
  <si>
    <t>toledo arejola</t>
  </si>
  <si>
    <t>5.010.256-4</t>
  </si>
  <si>
    <t>villa paraguay – requinoa</t>
  </si>
  <si>
    <t>lorena</t>
  </si>
  <si>
    <t>quintana mendez</t>
  </si>
  <si>
    <t>10.307.399-5</t>
  </si>
  <si>
    <t>samuel</t>
  </si>
  <si>
    <t>ortega valenzuela</t>
  </si>
  <si>
    <t>9.817.682-9</t>
  </si>
  <si>
    <t>reinaldo</t>
  </si>
  <si>
    <t>sanchez sanchez</t>
  </si>
  <si>
    <t>5.571.757-5</t>
  </si>
  <si>
    <t>pasaje lecaros – requinoa</t>
  </si>
  <si>
    <t>maria</t>
  </si>
  <si>
    <t>pino garay</t>
  </si>
  <si>
    <t>6.829.320-0</t>
  </si>
  <si>
    <t>pob el ezfuerzo – requinoa</t>
  </si>
  <si>
    <t>ISABEL</t>
  </si>
  <si>
    <t>GANA REBOLLEDO</t>
  </si>
  <si>
    <t>10.009.207-8</t>
  </si>
  <si>
    <t>JOSE</t>
  </si>
  <si>
    <t>PINO GARAY</t>
  </si>
  <si>
    <t>5.521.849-8</t>
  </si>
  <si>
    <t>San Fernando</t>
  </si>
  <si>
    <t>Silva barrera</t>
  </si>
  <si>
    <t>Sandrasilvabarrera@gmail.com</t>
  </si>
  <si>
    <t>El pehuen 0691, v georgina san fdo</t>
  </si>
  <si>
    <t>9 373732013</t>
  </si>
  <si>
    <t>0lga</t>
  </si>
  <si>
    <t>Gonzalez moreno</t>
  </si>
  <si>
    <t>5.930.224-8</t>
  </si>
  <si>
    <t>Eliana.olga@gmail.com</t>
  </si>
  <si>
    <t>Los palacios 243 san fdo</t>
  </si>
  <si>
    <t>9 52363504</t>
  </si>
  <si>
    <t>Genoveva</t>
  </si>
  <si>
    <t>Diaz perez</t>
  </si>
  <si>
    <t>8.879.081-2</t>
  </si>
  <si>
    <t>Genodiazp@gmail.com</t>
  </si>
  <si>
    <t>Jose albano y pereira 679 villa el alamo</t>
  </si>
  <si>
    <t>9 95460859</t>
  </si>
  <si>
    <t>Alezandra</t>
  </si>
  <si>
    <t>Pizarro silva</t>
  </si>
  <si>
    <t>18.723.064-0</t>
  </si>
  <si>
    <t>Alexandra.pizarro.silvaa@gmail.com</t>
  </si>
  <si>
    <t>Osvaldo rengifo 1785, villa eduardo barrio iii</t>
  </si>
  <si>
    <t>9 57264929</t>
  </si>
  <si>
    <t>Guilda</t>
  </si>
  <si>
    <t>Solis sanhueza</t>
  </si>
  <si>
    <t>9.914.455-6</t>
  </si>
  <si>
    <t>Nadiasoliss007@gmail.com</t>
  </si>
  <si>
    <t>Ternura 977 villa gabriela mistral</t>
  </si>
  <si>
    <t>9 54168129</t>
  </si>
  <si>
    <t>20.178.672-k</t>
  </si>
  <si>
    <t>El pehuen 0691,villa georgina1</t>
  </si>
  <si>
    <t>9 40381486</t>
  </si>
  <si>
    <t>Mesi munoz</t>
  </si>
  <si>
    <t>18.453653-6</t>
  </si>
  <si>
    <t>9 83682251</t>
  </si>
  <si>
    <t>Baeza martinez</t>
  </si>
  <si>
    <t>10.138.843-3</t>
  </si>
  <si>
    <t>Rosyedith2401@gmail.com</t>
  </si>
  <si>
    <t>Juan godoy 1007, villa gabriela mistra</t>
  </si>
  <si>
    <t>9 41032497</t>
  </si>
  <si>
    <t>SR Magallanes</t>
  </si>
  <si>
    <t>Carcamo barrientos</t>
  </si>
  <si>
    <t>7482007-7</t>
  </si>
  <si>
    <t>Chemarilu@hotmail.com</t>
  </si>
  <si>
    <t>Honduras 935 punta arenas</t>
  </si>
  <si>
    <t>Cardenas levican</t>
  </si>
  <si>
    <t>17.238.849-3</t>
  </si>
  <si>
    <t>Vicarle@msn.com</t>
  </si>
  <si>
    <t>Tucapel 0420 punta arenas</t>
  </si>
  <si>
    <t>Cardenas cardenas</t>
  </si>
  <si>
    <t>19.253.942-0</t>
  </si>
  <si>
    <t>Javcar17@gmail.com</t>
  </si>
  <si>
    <t>Christopher</t>
  </si>
  <si>
    <t>Vergara mayorga</t>
  </si>
  <si>
    <t>19.424.145-3</t>
  </si>
  <si>
    <t>Chrrisfabrizzio@gmail.com</t>
  </si>
  <si>
    <t>Mar de galilea 815 punta arenas</t>
  </si>
  <si>
    <t>Jubitza</t>
  </si>
  <si>
    <t>Medina cardenas</t>
  </si>
  <si>
    <t>20.295.071-k</t>
  </si>
  <si>
    <t>Jubitza.medina@hotmail.com</t>
  </si>
  <si>
    <t>Avda. Ancud block 3 0287-a depto 206</t>
  </si>
  <si>
    <t>Agüero paillan</t>
  </si>
  <si>
    <t>19.620.706-6</t>
  </si>
  <si>
    <t>Carlosaguero6@gmail.com</t>
  </si>
  <si>
    <t>Capitan simpson 0315</t>
  </si>
  <si>
    <t>Ospina asprilla</t>
  </si>
  <si>
    <t>26.426.549-5</t>
  </si>
  <si>
    <t>Juanstebano@gmail.com</t>
  </si>
  <si>
    <t>Isla de pascua 951</t>
  </si>
  <si>
    <t>Dina</t>
  </si>
  <si>
    <t>Martinic</t>
  </si>
  <si>
    <t>3.724.122-9</t>
  </si>
  <si>
    <t>Mario zavattaro 50</t>
  </si>
  <si>
    <t>GUINEO LOPEZ</t>
  </si>
  <si>
    <t>16.363.210-1</t>
  </si>
  <si>
    <t>SERVICIOELECTRICAR@GMAIL.COM</t>
  </si>
  <si>
    <t>Riachuelo</t>
  </si>
  <si>
    <t>Pradienes Gonzalez</t>
  </si>
  <si>
    <t>6.675.683-1</t>
  </si>
  <si>
    <t>s/i</t>
  </si>
  <si>
    <t>barros arana 265</t>
  </si>
  <si>
    <t>Maria Ariela</t>
  </si>
  <si>
    <t>Alce Quintul</t>
  </si>
  <si>
    <t>6.466.280-5</t>
  </si>
  <si>
    <t>manuel rodriguez 150</t>
  </si>
  <si>
    <t>Arriagada Vasquez</t>
  </si>
  <si>
    <t>8.175.651-1</t>
  </si>
  <si>
    <t>las rosas 374</t>
  </si>
  <si>
    <t>Rosas Rosas</t>
  </si>
  <si>
    <t>11.250.297-1</t>
  </si>
  <si>
    <t>riachuelo caminorio blanco s/n</t>
  </si>
  <si>
    <t>Rafaela Luz</t>
  </si>
  <si>
    <t>Aguila Tremihual</t>
  </si>
  <si>
    <t>5.178.622-k</t>
  </si>
  <si>
    <t>los nostros 365, poblaciones vista hermosa</t>
  </si>
  <si>
    <t>Blanca Luz</t>
  </si>
  <si>
    <t>Villaroel Miranda</t>
  </si>
  <si>
    <t>5.839.991-4</t>
  </si>
  <si>
    <t>Edith del carmen</t>
  </si>
  <si>
    <t>Cumian Sanchez</t>
  </si>
  <si>
    <t>5.553.119-6</t>
  </si>
  <si>
    <t>manual balmaceda</t>
  </si>
  <si>
    <t>Sara Ludomilia</t>
  </si>
  <si>
    <t>Pizarro Villalobos</t>
  </si>
  <si>
    <t>6.019.579-k</t>
  </si>
  <si>
    <t>Gaston Alfredo</t>
  </si>
  <si>
    <t>Hinostroza Barria</t>
  </si>
  <si>
    <t>5.454.913-k</t>
  </si>
  <si>
    <t>pedro de valdivia 450</t>
  </si>
  <si>
    <t>Orlando</t>
  </si>
  <si>
    <t>Bravo</t>
  </si>
  <si>
    <t>5.628.450-8</t>
  </si>
  <si>
    <t>PAcheco</t>
  </si>
  <si>
    <t>8.064.875-8</t>
  </si>
  <si>
    <t>Baldovina</t>
  </si>
  <si>
    <t>2-877.125-8</t>
  </si>
  <si>
    <t>Domke</t>
  </si>
  <si>
    <t>6.584.072-3</t>
  </si>
  <si>
    <t>6.655.475-9</t>
  </si>
  <si>
    <t>Salazar</t>
  </si>
  <si>
    <t>6.012.720-4</t>
  </si>
  <si>
    <t>San Clemente</t>
  </si>
  <si>
    <t>Rosa ester</t>
  </si>
  <si>
    <t>Quinteros nuñez</t>
  </si>
  <si>
    <t>5.592.996-3</t>
  </si>
  <si>
    <t>V.inglesa san clemente</t>
  </si>
  <si>
    <t>san clemente</t>
  </si>
  <si>
    <t>Maria cristina</t>
  </si>
  <si>
    <t>Montecinos ibañez</t>
  </si>
  <si>
    <t>7.553.423-k</t>
  </si>
  <si>
    <t>La estrella san clemente</t>
  </si>
  <si>
    <t>Casanova moya</t>
  </si>
  <si>
    <t>5.330.031-6</t>
  </si>
  <si>
    <t>Huilquilemu</t>
  </si>
  <si>
    <t>CECILIA MIREYA</t>
  </si>
  <si>
    <t>NUÑEZ SEPULVEDA</t>
  </si>
  <si>
    <t>8.077.926-7</t>
  </si>
  <si>
    <t>TALCA</t>
  </si>
  <si>
    <t>Maria gestrudis</t>
  </si>
  <si>
    <t>Vergara castro</t>
  </si>
  <si>
    <t>4.041.206-9</t>
  </si>
  <si>
    <t>21 de marzo san clemente</t>
  </si>
  <si>
    <t>Mariana del carmen</t>
  </si>
  <si>
    <t>Castillo opazo</t>
  </si>
  <si>
    <t>9.049.060-5</t>
  </si>
  <si>
    <t>V. Inglesa san clemente</t>
  </si>
  <si>
    <t>Belen danae</t>
  </si>
  <si>
    <t>Gonzalez navas</t>
  </si>
  <si>
    <t>21.299.750-1</t>
  </si>
  <si>
    <t>Clodomiro silva san clemente</t>
  </si>
  <si>
    <t>Jasmin</t>
  </si>
  <si>
    <t>Troncoso ulloa</t>
  </si>
  <si>
    <t>21.417.192-9</t>
  </si>
  <si>
    <t>San clemente</t>
  </si>
  <si>
    <t>Valentina ignacia</t>
  </si>
  <si>
    <t>Arenas osores</t>
  </si>
  <si>
    <t>21.620.705-k</t>
  </si>
  <si>
    <t>San maximo san clemente</t>
  </si>
  <si>
    <t>Joaquin</t>
  </si>
  <si>
    <t>Escobar valenzuela</t>
  </si>
  <si>
    <t>21.017.049-9</t>
  </si>
  <si>
    <t>Alexis david</t>
  </si>
  <si>
    <t>Narvaes nuñez</t>
  </si>
  <si>
    <t>26.243.94-2</t>
  </si>
  <si>
    <t>Carlos edmundo</t>
  </si>
  <si>
    <t>Cardenas muñoz</t>
  </si>
  <si>
    <t>21.625.919-k</t>
  </si>
  <si>
    <t>Jessika del carmen</t>
  </si>
  <si>
    <t>Navas quinteros</t>
  </si>
  <si>
    <t>8.525.139-2</t>
  </si>
  <si>
    <t>Alvaro</t>
  </si>
  <si>
    <t>Rasso diaz</t>
  </si>
  <si>
    <t>26.230.899-5</t>
  </si>
  <si>
    <t>Lukas guillermo</t>
  </si>
  <si>
    <t>Alvarez -salamanca navas</t>
  </si>
  <si>
    <t>21.493.212-1</t>
  </si>
  <si>
    <t>Valentina alejandra</t>
  </si>
  <si>
    <t>Valdes sepulveda</t>
  </si>
  <si>
    <t>21.557.802-k</t>
  </si>
  <si>
    <t>Valentinalejandra@gmail.com</t>
  </si>
  <si>
    <t>San maximo sanclemente</t>
  </si>
  <si>
    <t>Nidia belen</t>
  </si>
  <si>
    <t>Molina muñoz</t>
  </si>
  <si>
    <t>18.891.803-4</t>
  </si>
  <si>
    <t>Gladys del carmen</t>
  </si>
  <si>
    <t>Sepulveda sepulveda</t>
  </si>
  <si>
    <t>7.859.992-8</t>
  </si>
  <si>
    <t>Carolina felisa</t>
  </si>
  <si>
    <t>Toledo salas</t>
  </si>
  <si>
    <t>13.613.337-3</t>
  </si>
  <si>
    <t>Lucia pilar</t>
  </si>
  <si>
    <t>Caceres carreño</t>
  </si>
  <si>
    <t>9.923.201-3</t>
  </si>
  <si>
    <t>Paula alejandra</t>
  </si>
  <si>
    <t>Gonzalez bravo</t>
  </si>
  <si>
    <t>14.411.474-4</t>
  </si>
  <si>
    <t>Bramadero san clemente</t>
  </si>
  <si>
    <t>Valenzuela bravo</t>
  </si>
  <si>
    <t>8.930.703-1</t>
  </si>
  <si>
    <t>Harlette</t>
  </si>
  <si>
    <t>Valenzuela zuñiga</t>
  </si>
  <si>
    <t>21.313.737-9</t>
  </si>
  <si>
    <t>Talca</t>
  </si>
  <si>
    <t>Angelica del transito</t>
  </si>
  <si>
    <t>10.875.829-5</t>
  </si>
  <si>
    <t>San luis san clemente</t>
  </si>
  <si>
    <t>Coronel</t>
  </si>
  <si>
    <t>Relta Yila</t>
  </si>
  <si>
    <t>Almedra Zambrano</t>
  </si>
  <si>
    <t>3.738.463-1</t>
  </si>
  <si>
    <t>No Tiene</t>
  </si>
  <si>
    <t>Maule</t>
  </si>
  <si>
    <t>Mónica Patricia</t>
  </si>
  <si>
    <t>Carrasco Leal</t>
  </si>
  <si>
    <t>8.597.183-2</t>
  </si>
  <si>
    <t>Días Pricken</t>
  </si>
  <si>
    <t>5.387.495-9</t>
  </si>
  <si>
    <t>Larenas Median</t>
  </si>
  <si>
    <t>9.324.259-9</t>
  </si>
  <si>
    <t>Medel Jimenes</t>
  </si>
  <si>
    <t>8.368.756-8</t>
  </si>
  <si>
    <t>Silvia Lilian</t>
  </si>
  <si>
    <t>Melo Correa</t>
  </si>
  <si>
    <t>7.427.947-3</t>
  </si>
  <si>
    <t>Orfelina</t>
  </si>
  <si>
    <t>Méndez Fierro</t>
  </si>
  <si>
    <t>4.654.556-7</t>
  </si>
  <si>
    <t>Cecilia Del Carmen</t>
  </si>
  <si>
    <t>Miranda Hermosilla</t>
  </si>
  <si>
    <t>9.645.981-5</t>
  </si>
  <si>
    <t>Mercedes Del Carmen</t>
  </si>
  <si>
    <t>Raash Villegas</t>
  </si>
  <si>
    <t>6.522.860-2</t>
  </si>
  <si>
    <t>Lagunillas</t>
  </si>
  <si>
    <t>Sylvia María</t>
  </si>
  <si>
    <t>Rojas Celis</t>
  </si>
  <si>
    <t>6.828.807-K</t>
  </si>
  <si>
    <t>Lynce7213
@Gmail.Com</t>
  </si>
  <si>
    <t>Elba Ester</t>
  </si>
  <si>
    <t>Sanhueza Sanhueza</t>
  </si>
  <si>
    <t>3.883.028-1</t>
  </si>
  <si>
    <t>Ruth Edy</t>
  </si>
  <si>
    <t>Silva Quilodrán</t>
  </si>
  <si>
    <t>9.652.146-4</t>
  </si>
  <si>
    <t>María Rosa</t>
  </si>
  <si>
    <t>San Martín Ortega</t>
  </si>
  <si>
    <t>4.172.548-6</t>
  </si>
  <si>
    <t>Doñihue</t>
  </si>
  <si>
    <t>Angela de las Mercedes</t>
  </si>
  <si>
    <t>Abaitua Soto</t>
  </si>
  <si>
    <t>5.623.692-9</t>
  </si>
  <si>
    <t>Av.Estación 213 Doñihue</t>
  </si>
  <si>
    <t>Julieta Norma</t>
  </si>
  <si>
    <t>Contreras Figueroa</t>
  </si>
  <si>
    <t>5.613.107-8</t>
  </si>
  <si>
    <t>Emilio Cuevas 651 Doñihue</t>
  </si>
  <si>
    <t>Inés Patricia</t>
  </si>
  <si>
    <t>Herrera Carrizo</t>
  </si>
  <si>
    <t>8.616.243-1</t>
  </si>
  <si>
    <t>Errazuriz 398 Doñihue</t>
  </si>
  <si>
    <t>Sandra Eva</t>
  </si>
  <si>
    <t>Marambio Meza</t>
  </si>
  <si>
    <t>8.372.365-3</t>
  </si>
  <si>
    <t>Parcela la Espe
ranza lo Cueva</t>
  </si>
  <si>
    <t>María del Carmen</t>
  </si>
  <si>
    <t>Orueta Ansoleaga</t>
  </si>
  <si>
    <t>3.250.773-5</t>
  </si>
  <si>
    <t>Ada Estación 41 Doñihue</t>
  </si>
  <si>
    <t>Lucila del Carmen</t>
  </si>
  <si>
    <t>Peralta Miranda</t>
  </si>
  <si>
    <t>5.158.919-k</t>
  </si>
  <si>
    <t>Errazuriz 299 Doñihue</t>
  </si>
  <si>
    <t>María Bernarda</t>
  </si>
  <si>
    <t>Pizarro Sánchez</t>
  </si>
  <si>
    <t>8.142.673-2</t>
  </si>
  <si>
    <t>Camino el Col era Doñihue</t>
  </si>
  <si>
    <t>Soto Rojas</t>
  </si>
  <si>
    <t>8.277.049-6</t>
  </si>
  <si>
    <t>Manuel Antonio Román s/n</t>
  </si>
  <si>
    <t>Verónica Inés</t>
  </si>
  <si>
    <t>Rivera Abaitua</t>
  </si>
  <si>
    <t>6.797.452-2</t>
  </si>
  <si>
    <t>Villa Arravan Calle Central 123LoMiranda</t>
  </si>
  <si>
    <t>Serrano Araya</t>
  </si>
  <si>
    <t>8.186.855-7</t>
  </si>
  <si>
    <t>Av. Estación 
# 289 Doñihue</t>
  </si>
  <si>
    <t>Aida Leonor</t>
  </si>
  <si>
    <t>Fuentealba Carrasco</t>
  </si>
  <si>
    <t>8.924.519-2</t>
  </si>
  <si>
    <t>Av. Estación  176 Doñihue</t>
  </si>
  <si>
    <t>Vásquez Figueroa</t>
  </si>
  <si>
    <t>7.081.243-6</t>
  </si>
  <si>
    <t>Av. Cachapoal s/n  Doñihue</t>
  </si>
  <si>
    <t>Juana Inés</t>
  </si>
  <si>
    <t>Villarroel Leiva</t>
  </si>
  <si>
    <t>8.265.810-6</t>
  </si>
  <si>
    <t>Villar del rio  331 Doñihue</t>
  </si>
  <si>
    <t>Marta Edith</t>
  </si>
  <si>
    <t>Fco.de Aguirre 069 LoMirand</t>
  </si>
  <si>
    <t>María Sylvia</t>
  </si>
  <si>
    <t>Peñaloza Beltrán</t>
  </si>
  <si>
    <t>6.749.504-7</t>
  </si>
  <si>
    <t>Vicente Carter 125 Doñihue</t>
  </si>
  <si>
    <t>Vallenar</t>
  </si>
  <si>
    <t>Rosario</t>
  </si>
  <si>
    <t>Cerda</t>
  </si>
  <si>
    <t>6.867.778-5</t>
  </si>
  <si>
    <t>5.623.863-8</t>
  </si>
  <si>
    <t>ISabel</t>
  </si>
  <si>
    <t>8.297.485-7</t>
  </si>
  <si>
    <t>Avalos</t>
  </si>
  <si>
    <t>7.631.165-8</t>
  </si>
  <si>
    <t xml:space="preserve">Maria </t>
  </si>
  <si>
    <t>Garin</t>
  </si>
  <si>
    <t>4.316.511-9</t>
  </si>
  <si>
    <t>Galeb</t>
  </si>
  <si>
    <t>16.450.635-5</t>
  </si>
  <si>
    <t>Porvenir</t>
  </si>
  <si>
    <t>DORIS DE L.</t>
  </si>
  <si>
    <t>MIMICA NAVARRO</t>
  </si>
  <si>
    <t>7.441.549-0</t>
  </si>
  <si>
    <t>DORISMN58@HOTMAIL.COM</t>
  </si>
  <si>
    <t>ZAVATTARO</t>
  </si>
  <si>
    <t>FÉLIX ANTONIO</t>
  </si>
  <si>
    <t>IGLESIAS MANCILLA</t>
  </si>
  <si>
    <t>8.421.054-4</t>
  </si>
  <si>
    <t>FELIGMAN@GMAIL.COM</t>
  </si>
  <si>
    <t>ZAVATTARO 570 CASA 2</t>
  </si>
  <si>
    <t>MARÍA INÉS</t>
  </si>
  <si>
    <t>ARAVENA GOLZIO</t>
  </si>
  <si>
    <t>5.638.076-0</t>
  </si>
  <si>
    <t>M.GUERRERO 295</t>
  </si>
  <si>
    <t>ELSA</t>
  </si>
  <si>
    <t>ALVARADO BARRIENTOS</t>
  </si>
  <si>
    <t>4.535.101-7</t>
  </si>
  <si>
    <t>ELSAALVARADO7536@GMAIL.COM</t>
  </si>
  <si>
    <t>Pedro Silva 027</t>
  </si>
  <si>
    <t>ESTRELLA IRENE</t>
  </si>
  <si>
    <t>DÍAZ LEDEZMA</t>
  </si>
  <si>
    <t>Carlos Bories 298</t>
  </si>
  <si>
    <t>MARTA IRIS</t>
  </si>
  <si>
    <t>SOTO ANDRADE</t>
  </si>
  <si>
    <t>ÓSCAR VIEL 037</t>
  </si>
  <si>
    <t>MARÍA ISABEL</t>
  </si>
  <si>
    <t>ARANCIBIA ANDRADE</t>
  </si>
  <si>
    <t>mariarancibia1170@hotmail.com</t>
  </si>
  <si>
    <t>ÓSCAR VIEL 333</t>
  </si>
  <si>
    <t>DONY MARCELO</t>
  </si>
  <si>
    <t>BARRIENTOS BÁEZ</t>
  </si>
  <si>
    <t>BARRIENTOSB@HOTMAIL.COM</t>
  </si>
  <si>
    <t>ANA CECILIA</t>
  </si>
  <si>
    <t>DÍAZ ÁVILA</t>
  </si>
  <si>
    <t>SAMPAIO 21</t>
  </si>
  <si>
    <t>MARÍA EUGENIA</t>
  </si>
  <si>
    <t>TORREZ LÓPEZ</t>
  </si>
  <si>
    <t>8.908.285-4</t>
  </si>
  <si>
    <t>mariaeugeniatorrez36@gmail.com</t>
  </si>
  <si>
    <t>Bulnes 584</t>
  </si>
  <si>
    <t>EMA</t>
  </si>
  <si>
    <t>GONZÁLEZ ANDRADE</t>
  </si>
  <si>
    <t>5.421.662-9</t>
  </si>
  <si>
    <t>INDEPENDENCIA 902</t>
  </si>
  <si>
    <t>CÁRDENAS BARRÍA</t>
  </si>
  <si>
    <t>6.557.139-0</t>
  </si>
  <si>
    <t>SARMIENTO 909</t>
  </si>
  <si>
    <t>CORINA</t>
  </si>
  <si>
    <t>SALDIVIA CONTRERAS</t>
  </si>
  <si>
    <t>JOHN WILLIAMS 0145</t>
  </si>
  <si>
    <t>NORAMBUENA CAVIEDES</t>
  </si>
  <si>
    <t>8.830.958-8</t>
  </si>
  <si>
    <t>MGTAKN@GMAIL.COM</t>
  </si>
  <si>
    <t>CHILOÉ 57</t>
  </si>
  <si>
    <t>Ancud</t>
  </si>
  <si>
    <t>MARÍA ANGÉLICA</t>
  </si>
  <si>
    <t>AGUAYO OJEDA</t>
  </si>
  <si>
    <t>8.252.803-2</t>
  </si>
  <si>
    <t>ZILIA DEL CÁRMEN</t>
  </si>
  <si>
    <t>AMPUERO BARRIENTOS</t>
  </si>
  <si>
    <t>7.459.810 -2</t>
  </si>
  <si>
    <t>Anibal Pinto
 N° 889 Ancud</t>
  </si>
  <si>
    <t>MARIA EDITH</t>
  </si>
  <si>
    <t>BARRIA BARRIA</t>
  </si>
  <si>
    <t>7.134.883 -0</t>
  </si>
  <si>
    <t>Lautaro N°899
Ancud</t>
  </si>
  <si>
    <t>SONIA DEL CÁRMEN</t>
  </si>
  <si>
    <t>CARO BARRIA</t>
  </si>
  <si>
    <t>7.356.910 -9</t>
  </si>
  <si>
    <t>Los Alerces N°515
Ancud</t>
  </si>
  <si>
    <t>MARGARITA GUADALUPE</t>
  </si>
  <si>
    <t>MATURANA MOLINA</t>
  </si>
  <si>
    <t>7.797.067 -3</t>
  </si>
  <si>
    <t>Prat. Pje. Oriente N°35 Ancud</t>
  </si>
  <si>
    <t>JENNIE DEL CÁRMEN</t>
  </si>
  <si>
    <t>MUÑOZ ALVARADO</t>
  </si>
  <si>
    <t>8.631.300 -6</t>
  </si>
  <si>
    <t>La Coruña N° 364
Ancud</t>
  </si>
  <si>
    <t>RUTH VERÓNICA</t>
  </si>
  <si>
    <t>OYARZO GALLARDO</t>
  </si>
  <si>
    <t>7.851.711 -5</t>
  </si>
  <si>
    <t>Los Carrera N°990 Ancud</t>
  </si>
  <si>
    <t>MARIA ALONDRA</t>
  </si>
  <si>
    <t>REUTER MIRANDA</t>
  </si>
  <si>
    <t>6.681.789 -k</t>
  </si>
  <si>
    <t>Errazuriz N° 350 Ancud</t>
  </si>
  <si>
    <t>REBECA AYDE</t>
  </si>
  <si>
    <t>SANTANA DÍAZ</t>
  </si>
  <si>
    <t>8.258.583 -4</t>
  </si>
  <si>
    <t>Graneros</t>
  </si>
  <si>
    <t>Benedicta rosa</t>
  </si>
  <si>
    <t>Acosta guzman</t>
  </si>
  <si>
    <t>4.008.308 -1</t>
  </si>
  <si>
    <t>1961/1978</t>
  </si>
  <si>
    <t>Avenida o’higgins nº350</t>
  </si>
  <si>
    <t>Raquel benedicta</t>
  </si>
  <si>
    <t>Acosta aguilar</t>
  </si>
  <si>
    <t>7.213.043 -k</t>
  </si>
  <si>
    <t>1987/2023</t>
  </si>
  <si>
    <t>Raquelita134.acosta@ gmail.com</t>
  </si>
  <si>
    <t>Sargento aldea nº134</t>
  </si>
  <si>
    <t>Juana olga manuela</t>
  </si>
  <si>
    <t>5.791.659- 1</t>
  </si>
  <si>
    <t>Juanitacosta.49@ gmail.com</t>
  </si>
  <si>
    <t>Los romeros nº816</t>
  </si>
  <si>
    <t>Maria doris</t>
  </si>
  <si>
    <t>Araya salinas</t>
  </si>
  <si>
    <t>7.185.017 -k</t>
  </si>
  <si>
    <t>Doris.araya1953@ gmail.com</t>
  </si>
  <si>
    <t>Concepción pje 2 nº19</t>
  </si>
  <si>
    <t>Nelly ediht</t>
  </si>
  <si>
    <t>Cañete cabezas</t>
  </si>
  <si>
    <t>5.525.839 -2</t>
  </si>
  <si>
    <t>Nellycanete@gmail.com</t>
  </si>
  <si>
    <t>A. V. Puelma nº 0321</t>
  </si>
  <si>
    <t>Ema del carmen</t>
  </si>
  <si>
    <t>Contreras fuentes</t>
  </si>
  <si>
    <t>7.283.634-0</t>
  </si>
  <si>
    <t>Directorafinanzascruzrojagros@gmail.com</t>
  </si>
  <si>
    <t>L. Rodríguez nº027v. Magisterio</t>
  </si>
  <si>
    <t>Maria angelica</t>
  </si>
  <si>
    <t>Correa contreras</t>
  </si>
  <si>
    <t>6.095.643-k</t>
  </si>
  <si>
    <t>Maniny25@hotmail.com</t>
  </si>
  <si>
    <t>Los torunos psje.p.nerudanº383</t>
  </si>
  <si>
    <t>Sonnia rebeca</t>
  </si>
  <si>
    <t>Jaramillo aranguiz</t>
  </si>
  <si>
    <t>7.282.826- 7</t>
  </si>
  <si>
    <t>Jaramillosonnia@hotmail.com</t>
  </si>
  <si>
    <t>Toruno e. Toro nº329</t>
  </si>
  <si>
    <t>Juana elisa</t>
  </si>
  <si>
    <t>Jimenez saavedra</t>
  </si>
  <si>
    <t>5.269.028- 5</t>
  </si>
  <si>
    <t>Juanitajimenez@hotmail.com</t>
  </si>
  <si>
    <t>Avda. O’higgins nº350</t>
  </si>
  <si>
    <t>Margarita leonor</t>
  </si>
  <si>
    <t>Lopez castillo</t>
  </si>
  <si>
    <t>9.014.426- k</t>
  </si>
  <si>
    <t>Barbara.lopez82@ gmail.com</t>
  </si>
  <si>
    <t>Capricorniopje5 nº12</t>
  </si>
  <si>
    <t>Erlcira mercedes</t>
  </si>
  <si>
    <t>Pinto torres</t>
  </si>
  <si>
    <t>5.846.050- 8</t>
  </si>
  <si>
    <t>Pelcira@gmail.com</t>
  </si>
  <si>
    <t>Concepción nº395</t>
  </si>
  <si>
    <t>Rosa del carmen</t>
  </si>
  <si>
    <t>7.362.141- 0</t>
  </si>
  <si>
    <t>Rosapintotorres@gmail.com</t>
  </si>
  <si>
    <t>Pje. Zabala nº123</t>
  </si>
  <si>
    <t>Piña pino</t>
  </si>
  <si>
    <t>11.142.429- 2</t>
  </si>
  <si>
    <t>Chelita.piña@gmail.com</t>
  </si>
  <si>
    <t>Los poetar.g.nº519</t>
  </si>
  <si>
    <t>Neri del carmen</t>
  </si>
  <si>
    <t>Rosas rosas</t>
  </si>
  <si>
    <t>6.956.380- 5</t>
  </si>
  <si>
    <t>Neridelcarmenrosas@gmail.com</t>
  </si>
  <si>
    <t>Manzanal jazmín
 nº 331</t>
  </si>
  <si>
    <t>Patricia  luisa</t>
  </si>
  <si>
    <t>Salinas  olivares</t>
  </si>
  <si>
    <t>4.576.995- k</t>
  </si>
  <si>
    <t>Patriciasalinas@gmail.com</t>
  </si>
  <si>
    <t>Fiat pje1 nº430</t>
  </si>
  <si>
    <t>Sofia virginia</t>
  </si>
  <si>
    <t>Sarmiento rodriguez</t>
  </si>
  <si>
    <t>28.451.290- 1</t>
  </si>
  <si>
    <t>Sofiasr07@gmail.com</t>
  </si>
  <si>
    <t>Pje. Bogotá nº153  camino real</t>
  </si>
  <si>
    <t>Toledo puebla</t>
  </si>
  <si>
    <t>6.835.194- 4</t>
  </si>
  <si>
    <t>Cristinatoledo@gmail.com</t>
  </si>
  <si>
    <t>P.a.c.pje lautaro nº167</t>
  </si>
  <si>
    <t>Valdes  lema</t>
  </si>
  <si>
    <t>5.554.044- 6</t>
  </si>
  <si>
    <t>Lalygey320@ gmail.com</t>
  </si>
  <si>
    <t>Valparaíso nº320</t>
  </si>
  <si>
    <t>Norma rosa</t>
  </si>
  <si>
    <t>Vera soto</t>
  </si>
  <si>
    <t>9.513.486- 6</t>
  </si>
  <si>
    <t>Manzanaljmc.nº404</t>
  </si>
  <si>
    <t>Marcelina delcarmen</t>
  </si>
  <si>
    <t>Vergara acuña</t>
  </si>
  <si>
    <t>8.583.239- 5</t>
  </si>
  <si>
    <t>Fiat  f. Correa.nº356</t>
  </si>
  <si>
    <t>FABIOLA ANDREA</t>
  </si>
  <si>
    <t>CACERES YEVENES</t>
  </si>
  <si>
    <t>14.318.807- 8</t>
  </si>
  <si>
    <t>SANDRA ELENA</t>
  </si>
  <si>
    <t>SALVO VILLAGRA</t>
  </si>
  <si>
    <t>11.443.239- 3</t>
  </si>
  <si>
    <t>Nancagua</t>
  </si>
  <si>
    <t>Yañez M,</t>
  </si>
  <si>
    <t>9203922-6</t>
  </si>
  <si>
    <t>Etelvina</t>
  </si>
  <si>
    <t>Ibarra S.</t>
  </si>
  <si>
    <t>7020917-9</t>
  </si>
  <si>
    <t>Diaz N.</t>
  </si>
  <si>
    <t>5945010-7</t>
  </si>
  <si>
    <t>Molina M.</t>
  </si>
  <si>
    <t>7848879-4</t>
  </si>
  <si>
    <t>Muñoz C.</t>
  </si>
  <si>
    <t>1260477-0</t>
  </si>
  <si>
    <t>Ahumada D.</t>
  </si>
  <si>
    <t>1176031-8</t>
  </si>
  <si>
    <t>Farias M,</t>
  </si>
  <si>
    <t>1111053-7</t>
  </si>
  <si>
    <t>Vidal M.</t>
  </si>
  <si>
    <t>1057688-0</t>
  </si>
  <si>
    <t>Toledo V.</t>
  </si>
  <si>
    <t>1078537-1</t>
  </si>
  <si>
    <t>Azua T.</t>
  </si>
  <si>
    <t>5929830-5</t>
  </si>
  <si>
    <t>Benavidez S.</t>
  </si>
  <si>
    <t>7160804-2</t>
  </si>
  <si>
    <t>Gabriel</t>
  </si>
  <si>
    <t>Ahumada Diaz</t>
  </si>
  <si>
    <t>14.302.685-k</t>
  </si>
  <si>
    <t>Castillo Gonzalaz</t>
  </si>
  <si>
    <t>5.453.243-8</t>
  </si>
  <si>
    <t>Leopoldo</t>
  </si>
  <si>
    <t>Gonzalez Allende</t>
  </si>
  <si>
    <t>Rengo</t>
  </si>
  <si>
    <t>Quezada Jelvez</t>
  </si>
  <si>
    <t>7750197-5</t>
  </si>
  <si>
    <t>carmen.quezada.tens@gmail.com</t>
  </si>
  <si>
    <t>Lago Ranco260 Araucania Rengo</t>
  </si>
  <si>
    <t>Azocar Perez</t>
  </si>
  <si>
    <t>14424657-8</t>
  </si>
  <si>
    <t>hakamiahazocar230@gmail.com</t>
  </si>
  <si>
    <t>Valentin L. quilapan 440 Rengo</t>
  </si>
  <si>
    <t>Jiron Orellana</t>
  </si>
  <si>
    <t>5592180-2</t>
  </si>
  <si>
    <t>esperanza14nov@gmail.com</t>
  </si>
  <si>
    <t>Domingo Paredes, Gilberto Diaz 614 Rengo</t>
  </si>
  <si>
    <t>Brito Gonzalez</t>
  </si>
  <si>
    <t>5365106-2</t>
  </si>
  <si>
    <t>Villa Oriente ,Las Loicas Rengo</t>
  </si>
  <si>
    <t>Yañez Carvajal</t>
  </si>
  <si>
    <t>6176411-9</t>
  </si>
  <si>
    <t>Mestizo Alejo 92,Valentin Letelier Rengo</t>
  </si>
  <si>
    <t>Ureta Roldan</t>
  </si>
  <si>
    <t>6299662-5</t>
  </si>
  <si>
    <t>Villa 15 de abril casa 9 Rengo</t>
  </si>
  <si>
    <t>Camilla Gaete</t>
  </si>
  <si>
    <t>7732123-3</t>
  </si>
  <si>
    <t>Gavino Reginato S. 184 Francisco Ruiz Rengo</t>
  </si>
  <si>
    <t>Dafne</t>
  </si>
  <si>
    <t>Venegas Cruces</t>
  </si>
  <si>
    <t>15526624-4</t>
  </si>
  <si>
    <t>chica-leti@hotmail.com</t>
  </si>
  <si>
    <t>Villa Araucania Lago Riñihue 232</t>
  </si>
  <si>
    <t>Vargas Acevedo</t>
  </si>
  <si>
    <t>18261856-K</t>
  </si>
  <si>
    <t>bernivargas.art@gmail.com</t>
  </si>
  <si>
    <t>La Lecheria 32 Rosario</t>
  </si>
  <si>
    <t>Santa Cruz</t>
  </si>
  <si>
    <t>Camus leñam</t>
  </si>
  <si>
    <t>19796310-7</t>
  </si>
  <si>
    <t>Av.acevedo 131 sta crz</t>
  </si>
  <si>
    <t>Juana del carmen</t>
  </si>
  <si>
    <t>Donoso hinojosa</t>
  </si>
  <si>
    <t>6581.061-1</t>
  </si>
  <si>
    <t>sin correo electronico</t>
  </si>
  <si>
    <t>Av. Diego portales 362 santa cruz</t>
  </si>
  <si>
    <t>Rosanna</t>
  </si>
  <si>
    <t>Ibarra aguayo</t>
  </si>
  <si>
    <t>9.471.826-0</t>
  </si>
  <si>
    <t>Pobl. Pablo neruda 317 santa cruz</t>
  </si>
  <si>
    <t>Kassic san martin</t>
  </si>
  <si>
    <t>4.969.900-k</t>
  </si>
  <si>
    <t>sin correo electrónico</t>
  </si>
  <si>
    <t>Las tencas 356 santa cruz</t>
  </si>
  <si>
    <t>Selma l.</t>
  </si>
  <si>
    <t>Lorca lorca</t>
  </si>
  <si>
    <t>9.883.415-k</t>
  </si>
  <si>
    <t>Av. Diego portales 1199, santa cruz</t>
  </si>
  <si>
    <t>Mella hevia</t>
  </si>
  <si>
    <t>8.497.085-9</t>
  </si>
  <si>
    <t>Cruceros/n el huique palmilla</t>
  </si>
  <si>
    <t>11.233374-6</t>
  </si>
  <si>
    <t>La lajuela s/n santa cruz</t>
  </si>
  <si>
    <t>Sonia del carmen</t>
  </si>
  <si>
    <t>Muñoz canales</t>
  </si>
  <si>
    <t>4.540.475-7</t>
  </si>
  <si>
    <t>Gladys maria</t>
  </si>
  <si>
    <t>Muñoz yavar</t>
  </si>
  <si>
    <t>7.943354-3</t>
  </si>
  <si>
    <t>Aviador acevedo 170 santa cruz</t>
  </si>
  <si>
    <t>Reyes perez</t>
  </si>
  <si>
    <t>5.353.155-5</t>
  </si>
  <si>
    <t>18708/2005</t>
  </si>
  <si>
    <t>Sin correo electrónico</t>
  </si>
  <si>
    <t>Los boldos s/n santa cruz</t>
  </si>
  <si>
    <t>Maria eugenia</t>
  </si>
  <si>
    <t>Cornejo silva</t>
  </si>
  <si>
    <t>7.354.460-0</t>
  </si>
  <si>
    <t>Av.diego portales 1273 ,santa cruz</t>
  </si>
  <si>
    <t>Leon araya</t>
  </si>
  <si>
    <t>9.267.350-2</t>
  </si>
  <si>
    <t>Maximiliano a.</t>
  </si>
  <si>
    <t>Arce lopez</t>
  </si>
  <si>
    <t>22.589.201-6</t>
  </si>
  <si>
    <t>Paso los reyes, pasaje san alfonso santa cruz</t>
  </si>
  <si>
    <t>Cañete solar</t>
  </si>
  <si>
    <t>13.349.151-1</t>
  </si>
  <si>
    <t>Grez ibarra</t>
  </si>
  <si>
    <t>Rhodes arevalo</t>
  </si>
  <si>
    <t>Pelequen</t>
  </si>
  <si>
    <t>Magloria</t>
  </si>
  <si>
    <t>Guzman Millan</t>
  </si>
  <si>
    <t>8.167.590-2</t>
  </si>
  <si>
    <t xml:space="preserve">Maglori Guzmán@hotmail.com </t>
  </si>
  <si>
    <t>Valenzuela Nilo</t>
  </si>
  <si>
    <t>10.874.124-4</t>
  </si>
  <si>
    <t>Valenzuelaadvani1967@gmail.com</t>
  </si>
  <si>
    <t>Farias Diaz</t>
  </si>
  <si>
    <t>7.409.888-6</t>
  </si>
  <si>
    <t xml:space="preserve">fariadiazb@gmail.com </t>
  </si>
  <si>
    <t>5.837.490-3</t>
  </si>
  <si>
    <t>Leon Cartagena</t>
  </si>
  <si>
    <t>4.315.115-0</t>
  </si>
  <si>
    <t>10.209.290-2</t>
  </si>
  <si>
    <t xml:space="preserve">amoyarzun@hotmail.com </t>
  </si>
  <si>
    <t xml:space="preserve">Beatrizgajardo1968@gmail.com </t>
  </si>
  <si>
    <t>Las Cabras</t>
  </si>
  <si>
    <t>Edith M.</t>
  </si>
  <si>
    <t>Duarte Cornejo.</t>
  </si>
  <si>
    <t>8.802508-3</t>
  </si>
  <si>
    <t>editmariaduarte@gmail.com</t>
  </si>
  <si>
    <t>Carlos Fresno 640 Las Cabras</t>
  </si>
  <si>
    <t>Maulen Maulen</t>
  </si>
  <si>
    <t>10.930.322-4</t>
  </si>
  <si>
    <t>Ana C</t>
  </si>
  <si>
    <t>18.979.511-4</t>
  </si>
  <si>
    <t>Morales Herrera</t>
  </si>
  <si>
    <t>8.231.844-5</t>
  </si>
  <si>
    <t>Pizarro Araya</t>
  </si>
  <si>
    <t>6.684.184-7</t>
  </si>
  <si>
    <t>Rosa A.</t>
  </si>
  <si>
    <t>Duarte Cornejo</t>
  </si>
  <si>
    <t>9.711.749-7</t>
  </si>
  <si>
    <t>Parra Leal</t>
  </si>
  <si>
    <t>41.356.823-4</t>
  </si>
  <si>
    <t>Maria T.</t>
  </si>
  <si>
    <t>Rivas Araneda</t>
  </si>
  <si>
    <t>5.350.490-6</t>
  </si>
  <si>
    <t>Guerrero Mreno</t>
  </si>
  <si>
    <t>10.576.575-4</t>
  </si>
  <si>
    <t>Chimbarongo</t>
  </si>
  <si>
    <t>Cristian alejandro</t>
  </si>
  <si>
    <t>Acevedo elgueda</t>
  </si>
  <si>
    <t>13.347.405-6</t>
  </si>
  <si>
    <t>Carmen larrain # 53</t>
  </si>
  <si>
    <t>Norma victoria</t>
  </si>
  <si>
    <t>Aguilar reveco</t>
  </si>
  <si>
    <t>6.649.742-9</t>
  </si>
  <si>
    <t>Rosendo jaramillo s/n</t>
  </si>
  <si>
    <t>Marcela elena</t>
  </si>
  <si>
    <t>Agurto hernandez</t>
  </si>
  <si>
    <t>10.490.879-9</t>
  </si>
  <si>
    <t>Villa san jose pasaje 6 # 1</t>
  </si>
  <si>
    <t>Irma de las mercedes</t>
  </si>
  <si>
    <t>Basoalto nuñez</t>
  </si>
  <si>
    <t>8.769.262-0</t>
  </si>
  <si>
    <t>Villa convento viejo # 1</t>
  </si>
  <si>
    <t>Cristian eduardo</t>
  </si>
  <si>
    <t>Benedetti starnello</t>
  </si>
  <si>
    <t>26.250.441-7</t>
  </si>
  <si>
    <t>Carmen llarain #53</t>
  </si>
  <si>
    <t>Irma celia</t>
  </si>
  <si>
    <t>Caceres diaz</t>
  </si>
  <si>
    <t>5.725.960-4</t>
  </si>
  <si>
    <t>Villa magisterio</t>
  </si>
  <si>
    <t>Cyntia vanessa</t>
  </si>
  <si>
    <t>Caamaño orellana</t>
  </si>
  <si>
    <t>15.119.825-2</t>
  </si>
  <si>
    <t>Calla san jose # 46</t>
  </si>
  <si>
    <t>Cordova muñoz</t>
  </si>
  <si>
    <t>5.935.954-1</t>
  </si>
  <si>
    <t>Valentin letelier</t>
  </si>
  <si>
    <t>Ramon antonio</t>
  </si>
  <si>
    <t>Gaete mejias</t>
  </si>
  <si>
    <t>5.990.842-1</t>
  </si>
  <si>
    <t>Pisagua</t>
  </si>
  <si>
    <t>Jimena ester</t>
  </si>
  <si>
    <t>Hernandez ramirez</t>
  </si>
  <si>
    <t>16.309.387-1</t>
  </si>
  <si>
    <t>Santa adelia s/n</t>
  </si>
  <si>
    <t>Guisel teresa</t>
  </si>
  <si>
    <t>Ibarra aguilera</t>
  </si>
  <si>
    <t>7.545.668-9</t>
  </si>
  <si>
    <t>Pisagua s/n</t>
  </si>
  <si>
    <t>Johny enrique</t>
  </si>
  <si>
    <t>Legua herrera</t>
  </si>
  <si>
    <t>8.980.462-0</t>
  </si>
  <si>
    <t>Avenida chile</t>
  </si>
  <si>
    <t>Maria veronica</t>
  </si>
  <si>
    <t>Irrazabal irrazabal</t>
  </si>
  <si>
    <t>11.527.167-9</t>
  </si>
  <si>
    <t>Viila san juan #7 tinguiririca</t>
  </si>
  <si>
    <t>Rocio victoria</t>
  </si>
  <si>
    <t>Lorca pereira</t>
  </si>
  <si>
    <t>15.537.581-3</t>
  </si>
  <si>
    <t>Callejon samudio s/n</t>
  </si>
  <si>
    <t>Ana maria</t>
  </si>
  <si>
    <t>Muñoz cubillo</t>
  </si>
  <si>
    <t>6.840.387-1</t>
  </si>
  <si>
    <t>Rosenfo jaramillo s/n</t>
  </si>
  <si>
    <t>Luis fernando</t>
  </si>
  <si>
    <t>Navarro valenzuela</t>
  </si>
  <si>
    <t>11.145.129-k</t>
  </si>
  <si>
    <t>Villa san jose pje 6 #1</t>
  </si>
  <si>
    <t>Irma del carmen</t>
  </si>
  <si>
    <t>Orellana leon</t>
  </si>
  <si>
    <t>8.364.712-4</t>
  </si>
  <si>
    <t>Carmen larrain #13</t>
  </si>
  <si>
    <t>Juana elba</t>
  </si>
  <si>
    <t>Palma ureta</t>
  </si>
  <si>
    <t>12.083.874-1</t>
  </si>
  <si>
    <t>Las rosas s/n</t>
  </si>
  <si>
    <t>Erika andrea</t>
  </si>
  <si>
    <t>Pavez hinojoza</t>
  </si>
  <si>
    <t>14.205.397-7</t>
  </si>
  <si>
    <t>El porvenir s/n</t>
  </si>
  <si>
    <t>Marcial rodrigo</t>
  </si>
  <si>
    <t>Petey rodriguez</t>
  </si>
  <si>
    <t>11.456.079-0</t>
  </si>
  <si>
    <t>El bosque s/n</t>
  </si>
  <si>
    <t>Ines marcela</t>
  </si>
  <si>
    <t>Ramirez ramirez</t>
  </si>
  <si>
    <t>7.238.976-k</t>
  </si>
  <si>
    <t>Garcia y reyes</t>
  </si>
  <si>
    <t>Margarita del carmen</t>
  </si>
  <si>
    <t>Rubio morales</t>
  </si>
  <si>
    <t>7.978.132-0</t>
  </si>
  <si>
    <t>Villa estacion</t>
  </si>
  <si>
    <t>Lidia teresa</t>
  </si>
  <si>
    <t>Salfate muñoz</t>
  </si>
  <si>
    <t>11.281.805-7</t>
  </si>
  <si>
    <t>Anibal pinto s/n</t>
  </si>
  <si>
    <t>Villalobos lopez</t>
  </si>
  <si>
    <t>5.857.782-0</t>
  </si>
  <si>
    <t>Avenida chile #414</t>
  </si>
  <si>
    <t>Kevin sebastian</t>
  </si>
  <si>
    <t>Navarro agurto</t>
  </si>
  <si>
    <t>18.654.130-8</t>
  </si>
  <si>
    <t>Nikolas fabian</t>
  </si>
  <si>
    <t>Soto villalobos</t>
  </si>
  <si>
    <t>16.860.963-9</t>
  </si>
  <si>
    <t>Gregoria ariol</t>
  </si>
  <si>
    <t>Urra mejias</t>
  </si>
  <si>
    <t>10.409.351-5</t>
  </si>
  <si>
    <t>El Tambo</t>
  </si>
  <si>
    <t>Marion</t>
  </si>
  <si>
    <t>Astudillo</t>
  </si>
  <si>
    <t>14.479.819-8</t>
  </si>
  <si>
    <t>Parcela 80</t>
  </si>
  <si>
    <t>9 8196482</t>
  </si>
  <si>
    <t>M. Eugenia</t>
  </si>
  <si>
    <t>Briones Morel</t>
  </si>
  <si>
    <t>9.547.678-3</t>
  </si>
  <si>
    <t>Villa Tambo Centro 11</t>
  </si>
  <si>
    <t>Castro Valdés</t>
  </si>
  <si>
    <t>6.039.499-7</t>
  </si>
  <si>
    <t>Villa Tambo Centro casa 14</t>
  </si>
  <si>
    <t>Gómez</t>
  </si>
  <si>
    <t>Foix</t>
  </si>
  <si>
    <t>Parcela 42 Pichidegua</t>
  </si>
  <si>
    <t>Lizana Astudillo</t>
  </si>
  <si>
    <t>9.492.049-5</t>
  </si>
  <si>
    <t>El Baden sitio 10</t>
  </si>
  <si>
    <t>Pérez Yáñez</t>
  </si>
  <si>
    <t>10.148.623-0</t>
  </si>
  <si>
    <t>Parcela 11</t>
  </si>
  <si>
    <t>Prado Núñez</t>
  </si>
  <si>
    <t>6.761.401-1</t>
  </si>
  <si>
    <t>Parcela 87</t>
  </si>
  <si>
    <t>Valdés Peña</t>
  </si>
  <si>
    <t>5.529.420-8</t>
  </si>
  <si>
    <t>Parcela 51</t>
  </si>
  <si>
    <t>Vergara Rubio</t>
  </si>
  <si>
    <t>7.737.909-6</t>
  </si>
  <si>
    <t>1 Oriente casa 060</t>
  </si>
  <si>
    <t>Pichilemu</t>
  </si>
  <si>
    <t>Pérez Astudillo</t>
  </si>
  <si>
    <t>17.875.174-3</t>
  </si>
  <si>
    <t>Enrique Segundo</t>
  </si>
  <si>
    <t>Aedo Carvajal</t>
  </si>
  <si>
    <t>5.816.758-4</t>
  </si>
  <si>
    <t>enriqueaedo@gmail.com</t>
  </si>
  <si>
    <t>Vicepresidente Pichilemu</t>
  </si>
  <si>
    <t>9-92892577</t>
  </si>
  <si>
    <t>Mónica Antonieta</t>
  </si>
  <si>
    <t>Egenau Matus</t>
  </si>
  <si>
    <t>8.747.695-2</t>
  </si>
  <si>
    <t>9-90849696</t>
  </si>
  <si>
    <t>Mónica Purísima</t>
  </si>
  <si>
    <t>González Brito</t>
  </si>
  <si>
    <t>9.255.793-6</t>
  </si>
  <si>
    <t>Monicagonzalez1007@gmail.com</t>
  </si>
  <si>
    <t>D. Comunicación Pichilemu</t>
  </si>
  <si>
    <t>9-78701753</t>
  </si>
  <si>
    <t>Muñoz Cornejo</t>
  </si>
  <si>
    <t>5.309.153-9</t>
  </si>
  <si>
    <t>9-87367084</t>
  </si>
  <si>
    <t>Marcela Antonieta</t>
  </si>
  <si>
    <t>10.837.109-9</t>
  </si>
  <si>
    <t>Marcelaantonieta.mc@gmail.com</t>
  </si>
  <si>
    <t>D. Bienestar Social Pichilemu</t>
  </si>
  <si>
    <t>9-50695149</t>
  </si>
  <si>
    <t>D. Finanzas Pichilemu</t>
  </si>
  <si>
    <t>9-91293162</t>
  </si>
  <si>
    <t>Sánchez Donoso</t>
  </si>
  <si>
    <t>7.110.292.0</t>
  </si>
  <si>
    <t>mosando@hotmail.com</t>
  </si>
  <si>
    <t>Directora Salud Pichilemu</t>
  </si>
  <si>
    <t>9-91260785</t>
  </si>
  <si>
    <t>Parraguez Duran</t>
  </si>
  <si>
    <t>7.294.115-2</t>
  </si>
  <si>
    <t>blespadu@gmail.com</t>
  </si>
  <si>
    <t>Directora Gestion Riesgo Pichilemu</t>
  </si>
  <si>
    <t>9-79785847</t>
  </si>
  <si>
    <t>Vergara Urzúa</t>
  </si>
  <si>
    <t>14.302.682-5</t>
  </si>
  <si>
    <t>Lorevergara_35@hotmail.com</t>
  </si>
  <si>
    <t>Presidenta</t>
  </si>
  <si>
    <t>9-89963664</t>
  </si>
  <si>
    <t>Marcelina Patricia</t>
  </si>
  <si>
    <t>Rojas Lizana</t>
  </si>
  <si>
    <t>10.476.013-9</t>
  </si>
  <si>
    <t>Marcerojas1964x@gmail.com</t>
  </si>
  <si>
    <t>9-29855603</t>
  </si>
  <si>
    <t>Erika Andrea</t>
  </si>
  <si>
    <t>Moraga Rojas</t>
  </si>
  <si>
    <t>18.503.754-0</t>
  </si>
  <si>
    <t>Hugo.moraga.pichilemu@gmail.com</t>
  </si>
  <si>
    <t>9-82080550</t>
  </si>
  <si>
    <t>Constitucion</t>
  </si>
  <si>
    <t>Aravena Cancino</t>
  </si>
  <si>
    <t xml:space="preserve">8.841.833-6 </t>
  </si>
  <si>
    <t>Caceres Loyola</t>
  </si>
  <si>
    <t xml:space="preserve">13.371.880-K </t>
  </si>
  <si>
    <t>Isarua</t>
  </si>
  <si>
    <t>Caceres Valenzuela</t>
  </si>
  <si>
    <t xml:space="preserve">9.558.189-7 </t>
  </si>
  <si>
    <t>Gaspar</t>
  </si>
  <si>
    <t>Chamoroo Caceres</t>
  </si>
  <si>
    <t xml:space="preserve">21.956.311-6 </t>
  </si>
  <si>
    <t>Chamarro Ordenes</t>
  </si>
  <si>
    <t xml:space="preserve">16.857.164-k </t>
  </si>
  <si>
    <t>Espinoza Aravena</t>
  </si>
  <si>
    <t>20.349.740-7</t>
  </si>
  <si>
    <t xml:space="preserve">20.693.494-8 </t>
  </si>
  <si>
    <t>Paulla Medel</t>
  </si>
  <si>
    <t xml:space="preserve">21.743.995-7 </t>
  </si>
  <si>
    <t>Ramirez Aguilera</t>
  </si>
  <si>
    <t xml:space="preserve">9.576.629-3 </t>
  </si>
  <si>
    <t>Giselle</t>
  </si>
  <si>
    <t>Riveros Aedo</t>
  </si>
  <si>
    <t xml:space="preserve">22.470.725-8 </t>
  </si>
  <si>
    <t>Marilyn</t>
  </si>
  <si>
    <t>Troncoso Valenzia</t>
  </si>
  <si>
    <t xml:space="preserve">22.640.691-3 </t>
  </si>
  <si>
    <t>MAriela</t>
  </si>
  <si>
    <t>Valencia DElgado</t>
  </si>
  <si>
    <t xml:space="preserve">15.145.290-2 </t>
  </si>
  <si>
    <t>Valenzuela LAra</t>
  </si>
  <si>
    <t xml:space="preserve">20.349.930-2 </t>
  </si>
  <si>
    <t>Gledita</t>
  </si>
  <si>
    <t>Vergara PEcheco</t>
  </si>
  <si>
    <t xml:space="preserve">10.682.184-4 </t>
  </si>
  <si>
    <t>Ardiles Montero</t>
  </si>
  <si>
    <t>20.940.849-k</t>
  </si>
  <si>
    <t>Espinoza Quiroz</t>
  </si>
  <si>
    <t>19.255.619-9</t>
  </si>
  <si>
    <t>MArtinez Almendras</t>
  </si>
  <si>
    <t xml:space="preserve">19.965.392-K </t>
  </si>
  <si>
    <t>NAvarrete Yañez</t>
  </si>
  <si>
    <t xml:space="preserve">7.275.199-K </t>
  </si>
  <si>
    <t>ORdenes Valle</t>
  </si>
  <si>
    <t xml:space="preserve">12.336.399-k </t>
  </si>
  <si>
    <t>Damian</t>
  </si>
  <si>
    <t>Quijada Vergara</t>
  </si>
  <si>
    <t xml:space="preserve">20.690.499-2 </t>
  </si>
  <si>
    <t>Valenzuela Vergara</t>
  </si>
  <si>
    <t xml:space="preserve">21.216.635-9 </t>
  </si>
  <si>
    <t xml:space="preserve">20.349.778-4 </t>
  </si>
  <si>
    <t>Vergara Silva</t>
  </si>
  <si>
    <t xml:space="preserve">19.651.083-4 </t>
  </si>
  <si>
    <t>Aravena Bustamante</t>
  </si>
  <si>
    <t>8.845.214-3</t>
  </si>
  <si>
    <t>Oscar Esterch 2846</t>
  </si>
  <si>
    <t>Torres Ossandón</t>
  </si>
  <si>
    <t>5.340.794-3</t>
  </si>
  <si>
    <t>Condominio La Tirana calle B casa 355</t>
  </si>
  <si>
    <t>13.855.586-0</t>
  </si>
  <si>
    <t>Pasaje Pirita 4212</t>
  </si>
  <si>
    <t>Orellana Flores</t>
  </si>
  <si>
    <t>5.450.476-4</t>
  </si>
  <si>
    <t>Sargento Aldea 1826</t>
  </si>
  <si>
    <t>Contreras Vernal</t>
  </si>
  <si>
    <t>7.802.864-5</t>
  </si>
  <si>
    <t>Galvarino 2005 Población Ohiggins</t>
  </si>
  <si>
    <t>Vladimir</t>
  </si>
  <si>
    <t>Pasteni Mostacero</t>
  </si>
  <si>
    <t>13.214.005-7</t>
  </si>
  <si>
    <t>Los Prunos 2756</t>
  </si>
  <si>
    <t>Alto Hopicio</t>
  </si>
  <si>
    <t>Gautier</t>
  </si>
  <si>
    <t>14.443.487-0</t>
  </si>
  <si>
    <t>Alto hospicio</t>
  </si>
  <si>
    <t>19.493.798-9</t>
  </si>
  <si>
    <t>Valle</t>
  </si>
  <si>
    <t>14.755.941-0</t>
  </si>
  <si>
    <t>Arcaya</t>
  </si>
  <si>
    <t>14.761.648-1</t>
  </si>
  <si>
    <t>Canova</t>
  </si>
  <si>
    <t>22.284.412-4</t>
  </si>
  <si>
    <t>Neyra</t>
  </si>
  <si>
    <t>22.381.707-6</t>
  </si>
  <si>
    <t>Daysi</t>
  </si>
  <si>
    <t>22.667.837-9</t>
  </si>
  <si>
    <t>Astorga</t>
  </si>
  <si>
    <t>12.438.429-k</t>
  </si>
  <si>
    <t>Hugo</t>
  </si>
  <si>
    <t>Andrade</t>
  </si>
  <si>
    <t>25.481.290-0</t>
  </si>
  <si>
    <t>Franny</t>
  </si>
  <si>
    <t>Pinto</t>
  </si>
  <si>
    <t>14.104.389-7</t>
  </si>
  <si>
    <t>15.010.796-2</t>
  </si>
  <si>
    <t>Rojo</t>
  </si>
  <si>
    <t>9.721.162-0</t>
  </si>
  <si>
    <t>Diaz</t>
  </si>
  <si>
    <t>8.417.283-9</t>
  </si>
  <si>
    <t>Soraya</t>
  </si>
  <si>
    <t>Shiraishi</t>
  </si>
  <si>
    <t>14.721.703-k</t>
  </si>
  <si>
    <t>Villalobos</t>
  </si>
  <si>
    <t>19.435.858-k</t>
  </si>
  <si>
    <t>Puente Alto</t>
  </si>
  <si>
    <t>Raquel Rebeca</t>
  </si>
  <si>
    <t>Abarca Diaz</t>
  </si>
  <si>
    <t>6278685-k</t>
  </si>
  <si>
    <t>Pje. Martin de Solis 742 Puente Alto</t>
  </si>
  <si>
    <t>Juana Amelia</t>
  </si>
  <si>
    <t>Bunster Cuevas</t>
  </si>
  <si>
    <t>jbunter@gmail.com</t>
  </si>
  <si>
    <t>Ramon Subercaseaux 3605 Pirque</t>
  </si>
  <si>
    <t>Allende Soto</t>
  </si>
  <si>
    <t>angelicallendesoto@gmail.com</t>
  </si>
  <si>
    <t>Noruega 0539 V. Porvenir  Puente Alto</t>
  </si>
  <si>
    <t>Caceres Rivera</t>
  </si>
  <si>
    <t>xcoajaguacaceres@msn.com</t>
  </si>
  <si>
    <t>Irarrazabal 428 Puente Alto</t>
  </si>
  <si>
    <t>patriciacarrasco885@gmail.com</t>
  </si>
  <si>
    <t>Pje. Lago Cabrera 4604 Puente Alto</t>
  </si>
  <si>
    <t>Cordova Escalona</t>
  </si>
  <si>
    <t>21584727-6</t>
  </si>
  <si>
    <t>josefa.cordova@uacademia.cl</t>
  </si>
  <si>
    <t>Av. Eyzaguirre 03265</t>
  </si>
  <si>
    <t>Escobar Belmar</t>
  </si>
  <si>
    <t>8250506-7</t>
  </si>
  <si>
    <t>rosaescobar1957@gmail.com</t>
  </si>
  <si>
    <t>Caleta Junin 806 Puente Alto</t>
  </si>
  <si>
    <t>Rosa Ana</t>
  </si>
  <si>
    <t>Espinoza Flores</t>
  </si>
  <si>
    <t>9600931-3</t>
  </si>
  <si>
    <t>El Maqui 666 P. San Carlos Puente Alto</t>
  </si>
  <si>
    <t>Juan Horacio</t>
  </si>
  <si>
    <t>Espinoza Galvez</t>
  </si>
  <si>
    <t>7294113-6</t>
  </si>
  <si>
    <t>juanheg58@gmail.com</t>
  </si>
  <si>
    <t>Vivaldi 01570 V. Juanita Puente Alto</t>
  </si>
  <si>
    <t>Enriqueta de Lourdes</t>
  </si>
  <si>
    <t>Fierro Leiva</t>
  </si>
  <si>
    <t>4676498-6</t>
  </si>
  <si>
    <t>directsaludfilialptealto@gmail.com</t>
  </si>
  <si>
    <t>Pje. 1-700  P. Papelera Puente Alto</t>
  </si>
  <si>
    <t>Salud</t>
  </si>
  <si>
    <t>Flores</t>
  </si>
  <si>
    <t>19918863-1</t>
  </si>
  <si>
    <t>Jerusalen 392 Puente Alto</t>
  </si>
  <si>
    <t>Gomez Rodriguez</t>
  </si>
  <si>
    <t xml:space="preserve">Asoreger.2013@gmail.com </t>
  </si>
  <si>
    <t>Fabian Alejandro</t>
  </si>
  <si>
    <t>Gonzalez Osorio</t>
  </si>
  <si>
    <t>20.953.771-0</t>
  </si>
  <si>
    <t>Fabian.osorio.gonza@gmail.com</t>
  </si>
  <si>
    <t>Pje. Sagrada Familia 2749 Puente Alto</t>
  </si>
  <si>
    <t>Maria Adelaida</t>
  </si>
  <si>
    <t>Guala Amolef</t>
  </si>
  <si>
    <t>marianorte2006@gmail.com</t>
  </si>
  <si>
    <t>Costanera 1430 Block C Dep.44 Puente Alto</t>
  </si>
  <si>
    <t>Claudia Lorena</t>
  </si>
  <si>
    <t>Hernandez Vega</t>
  </si>
  <si>
    <t>13.287.492-1</t>
  </si>
  <si>
    <t>Claudiahv_1977@hotmail.com</t>
  </si>
  <si>
    <t>Cerro Yanteles 02455 Puente Alto</t>
  </si>
  <si>
    <t>Josefa Francisca</t>
  </si>
  <si>
    <t>Hormazabal Davila</t>
  </si>
  <si>
    <t>21.431.247-6</t>
  </si>
  <si>
    <t>josefa.hormazabal</t>
  </si>
  <si>
    <t>Mario Clavero 01909 Puente Alto</t>
  </si>
  <si>
    <t>Barbara Constanza</t>
  </si>
  <si>
    <t>Leyton Leyton</t>
  </si>
  <si>
    <t>21.763.089-4</t>
  </si>
  <si>
    <t>Barbaraleyton3@gmail.com</t>
  </si>
  <si>
    <t>Bombero Francisco Bravo 1522 Puente Alto</t>
  </si>
  <si>
    <t>Silvia Luisa</t>
  </si>
  <si>
    <t>Mena Mendez</t>
  </si>
  <si>
    <t>4.734.314-4</t>
  </si>
  <si>
    <t>Silvia.mena.vergara@gmail.com</t>
  </si>
  <si>
    <t>Eduardo Cordero 0633 Puente Alto</t>
  </si>
  <si>
    <t>vice presidenta</t>
  </si>
  <si>
    <t>Milla Olivos</t>
  </si>
  <si>
    <t>5.800.262-3</t>
  </si>
  <si>
    <t>Margarita.65eliana@gmail.com</t>
  </si>
  <si>
    <t>Franz Litz 0549 V. Nonato Coo</t>
  </si>
  <si>
    <t>Bienestar Social</t>
  </si>
  <si>
    <t>Lya</t>
  </si>
  <si>
    <t>Montero Luco</t>
  </si>
  <si>
    <t>7.475.932-7</t>
  </si>
  <si>
    <t>mmonteroluco@gmail.com</t>
  </si>
  <si>
    <t>Cerro Yanteles 02480 Puente Alto</t>
  </si>
  <si>
    <t>Secretaria</t>
  </si>
  <si>
    <t>Clotilde Hortensia</t>
  </si>
  <si>
    <t>Morales Rojas</t>
  </si>
  <si>
    <t>9.263.933-9</t>
  </si>
  <si>
    <t>Clo.mellizo64@gmail.com</t>
  </si>
  <si>
    <t>Pje. 15 573 P. Carol Urzua Puente Alto</t>
  </si>
  <si>
    <t>Muñoz Cordero</t>
  </si>
  <si>
    <t>21.811.737-6</t>
  </si>
  <si>
    <t>Sofy.alejandra@gmail.com</t>
  </si>
  <si>
    <t>Ejercito Libertador 2120 Puente Alto</t>
  </si>
  <si>
    <t>Auristela del Carmen</t>
  </si>
  <si>
    <t>Nuñez Castro</t>
  </si>
  <si>
    <t>Rodrigo de Triana 8556 La Florida</t>
  </si>
  <si>
    <t>Poblete Valenzuela</t>
  </si>
  <si>
    <t>5.632.626-k</t>
  </si>
  <si>
    <t>Annmaia2512@gmail.com</t>
  </si>
  <si>
    <t>Pje. Cardenal Fresno 810 Puente Alto</t>
  </si>
  <si>
    <t>G.del Riesgo</t>
  </si>
  <si>
    <t>Patricia Auristela</t>
  </si>
  <si>
    <t>Rios Pizarro</t>
  </si>
  <si>
    <t>9.919.283-6</t>
  </si>
  <si>
    <t>patriciarios@gmail.com</t>
  </si>
  <si>
    <t>Tocornal 868 Puente Alto</t>
  </si>
  <si>
    <t>Martin Ignacio</t>
  </si>
  <si>
    <t>Sanhueza Torrealba</t>
  </si>
  <si>
    <t>19.184.084-4</t>
  </si>
  <si>
    <t>Marthiin1@gmail.com</t>
  </si>
  <si>
    <t>Pje. Angol 3204 Puente Alto</t>
  </si>
  <si>
    <t>Iris Nancy</t>
  </si>
  <si>
    <t>Sepulveda Sepulveda</t>
  </si>
  <si>
    <t>9.136.149-3</t>
  </si>
  <si>
    <t>Irissepulveda227@gmail.com</t>
  </si>
  <si>
    <t>El Almacen 1773 V. Comercio Puente Alto</t>
  </si>
  <si>
    <t>Agustina Amada</t>
  </si>
  <si>
    <t>Soto Fuentes</t>
  </si>
  <si>
    <t>4.586.985-7</t>
  </si>
  <si>
    <t>J. Mackenna 519 El Tranque</t>
  </si>
  <si>
    <t>Nancy Yanette</t>
  </si>
  <si>
    <t>Tapia Silva</t>
  </si>
  <si>
    <t>11.573.845-3</t>
  </si>
  <si>
    <t>Nancyanet13@gmail.com</t>
  </si>
  <si>
    <t>Ejercito Libertador 2332  C.  del Sol Puente Alto</t>
  </si>
  <si>
    <t>Finanzas</t>
  </si>
  <si>
    <t>Johann Damian</t>
  </si>
  <si>
    <t>Salinas Gatica</t>
  </si>
  <si>
    <t>21.056.111-0</t>
  </si>
  <si>
    <t>Johann99valdez@gmail.com</t>
  </si>
  <si>
    <t>Los Tremolinos 11260 depto. 402 Puente Alto</t>
  </si>
  <si>
    <t>Jacquiline Fabiola</t>
  </si>
  <si>
    <t>Villagra Cordova</t>
  </si>
  <si>
    <t>12.439.634-9</t>
  </si>
  <si>
    <t>Jacqueline.villagra.c@gmail.com</t>
  </si>
  <si>
    <t>Pje. La Casona 1196 Puente Alto</t>
  </si>
  <si>
    <t>Maria Luisa</t>
  </si>
  <si>
    <t>Villaroel Ogaz</t>
  </si>
  <si>
    <t>4.731.676-6</t>
  </si>
  <si>
    <t>Maraluisav719@gmail.com</t>
  </si>
  <si>
    <t>Costanera 1430 Block C Dep.42 Puente Alto</t>
  </si>
  <si>
    <t>Arias Herrera</t>
  </si>
  <si>
    <t>Arias.elias.h@gmail.com</t>
  </si>
  <si>
    <t>Araceli</t>
  </si>
  <si>
    <t>Calderon Contreras</t>
  </si>
  <si>
    <t>21.599.555-0</t>
  </si>
  <si>
    <t>Aracely2004alocc@gmail.com</t>
  </si>
  <si>
    <t xml:space="preserve">Nicolas </t>
  </si>
  <si>
    <t>Donoso Ahumada</t>
  </si>
  <si>
    <t>20.537.272-5</t>
  </si>
  <si>
    <t>Donoso Donoso</t>
  </si>
  <si>
    <t>20.299.463-6</t>
  </si>
  <si>
    <t>Romydonodod@gmail.com</t>
  </si>
  <si>
    <t>Miranda Castro</t>
  </si>
  <si>
    <t>20.560.081-7</t>
  </si>
  <si>
    <t xml:space="preserve">Gabriel </t>
  </si>
  <si>
    <t>Cifuentes Arroyo</t>
  </si>
  <si>
    <t>10.707.024-9</t>
  </si>
  <si>
    <t xml:space="preserve">Maite </t>
  </si>
  <si>
    <t>Vera Villagra</t>
  </si>
  <si>
    <t>21.342.437-8</t>
  </si>
  <si>
    <t>Maite.vera.villagra7b@gmail.com</t>
  </si>
  <si>
    <t xml:space="preserve">Maximiliano </t>
  </si>
  <si>
    <t>Villagra Sazo</t>
  </si>
  <si>
    <t>20.824.279-2</t>
  </si>
  <si>
    <t>maximilianovillagra7b@gmail.com</t>
  </si>
  <si>
    <t xml:space="preserve">Paulina </t>
  </si>
  <si>
    <t>Donoso Allende</t>
  </si>
  <si>
    <t>paulinadonosoa5@gmail.com</t>
  </si>
  <si>
    <t>Tocopilla</t>
  </si>
  <si>
    <t>San román rojas</t>
  </si>
  <si>
    <t>Calle prat
N°1601 casa 4,</t>
  </si>
  <si>
    <t>9 68713708</t>
  </si>
  <si>
    <t>Tania</t>
  </si>
  <si>
    <t>Díaz beltrán</t>
  </si>
  <si>
    <t>Teniente merino
 n°1175</t>
  </si>
  <si>
    <t>9 86955073</t>
  </si>
  <si>
    <t>Downing espinoza</t>
  </si>
  <si>
    <t>Quinta 
Poniente 
N°2432</t>
  </si>
  <si>
    <t>9 78885898</t>
  </si>
  <si>
    <t>Olivares soto</t>
  </si>
  <si>
    <t>Teniente  merino
N°2714</t>
  </si>
  <si>
    <t>9 82165555</t>
  </si>
  <si>
    <t>Castillo aguirre</t>
  </si>
  <si>
    <t>Calle calama n°3015</t>
  </si>
  <si>
    <t>9 88812247</t>
  </si>
  <si>
    <t>Campaña gomez</t>
  </si>
  <si>
    <t>juan daniel ruiz n°65</t>
  </si>
  <si>
    <t>9 72585328</t>
  </si>
  <si>
    <t>Varas milla</t>
  </si>
  <si>
    <t>Calbuco n°0469</t>
  </si>
  <si>
    <t>9 84580975</t>
  </si>
  <si>
    <t>Naranjo naranjo</t>
  </si>
  <si>
    <t>Calle sucre n°1548</t>
  </si>
  <si>
    <t>9 57056833</t>
  </si>
  <si>
    <t>Aching chavez</t>
  </si>
  <si>
    <t>Calle bolívar
N°1353</t>
  </si>
  <si>
    <t>9 90681645</t>
  </si>
  <si>
    <t>Zepeda caimanque</t>
  </si>
  <si>
    <t>calle baquedano 1365</t>
  </si>
  <si>
    <t>9 47477388</t>
  </si>
  <si>
    <t>Rocío  dianne</t>
  </si>
  <si>
    <t>Albayay camposano</t>
  </si>
  <si>
    <t>Emily alejandra</t>
  </si>
  <si>
    <t>Aguilera pizarro</t>
  </si>
  <si>
    <t>Janny herman</t>
  </si>
  <si>
    <t>Urbano albayay</t>
  </si>
  <si>
    <t>San Bernardo</t>
  </si>
  <si>
    <t>Lizama Gajardo</t>
  </si>
  <si>
    <t>6.445.661-K</t>
  </si>
  <si>
    <t>raquelitalizama@gmail.com</t>
  </si>
  <si>
    <t>Panamericana 0119. Villa Chena
San Bernardo</t>
  </si>
  <si>
    <t>Arriagada Sanhueza</t>
  </si>
  <si>
    <t>12.709.668-6</t>
  </si>
  <si>
    <t>Felisa.arriagadasanhueza@gmail.com</t>
  </si>
  <si>
    <t>Faldeos de Nos 1589
San Bernardo</t>
  </si>
  <si>
    <t>Orellana Sepúlveda</t>
  </si>
  <si>
    <t>6.079.571-1</t>
  </si>
  <si>
    <t>amorellana26@gmail.com</t>
  </si>
  <si>
    <t>Avda Portales 4311. San Bernardo</t>
  </si>
  <si>
    <t>Martínez Figueroa</t>
  </si>
  <si>
    <t>6.900.190-4</t>
  </si>
  <si>
    <t>leonor.martinez.figueroa@gmail.com</t>
  </si>
  <si>
    <t>Silvia Pinto 0638.Villa Los Aromos San Bernardo</t>
  </si>
  <si>
    <t>Gómez Villarino</t>
  </si>
  <si>
    <t>6.679.620-5</t>
  </si>
  <si>
    <t>Colon 850.depto402</t>
  </si>
  <si>
    <t>Montecinos Abarca</t>
  </si>
  <si>
    <t>Balmaceda 0616.Villa Santa Marta.San Bernardo</t>
  </si>
  <si>
    <t>Torres Arriagada</t>
  </si>
  <si>
    <t>21.303.63-8</t>
  </si>
  <si>
    <t>Torresconstanza.a@gmail.com</t>
  </si>
  <si>
    <t>Enrique</t>
  </si>
  <si>
    <t>Valle Sepúlveda</t>
  </si>
  <si>
    <t>20.596.260-3</t>
  </si>
  <si>
    <t>Kike.valle18s@gmail.com</t>
  </si>
  <si>
    <t>Lago Brown 1393 Casa 26 San Alberto De Nos</t>
  </si>
  <si>
    <t>Karimme</t>
  </si>
  <si>
    <t>Plaza Becerra</t>
  </si>
  <si>
    <t>21.524.974-3</t>
  </si>
  <si>
    <t>ale.p08.b2004@gmail.com</t>
  </si>
  <si>
    <t>Los Corrales 0998</t>
  </si>
  <si>
    <t>Becerra Galaz</t>
  </si>
  <si>
    <t>11.979.372-6</t>
  </si>
  <si>
    <t>clbg.1972chile22@gmail.com</t>
  </si>
  <si>
    <t>Los Corrales 0998
San Bernardo</t>
  </si>
  <si>
    <t>Córdova Soto</t>
  </si>
  <si>
    <t>7.183.019-5</t>
  </si>
  <si>
    <t>Rositaccss57@gmail.com</t>
  </si>
  <si>
    <t>Libertad 1054
San Bernardo</t>
  </si>
  <si>
    <t>Germina
Fancy</t>
  </si>
  <si>
    <t>Vitta
Montenegro</t>
  </si>
  <si>
    <t>4.664.507-3</t>
  </si>
  <si>
    <t>San Alfonso 264</t>
  </si>
  <si>
    <t>Hernández Leyton</t>
  </si>
  <si>
    <t>8.137.479-1</t>
  </si>
  <si>
    <t>Alfredo Salgado 234.
San Bernardo</t>
  </si>
  <si>
    <t>Canales Salazar</t>
  </si>
  <si>
    <t>23.001.819-7</t>
  </si>
  <si>
    <t>Raciel</t>
  </si>
  <si>
    <t>Elgueta Riquelme</t>
  </si>
  <si>
    <t>21.396.931-5</t>
  </si>
  <si>
    <t>estefaniielgueta@gmail.com</t>
  </si>
  <si>
    <t>Pasaje Bogotá 969
San Bernardo</t>
  </si>
  <si>
    <t>Gómez Aguirre</t>
  </si>
  <si>
    <t>22.352.657-8</t>
  </si>
  <si>
    <t>Miguel de la Barra 1747.
San Bernardo</t>
  </si>
  <si>
    <t>Serrano González</t>
  </si>
  <si>
    <t>Antoniaserrano2001@gmail.com</t>
  </si>
  <si>
    <t>Rudolf Diesel 143
San Bernardo</t>
  </si>
  <si>
    <t>Alan</t>
  </si>
  <si>
    <t>Uribe Martínez</t>
  </si>
  <si>
    <t>21.544.470-8</t>
  </si>
  <si>
    <t>Alanuribe00@gmail.com</t>
  </si>
  <si>
    <t>Poema Adoración 16333
San Bernardo</t>
  </si>
  <si>
    <t>Urra Vergara</t>
  </si>
  <si>
    <t>20.835.961-4</t>
  </si>
  <si>
    <t>Tania.urra.v@gmail.com</t>
  </si>
  <si>
    <t>Calera de Tango</t>
  </si>
  <si>
    <t>Alma</t>
  </si>
  <si>
    <t>Cabrol
de la
Fuente</t>
  </si>
  <si>
    <t>7.086.723-0</t>
  </si>
  <si>
    <t>Av.Costanera 574
San Bernardo</t>
  </si>
  <si>
    <t>Isla de Maipo</t>
  </si>
  <si>
    <t>6.472.704-4</t>
  </si>
  <si>
    <t>Olgaolguita126@gmail.com</t>
  </si>
  <si>
    <t>Farellones 214, Isla de Maipo</t>
  </si>
  <si>
    <t>9 7485 4822</t>
  </si>
  <si>
    <t>Martinez Gamboa</t>
  </si>
  <si>
    <t>21.171.758-0</t>
  </si>
  <si>
    <t>Angelmartinezgamboa36@gmail.com</t>
  </si>
  <si>
    <t>Elisa Lonkon 3293, Isla de Maipo</t>
  </si>
  <si>
    <t>9 4660 1707</t>
  </si>
  <si>
    <t>Gonzales Diaz</t>
  </si>
  <si>
    <t>15.375.229-k</t>
  </si>
  <si>
    <t>Pg9151325@gmail.com</t>
  </si>
  <si>
    <t>Psj. Regidor Ernesto Tito Jiménez 377, Isla de Maipo</t>
  </si>
  <si>
    <t>9 5387 5428</t>
  </si>
  <si>
    <t>Salazar Sepúlveda</t>
  </si>
  <si>
    <t>11.107.504-2</t>
  </si>
  <si>
    <t>Salazarsepulvedamariaedith@gmail.com</t>
  </si>
  <si>
    <t>Santa Laura 317, Isla de Maipo</t>
  </si>
  <si>
    <t>9 4241 5248</t>
  </si>
  <si>
    <t>Gamboa Gallardo</t>
  </si>
  <si>
    <t>11.972.033-8</t>
  </si>
  <si>
    <t>Catherine.gamboa72@gmail.com</t>
  </si>
  <si>
    <t>9 9192 0322</t>
  </si>
  <si>
    <t>Pino Filuñir</t>
  </si>
  <si>
    <t>10.837.232-k</t>
  </si>
  <si>
    <t>Poli_pino@hotmail.com</t>
  </si>
  <si>
    <t>Antártica 4300, Estación central</t>
  </si>
  <si>
    <t>9 5007 0181</t>
  </si>
  <si>
    <t>Pereira Lucero</t>
  </si>
  <si>
    <t>20.668.337-6</t>
  </si>
  <si>
    <t>Ipereiralucero@gmail.com</t>
  </si>
  <si>
    <t>Central 618, La florida</t>
  </si>
  <si>
    <t>9 7886 9355</t>
  </si>
  <si>
    <t>Pino Martinez</t>
  </si>
  <si>
    <t>21.062.276-4</t>
  </si>
  <si>
    <t>Paulinapino170@gmail.com</t>
  </si>
  <si>
    <t>9 2724 6014</t>
  </si>
  <si>
    <t>Martinez Gazagne</t>
  </si>
  <si>
    <t>11.629.773-6</t>
  </si>
  <si>
    <t>Marcela.maetinez.g@gmail.com</t>
  </si>
  <si>
    <t>9 8627 8914</t>
  </si>
  <si>
    <t>18.737.764-1</t>
  </si>
  <si>
    <t>Patricio.pino.m18@gmail.com</t>
  </si>
  <si>
    <t>Lissette</t>
  </si>
  <si>
    <t>Vásquez Ramírez</t>
  </si>
  <si>
    <t>20.117.038-9</t>
  </si>
  <si>
    <t>Lissettevasquez13@gmail.com</t>
  </si>
  <si>
    <t>Burgos Gonzales</t>
  </si>
  <si>
    <t>21.994.703-6</t>
  </si>
  <si>
    <t>Enriqueantonioburgos95@gmail.com</t>
  </si>
  <si>
    <t>Sede regional</t>
  </si>
  <si>
    <t>Voluntarios activos</t>
  </si>
  <si>
    <t>Voluntarios de llamada</t>
  </si>
  <si>
    <t>Dirección</t>
  </si>
  <si>
    <t>Teléfono contacto</t>
  </si>
  <si>
    <t>Instagram</t>
  </si>
  <si>
    <t>Tiene al menos una red social?</t>
  </si>
  <si>
    <t>Persona dedicada a redes</t>
  </si>
  <si>
    <t>Cambiar uniforme ceremonial</t>
  </si>
  <si>
    <t>Cambiar Color azul Chaquetas gestión del riesgo</t>
  </si>
  <si>
    <t>Voluntarios sin capacitación</t>
  </si>
  <si>
    <t>Voluntarios sin PPAA</t>
  </si>
  <si>
    <t>Voluntarios sin Doctrina</t>
  </si>
  <si>
    <t>Voluntarios con título específico</t>
  </si>
  <si>
    <t>Instructores de PPAA</t>
  </si>
  <si>
    <t>Club adulto mayor</t>
  </si>
  <si>
    <t>Res. San. Policlinico</t>
  </si>
  <si>
    <t>Acción migratoria</t>
  </si>
  <si>
    <t>Acción situación de calle</t>
  </si>
  <si>
    <t>Filial con Antena y Radio Teleco</t>
  </si>
  <si>
    <t>Voluntarios con hoja de vida actualizada</t>
  </si>
  <si>
    <t>Voluntariado con credencial actualizada</t>
  </si>
  <si>
    <t>Filial realiza charlas estatutos y reglamentos?</t>
  </si>
  <si>
    <t>Acción cambio climático</t>
  </si>
  <si>
    <t>Acciones PGI (protección, género, inclusión)</t>
  </si>
  <si>
    <t>Acción CEA (Rendición cuentas a la comunidad)</t>
  </si>
  <si>
    <t>Kits alimentos entregados</t>
  </si>
  <si>
    <t>Kits higiene entregados</t>
  </si>
  <si>
    <t>Kits abrigo entregados</t>
  </si>
  <si>
    <t>Voluntarios capacitados en AA</t>
  </si>
  <si>
    <t>Voluntarios capacitados en SPAC</t>
  </si>
  <si>
    <t>Voluntarios capacitados en SMAPS</t>
  </si>
  <si>
    <t>Voluntarios capacitados en RCF</t>
  </si>
  <si>
    <t>Voluntarios capacitados en Manejo Redes</t>
  </si>
  <si>
    <t>Voluntarios capacitados en Balances y EERR</t>
  </si>
  <si>
    <t>N° personas capacitados en primeros auxilios (comunidad)</t>
  </si>
  <si>
    <t>Cantidad Personal rentado</t>
  </si>
  <si>
    <t>Cantidad Unidades Educativas Colegios</t>
  </si>
  <si>
    <t>Prioridad Sustentabilidad financiera</t>
  </si>
  <si>
    <t>Prioridad Manejo tecnologías</t>
  </si>
  <si>
    <t>Prioridad  políticas del voluntariado</t>
  </si>
  <si>
    <t>Prioridad Liderazgo y estatutos</t>
  </si>
  <si>
    <t>Prioridad Derecho internacional y cambio climático</t>
  </si>
  <si>
    <t>Preferencia capacitacion</t>
  </si>
  <si>
    <t>Relevancia 2024 Gestión del riesgo</t>
  </si>
  <si>
    <t>Relevancia 2024 Salud</t>
  </si>
  <si>
    <t>Relevancia 2024 Bienestar Social</t>
  </si>
  <si>
    <t>Relevancia 2024 Juventud</t>
  </si>
  <si>
    <t>Financiamiento</t>
  </si>
  <si>
    <t>Comentario otro financiamiento</t>
  </si>
  <si>
    <t>Encuesta confiable? (prioridades y relevancia</t>
  </si>
  <si>
    <t>Valparaíso</t>
  </si>
  <si>
    <t>70512176-1</t>
  </si>
  <si>
    <t>Independencia 2978</t>
  </si>
  <si>
    <t>Sí</t>
  </si>
  <si>
    <t>No</t>
  </si>
  <si>
    <t>Presencial</t>
  </si>
  <si>
    <t>Arriendo</t>
  </si>
  <si>
    <t>Araucanía</t>
  </si>
  <si>
    <t>70672737-K</t>
  </si>
  <si>
    <t>Lautaro N° 143</t>
  </si>
  <si>
    <t>Cr.filialangol</t>
  </si>
  <si>
    <t>Online</t>
  </si>
  <si>
    <t>70672705-1</t>
  </si>
  <si>
    <t>Calle Adamson 3354</t>
  </si>
  <si>
    <t>Cruzrojachilena_antofagasta</t>
  </si>
  <si>
    <t>Cursos PAA</t>
  </si>
  <si>
    <t>Arica Parinacota Tarapacá</t>
  </si>
  <si>
    <t>70.672.700-0</t>
  </si>
  <si>
    <t>San Marcos 356</t>
  </si>
  <si>
    <r>
      <rPr>
        <u/>
        <sz val="10"/>
        <color rgb="FF000000"/>
        <rFont val="Calibri"/>
      </rPr>
      <t>cruzroja_arica</t>
    </r>
  </si>
  <si>
    <t>Subvencíón municipal</t>
  </si>
  <si>
    <t>Biobío y Ñuble</t>
  </si>
  <si>
    <t>70512196-6</t>
  </si>
  <si>
    <t>Victor Bianchi N°99 - Comuna Bulnes</t>
  </si>
  <si>
    <t>Y aportes voluntarios hogar de ancianos</t>
  </si>
  <si>
    <t>70672795-7</t>
  </si>
  <si>
    <t>Calle Palacios s/n, orilla de carretera, Cabrero.</t>
  </si>
  <si>
    <t>Cruzrojacabrero</t>
  </si>
  <si>
    <t>Atacama-Coquimbo</t>
  </si>
  <si>
    <t>70672708-6</t>
  </si>
  <si>
    <t>Gallo 70</t>
  </si>
  <si>
    <t>Y policlínicos, subvención municipal</t>
  </si>
  <si>
    <t>70672735-5</t>
  </si>
  <si>
    <t>Arturo Prat N° 437</t>
  </si>
  <si>
    <t>cruz roja fililal cañete</t>
  </si>
  <si>
    <t>65191583-K</t>
  </si>
  <si>
    <t>Garibaldi 708</t>
  </si>
  <si>
    <t>Beneficios y arriendo esporádico</t>
  </si>
  <si>
    <t>70672747-7</t>
  </si>
  <si>
    <t>Avenida Ercilla 260</t>
  </si>
  <si>
    <t>Mixta</t>
  </si>
  <si>
    <t>70512189-3</t>
  </si>
  <si>
    <t>San Antonio 398</t>
  </si>
  <si>
    <t>CRUZROJACARTAGENA</t>
  </si>
  <si>
    <t>policlínico, subvención municipal, donaciones</t>
  </si>
  <si>
    <t>Los Lagos y Aysén</t>
  </si>
  <si>
    <t>70672777-9</t>
  </si>
  <si>
    <t>GAmbia 535 Castro</t>
  </si>
  <si>
    <t>aporte de voluntariados, beneficios, socios colaboradores, campaña del sobre</t>
  </si>
  <si>
    <t>65015007-4</t>
  </si>
  <si>
    <t>Antonio Varas 1019</t>
  </si>
  <si>
    <t>70672722-1</t>
  </si>
  <si>
    <t>Prat 80</t>
  </si>
  <si>
    <t>crz_roja_juventud_chiguayante</t>
  </si>
  <si>
    <t>70512195-8</t>
  </si>
  <si>
    <t>Maipón 301 Chillán</t>
  </si>
  <si>
    <t>cruzrojachilena.chillan</t>
  </si>
  <si>
    <t>Subvención municipal de proyectos específicos</t>
  </si>
  <si>
    <t>70512197-4</t>
  </si>
  <si>
    <t>Palazuelos 265</t>
  </si>
  <si>
    <t>Cruzrojacoelemu</t>
  </si>
  <si>
    <t>70672738-8</t>
  </si>
  <si>
    <t>Calle Cruz N16</t>
  </si>
  <si>
    <t>cr.filialcollipulli</t>
  </si>
  <si>
    <t>Donaciones</t>
  </si>
  <si>
    <t>70672724-8</t>
  </si>
  <si>
    <t>Lautaro 509</t>
  </si>
  <si>
    <t>Cruz.roja.concepcion</t>
  </si>
  <si>
    <t>Av. Reñaca Concón con los Alerces</t>
  </si>
  <si>
    <t>CRUZ ROJA CONCON</t>
  </si>
  <si>
    <t>70672709-4</t>
  </si>
  <si>
    <t>Chañarcillo n°300</t>
  </si>
  <si>
    <t>Aporte voluntarios, aportes de rifa beneficio filial</t>
  </si>
  <si>
    <t>70672713-2</t>
  </si>
  <si>
    <t>Melgarejo 1035</t>
  </si>
  <si>
    <t>51 2311166</t>
  </si>
  <si>
    <t>@filialcoquimbo</t>
  </si>
  <si>
    <t>Policlínico</t>
  </si>
  <si>
    <t>70512163-K</t>
  </si>
  <si>
    <t>Cahaparro 90 Cerro Cordillera Valparaíso</t>
  </si>
  <si>
    <t>filial.cordillera</t>
  </si>
  <si>
    <t>Donaciones y Beneficios</t>
  </si>
  <si>
    <t>70672779-5</t>
  </si>
  <si>
    <t>Las Quintas 808</t>
  </si>
  <si>
    <t>CRUZROJACHILENA_COYHAIQUE</t>
  </si>
  <si>
    <t>Beneficio venta de empanadas</t>
  </si>
  <si>
    <t>70512192-3</t>
  </si>
  <si>
    <t>Calle nueva S/N, Curanilahue</t>
  </si>
  <si>
    <t>Curicó</t>
  </si>
  <si>
    <t>70512145-1</t>
  </si>
  <si>
    <t>Estado 206 Curicó</t>
  </si>
  <si>
    <t>cruzrojacurico</t>
  </si>
  <si>
    <t>70672703-5</t>
  </si>
  <si>
    <t>Balmaceda 1932 Calama</t>
  </si>
  <si>
    <t>instagram</t>
  </si>
  <si>
    <t>Subvención Municipal</t>
  </si>
  <si>
    <t>Metropolitana</t>
  </si>
  <si>
    <t>70512117-6</t>
  </si>
  <si>
    <t>Ignacio Carrera Pinto 044</t>
  </si>
  <si>
    <t>Cruz_roja_filial_el_monte</t>
  </si>
  <si>
    <t>atención podológica</t>
  </si>
  <si>
    <t>Alcalde Raul Romero Erazo 0375</t>
  </si>
  <si>
    <r>
      <rPr>
        <u/>
        <sz val="10"/>
        <color rgb="FF000000"/>
        <rFont val="Arial"/>
      </rPr>
      <t>cruzrojaelquisco</t>
    </r>
  </si>
  <si>
    <t>y subvención municipal</t>
  </si>
  <si>
    <t>70672769-2</t>
  </si>
  <si>
    <t>Anibal Pinto 153</t>
  </si>
  <si>
    <t>70672750-7</t>
  </si>
  <si>
    <t>Cochrane N° 401 Gorbea</t>
  </si>
  <si>
    <t>Cruz_Roja_gorbea</t>
  </si>
  <si>
    <t>y comedor social</t>
  </si>
  <si>
    <t>70672715-9</t>
  </si>
  <si>
    <t>Ramón Freire # 350</t>
  </si>
  <si>
    <t>en proceso</t>
  </si>
  <si>
    <t>Y box dental</t>
  </si>
  <si>
    <t>70.672.701-9</t>
  </si>
  <si>
    <t>Obispo Labbé #800</t>
  </si>
  <si>
    <t>cruzroja.filial.iquique</t>
  </si>
  <si>
    <t>y policlínicos</t>
  </si>
  <si>
    <t>70512119-2</t>
  </si>
  <si>
    <t>Pablo Goyeneche 17</t>
  </si>
  <si>
    <t>Lacisterna.oficial</t>
  </si>
  <si>
    <t>70672711-6</t>
  </si>
  <si>
    <t>Cienfuegos 470</t>
  </si>
  <si>
    <t>Y arriendos</t>
  </si>
  <si>
    <t>La Unión</t>
  </si>
  <si>
    <t>Los Ríos</t>
  </si>
  <si>
    <t>70672760-4</t>
  </si>
  <si>
    <t>Barros Arana 569</t>
  </si>
  <si>
    <t>CRUZ ROJA-LU</t>
  </si>
  <si>
    <t>70672763-9</t>
  </si>
  <si>
    <t>Calle Valparaíso SN</t>
  </si>
  <si>
    <t>70672755-8</t>
  </si>
  <si>
    <t>Calle Valparaíso Recinto casas tuteladas</t>
  </si>
  <si>
    <t>75327500-2</t>
  </si>
  <si>
    <t>18 de sept 489, lastarria</t>
  </si>
  <si>
    <t>Coronas de caridad</t>
  </si>
  <si>
    <t>70672734-5</t>
  </si>
  <si>
    <t>Saavedra 539 Lebu</t>
  </si>
  <si>
    <t>70672785 -K</t>
  </si>
  <si>
    <t>GENERAL URRUTIA 835</t>
  </si>
  <si>
    <t>Cruzroja_licanray</t>
  </si>
  <si>
    <t>70512173-7</t>
  </si>
  <si>
    <t>@Cruzrojafiliallimache</t>
  </si>
  <si>
    <t>70672771-k</t>
  </si>
  <si>
    <t>Avenida Matta SN</t>
  </si>
  <si>
    <t>cruzrojallanquihue</t>
  </si>
  <si>
    <t>70512191-5</t>
  </si>
  <si>
    <t>Echaurren 242</t>
  </si>
  <si>
    <t>filial.llolleo@cruzroja.cl</t>
  </si>
  <si>
    <t>Y Cuotas de Voluntarias</t>
  </si>
  <si>
    <t>70512120-6</t>
  </si>
  <si>
    <t>Astaburuaga 87</t>
  </si>
  <si>
    <t>si</t>
  </si>
  <si>
    <t>Bernardo O'Higgins</t>
  </si>
  <si>
    <t>70512128-1</t>
  </si>
  <si>
    <t>Pedro Aguirre Cerda 069</t>
  </si>
  <si>
    <t>70672752-3</t>
  </si>
  <si>
    <t>Martínez de Rosas 317</t>
  </si>
  <si>
    <t>CRUZ ROJA CHILENA FILIAL LONCOCHE</t>
  </si>
  <si>
    <t>70512169-9</t>
  </si>
  <si>
    <t>Membrillar 98</t>
  </si>
  <si>
    <t>Cruzrojalosandes22</t>
  </si>
  <si>
    <t>cuota de voluntariado</t>
  </si>
  <si>
    <t>70672730-2</t>
  </si>
  <si>
    <t>cruz-roja-losangeles</t>
  </si>
  <si>
    <t>70512182-6</t>
  </si>
  <si>
    <t>Amalia Paz 581 cerro Los Placeres</t>
  </si>
  <si>
    <t>Rifas</t>
  </si>
  <si>
    <t>70672725-6</t>
  </si>
  <si>
    <t>Los Tilos 248-Lota</t>
  </si>
  <si>
    <t>70512113-3</t>
  </si>
  <si>
    <t>Av. Pajaritos 1709</t>
  </si>
  <si>
    <t>Cruz Roja Maipú Oficial</t>
  </si>
  <si>
    <t>74818600-K</t>
  </si>
  <si>
    <t>Pasaje 19 de junio 910 Mejillones</t>
  </si>
  <si>
    <t>70512118-4</t>
  </si>
  <si>
    <t>Ortuzar 310</t>
  </si>
  <si>
    <t>@cruzroja.melipilla</t>
  </si>
  <si>
    <t>70512100-1</t>
  </si>
  <si>
    <t>Maipú 2050 Molina</t>
  </si>
  <si>
    <t>@cruzroja.molina</t>
  </si>
  <si>
    <t>70672796-5</t>
  </si>
  <si>
    <t>Osvaldo Cruz 148</t>
  </si>
  <si>
    <t>Si</t>
  </si>
  <si>
    <t>Mulchén</t>
  </si>
  <si>
    <t>70672733-7</t>
  </si>
  <si>
    <t>Villagra N°110</t>
  </si>
  <si>
    <t>También subvención municipal</t>
  </si>
  <si>
    <t>70672731-0</t>
  </si>
  <si>
    <t>Jorge Montt N°450</t>
  </si>
  <si>
    <t>cruz roja filial nacimiento</t>
  </si>
  <si>
    <t>70676797-3</t>
  </si>
  <si>
    <t xml:space="preserve">A. Moller 293 Negrete </t>
  </si>
  <si>
    <t>9 5680 8744</t>
  </si>
  <si>
    <t>cruzroja_negrete</t>
  </si>
  <si>
    <t>70512103-6</t>
  </si>
  <si>
    <t>Avda. José Arrieta Nº 6068 - La Reina</t>
  </si>
  <si>
    <t>@cruzrojafilialnunoa</t>
  </si>
  <si>
    <t>Olmué</t>
  </si>
  <si>
    <t>70512175-3</t>
  </si>
  <si>
    <t>Henry Dunant 5318</t>
  </si>
  <si>
    <t>70672764-7</t>
  </si>
  <si>
    <t>Francisco Bilbao 1438</t>
  </si>
  <si>
    <t>También con Subvención municipal</t>
  </si>
  <si>
    <t>Socos 26</t>
  </si>
  <si>
    <t>70512158-3</t>
  </si>
  <si>
    <t>Balmaceda 440</t>
  </si>
  <si>
    <t>70672721-3</t>
  </si>
  <si>
    <t>Freire 525</t>
  </si>
  <si>
    <t>cruzroja_penco</t>
  </si>
  <si>
    <t>Balmaceda 803 Malloco</t>
  </si>
  <si>
    <t>cruzrojapenaflor</t>
  </si>
  <si>
    <t>Aporte de profesionales</t>
  </si>
  <si>
    <t>Pitrufquén</t>
  </si>
  <si>
    <t>70.672.749-3</t>
  </si>
  <si>
    <t>5 de April 0585</t>
  </si>
  <si>
    <t>70512177-K</t>
  </si>
  <si>
    <t>República Esquina Municipio S/N</t>
  </si>
  <si>
    <t>Rifas y cuotas voluntarias</t>
  </si>
  <si>
    <t>Pozo Almonte</t>
  </si>
  <si>
    <t>65.035.26-8</t>
  </si>
  <si>
    <t>21 de mayo 386 pzo alm.</t>
  </si>
  <si>
    <t>Cruz Roja Pozo Almonte</t>
  </si>
  <si>
    <t>Rifa, Plato único</t>
  </si>
  <si>
    <t>Providencia</t>
  </si>
  <si>
    <t>70512102-8</t>
  </si>
  <si>
    <t>@cruzrojafilialprovidencia</t>
  </si>
  <si>
    <t>70.512.000-1</t>
  </si>
  <si>
    <t>Sebastián Engler 485</t>
  </si>
  <si>
    <t>CR_PUCON</t>
  </si>
  <si>
    <t>1 EIEM</t>
  </si>
  <si>
    <t>aportes de los voluntarios</t>
  </si>
  <si>
    <t>70672773-6</t>
  </si>
  <si>
    <t>Urmeneta 835 Puerto Montt</t>
  </si>
  <si>
    <t>@CRUZROJAFILIALPUERTOMONTT</t>
  </si>
  <si>
    <t>Policlínicos, Curso PAA y Subvención municipal</t>
  </si>
  <si>
    <t>Puerto Natales</t>
  </si>
  <si>
    <t>Magallanes y la Antártica</t>
  </si>
  <si>
    <t>70512161-3</t>
  </si>
  <si>
    <t>Eberhard 298</t>
  </si>
  <si>
    <t>CRUZROJAPUERTONATALES</t>
  </si>
  <si>
    <t>70672772-8</t>
  </si>
  <si>
    <t>Andrés Bello 620</t>
  </si>
  <si>
    <t>9 90898347</t>
  </si>
  <si>
    <t>cruzroja_filial_puertovaras</t>
  </si>
  <si>
    <t>y policlinicos</t>
  </si>
  <si>
    <t>74795700-2</t>
  </si>
  <si>
    <t>Saavedra 173</t>
  </si>
  <si>
    <t>Cruz_roja_filial_puren</t>
  </si>
  <si>
    <t>Eventos y cuotas</t>
  </si>
  <si>
    <t>70672719-1</t>
  </si>
  <si>
    <t>José Francisco Vergara N°318</t>
  </si>
  <si>
    <t>cruzrojafilialquilicura</t>
  </si>
  <si>
    <t>70512171-0</t>
  </si>
  <si>
    <t>La Concepción 594</t>
  </si>
  <si>
    <t>cruzrojafilialquillota</t>
  </si>
  <si>
    <t>Financiamiento voluntariado</t>
  </si>
  <si>
    <t>70512185-0</t>
  </si>
  <si>
    <t>Avenida Los Carrera 427</t>
  </si>
  <si>
    <t>dicembre 2024</t>
  </si>
  <si>
    <t>CRUZROJA.QUILPUE</t>
  </si>
  <si>
    <t>Av. Normandie 2110 Quintero</t>
  </si>
  <si>
    <t>Arriendos y socios colaboradores</t>
  </si>
  <si>
    <t>70512216-5</t>
  </si>
  <si>
    <t>Campos 555, Rancagua</t>
  </si>
  <si>
    <t>70672720-5</t>
  </si>
  <si>
    <t>José Manuel Balmaceda N°4379, Renca</t>
  </si>
  <si>
    <t>Aporte diario de los profesionales</t>
  </si>
  <si>
    <t>Reumén</t>
  </si>
  <si>
    <t>Lautaro 204</t>
  </si>
  <si>
    <t>cruzrojareumen</t>
  </si>
  <si>
    <t>Ventas solidarias</t>
  </si>
  <si>
    <t>70672762-0</t>
  </si>
  <si>
    <t>Patricio Lynch 1251</t>
  </si>
  <si>
    <t>cruzrojariobueno</t>
  </si>
  <si>
    <t>72298500-1</t>
  </si>
  <si>
    <t>O'higgins 321 Salamanca</t>
  </si>
  <si>
    <t>70512190-7</t>
  </si>
  <si>
    <t>Pedro Montt 28</t>
  </si>
  <si>
    <t>Policlínicos</t>
  </si>
  <si>
    <t>70512193-1</t>
  </si>
  <si>
    <t>Vicuña Mackenna 340</t>
  </si>
  <si>
    <t>Cruzrojasancarlos</t>
  </si>
  <si>
    <t>70512165-6</t>
  </si>
  <si>
    <t>Arturo Para 11</t>
  </si>
  <si>
    <t>San Francisco de Mostazal</t>
  </si>
  <si>
    <t>70.512.123-0</t>
  </si>
  <si>
    <t>Calle San Francisco N°31</t>
  </si>
  <si>
    <t>San José De La Mariquina</t>
  </si>
  <si>
    <t>70672756-6</t>
  </si>
  <si>
    <t>Carlos acharan 150</t>
  </si>
  <si>
    <t>70512106-0</t>
  </si>
  <si>
    <t>Llano Subercaseaux 4153, San Miguel</t>
  </si>
  <si>
    <t>cruzroja.sanmiguel</t>
  </si>
  <si>
    <t>Y policlínico</t>
  </si>
  <si>
    <t>70672766-3</t>
  </si>
  <si>
    <t>LUis Cruz 650, San Pablo</t>
  </si>
  <si>
    <t>70872732-9</t>
  </si>
  <si>
    <t>Santiago Independencia</t>
  </si>
  <si>
    <t>70512101-K</t>
  </si>
  <si>
    <t>Av. Independencia 339</t>
  </si>
  <si>
    <t>cruzrojasantiagoindependencia</t>
  </si>
  <si>
    <t>y cursos de podología</t>
  </si>
  <si>
    <t>74951300-4</t>
  </si>
  <si>
    <t>Adamson 3354</t>
  </si>
  <si>
    <t>solo lo que aportan las filiales</t>
  </si>
  <si>
    <t>70672736-1</t>
  </si>
  <si>
    <t>Prieto Norte 326</t>
  </si>
  <si>
    <t>@cr_araucania</t>
  </si>
  <si>
    <t>73801000-0</t>
  </si>
  <si>
    <t>O’Higgins 445 of 22</t>
  </si>
  <si>
    <t>512 219994</t>
  </si>
  <si>
    <t>SR Bernardo O'Higgins</t>
  </si>
  <si>
    <t>65331940-1</t>
  </si>
  <si>
    <t>Campos 563 Rancagua</t>
  </si>
  <si>
    <t>Y Socios colaboradores</t>
  </si>
  <si>
    <t>Barros Aranas 1499 Concepción</t>
  </si>
  <si>
    <t>SR Los Lagos y Aysén</t>
  </si>
  <si>
    <t>70672754-K</t>
  </si>
  <si>
    <t>Antonio Varas 214, oficina 404, puerto montt</t>
  </si>
  <si>
    <t>SR Los Rios</t>
  </si>
  <si>
    <t>53316538-9</t>
  </si>
  <si>
    <t>Arauco 776, Valdivia</t>
  </si>
  <si>
    <t>Cr_losrios</t>
  </si>
  <si>
    <t>Y subvención municipal</t>
  </si>
  <si>
    <t>Älvarez 462 Vína</t>
  </si>
  <si>
    <t>cruzrojachilenacomiteregionalvalparaiso</t>
  </si>
  <si>
    <t>y arriendo</t>
  </si>
  <si>
    <t>65004920-9</t>
  </si>
  <si>
    <t>José Antonio moreno 202</t>
  </si>
  <si>
    <t>Cruz roja chilena filial taltal</t>
  </si>
  <si>
    <t>70512199-0</t>
  </si>
  <si>
    <t>Blanco Encalada #880</t>
  </si>
  <si>
    <t>cruzroja_talcahuano</t>
  </si>
  <si>
    <t>Avenida Serrano #239</t>
  </si>
  <si>
    <t>Toltén</t>
  </si>
  <si>
    <t>70672751-5</t>
  </si>
  <si>
    <t>San Martín 482, toltén</t>
  </si>
  <si>
    <t>70512198-2</t>
  </si>
  <si>
    <t>Ignacio Serrano 160</t>
  </si>
  <si>
    <t xml:space="preserve">Cruzrojachilena_filialtome </t>
  </si>
  <si>
    <t>También Arriendo y Subvención municipal</t>
  </si>
  <si>
    <t>Traiguén</t>
  </si>
  <si>
    <t>70672740-K</t>
  </si>
  <si>
    <t>General Lagos 891</t>
  </si>
  <si>
    <t>cr_filialtraiguen</t>
  </si>
  <si>
    <t>70672757-4</t>
  </si>
  <si>
    <t>Arauco 810</t>
  </si>
  <si>
    <t>Directorio 2022- Direct. Dic. 2024</t>
  </si>
  <si>
    <t>cruzroja.valdivia</t>
  </si>
  <si>
    <t>70672739-6</t>
  </si>
  <si>
    <t>21 de May 1307</t>
  </si>
  <si>
    <t>@CRUZROJAVICTORIA</t>
  </si>
  <si>
    <t>aportes socias</t>
  </si>
  <si>
    <t>70512186-9</t>
  </si>
  <si>
    <t>Santiago 779</t>
  </si>
  <si>
    <t>y arriendo, subvención municipal y curso PAA</t>
  </si>
  <si>
    <t>70672753-1</t>
  </si>
  <si>
    <t>Pedro de Valdivia 116</t>
  </si>
  <si>
    <t>CRUZROJA_VILLARRICA</t>
  </si>
  <si>
    <t>Viña del Mar</t>
  </si>
  <si>
    <t>70512184-2</t>
  </si>
  <si>
    <t>A norte 1275 Viña</t>
  </si>
  <si>
    <t>Cruzrojavinadelmar</t>
  </si>
  <si>
    <t>Y arriendo, subvención municipal,  cuotas de socios, eventos</t>
  </si>
  <si>
    <t>70512179-6</t>
  </si>
  <si>
    <t>General Mackenna 785 Cerro Yungay</t>
  </si>
  <si>
    <t>FILIAL YUNGAY VALPARAISO</t>
  </si>
  <si>
    <t>70.672.718-3</t>
  </si>
  <si>
    <t>Esmeralda 135</t>
  </si>
  <si>
    <t>cruzrojacolina</t>
  </si>
  <si>
    <t>70.512.156-7</t>
  </si>
  <si>
    <t>Calle Yumbel N° 466, Linares</t>
  </si>
  <si>
    <t>CRUZ ROJA FILIAL LINARES</t>
  </si>
  <si>
    <t>70.512.110-9</t>
  </si>
  <si>
    <t>Lía Aguirre 195</t>
  </si>
  <si>
    <t>facebook</t>
  </si>
  <si>
    <t>70.672.794-9</t>
  </si>
  <si>
    <t>Avda. concejal Héctor Rojo 109</t>
  </si>
  <si>
    <t>70.512.160-5</t>
  </si>
  <si>
    <t>AVENIDA COLON 1098</t>
  </si>
  <si>
    <t>70.512.100-1</t>
  </si>
  <si>
    <t>SAN DIEGO #152-A LA CALERA</t>
  </si>
  <si>
    <t>70.512.115-K</t>
  </si>
  <si>
    <t>Avenida Bernardo O’Higgins 658</t>
  </si>
  <si>
    <t>70.512.129-K</t>
  </si>
  <si>
    <t>PABLO RUBIO #245</t>
  </si>
  <si>
    <t>70.512.137-0</t>
  </si>
  <si>
    <t>CARAMPANGUE # 621</t>
  </si>
  <si>
    <t xml:space="preserve">SR Magallanes </t>
  </si>
  <si>
    <t>73.237.300-4</t>
  </si>
  <si>
    <t>Jorge Montt c/ Colon s/n</t>
  </si>
  <si>
    <t>70.672.780-9</t>
  </si>
  <si>
    <t>Manuel Rodriguez 185</t>
  </si>
  <si>
    <t>70.549.148-4</t>
  </si>
  <si>
    <t>CLODOMIRO SILVA N° 361</t>
  </si>
  <si>
    <t>70.672.723-k</t>
  </si>
  <si>
    <t>Sotomayor 210, Coronel.</t>
  </si>
  <si>
    <t>70.512.128-1</t>
  </si>
  <si>
    <t>Delfín Carvallo N°492 Doñihue</t>
  </si>
  <si>
    <t xml:space="preserve"> </t>
  </si>
  <si>
    <t>70.672.710-8</t>
  </si>
  <si>
    <t>jj vallejos 962</t>
  </si>
  <si>
    <t>70.512.162-1</t>
  </si>
  <si>
    <t>MARIANO GUERREO 273 – 2° PISO</t>
  </si>
  <si>
    <t>70.672.775-2</t>
  </si>
  <si>
    <t>Los Carrera N°989</t>
  </si>
  <si>
    <t>70512125-7</t>
  </si>
  <si>
    <t>AVDA. COMPAÑÍA 318 GRANEROS</t>
  </si>
  <si>
    <t xml:space="preserve">70.512.138-9 </t>
  </si>
  <si>
    <t>21 de May 0222</t>
  </si>
  <si>
    <t>70512131-1</t>
  </si>
  <si>
    <t xml:space="preserve">calle Errazuriz 324 </t>
  </si>
  <si>
    <t>Facebook /Instagram</t>
  </si>
  <si>
    <t xml:space="preserve">70.512.139-7 </t>
  </si>
  <si>
    <t xml:space="preserve">DIAZ BESOAIN 180 </t>
  </si>
  <si>
    <t>70.672.790-6</t>
  </si>
  <si>
    <t>Avda.sta. Rosa #430</t>
  </si>
  <si>
    <t xml:space="preserve">facebook </t>
  </si>
  <si>
    <t>Jhon kennedy S/N</t>
  </si>
  <si>
    <t>70512143-5</t>
  </si>
  <si>
    <t>CARMEN LARRAIN 53</t>
  </si>
  <si>
    <t>Servicios Higienicos</t>
  </si>
  <si>
    <t>70.512.133-8</t>
  </si>
  <si>
    <t>Los Almendros s/n</t>
  </si>
  <si>
    <t>65.231.744-8</t>
  </si>
  <si>
    <t>Arturo Prat  # 157 Pichilemu</t>
  </si>
  <si>
    <t>70.512.150-8</t>
  </si>
  <si>
    <t>Cruz n°.342</t>
  </si>
  <si>
    <t>instagram / faccebook</t>
  </si>
  <si>
    <t>SR Arica, Tarapaca y PArinacota</t>
  </si>
  <si>
    <t>Obispo Labbé 800</t>
  </si>
  <si>
    <t>65.036.889-4</t>
  </si>
  <si>
    <t>LOS NOGALES # 3031</t>
  </si>
  <si>
    <t>Facebook</t>
  </si>
  <si>
    <t>70.512.109-5</t>
  </si>
  <si>
    <t>21 de May 0135</t>
  </si>
  <si>
    <t>facebook / instagram</t>
  </si>
  <si>
    <t>70.672.702-7</t>
  </si>
  <si>
    <t>CALLE BAQUEDANO N° 1360</t>
  </si>
  <si>
    <t>70.512.121-4</t>
  </si>
  <si>
    <t>Bulnes 640 san bernardo</t>
  </si>
  <si>
    <t>subvenciones anual de fundaciones jose nuez martin</t>
  </si>
  <si>
    <t>70.512.116-8</t>
  </si>
  <si>
    <t>Santelices 341</t>
  </si>
  <si>
    <t>2819 2221</t>
  </si>
  <si>
    <t>Como sugerencia sería implementar en base a la transparencia e igualdad que el Gobierno y la Junta para los cursosvenideros con fondos internacionales sean más participativos; es decir que sea con una postulación a nivel nacional y no elegidos por comités o Direcciones Nacionales, esto en base a que estoy seguro que dentro del voluntariado a nivel
Nacional existe más de una persona con las competencia para que pueda adquirir los conocimientos de dicho curso; me baso en que vemos que asisten a cursos a nivel internacional y no se tiene mayor información de lo expuesto, quizás la retroalimentación la obtiene la filial o comité al cual pertenece el voluntario pero para la mayor igualdad sería bueno que estos conocimientos sean compartidos a través de una plataforma virtual para que todo el voluntariado a nivel nacional lo pueda adquirir.</t>
  </si>
  <si>
    <t>NOSOTROS COMO FILIAL BULNES NECESITAMOS MAYOR APOYO EN LAS GESTIONES , PARA PODER ADMINISTRAR DE MEJOR FORMA EL HOGAR DE ANCIANOS, YA QUE ESTAMOS OFRECIENDO UNA LABOR EN LA COMUNIDAD PARA LAS PERSONAS MAYORES VULNERBLES ABANDONADAS POR LA FAMILIA Y SOCIEDAD,TENEMOS PRESENCIA,CREDIBILIDAD , CONFIABILIDAD,DEJANDO BIEN A LA INSTITUCION , PERO LOS RECURSOS QUE HACEN POCOS, SE REQUIERE APOYO DEL NIVEL CENTRAL, SIEMPRE ESTAMOS NECESITANDO RECURSOS ECONOMICOS, ALIMENTOS, VESTUARIOS IMPLEMENTOS PARA EL FUNCIONAMNIENTO.EL MUNICIPIO HA SIDO UN GRAN APOYO PERO NO ES SUFIECIENTE ENE STOS TIEMPOOS YA QUE SE REQUIERE UN POCO MAS.-
Muchas veces nos sentimos SOLAS y sin apoyo
Pero no podemos dejar de agradecer al comité regional Bio Bio-Ñuble ,por el apoyo permanente, cuando pueden hacerlo.-
 Si se necesita el respaldo COMITÉ CENTRAL EN GESTIONES IMPORTANTES,Y APOYO ECONOMICO, marerial</t>
  </si>
  <si>
    <t>Siempre orgullosos y orgullosas del trabajo realizado y de pertenecer a esta hermosa y loable institución. Por nuestra parte sugerimos una acceso para amplio y fácil a poder capacitar a nuestros voluntarios y voluntarias en primeros auxilios por voluntarios del área de la salud, que pudiesen no contar con título de instructoría desde CR, pero si conocimientos del área por ámbito profesional, eso facilitaría este proceso sobre todo pensando en que ya es complejo poder contar con disponibilidad para participar activamente de actividades de filial, es aún más complejo poder asistir a otros lugares a capacitarse , por disponibilidad de tiempo, económica, etc.</t>
  </si>
  <si>
    <t xml:space="preserve">Nuestra Filial se encuentra en un lugar apartado de los centros urbanos más importantes de la región de La Araucanía.  Esto ha dificultado la posibilidad de recibir la formación en Primeros Auxilios y Doctrina Institucional, principalmente. Aún así, nos hemos integrado a campañas y actividades regionales y nacionales. También hemos sido referente y  centro de operaciones durante los incendios en que recibimos la intervención del Proyecto DREF.  
En cuanto a financiamiento, la colecta anual en la semana de Cruz Roja, es muy importante para financiar actividades  y generar ayudas que entregamos a la comunidad consistente, principalmente, en medicamentos, alimentos  especiales, exámenes médicos, canastas familiares, etc.  
Nuestros ingresos se obtienen mediante la participación en Ferias Gastronómicas de comidas italianas. Esto es una vez  al año y lo que ofrecemos es confeccionado por el voluntariado. 
Adolecemos de conocimientos y expertis en tecnología, lo que hace difícil la entrega de Balance y Memoria Anual.  Toda la documentación que requiere esta destreza nos significa una dificultad, la que salvamos con ayuda externa de  personas de buena voluntad, asumiendo la responsabilidad que nos asiste como Cruces Rojas comprometidas con  nuestra querida Institución.
</t>
  </si>
  <si>
    <t xml:space="preserve">- CAPACITACION COMPUTACIONAL GENERAL. 
- CAPACITACION EN BALANCES. 
- ETICA Y DOCTRINA.
</t>
  </si>
  <si>
    <t>CAPACITACION EN FILIAL O ZONA COSTA POR TIEMPO Y COSTOS. (PRESENCIAL DESDE SEDE CENTRAL A FILIAL)</t>
  </si>
  <si>
    <t>Buscar redes de apoyo con empresas que donen insumos o recursos que necesitamos diariamente para
abastecer las necesidades diarias en las atenciones de publico.</t>
  </si>
  <si>
    <t>Se requiere un taller de fotografías y redes sociales para enviar correctamente los informes</t>
  </si>
  <si>
    <t>Es necesario que el nivel central apoye el trabajo de Filiales a nivel  de regiones y no obstaculice la gestión que se realiza, sobre todo para conseguir los recursos que se necesitan para subsistir. Desde las ciudades se hace lo posible para mantener los materiales, implementos  y movilización de los voluntarios, que se necesitan para realizar el trabajo con la comunidad de manera óptima y profesional.  Es menester utilizar criterios inclusivos y no determinantes frente a solicitudes  desde las filiales y no  abusar del poder que da la Jerarquía desde el nivel central.</t>
  </si>
  <si>
    <t>Nuestra filial tiene club de adulto mayor, pero con personalidad jurídica. El enfoque de nuestro trabajo es mayoritariamente en terreno, solo el club de adulto mayor tiene actividades dentro de nuestra filial, lo demás es en el exterior. Cabe mencionar que nuestra filial es la última por este lado de la región (Ñuble, Provincia del Itata), por tanto nuestra jurisdicción abarca las comunas de Coelemu, Trehuaco, Quirihue, Cobquecura, Ranquil y todos los sectores rurales de estas comunas.
Tal como marcamos en las alternativas, actualmente no poseemos policlínico, pero este año tenemos pensado retomar esta actividad, por lo que durante el año trabajaremos en las salas destinadas a esto con remodelaciones y compra de implementos para poder rehabilitarlo de acuerdo a los estándares actuales y obtener la resolución sanitaria para sala de procedimientos y sala de esterilización.
Por ultimo mencionar que, el tema de la cantidad de voluntarios es un punto crítico de difícil solución, ya que nuestra filial está en lo que muchos llaman “ciudad dormitorio”, muchas filiales de pueblos pequeños se ven afectadas por esta situación, ya que la mayoría de las personas se van de la comuna para estudiar y/o trabajar en ciudades más grandes donde tienen mejores oportunidades, por lo cual solo llegan de vuelta para descansar y no están interesados en hacer voluntariados, por consecuente gran parte del voluntariado son adultos mayores o dueñas de casa, pero lamentablemente algunas de estas personas no saben leer ni escribir o no están dispuestas a participar de cursos y talleres para poder especializarse y poder avanzar, a veces llegamos a temer por la falta de voluntarios y que finalmente la filial llegue a cerrarse por esta situación, por lo que a veces es molesto cuando nos exigen tener más voluntarios, sabiendo que los pueblos pequeños no tienen la misma cantidad de gente que una ciudad más grande y con mayor fuerza laboral y estudiantil, es difícil tener voluntarios porque la gente ya no tienen tanto tiempo libre como antes, mucho menos en lugares donde las personas solo llegan en la tarde/noche y al otro día se van temprano.
Respecto al ultimo punto mencionado, cuando necesitamos más voluntarios, entre filiales hemos creado redes de apoyo, por tanto si necesitamos más voluntarios, nos ayudamos entre filiales, es así como hemos trabajado en conjunto con filiales de Concepción, Talcahuano, Chillán, San Carlos y Tomé constantemente estos últimos años, especialmente cuando son trabajos en terreno que duran más de un día, en los cuales se requiere relevos.</t>
  </si>
  <si>
    <t>Algunos requerimientos serían poder aportar, para los socios que cumplen años de servicio, algún estímulo significativo,ya que, los diplomas, que en sí, son importantes, generalmente se dejan olvidados en alguna carpeta y se destrozan conel tiempo.
Algunas de nuestras inquietudes es la poca comunicación que se tiene con la Junta Nacional de Gobierno, ya que no se realizan visitas a las Filiales de la comuna; sólo recordamos una a lo largo de los años. Que se realicen cursos de forma online para las Filiales más apartadas de los comités regionales, ya que a veces es difícil
viajar a dichos lugares, ya sea por temas laborales, estudios o distancia, etc. Esto permitiría a los socios/as, poderperfeccionarse en diferentes áreas de trabajo. Rapidez en la entrega de certificados, ya que, a veces, demoran más de un año en ser entregados a los socios/as o
simplemente no se envían. Debería tenerse la posibilidad, como Filial, de generar dichos certificados con timbre y firma de la presidenta/e respectivo. Ser autónomos en confeccionar las credenciales de cada socio/a, pues desde la Sede Central no se confeccionan permanentemente, en forma continuada, cuando ésta se vence.</t>
  </si>
  <si>
    <t>Que la información o solicitudes que envíe nivel central sea directamente a las filiales y a su vez, a los comités. Lo  anterior, para evitar retrasos en recibir y/o enviar información.</t>
  </si>
  <si>
    <t xml:space="preserve">Se solicita fortalecer a Filial Copiapó en medio de autosutentabilidad financiera, por ejemplo: 
- Cómo realizar la venta de cursos de primeros auxilios (¿Cuánto es el valor de cada curso?, ¿Se emite boleta de  honorarios?, ¿Se retiene impuestos?, ¿Se requiere iniciar actividades en SII?, ¿Se recibe las inscripciones como  donación con recibo interno de donación?, entre otros) 
- Cómo solicitar fondos estatales/municipales/de Gobierno Regional/otros. 
- Cómo realizar arriendos de oficinas. 
- Entre otros. 
Estos aspectos no se observan en los Estatutos y tampoco en las formaciones internas, por lo que se requiere  conocimientos específicos para actuar dentro de los límites de las posibilidades Institucionales.
</t>
  </si>
  <si>
    <t>La inquietud es que esta Filial siga funcionando con los voluntarios tanto los nuevos como los antiguos, que se puede hacer para la continuidad de ésta y qué apoyo pueden hacer en conjunto con el comité regional Atacama Coquimbo</t>
  </si>
  <si>
    <t>Asesorìa para postulaciòn a proyectos. Entregar al voluntariado un registro tangible de las capacitaciones online y presenciales. Mayores capacitaciones para todo el voluntariado y con mayor accesibilidad. Agilizar los tràmites entre Filial Comitè regional y Sede Central.</t>
  </si>
  <si>
    <t>QUIERO MENCIONAR QUE FILIAL COYHAIQUE TIENE UN BAR LACTEO, DONDE SE LE ENTREGA LECHE CON CHOCOLATE Y PAN CON MERMELADA A NIÑOS VULNERABLES, PERSONAS EN SITUACION DE CALLE Y ADULTOS MAYORES QUE ASI LO NECESITEN, ATENDEMOS UN PROMEDIO DE 60 PERSONAS DIARIAS DE LUNES A JUEVES DE LAS 14:30 HRS a 17:00
HRS EN NUESTRA FILIAL, TAMBIEN HACEMOS VISITAS A LOCALIDADES RURALES DONDE LLEVAMOS OLLAS SOLIDARIAS, NUESTRO BAR LACTEO Y ROPA DE MEDIO USO EN BUENAS CONDIONES PARA QUIEN LA NECESITE. EL INVIERNO EN NUESTRA PATAGONIA ES NORMAL QUE TENGAMOS CONDICIONES CLIMÁTICAS MUY DURAS, Y ES ENESTE PERIODO DONDE MÁS SE NECESITA COLABORACIÓN PARA SEGUIR AYUDANDO EN LOS TEMAS INDICADOS ANTERIORMENTE Y EN LO QUE RESPECTA A LA CALEFACCIÓN, CONSIDERANDO QUE LO TENEMOS UN MIX ENTRE PELLET Y LEÑA.</t>
  </si>
  <si>
    <t xml:space="preserve">La filial de Curanilahue manifiesta la necesidad de recibir apoyo económico para fortalecer sus capacidades operativas  y cubrir gastos esenciales. Esto se debe a que no siempre se cuenta con subvenciones municipales ni con financiamiento  proveniente de proyectos locales. 
Un aspecto prioritario es la dotación adecuada de uniformes para las voluntarias, especialmente aquellos utilizados en  temporadas de invierno, cuando los riesgos asociados a las condiciones climáticas son mayores. Entre estos  implementos se incluyen chaquetas, zapatos de seguridad y otros elementos necesarios para garantizar la seguridad y  comodidad durante sus labores. 
Además, se considera fundamental realizar capacitaciones dentro de la misma filial, ya que esto facilita la asistencia de  los participantes al evitar desplazamientos a otras localidades. Estas capacitaciones abarcarían temas esenciales para  las actividades de la Cruz Roja, como primeros auxilios, reanimación cardiopulmonar (RCP) y gestión financiera,  permitiendo fortalecer las habilidades y conocimientos del personal voluntario y mejorar la calidad del servicio que se  entrega a la comunidad. 
La colaboración económica y material no solo contribuirá a optimizar el funcionamiento de la filial, sino también a  reforzar su compromiso con la misión humanitaria de la Cruz Roja Chilena en la región.
</t>
  </si>
  <si>
    <t>Para nosotros como filial a sido complejo cumplir contar con un medio de transporte para cumplir con la logística de las actividades, tenemos el capital humano y un voluntariado capacitado en distintas áreas, no obstante, a veces nos vemos entrampados en problemas logísticos y creemos que es una necesidad para nuestra filial contar con un
vehículo institucional, por eso agradeceríamos poder contar con orientación hacia la forma de solucionar este problema.
Otro requerimiento para nosotros es en el área de capacitaciones, sería importante contar con voluntarios capacitados en primeros auxilios en contexto riesgo como manifestaciones o eventos masivos (tenemos por lo menos 3 durante el año), así como capacitarnos en RCF (trabajamos con población migrante) y contar con algún voluntariado
que tenga un TOT (no asistieron de la región a la última convocatoria)</t>
  </si>
  <si>
    <t>El monte</t>
  </si>
  <si>
    <t>POR RAZONES CLIMATICAS EN NUESTRA ZONA , EL USO DE UNIFORME ADECUADO Y LA FACILIDAD PARA OBTENERLO.</t>
  </si>
  <si>
    <t>Capacitaciones para los voluntarios (gestión de riesgos, primeros auxilios, bienestar social, acción anticipatoria, principios fundamentales, entre otros).</t>
  </si>
  <si>
    <t xml:space="preserve">No contamos con Unidades Educativas, ni director de Juventud 
No contamos con director de GDR 
Posee grupo de Adulto Mayor “Monseñor Polidoro” (20 socias), realizan actividades de repostería, convivencias, ejercicios de estimulación  cognitiva, participan en las actividades programadas por la municipalidad y UCAM enfocadas en el bienestar e inclusión de los Adultos Mayores,  (mateadas, loterías), su monitora asiste a charlas UCAM, en tema Eco memorias del adulto mayor y a charlas de profesionales de salud que asisten  a las reuniones a visitarlas. 
Se participaron de los siguientes talleres online: 
Taller WASH, Agua, saneamiento y promoción de la higiene, 2 talleres durante el año 
Capacitación virtual CEA 
Taller online IFRC Cuidado del personal y los voluntarios 
Capacitación online “tipos violencia y detección temprana” 
Reunión online de comunicaciones regional 
Webinar “Hablemos de viruela del mono” 
Taller online de comunicaciones 
Taller básico RCF, online 
Taller online, Bienestar Social, “Envejecimiento activo y participación integral” 
A la vez comentamos que, a algunos, no pudimos ingresar por la dificultad que presenta el link que envían para iniciar la reunión, agradeceríamos  se sigan dando estas instancias de actualización de conocimientos mediante formato online ya que nos acomoda bastante. Reuniones en forma mensual en Consultivo de salud del Hospital de Illapel, Se mantiene conocimientos de avances de salud, se participa en talleres  educativos impartidos por profesionales del establecimiento. 
Reunión en espacio de la mujer, compartir información del trabajo que realiza. 
Reuniones en UCAM, taller eco memorias del adulto mayor, que luego son replicadas en las reuniones del Club Monseñor Polidoro que funciona  en la Filial. 
Talle presencial “Rol del dirigente social en salud y la formulación de proyectos,” Servicio de Salud Coquimbo 
Taller presencial, PPAA y soporte vital básico para agente comunitario, realizado en la ciudad de salamanca, Seremi de salud coquimbo. Se participa con posta de PPAA en caminata de liceo LAV 
Posta de PPAA en gala folclórica de liceo LAV 
Posta de PPAA en carrera aniversario liceo LAV 
Se enseña a leer (escribir) a una mujer adulta, beneficiada de nuestra Área de Bienestar Social. 
Se entrega donación de pañales a hospital de Illapel, Área de maternidad y pediatría (2 veces en el año) 
Se postula a proyecto Subvención Municipal, monto asignado de $1.000.000, que nos permite financiar la compra de alimentos y útiles de aseo  que son entregados en forma mensual a los beneficiados de Área de Bienestar Social. 
Se realizó campaña de navidad, dónde fueron beneficiados 13 menores de edad.
</t>
  </si>
  <si>
    <t xml:space="preserve">Tener nombre ,dirección donde pedir la RESOLUCION SANITARIA 
Tenemos todo en orden que pide la SEREMI ,necesitamos arrendar los box 
Que nuestros operativos , ayudas ,etc que nuestra directora de comunicaciones envía sean publicadas en la pagina de CRUZ ROJA CHILENA 
Capacitaciones para el voluntariado ON LINE 
</t>
  </si>
  <si>
    <t>REQUERIMIENTO
- AYUDA A SACAR LA RESOLUCION SANITARIA 
- TENER CONVENIO CON UNA EMPRESA DE RETIRO DE MATERIAL CONTAMINADO Y CORTOPUNZANTE</t>
  </si>
  <si>
    <t>CAPACITACION EN ESPECIAL Y URGENTEMENTE MANEJO DE REDES SOCIALES E INFORMATICA , MAS AYUDA SOCIAL Y ECONOMICA Y QUE LOS DIRECTORES NACIONALES NOS VISITEN Y VEAN NUESTRA REALIDAD Y ASI PUEDAN ELAVORAR SUS PROGRAMA S DE TRABAJO Y NO SEAN TAN CENTRALIZADOS EN LA REGION METROPOLITANA</t>
  </si>
  <si>
    <t>Como voluntariado de Cruz Roja Filial Lago Ranco desearíamos contar con mas apoyo de nivel central ( Cruz Roja Nacional) en cuanto a necesidades de conectividad como red de internet, radio comunicaciones lo cual es fundamental para desempeñar una mejor labor como son elaborar informes, mantener actualizado desempeño de voluntarios que actualmente se debe realizar en domicilio particular del Sr Presidente, no contamos con telefonía propia de la filial , tampoco radio toda comunicación es vía celular particular de los voluntarios. Otro punto importante es que la única ayuda recibida como filial desde el comité nacional, fue la campaña del cloro a colegios, que se nos fue imposible poder retirar en su totalidad, debido a que nos encontramos a una distancia de mas de 100km de nuestra sede regional y para acercarlo debíamos pagar vehículo por un monto de $160.000 aprox.</t>
  </si>
  <si>
    <t>Para nosotros como filial nos gustaría que como junta de gobierno se encarguen de venir a visitar las filiales, y de mejorar algunas cosas. También que nos enseñen. A utilizar el computador ya que nos cuesta mucho completar o llenar el Excel seria muy importante para nosotros.</t>
  </si>
  <si>
    <t>AMPLIAR LAS DISTINTAS CAPACITACIONES PARA LOS VOLUNTARIOS DE LA FILIAL</t>
  </si>
  <si>
    <t>Nuestra Filial centra su labor a las comunidades mas vulnerables las que generalmente se encuentran en las periferias comunales cada vez mas alejadas de nuestra Filial considerando que también atendemos 2 comunas mas como son los Álamos y Arauco. Por no haber Filial de Cruz Roja, en ellas se requiere contar con movilización personal y equipos cada vez que se requiera. Necesitamos obtener o adquirir un vehículo para lo cual se esta trabajando</t>
  </si>
  <si>
    <t>Capacitación en manejo de plataformas digitales y uso de herramientas tecnológicas adecuadas a las necesidades de nuestra Institución.</t>
  </si>
  <si>
    <t>En el caso de las capacitaciones, se solicita actualizarlas en nuestra región, Los Lagos y Aysén. Idealmente, se solicita que sean presenciales.Pensamos que la actividad de Colecta Nacional, debiera ser difundida con más tiempo y por distintos medios de
comunicación, especialmente por los medios más masivos: televisión, diario, redes sociales, etc.</t>
  </si>
  <si>
    <t>Por completar</t>
  </si>
  <si>
    <t>1.- Talleres de primeros auxilios
2.- Talleres de finanzas
3.- Talleres de doctrina institucional</t>
  </si>
  <si>
    <t>Se necesitan más capacitaciones, pero aquí en nuestra Filial, ya que viajar al Comité Regional es de alto costo, y no sepuede enviar a todo el voluntariado que quisiera, ni en reiteradas ocasiones. La distancia y el alto costo de pasajes de bus, o el alto costo de usar un vehículo particular nos imposibilita de asistir regularmente a capacitaciones, reuniones o trabajos al Comité Regional.</t>
  </si>
  <si>
    <t>https://www.instagram.com/p/DBpeTYUgLeN/?img_index=1&amp;igsh=c2tyOXM2bGp0ZGN6</t>
  </si>
  <si>
    <t>-Requerimos que las capacitaciones también puedan ser en forma presencial, tales como primeros Auxilios psicológicos SPAC, SMAPC, RCF, etc., ya que no todas nuestras voluntarias tienen acceso a meet o zoom.
- Solicitamos que los informes que solicitan en Elecciones o Votaciones pueda ser entregado por una sola vez, ya que se hace en forma telefónica en medio del trabajo y los documentos que solicita Sede Central lleva la misma información.
- Si es posible en esta dirección se pueda ya contar con el nuevo reglamento.
- Dar más facilidad a los voluntarios a obtener sus uniformes y con valores accesibles tanto para hombre y mujeres.</t>
  </si>
  <si>
    <t>Unas de nuestras mayores inquietudes:
 Queremos que nuestras autoridades nacionales, se descentralicen y puedan ayudar a las filiales mas alejadas
y con menos recursos.
 Crear Malla Curricular para acreditarse como voluntarios
 Capacitaciones constantemente a todos los directores de diferentes arias para poder desempeñar a cabalidad
sus respectivos cargos.</t>
  </si>
  <si>
    <t xml:space="preserve">DADO QUE NUESTRA FILIAL ABARCA LAS CINCO COMUNAS DE LA PROVINCIA, AL MOMENTO DE RESPONDER A UNA EMERGENCIA O ENTREGA DE AYUDA HUMANITARIA ESTA SE VE LIMITADA POR EL TEMA DE TRASLADO DE LA AYUDA PROPIAMENTE TAL Y EL TRASLADO DEL VOLUNTARIADO.
DEJAMOS LA INQUIETUD SOBRE PODER CONTAR CON MOVILIZACIÓN INSTITUCIONAL O QUE ESTA SEA MÁS EXPEDITA PARA COORDINAR.
</t>
  </si>
  <si>
    <t>Considerando los nuevos ingresos de voluntarios a nuestra filial, una de las principales necesidades radica en la implementación del curso de voluntariado básico. Esto, debido a que la capacitación es de vital importancia para el desarrollo de nuestros voluntarios en la institución, por lo que es imperante que se dicte con mayor frecuencia.
Puesto que, contamos con seis voluntarios que no poseen dicho curso, pese a formar parte de Cruz Roja desde hace más de un año.</t>
  </si>
  <si>
    <t xml:space="preserve">Sugerimos que sería de gran ayuda que el Comité Central pudiera colaborar entregando algunos implementos de uniforme de Cruz Roja como petos, credenciales. </t>
  </si>
  <si>
    <t xml:space="preserve">En cuanto a Gestión de Riesgo se necesitan recursos o insumos para armar Kits de higiene y de abrigo, ya que en la estadística se piden, y esto sólo se hace con la cooperación del voluntariado y no es suficiente. O que en su defecto se autorice la compra de estos insumos.
En el área de Finanzas como poder solucionar el problema de cancelación servicios menores ya que en los pueblos pequeños no todas las personas cuentan con factura o boleta, ver si se pueden hacer acuerdo de pago de alguna otra manera.
</t>
  </si>
  <si>
    <t>Para un funcionamiento eficiente, nuestra Cruz Roja Nacimiento, necesita con urgencia, recursos para la Reparación total de la Techumbre de la Filial. Actualmente es de tejas, que se encuentran dañadas y destruidas lo que en el tiempo de lluvia, provoca deterioro en el interior de las dependencias.
Se ha solicitado apoyo a la Ilustre Municipalidad de Nacimiento, pero debido a su alto costo, no hemos tenido respuesta satisfactoria.</t>
  </si>
  <si>
    <t>El tema de los uniformes, credenciales y cualquier implemento apto de trabajo para la mayor realización de nuestras  funciones, ya que estos debieran de ser financiados a primera instancia por parte de la institución en cuestión.</t>
  </si>
  <si>
    <t>Tener más cursos de PP.AA. para especializar al Voluntariado.</t>
  </si>
  <si>
    <t xml:space="preserve">Filial Olmué está gestionando la adquisición de una camioneta con fondos regionales a través del municipio pues de esta manera tenemos más opciones de conseguir nuestro proyecto. Para tal gestión nos solicitan documentos relacionados con los estatutos en donde diga explícitamente que somos una organización sin fines de lucro que está al servicio de la comunidad. </t>
  </si>
  <si>
    <t>Esta filial se encuentra en este momento en reestructuración total, dado que el 28-08-2024 su presidente de filial Sra. Marisol Agüero, fue destituida por el comité regional, por problemas financieros y demás (?). Ha sido un trabajo arduo, dado que la filial está con sus 100 XX empezando de O (?) y tratando de XXX con la comunidad nuevamente.</t>
  </si>
  <si>
    <t>Apoyo en capacitación para los nuevos socios para hacer cursos y charlas de primeros auxilios</t>
  </si>
  <si>
    <t xml:space="preserve">Estimados, revisando las prioridades de nuestra filial comentos los puntos más importantes: 
1. Tener la capacidad y  autonomía financiera para poder postular a beneficios gubernamentales, locales para un crecimiento y  desarrollo real que va en directo beneficio de nuestra comunidad.  
2. Actualización y capacitación de PP. AA enfocados a instructores y futuros instructores para capacitar a  nuestros nuevos voluntarios y comunidad.
</t>
  </si>
  <si>
    <t>NUESTRA INQUIETUD COMO FILIAL CRUZ ROJA PUERTO VARAS ES QUE PUDIERAN AYUDARNOS A GESTIONAR CON LA
AUTORIDAD MUNICIPAL (ALCALDE) UNA SUBENCION MUNICIPAL ANUAL.</t>
  </si>
  <si>
    <t>Solicitamos apoyo y disponibilidad de instructores (del Nivel Central) para dictar cursos de formación de voluntarios, primeros auxilios, cuidado del enfermo, etc. en nuestra Filial, ya que disponemos de la infraestructura, los recursos físicos y didácticos para su realización.
 Solicitamos que las reuniones de presidentas sean más recurrentes de tal forma de mantenernos informadas y conocer las necesidades e iniciativas de las otras filiales.
 Solicitamos que las credenciales del voluntariado sean confeccionadas por el nivel central o en su defecto nos envíen el formato y protocolo para elaborarlas.</t>
  </si>
  <si>
    <t>Uniformes. (vestuario) Sugerencia de autorizar en los estatutos de Cruz Roja Chilena lo siguiente; Considerar el uso de un gorro de lana y guantes para protección y abrigo en invierno, con logo reglamentario frontal y en el color que sea más distintivo, para ser usados por el personal de voluntarios en la zona central y sur del país. En
temporada de invierno para las salidas a terreno. Para evitar el uso de múltiples prendas de abrigo no reglamentadas y con el fin de entregar uniformidad a los voluntarios.</t>
  </si>
  <si>
    <t>NOS GUSTARIA COMO FILIAL QUE LOS ESTUTOS VIGENTES SEAN RESPETADOS HASTA NUEVO CAMBIO OFICIAL.DEBIDO A QUE SE NOS VAN CAMBIANDO SEGÚN LAS NECESIDADES QUE TENGA COMITÉ REGIONAL</t>
  </si>
  <si>
    <t>- Capacitación más avanzada en área salud para atención de los más vulnerables, emigrantes
- Capacitación avanzada para atención de Adultos mayores
- Capacitación en talleres del área de finanzas a todo el voluntariado y y directores(as) de Finanzas.
- Apoyo real, para obtener la documentación, cartolas mes a mes a nuestros correos electrónicos, por el ejecutivo nacional de nuestra cuentas (en nuestro caso, Banco Estado) para una mejor transparencia y así obtener los datos claros para presentar nuestros balances anuales en el tiempo estipulado...
Referente a los curso Básicos, pensamos que es de vital importancia reforzar y profundizar al máximo el módulo de Doctrina Institucional y Ética, que es la razón de ser de nuestra institución, el conocer nuestra historia en profundidadpensamos que se formaría un voluntariado más comprometido (como lo era años atrás) y así, tener una mayor continuidad en nuestras filiales.</t>
  </si>
  <si>
    <t xml:space="preserve">Sin perjuicio que el directorio anterior que estuvo a cargo de esta Filial, hasta el 05 de noviembre de 2024, no formuló sugerencias ni peticiones,  el actual Directorio Interino, estima muy pertinente, contar con: 
Capacitaciones en finanzas para las voluntarias a cargo de esta área.
Capacitación  para formulación de proyectos que nos permitan postular a subvenciones, especialmente para postular a fondos de reparación de la Sede e implementos.
Obtener Charlas de liderazgo, ética profesional, Doctrina Institucional, entre otros.
Capacitar en la  formulación de Planes de Trabajo en distintas áreas enfocadas a la comunidad.
Capacitar a voluntarios como instructores de PPAA,  con el objetivo que éstos impartan cursos a la comunidad con fines de lucro y así sustentar la Filial.
</t>
  </si>
  <si>
    <t>Estamos en espera de tener una pronta solución a nuestro problema de receso (desde 25 septiembre 2024) y
restauración. Es una buena instancia para plantear nuestras inquietudes y/o requerimiento, como sugerencia ver la posibilidad de que las revisiones y observaciones de nuestras falencias sean vistas con anterioridad, esto para poder evitar inconvenientes como los que tenemos en la actualidad como el receso, ver factibilidad de que en cada cierto tiempo nos visite un orientador de cómo estamos haciendo las cosas y las mejoras tanto financieras como social. Creemos que esto es necesario para tener una buena conexión y comunión entre las filiales y la sede central a futuro. Deseando tener una buena acogida y disposición de parte de ustedes, agradeceremos sus gestiones para obtener una pronta respuesta.</t>
  </si>
  <si>
    <t>*Nosotras como filial seria importante tener documentación de nuestra filial ya que producto al incendio perdimo toda esas información y por ese motivo no podemos optar por ayudas municipales.
*De igual forma necesitamos suministros para poder tener en stoc en caso de algún evento natural.
*Necesitamos de igual forma material para poder concientisar la exitencia de nuetra institución, tanto como flayer, pendones, para darnos a conocer dentro de la comuna.
*Nuestra filial necesita retomar el curso de doctrina.</t>
  </si>
  <si>
    <t>Nuestra filial no tiene instrumentos tecnológicos para realizar todo tipo de documentación ej: finanzas, secretariado, comunicación, bienestar social, gestión del riesgo, etc. No tenemos computador, impresora, internet, ni teléfono fijo para realizar la documentación de la filial, que nos solicita el comité central, comité regional. Lo hacemos con los propios recursos de cada voluntario. Nuestra filial necesita capacitación porque el voluntariado es adulto mayor.</t>
  </si>
  <si>
    <t xml:space="preserve">Realizar visitas a mas seguidos a las diferentes filiales de la región, además de realizar actividades en conjunto con las  filiales que se encuentran en las provincias para poder tener más comunicación y poder ver que hay una hermandad  entre la institución. </t>
  </si>
  <si>
    <t>Más visitas a las filiales, comunicación constante, (via mail)</t>
  </si>
  <si>
    <t xml:space="preserve">Filial San Carlos, está ubicada en la Región de Ñuble, Provincia de Punilla, comprende las Comunas de, Ñiquén, San Fabián de Alico, Coihueco, San Nicolás y San Carlos, siendo la Capital Provincial.
Cada Dirección trabaja sus programas, enfocado a las necesidades de la comunidad.
El Programa de Personas Mayores, cuenta con una agrupación de alrededor de 30 personas, quienes se reúnen los días lunes de 15:00 a 17 horas, donde participan de actividades de socialización, actividades físicas y estimulación cognitiva. También se reúnen los días martes de 15:00 a 17:00 horas en un taller laboral, donde desarrollan  diferentes técnicas de artesanía, guiados por una monitora. 
https://www.instagram.com/p/DDS_wWCSWSd/?igsh=N2Q0ZmRpdWY0cnY5 
El trabajo con migración es aportar información sobre nuestras leyes, apoyar  en el proceso de inserción a la sociedad y en  algunos casos, ayuda en alimentos, kits de higiene y ropa de abrigo.
Dirección de Juventud apoya a otras direcciones y este año retomó las Unidades Educativas, en dos Escuelas
https://www.instagram.com/p/DCS3KThNFpv/?igsh=dng1eW4wbm80NGhk 
https://www.instagram.com/p/C_ZPrFrOr1k/?igsh=a2NrM2NydnNkbW9q 
https://www.instagram.com/p/DD-aw4TyWiL/?igsh=MWNlYm1icHAxMDh4Ng== 
Gestión del Riesgo imparte talleres a la comunidad
https://www.instagram.com/p/DBl6-2LOOBW/?img_index=4&amp;igsh=MW9nZWFibndudTdkcw== 
https://www.instagram.com/p/DDahD8vSZ1U/?igsh=NXo3ZWZycGx3NDVo 
En la Dirección de Salud, lamentablemente no hemos podido renovar la resolución sanitaria para el funcionamiento de la Sala de Procedimiento. A través de la Municipalidad hemos recibido subvenciones que han sido dirigidas a las remodelaciones e implementos, para este espacio, pero aún queda hace algunas terminaciones, que por falta de recursos no se ha podido avanzar en ellas.
Se realizan Cursos de PPAA a la comunidad y participación con puestos de PPAA en eventos masivos
https://www.instagram.com/p/C6SGzWzO1kO/?img_index=2&amp;igsh=amd5amM4bjN1ZnI= 
https://www.instagram.com/p/C4ltJoWuHwU/?igsh=ZnZqZHZwamIzazRv 
Contamos con varios voluntarios, pero la gran mayoría son personas mayores,  que no están en condiciones de trabajar en terreno y el voluntariado joven, no tienen tiempo suficiente para desarrollar muchas actividades, ya que trabajan o estudian.
Nuestro mayor requerimiento, es el financiamiento para desarrollar el trabajo humanitario y material para la  prevención
</t>
  </si>
  <si>
    <t>-Capacitaciones más cercanas a la realidad, tanto al voluntariado, como a las comunidades donde se replicarán las temáticas.
-Mayor cercanía de parte de la Sede Central con las Filiales.
-Más apoyo hacia los programas de Cruz Roja en lo referido a material de trabajo.
-La confección y potenciación de manuales para cada Dirección y no cambiarlos constantemente, ya que apenas las personas se están acostumbrando a un determinado manual, este se cambia dependiendo de cada Director y muchas veces a criterio propio, comprendiendo que existen otras instituciones que tienen manuales mas prácticos y sencillos,
sin perder la calidad de la información que estos entregan, debiendo ser esto, una señal de alerta en pos de lograr la consolidación de una institución moderna y de acorde a los tiempos.
-Menos burocracia institucional.
-Mayor transparencia en lo referido a méritos en los cargos y la forma de postulación a estos (puestos pagados).
-Transparencia financiera integral.
-Que la toma de decisiones en todo ámbito, se tome desde una perspectiva de proyección y no exclusivamente orientada a maquetear una imagen momentánea. Toda la gestión institucional dirigida hacia la idea que aquellos que sean autoridades en el futuro, puedan dar continuidad al trabajo y no que aquellos que lleguen, inicien todo nuevamente, ya que a sido algo muy visto en nuestra SN.</t>
  </si>
  <si>
    <t>San José de la Marquina</t>
  </si>
  <si>
    <t>ESTA LA POSIBILIDAD DE REALIZAR MUCHAS ACTIVIDADES EN BIEN DE LA COMUNIDAD, PERO NOS HACE FALTA FINANCIAMIENTO, MOVILIZACION, ETC. SE PROMOCIONA PARA REALIZAR ARRIENDOS PARA TALLERES, PERO NO ES SUFICIENTE.</t>
  </si>
  <si>
    <t>Cambiar el uniforme, ya que es incomodo. En nuestra filial, gran parte del voluntariado, no se maneja con las redes sociales, motivo por el cual, tenemos que buscar, actividades acordes a sus capacidades…Por favor, ver nuestro instagram, está actualizado y todas las actividades son importantes…</t>
  </si>
  <si>
    <t>CURSOS DE COMPUTACIÓN, CAPACITACIONES EN FINANZAS.</t>
  </si>
  <si>
    <t>Santiago independencia</t>
  </si>
  <si>
    <t xml:space="preserve">SOLICITAMOS MAS CAPACITACION EN TEMAS DE GESTION DEL RIESGO Y EN BIENESTAR SOICIAL PARA DAR LINEAMIENTOS A SEGUIR. ADEMAS DE CAPACITACION EN PGI QUE HA HABIDO MUY POCA . https://vm.tiktok.com/ZMk9pr2p5/
https://www.instagram.com/p/C-8Sz5fp7qi/?igsh=YnJmd3FnOWp0bmR3
https://www.instagram.com/p/C-veXnlp-6N/?igsh=MXdrYnJ6ZWJwdTFsMw==
https://www.instagram.com/p/C92jR5SAafo/?igsh=MWxoaWpteDZ2bTBxbA==
https://www.instagram.com/reel/C87XhnHgMgF/?igsh=MW8zMjJidnM5MWI5Zw==
https://www.instagram.com/reel/C8Xn1ovp93n/?igsh=YmZkbW51M2w3eW5z
https://www.instagram.com/p/C7hNq-GApmw/?igsh=MWd0cXVwczJjOWo0aw==
https://www.instagram.com/p/C6ExuBfgJzH/?img_index=2&amp;igsh=Zmt6cnhscmNiMmkz
https://www.instagram.com/p/C3GWIOdATDU/?igsh=d3VrbnN0ajg4dWJu
https://www.facebook.com/share/p/1E9bH3Hwps/
https://www.facebook.com/share/r/15tqXri1St/
https://www.facebook.com/share/r/18aoGz7EC7/
</t>
  </si>
  <si>
    <t>1.-Apoyar al Comité Regional, especialmente en recursos y Redes de apoyo a nivel regional. Descentralizar para llegar a la zona norte.</t>
  </si>
  <si>
    <t>Requerimientos:
• Realizar un glosario actualizado con siglas utilizadas en cada dirección. (formularios, correos, cursos, manuales,  etc.) 
• Se cumplan compromisos de realizar cursos y/o capacitaciones de las direcciones que no realizan talleres  actualmente. 
• La misma rendición de Balances requerido a Comités Regionales y/o filiales con detalles de ingresos y egresos  debe ser reciproca desde Comité Central hacia ellos.</t>
  </si>
  <si>
    <t>EN ESTOS DOS AÑOS QUE LLEVAMOS COMO DIRECTORIO DEL COMITÉ REGIONAL DE LOS RÍOS, NOS HEMOS DADO CUENTA QUE LA MAYORIA DE NUESTROS VOLUNTARIOS SON ADULTOS MAYORES Y NO ESTAN CAPACITADOS EN EL MANEJO DEL COMPUTADOR Y NO SE MANEJAN EN LAS REDES SOCIALES ADEMÁS QUE HAY VARIAS FILIALES QUE NO CUENTAN CON UN COMPUTADOR NI IMPRESORAS POR LO TANTO NO TIENEN INTERNET TENIENDO QUE MUCHAS VECES PAGAR PARA PODER ENVIAR UN INFORME SOBRE TODO EN FINANZAS YA QUE HAY QUE ENVIAR CADA BOLETA ESCANEADA, ADEMÁS QUE NOS FALTA MAS CAPCITACIÓN YA SEA EN PRIMEROS AUXILIOS Y DOCTRINA YA QUE CONTAMOS CON UN SOLO INSTRUCTOR EN PRIMEROS AUXILIOS Y EL INSTRUCTOR DE DOCTRINA TODAVIA NO HA SIDO APROBADO , NOS GUSTARIA QUE LOS DIRECTORES NACIONALES VISITARAN LOS COMITÉ Y FILIALES PARA QUE VEAN LA REALIDAD QUE SE VIVE EN REGIONES QUE ES MUY DIFERENTE A LO QUE VEN ELLOS EN LA ZONA CENTRAL , Y QUE NO SE SALTEN LOS CONDUCTOS REGULARES A PESAR DE TODAS NUESTRAS FALENCIA TRATAMOS DE CUMPLIR CON NUESTRO VOLUNTARIADO DE LA MEJOR FORMA . LOS VISITAMOS Y ESTAMOS CERCA DE ELLOS EN LA MEDIDA DE LO POSIBLE YA QUE NO CONTAMOS CON UN VEHICULO PROPIO DEL COMITÉ .</t>
  </si>
  <si>
    <t xml:space="preserve">1.- Como Comité Regional el requerimiento que solicitamos, que la informaciones o tareas se realicen por conductos regulares, o sea, desde las Filiales de la Región al Comité Regional y de ahí a la Sede Central. Y de la Sede Central al Comité Regional a las Filiales. -
2.- segundo requerimiento la posibilidad de que todas las Filiales adquieran Computadores con Internet, ya que, la Tecnología va avanzando rápido. Y tener la ayuda de ustedes para la capacitación de cómo usar los computadores y los trabajos que nos puedan encomendar.
3. Reforzar el que existan formatos de la documentación de Cruz Roja, los cuales no se modifiquen en el tiempo al menos de ser necesario. Con la finalidad de no llenarnos de documentación innecesaria y obsoleta. Contando estrictamente necesario
4.- Promover Talleres y cursos Presenciales en las Regiones y promover la descentralización en nuestra sociedad Nacional
</t>
  </si>
  <si>
    <t>A la Junta de Gobierno y Director Ejecutivo, se solicita respetuosamente disponer que los Directores Nacionales ejecuten Capacitaciones y Talleres en terreno con el objeto de actualizar los conocimientos en las distintas áreas. Dando inicio con la Dirección de Salud, Dirección de Finanzas, Dirección de Gestión del Riesgo, Dirección de Bienestar
Social, Dirección de Juventud, Dirección de Comunicaciones, Dirección de Desarrollo y en forma muy especial considerar a las voluntarias (os) que ejercen como Secretarias, tanto Comité Regional y filiales.
-Cursos: sobre la respuesta a emergencias o desastres como:
-DREFF. –ALBERGUES. –DISTRIBUCION.
-PTM. –RCF. –RESPUESTA GLOBAL.
-S.E.A -INFORMACION Y COMENTARIOS.
-KOBO. –BIE.
-USO DEL PETO INSTITUCIONAL PARA TODOS POR IGUAL.</t>
  </si>
  <si>
    <t>Nuestra filial dispone de un club de adulto mayor con personalidad jurídica, siendo esta la única actividad que se realiza dentro de nuestras instalaciones, ya que la mayor parte de nuestro trabajo tiene lugar en terreno.
Actualmente, no contamos con un policlínico operativo, pero este año tenemos previsto reactivarlo. Para lograrlo, gestionaremos los trámites necesarios que permitan cumplir con los estándares vigentes y obtener la resolución sanitaria para las salas de procedimientos y esterilización. Asimismo, adquiriremos el equipamiento requerido para
adecuar dichas instalaciones.
El número de voluntarios es uno de los mayores desafíos que enfrentamos. Debido a compromisos laborales y académicos, muchos voluntarios no disponen de horarios que les permitan participar activamente, lo que lleva a que la mayoría se mantenga disponible solo bajo llamada. Por este motivo, nuestro voluntariado está compuesto en su mayoría por personas mayores, dueñas de casa o jubilados. Esto genera dificultades, ya que muchos de ellos no están dispuestos a participar en cursos de actualización por temor a enfrentar nuevos conocimientos o tecnologías, lo que limita la posibilidad de especialización dentro del equipo. Además, los voluntarios más jóvenes a menudo encuentran los horarios poco compatibles con sus actividades. Además cabe mencionar que por lo general las capacitaciones que se realizan son de cupos limitados y en horarios y fechas que lamentablemente imposibilitan que los voluntarios puedan participar.</t>
  </si>
  <si>
    <t>Necesitamos la preparación para las personas que aún están sin cursos de primeros auxilios y formación doctrinal.</t>
  </si>
  <si>
    <t>Debo mencionar que es muy importante que los voluntarios estén capacitados en primeros auxilios y doctrina institucional para poder dar respuesta a la comunidad, siendo el comité regional la entidad que realice estas capacitaciones presenciales en las Cruz Rojas aledañas, dando la facilidad al voluntariado para el perfeccionamiento y actualización de estas capacitaciones y que tengan convenios con otras instituciones educativas que permitan educar y ayudar al voluntariado. Es necesario apoyar a lasfiliales a nivel económico dentro de lo posible ya que la sustentabilidad financiera es un desafío grande cuando hay pobreza en el entorno porque no alcanza para tener tecnología y para mantener una sede digna. También es importante apoyar con alimentos y útiles de aseo para la prevención en salud y el bienestar social de las familias en nuestro caso del borde costero de la región de la Araucanía. Intentar ser más empáticos y ejecutivos ya que solicitan demasiada documentación para hacer un reconocimiento y dar a conocer la labor de la Cruz Roja, lo que llega a ser molesto en algunos casos ya que hay poco voluntariado capaz de realizar esas labores y los que son capaces tienen poco tiempo ya que trabajan y estos documentos toman bastante tiempo en completarse.</t>
  </si>
  <si>
    <t>Se respete conducto regular de la información, en situaciones y temas específicos, entregando información simultánea y expedita en conjunto y no de manera diferenciada, para evitar desfase en la información. En el caso de la creación de grupos de WhatsApp, en dónde se comparte información que no llega oportunamente a las directivas de la filial.
Que se entregue a las filiales más recursos desde sede central y/o regional, en especies, como uniformes y elementos de protección personal para el voluntariado.</t>
  </si>
  <si>
    <t>Importante tener mayor capacitación a los voluntarios, apoyar con temas de charlas online, redes sociales, y mayor acceso del uniforme institucional.</t>
  </si>
  <si>
    <t>MAS APOYO PARA POSTULAR A PROYECTOS SOCIALES, TAMBIEN PARA INFRAEXTRUCTURA RENOVACIÓN DE SEDES.POSTULAR A HACER NUEVAS NUESTRAS SEDES CON OFICINAS Y PODER TENER POLICLINICAS PARA ATENDER A MUCHA GENTE QUE LO NECESITA.</t>
  </si>
  <si>
    <t>Tener una Credencial Nacional de Cruz Roja con duración mínima de 4 años</t>
  </si>
  <si>
    <t>LA CIUDAD DE VILLARRICA SIEMPRE ESTA LATENTE ANTE UNA ERUPCION VOLCANICA, ES POR ESO QUE SOLICITA PODER GESTIONAR LA ENTREGA DE ROPA DE SEGURIDAD PARA LOS VOLUNTARIOS DE ESTA FILIAL.</t>
  </si>
  <si>
    <t>Uno de los problemas más grande es con la parte de gestión en relación al actuar del Comité Regional con una Filial,siendo que las filiales son las operativas y los comités son administrativos en la colaboración en caso de emergenciasmayores, falta de ayuda de la Sede Central para reponer lo dañado y lo usado en una emergencia muy grandes (Incendios).</t>
  </si>
  <si>
    <t>APOYAR LAS FILIALES PARA PODER GESTIONAR DIFERENTES PROYECTO, SUBVENCIONES, ETC. PARA SI PODER TENER MAYOR CONOCIMIENTOS DE ESTOS Y PODER CONSERVAR Y ARREGLAR LAS FILIALES.</t>
  </si>
  <si>
    <t>Sede Regional</t>
  </si>
  <si>
    <t>Fono Sede</t>
  </si>
  <si>
    <t>Fono Celular</t>
  </si>
  <si>
    <t>Correo electrónico</t>
  </si>
  <si>
    <t>Memoria regional</t>
  </si>
  <si>
    <t>Alto Hospicio</t>
  </si>
  <si>
    <t>en receso</t>
  </si>
  <si>
    <t>XV-I</t>
  </si>
  <si>
    <t>Berta Aravena Bustamante</t>
  </si>
  <si>
    <t>57 - 2344939</t>
  </si>
  <si>
    <t>569 88895009</t>
  </si>
  <si>
    <r>
      <rPr>
        <u/>
        <sz val="11"/>
        <color rgb="FF1155CC"/>
        <rFont val="Calibri, sans-serif"/>
      </rPr>
      <t>regional.primera@cruzroja.cl</t>
    </r>
  </si>
  <si>
    <t>Lautaro</t>
  </si>
  <si>
    <t>En receso</t>
  </si>
  <si>
    <t>II</t>
  </si>
  <si>
    <t>Héctor Castillo</t>
  </si>
  <si>
    <t>55 - 2847328</t>
  </si>
  <si>
    <t>569 67961903</t>
  </si>
  <si>
    <r>
      <rPr>
        <u/>
        <sz val="11"/>
        <color rgb="FF1155CC"/>
        <rFont val="Calibri, sans-serif"/>
      </rPr>
      <t>regional.segunda@cruzroja.cl</t>
    </r>
  </si>
  <si>
    <t>OK</t>
  </si>
  <si>
    <t>Freire</t>
  </si>
  <si>
    <t>Cerrada</t>
  </si>
  <si>
    <t>III-IV</t>
  </si>
  <si>
    <t>Virginia Frías Bulo</t>
  </si>
  <si>
    <t>51 - 2219994</t>
  </si>
  <si>
    <t>569 92400633</t>
  </si>
  <si>
    <r>
      <rPr>
        <u/>
        <sz val="11"/>
        <color rgb="FF1155CC"/>
        <rFont val="Calibri, sans-serif"/>
      </rPr>
      <t>regional.tercera@cruzroja.cl</t>
    </r>
  </si>
  <si>
    <t>Teodoro Schmidt</t>
  </si>
  <si>
    <t>V</t>
  </si>
  <si>
    <t>Cecilia Pedreros Barrera</t>
  </si>
  <si>
    <t>32 - 2883307</t>
  </si>
  <si>
    <t>569 99987499</t>
  </si>
  <si>
    <r>
      <rPr>
        <u/>
        <sz val="11"/>
        <color rgb="FF1155CC"/>
        <rFont val="Calibri, sans-serif"/>
      </rPr>
      <t>regional.quinta@cruzroja.cl</t>
    </r>
  </si>
  <si>
    <t>Puerto Aysén</t>
  </si>
  <si>
    <t>VI</t>
  </si>
  <si>
    <t>Raquel Oyarzún Reyes</t>
  </si>
  <si>
    <t>72 - 2240204</t>
  </si>
  <si>
    <t>569 81370465</t>
  </si>
  <si>
    <r>
      <rPr>
        <u/>
        <sz val="11"/>
        <color rgb="FF1155CC"/>
        <rFont val="Calibri, sans-serif"/>
      </rPr>
      <t>regional.sexta@cruzroja.cl</t>
    </r>
  </si>
  <si>
    <t>VII</t>
  </si>
  <si>
    <t>Juana Barraza Gaete</t>
  </si>
  <si>
    <t>71 - 2211994</t>
  </si>
  <si>
    <t>569 68985175</t>
  </si>
  <si>
    <r>
      <rPr>
        <u/>
        <sz val="11"/>
        <color rgb="FF1155CC"/>
        <rFont val="Calibri, sans-serif"/>
      </rPr>
      <t>regional.septima@cruzroja.cl</t>
    </r>
  </si>
  <si>
    <t>VIII-XVI</t>
  </si>
  <si>
    <t>Rosa Barrera Muñoz</t>
  </si>
  <si>
    <t>41 - 2223367</t>
  </si>
  <si>
    <t>569 98328323</t>
  </si>
  <si>
    <r>
      <rPr>
        <u/>
        <sz val="11"/>
        <color rgb="FF1155CC"/>
        <rFont val="Calibri, sans-serif"/>
      </rPr>
      <t>regional.octava@cruzroja.cl</t>
    </r>
  </si>
  <si>
    <t>IX</t>
  </si>
  <si>
    <t>Mariela Erices Labrin</t>
  </si>
  <si>
    <t>45 - 2216715</t>
  </si>
  <si>
    <t>569 75593650</t>
  </si>
  <si>
    <r>
      <rPr>
        <u/>
        <sz val="11"/>
        <color rgb="FF1155CC"/>
        <rFont val="Calibri, sans-serif"/>
      </rPr>
      <t>regional.novena@cruzroja.cl</t>
    </r>
  </si>
  <si>
    <t>XIV</t>
  </si>
  <si>
    <t>Marisol Córdova Medina</t>
  </si>
  <si>
    <t>63 - 2219709</t>
  </si>
  <si>
    <t>569 94663451</t>
  </si>
  <si>
    <r>
      <rPr>
        <u/>
        <sz val="11"/>
        <color rgb="FF1155CC"/>
        <rFont val="Calibri, sans-serif"/>
      </rPr>
      <t>regional.losrios@cruzroja.cl</t>
    </r>
  </si>
  <si>
    <t>X-XI</t>
  </si>
  <si>
    <t>Silvia Muñoz Muñoz</t>
  </si>
  <si>
    <t>65 - 2275827</t>
  </si>
  <si>
    <t>569 85830557</t>
  </si>
  <si>
    <r>
      <rPr>
        <u/>
        <sz val="11"/>
        <color rgb="FF1155CC"/>
        <rFont val="Calibri, sans-serif"/>
      </rPr>
      <t>regional.decima@cruzroja.cl</t>
    </r>
  </si>
  <si>
    <t>XII</t>
  </si>
  <si>
    <t>María Luisa Cárcamo Barrientos</t>
  </si>
  <si>
    <t>61 - 2228669</t>
  </si>
  <si>
    <t>569 88678879</t>
  </si>
  <si>
    <r>
      <rPr>
        <u/>
        <sz val="11"/>
        <color rgb="FF1155CC"/>
        <rFont val="Calibri, sans-serif"/>
      </rPr>
      <t>regional.duodecima@cruzroja.cl</t>
    </r>
  </si>
  <si>
    <t>RM</t>
  </si>
  <si>
    <t>No aplica</t>
  </si>
  <si>
    <t>Suma recibidos</t>
  </si>
  <si>
    <t>Filial Original</t>
  </si>
  <si>
    <t>Filial recibida</t>
  </si>
  <si>
    <t>Chanco</t>
  </si>
  <si>
    <t>Constitución</t>
  </si>
  <si>
    <t>Esmeralda  Colina</t>
  </si>
  <si>
    <t>Isla De Maipo</t>
  </si>
  <si>
    <t>Lican ray</t>
  </si>
  <si>
    <t>Machalí</t>
  </si>
  <si>
    <t>Padre Hurtado</t>
  </si>
  <si>
    <t>Pelequén</t>
  </si>
  <si>
    <t>Peumo</t>
  </si>
  <si>
    <t>Pirque</t>
  </si>
  <si>
    <t>Puerto Williams</t>
  </si>
  <si>
    <t>Quinta Normal  Pudahuel</t>
  </si>
  <si>
    <t>Río Negro</t>
  </si>
  <si>
    <t>San Francisco De Mostazal</t>
  </si>
  <si>
    <t>San Javier</t>
  </si>
  <si>
    <t>Til til</t>
  </si>
  <si>
    <t>Recibidos filial</t>
  </si>
  <si>
    <t>Recibidos Sede regional</t>
  </si>
  <si>
    <t>Total recibidos</t>
  </si>
  <si>
    <t>Total esperado</t>
  </si>
  <si>
    <t>% cumplimiento</t>
  </si>
  <si>
    <t>Cargos</t>
  </si>
  <si>
    <t>Tipo Voluntario</t>
  </si>
  <si>
    <t>Capacitación</t>
  </si>
  <si>
    <t>Binario</t>
  </si>
  <si>
    <t>Fecha de ingreso</t>
  </si>
  <si>
    <t>Fecha nacimiento</t>
  </si>
  <si>
    <t>6573896-1</t>
  </si>
  <si>
    <t>5.639.666-7</t>
  </si>
  <si>
    <t>Tomasfaundez7@gmail.com</t>
  </si>
  <si>
    <t>Saraslealvic@gmail.com</t>
  </si>
  <si>
    <t>Sofiaandreapinto2007@gmail.com</t>
  </si>
  <si>
    <t>dianafranciscastillo@gmail.com</t>
  </si>
  <si>
    <t>noemilopezlb@gmail.com</t>
  </si>
  <si>
    <t>Fran.alexandra852@gmail.com</t>
  </si>
  <si>
    <t>Franlopezlara5@gmail.com</t>
  </si>
  <si>
    <t>Madelaineramirez.1@gmail.com</t>
  </si>
  <si>
    <t>thiareconnixiomara@gmail.com</t>
  </si>
  <si>
    <t>leslietorresc@gmail.com</t>
  </si>
  <si>
    <t>relatoriasmc@gmail.com</t>
  </si>
  <si>
    <t>carmencanalestorres@gmail.com</t>
  </si>
  <si>
    <t>Contadora.soraya@gmail.com</t>
  </si>
  <si>
    <t>Marinasoto1213@gmail.com</t>
  </si>
  <si>
    <t>alegriamariamercedes@gmail.com</t>
  </si>
  <si>
    <t>carmenbravo@gmail.com</t>
  </si>
  <si>
    <t>acunapropiedades@ gmail.com</t>
  </si>
  <si>
    <t>12.390.452-4</t>
  </si>
  <si>
    <r>
      <rPr>
        <u/>
        <sz val="10"/>
        <color rgb="FF1155CC"/>
        <rFont val="Calibri"/>
        <family val="2"/>
      </rPr>
      <t>Tamaraa.af2003@gmail.com</t>
    </r>
  </si>
  <si>
    <r>
      <rPr>
        <u/>
        <sz val="10"/>
        <color rgb="FF1155CC"/>
        <rFont val="Calibri"/>
        <family val="2"/>
      </rPr>
      <t>Javieraconstanzamatamala@gmail.com</t>
    </r>
  </si>
  <si>
    <r>
      <rPr>
        <u/>
        <sz val="10"/>
        <color rgb="FF1155CC"/>
        <rFont val="Calibri"/>
        <family val="2"/>
      </rPr>
      <t>delgadobravoluna@gmail.com</t>
    </r>
  </si>
  <si>
    <r>
      <rPr>
        <u/>
        <sz val="10"/>
        <color rgb="FF1155CC"/>
        <rFont val="Calibri"/>
        <family val="2"/>
      </rPr>
      <t>jalil-11-11@hotmail.com</t>
    </r>
  </si>
  <si>
    <r>
      <rPr>
        <u/>
        <sz val="10"/>
        <color rgb="FF1155CC"/>
        <rFont val="Calibri"/>
        <family val="2"/>
      </rPr>
      <t>erny335@gmail.com</t>
    </r>
  </si>
  <si>
    <r>
      <rPr>
        <u/>
        <sz val="10"/>
        <color rgb="FF1155CC"/>
        <rFont val="Calibri"/>
        <family val="2"/>
      </rPr>
      <t>mariajosemedelgutierrez@gmail.com</t>
    </r>
  </si>
  <si>
    <r>
      <rPr>
        <u/>
        <sz val="10"/>
        <color rgb="FF1155CC"/>
        <rFont val="Calibri"/>
        <family val="2"/>
      </rPr>
      <t>ositapanda1962@gmail.com</t>
    </r>
  </si>
  <si>
    <r>
      <rPr>
        <u/>
        <sz val="10"/>
        <color rgb="FF1155CC"/>
        <rFont val="Calibri"/>
        <family val="2"/>
      </rPr>
      <t>marialysesandoval@gmail.com</t>
    </r>
  </si>
  <si>
    <r>
      <rPr>
        <u/>
        <sz val="10"/>
        <color rgb="FF1155CC"/>
        <rFont val="Calibri"/>
        <family val="2"/>
      </rPr>
      <t>irina.burgos@gmail.com</t>
    </r>
  </si>
  <si>
    <r>
      <rPr>
        <u/>
        <sz val="10"/>
        <color rgb="FF1155CC"/>
        <rFont val="Calibri"/>
        <family val="2"/>
      </rPr>
      <t>Benerisa2018@gmail.com</t>
    </r>
  </si>
  <si>
    <r>
      <rPr>
        <u/>
        <sz val="10"/>
        <color rgb="FF1155CC"/>
        <rFont val="Calibri"/>
        <family val="2"/>
      </rPr>
      <t>sandravbravo@gmail.com</t>
    </r>
  </si>
  <si>
    <r>
      <rPr>
        <u/>
        <sz val="10"/>
        <color rgb="FF1155CC"/>
        <rFont val="Calibri"/>
        <family val="2"/>
      </rPr>
      <t>soledadcontrerast@gmail.com</t>
    </r>
  </si>
  <si>
    <r>
      <rPr>
        <u/>
        <sz val="10"/>
        <color rgb="FF1155CC"/>
        <rFont val="Calibri"/>
        <family val="2"/>
      </rPr>
      <t>mariateresayanezneira@gmail.com</t>
    </r>
  </si>
  <si>
    <r>
      <rPr>
        <u/>
        <sz val="10"/>
        <color rgb="FF1155CC"/>
        <rFont val="Calibri"/>
        <family val="2"/>
      </rPr>
      <t>fcidzapata@gmail.com</t>
    </r>
  </si>
  <si>
    <r>
      <rPr>
        <u/>
        <sz val="10"/>
        <color rgb="FF1155CC"/>
        <rFont val="Calibri"/>
        <family val="2"/>
      </rPr>
      <t>anabellomunoz@gmail.com</t>
    </r>
  </si>
  <si>
    <r>
      <rPr>
        <u/>
        <sz val="10"/>
        <color rgb="FF1155CC"/>
        <rFont val="Calibri"/>
        <family val="2"/>
      </rPr>
      <t>Connitasotosantis@gmail.com</t>
    </r>
  </si>
  <si>
    <r>
      <rPr>
        <u/>
        <sz val="10"/>
        <color rgb="FF1155CC"/>
        <rFont val="Calibri"/>
        <family val="2"/>
      </rPr>
      <t>maedosanmartin@gmail.com</t>
    </r>
  </si>
  <si>
    <r>
      <rPr>
        <sz val="10"/>
        <color rgb="FF000000"/>
        <rFont val="Calibri"/>
        <family val="2"/>
      </rPr>
      <t xml:space="preserve">doradoralv arezp@gm </t>
    </r>
    <r>
      <rPr>
        <u/>
        <sz val="10"/>
        <color rgb="FF1155CC"/>
        <rFont val="Calibri"/>
        <family val="2"/>
      </rPr>
      <t>ail.com</t>
    </r>
  </si>
  <si>
    <r>
      <rPr>
        <sz val="10"/>
        <color rgb="FF000000"/>
        <rFont val="Calibri"/>
        <family val="2"/>
      </rPr>
      <t xml:space="preserve">mauro.olmos1992@g </t>
    </r>
    <r>
      <rPr>
        <u/>
        <sz val="10"/>
        <color rgb="FF1155CC"/>
        <rFont val="Calibri"/>
        <family val="2"/>
      </rPr>
      <t>mail.com</t>
    </r>
  </si>
  <si>
    <r>
      <rPr>
        <sz val="10"/>
        <color rgb="FF000000"/>
        <rFont val="Calibri"/>
        <family val="2"/>
      </rPr>
      <t xml:space="preserve">selvalarrondo83@gma </t>
    </r>
    <r>
      <rPr>
        <u/>
        <sz val="10"/>
        <color rgb="FF1155CC"/>
        <rFont val="Calibri"/>
        <family val="2"/>
      </rPr>
      <t>il.com</t>
    </r>
  </si>
  <si>
    <r>
      <rPr>
        <sz val="10"/>
        <color rgb="FF000000"/>
        <rFont val="Calibri"/>
        <family val="2"/>
      </rPr>
      <t xml:space="preserve">susanaolmedosalas@ </t>
    </r>
    <r>
      <rPr>
        <u/>
        <sz val="10"/>
        <color rgb="FF1155CC"/>
        <rFont val="Calibri"/>
        <family val="2"/>
      </rPr>
      <t>gmail.com</t>
    </r>
  </si>
  <si>
    <r>
      <rPr>
        <sz val="10"/>
        <color rgb="FF000000"/>
        <rFont val="Calibri"/>
        <family val="2"/>
      </rPr>
      <t xml:space="preserve">ximena_araya@hotm </t>
    </r>
    <r>
      <rPr>
        <u/>
        <sz val="10"/>
        <color rgb="FF1155CC"/>
        <rFont val="Calibri"/>
        <family val="2"/>
      </rPr>
      <t>ail.com</t>
    </r>
  </si>
  <si>
    <r>
      <rPr>
        <u/>
        <sz val="10"/>
        <color rgb="FF1155CC"/>
        <rFont val="Calibri"/>
        <family val="2"/>
      </rPr>
      <t>nashyjaz@gmail.com</t>
    </r>
  </si>
  <si>
    <r>
      <rPr>
        <u/>
        <sz val="10"/>
        <color rgb="FF1155CC"/>
        <rFont val="Calibri"/>
        <family val="2"/>
      </rPr>
      <t>amparodarros@gmail.com</t>
    </r>
  </si>
  <si>
    <r>
      <rPr>
        <u/>
        <sz val="10"/>
        <color rgb="FF1155CC"/>
        <rFont val="Calibri"/>
        <family val="2"/>
      </rPr>
      <t>08vikj@gmail.com</t>
    </r>
  </si>
  <si>
    <r>
      <rPr>
        <u/>
        <sz val="10"/>
        <color rgb="FF1155CC"/>
        <rFont val="Calibri"/>
        <family val="2"/>
      </rPr>
      <t>niko14zx@gmail.com</t>
    </r>
  </si>
  <si>
    <r>
      <rPr>
        <u/>
        <sz val="10"/>
        <color rgb="FF1155CC"/>
        <rFont val="Calibri"/>
        <family val="2"/>
      </rPr>
      <t>burgosnicol898@gmail.com</t>
    </r>
  </si>
  <si>
    <r>
      <rPr>
        <u/>
        <sz val="10"/>
        <color rgb="FF1155CC"/>
        <rFont val="Calibri"/>
        <family val="2"/>
      </rPr>
      <t>marielajaviera1025@gmail.com</t>
    </r>
  </si>
  <si>
    <r>
      <rPr>
        <u/>
        <sz val="10"/>
        <color rgb="FF1155CC"/>
        <rFont val="Calibri"/>
        <family val="2"/>
      </rPr>
      <t>leytonk051@gmail.com</t>
    </r>
  </si>
  <si>
    <r>
      <rPr>
        <u/>
        <sz val="10"/>
        <color rgb="FF1155CC"/>
        <rFont val="Calibri"/>
        <family val="2"/>
      </rPr>
      <t>patricia24herrera.olivares@gmail.com</t>
    </r>
  </si>
  <si>
    <r>
      <rPr>
        <u/>
        <sz val="10"/>
        <color rgb="FF1155CC"/>
        <rFont val="Calibri"/>
        <family val="2"/>
      </rPr>
      <t>caromorfata@gmail.com</t>
    </r>
  </si>
  <si>
    <r>
      <rPr>
        <u/>
        <sz val="10"/>
        <color rgb="FF1155CC"/>
        <rFont val="Calibri"/>
        <family val="2"/>
      </rPr>
      <t>kit0894g@gmail.com</t>
    </r>
  </si>
  <si>
    <r>
      <rPr>
        <u/>
        <sz val="10"/>
        <color rgb="FF1155CC"/>
        <rFont val="Calibri"/>
        <family val="2"/>
      </rPr>
      <t>dalrringo@hotmail.com</t>
    </r>
  </si>
  <si>
    <r>
      <rPr>
        <u/>
        <sz val="10"/>
        <color rgb="FF1155CC"/>
        <rFont val="Calibri"/>
        <family val="2"/>
      </rPr>
      <t>fernandogonzalezgodoy@gmail.com</t>
    </r>
  </si>
  <si>
    <r>
      <rPr>
        <u/>
        <sz val="10"/>
        <color rgb="FF1155CC"/>
        <rFont val="Calibri"/>
        <family val="2"/>
      </rPr>
      <t>castillo@gmail.com</t>
    </r>
  </si>
  <si>
    <r>
      <rPr>
        <u/>
        <sz val="10"/>
        <color rgb="FF1155CC"/>
        <rFont val="Calibri"/>
        <family val="2"/>
      </rPr>
      <t>v.darinkovicks79@gmail.com</t>
    </r>
  </si>
  <si>
    <r>
      <rPr>
        <u/>
        <sz val="10"/>
        <color rgb="FF1155CC"/>
        <rFont val="Calibri"/>
        <family val="2"/>
      </rPr>
      <t>lauriangel06@gmail.com</t>
    </r>
  </si>
  <si>
    <r>
      <rPr>
        <u/>
        <sz val="10"/>
        <color rgb="FF1155CC"/>
        <rFont val="Calibri"/>
        <family val="2"/>
      </rPr>
      <t>hermi63zx@gmail.com</t>
    </r>
  </si>
  <si>
    <r>
      <rPr>
        <u/>
        <sz val="10"/>
        <color rgb="FF1155CC"/>
        <rFont val="Calibri"/>
        <family val="2"/>
      </rPr>
      <t>wcornejo843@gmail.com</t>
    </r>
  </si>
  <si>
    <r>
      <rPr>
        <u/>
        <sz val="10"/>
        <color rgb="FF1155CC"/>
        <rFont val="Calibri"/>
        <family val="2"/>
      </rPr>
      <t>lennymul9@gmail.com</t>
    </r>
  </si>
  <si>
    <r>
      <rPr>
        <u/>
        <sz val="10"/>
        <color rgb="FF1155CC"/>
        <rFont val="Calibri"/>
        <family val="2"/>
      </rPr>
      <t>rojascarmenxa@gmail.com</t>
    </r>
  </si>
  <si>
    <r>
      <rPr>
        <u/>
        <sz val="10"/>
        <color rgb="FF1155CC"/>
        <rFont val="Calibri"/>
        <family val="2"/>
      </rPr>
      <t>karimepastenes3@gmail.com</t>
    </r>
  </si>
  <si>
    <r>
      <rPr>
        <u/>
        <sz val="10"/>
        <color rgb="FF1155CC"/>
        <rFont val="Calibri"/>
        <family val="2"/>
      </rPr>
      <t>ximenaguerra.serrano@gmail.com</t>
    </r>
  </si>
  <si>
    <r>
      <rPr>
        <u/>
        <sz val="10"/>
        <color rgb="FF1155CC"/>
        <rFont val="Calibri"/>
        <family val="2"/>
      </rPr>
      <t>yayoreis14@gmail.com</t>
    </r>
  </si>
  <si>
    <r>
      <rPr>
        <u/>
        <sz val="10"/>
        <color rgb="FF1155CC"/>
        <rFont val="Calibri"/>
        <family val="2"/>
      </rPr>
      <t>veronicaalcayaga@gmail.com</t>
    </r>
  </si>
  <si>
    <r>
      <rPr>
        <u/>
        <sz val="10"/>
        <color rgb="FF1155CC"/>
        <rFont val="Calibri"/>
        <family val="2"/>
      </rPr>
      <t>Aldo2007ramirez@gmail.com</t>
    </r>
  </si>
  <si>
    <r>
      <rPr>
        <u/>
        <sz val="10"/>
        <color rgb="FF1155CC"/>
        <rFont val="Calibri"/>
        <family val="2"/>
      </rPr>
      <t>Catita.m91@gmail.com</t>
    </r>
  </si>
  <si>
    <r>
      <rPr>
        <u/>
        <sz val="10"/>
        <color rgb="FF1155CC"/>
        <rFont val="Calibri"/>
        <family val="2"/>
      </rPr>
      <t>Mariajose11789@gmail.com</t>
    </r>
  </si>
  <si>
    <r>
      <rPr>
        <u/>
        <sz val="10"/>
        <color rgb="FF1155CC"/>
        <rFont val="Calibri"/>
        <family val="2"/>
      </rPr>
      <t>marcarthurgarraud@gmail.com</t>
    </r>
  </si>
  <si>
    <r>
      <rPr>
        <u/>
        <sz val="10"/>
        <color rgb="FF1155CC"/>
        <rFont val="Calibri"/>
        <family val="2"/>
      </rPr>
      <t>teresruiz@gmail.com</t>
    </r>
  </si>
  <si>
    <r>
      <rPr>
        <u/>
        <sz val="10"/>
        <color rgb="FF1155CC"/>
        <rFont val="Calibri"/>
        <family val="2"/>
      </rPr>
      <t>Rojaslilibeth22@gmail.com</t>
    </r>
  </si>
  <si>
    <r>
      <rPr>
        <u/>
        <sz val="10"/>
        <color rgb="FF1155CC"/>
        <rFont val="Calibri"/>
        <family val="2"/>
      </rPr>
      <t>Sandra.marcelam4 @gmail.com</t>
    </r>
  </si>
  <si>
    <r>
      <rPr>
        <u/>
        <sz val="10"/>
        <color rgb="FF1155CC"/>
        <rFont val="Calibri"/>
        <family val="2"/>
      </rPr>
      <t>Herrera.cecilia.v@gmail.com</t>
    </r>
  </si>
  <si>
    <r>
      <rPr>
        <u/>
        <sz val="10"/>
        <color rgb="FF1155CC"/>
        <rFont val="Calibri"/>
        <family val="2"/>
      </rPr>
      <t>barahonasalgadoveronica @gmail.com</t>
    </r>
  </si>
  <si>
    <r>
      <rPr>
        <u/>
        <sz val="10"/>
        <color rgb="FF1155CC"/>
        <rFont val="Calibri"/>
        <family val="2"/>
      </rPr>
      <t>Sebastiandelgadobarrientos.94@gmail.com</t>
    </r>
  </si>
  <si>
    <r>
      <rPr>
        <u/>
        <sz val="10"/>
        <color rgb="FF1155CC"/>
        <rFont val="Calibri"/>
        <family val="2"/>
      </rPr>
      <t>Paulocardenas727@gmail.com</t>
    </r>
  </si>
  <si>
    <r>
      <rPr>
        <u/>
        <sz val="10"/>
        <color rgb="FF1155CC"/>
        <rFont val="Calibri"/>
        <family val="2"/>
      </rPr>
      <t>orielaaburto@gmail.com</t>
    </r>
  </si>
  <si>
    <r>
      <rPr>
        <u/>
        <sz val="10"/>
        <color rgb="FF1155CC"/>
        <rFont val="Calibri"/>
        <family val="2"/>
      </rPr>
      <t>Jhoana23isabel@gmail.com</t>
    </r>
  </si>
  <si>
    <r>
      <rPr>
        <u/>
        <sz val="10"/>
        <color rgb="FF1155CC"/>
        <rFont val="Calibri"/>
        <family val="2"/>
      </rPr>
      <t>Orielalopez22@gmail.com</t>
    </r>
  </si>
  <si>
    <r>
      <rPr>
        <u/>
        <sz val="10"/>
        <color rgb="FF1155CC"/>
        <rFont val="Calibri"/>
        <family val="2"/>
      </rPr>
      <t>Marianalagosdiaz@gmail.com</t>
    </r>
  </si>
  <si>
    <r>
      <rPr>
        <u/>
        <sz val="10"/>
        <color rgb="FF1155CC"/>
        <rFont val="Calibri"/>
        <family val="2"/>
      </rPr>
      <t>narcilag@hotmail.com</t>
    </r>
  </si>
  <si>
    <r>
      <rPr>
        <u/>
        <sz val="10"/>
        <color rgb="FF1155CC"/>
        <rFont val="Calibri"/>
        <family val="2"/>
      </rPr>
      <t>Sayenespinoza868@gmail.com</t>
    </r>
  </si>
  <si>
    <r>
      <rPr>
        <u/>
        <sz val="10"/>
        <color rgb="FF1155CC"/>
        <rFont val="Calibri"/>
        <family val="2"/>
      </rPr>
      <t>Cgangap75@gmail.com</t>
    </r>
  </si>
  <si>
    <r>
      <rPr>
        <u/>
        <sz val="10"/>
        <color rgb="FF1155CC"/>
        <rFont val="Calibri"/>
        <family val="2"/>
      </rPr>
      <t>maryaguilera754@gmail.com</t>
    </r>
  </si>
  <si>
    <r>
      <rPr>
        <u/>
        <sz val="10"/>
        <color rgb="FF1155CC"/>
        <rFont val="Calibri"/>
        <family val="2"/>
      </rPr>
      <t>gladysandreariquelmecofre@gmail.com</t>
    </r>
  </si>
  <si>
    <r>
      <rPr>
        <u/>
        <sz val="10"/>
        <color rgb="FF1155CC"/>
        <rFont val="Calibri"/>
        <family val="2"/>
      </rPr>
      <t>agustin.alvareze@mayor.cl</t>
    </r>
  </si>
  <si>
    <r>
      <rPr>
        <u/>
        <sz val="10"/>
        <color rgb="FF000000"/>
        <rFont val="Calibri"/>
        <family val="2"/>
      </rPr>
      <t>florlagoslozano@gmail.com</t>
    </r>
  </si>
  <si>
    <r>
      <rPr>
        <u/>
        <sz val="10"/>
        <color rgb="FF000000"/>
        <rFont val="Calibri"/>
        <family val="2"/>
      </rPr>
      <t>fabiolabelenosorio@gmail.com</t>
    </r>
  </si>
  <si>
    <r>
      <rPr>
        <u/>
        <sz val="10"/>
        <color rgb="FF000000"/>
        <rFont val="Calibri"/>
        <family val="2"/>
      </rPr>
      <t>gildamedinaiturra@gmail.com</t>
    </r>
  </si>
  <si>
    <r>
      <rPr>
        <u/>
        <sz val="10"/>
        <color rgb="FF000000"/>
        <rFont val="Calibri"/>
        <family val="2"/>
      </rPr>
      <t>Margaritaduranperez2026@gmail.com</t>
    </r>
  </si>
  <si>
    <r>
      <rPr>
        <u/>
        <sz val="10"/>
        <color rgb="FF1155CC"/>
        <rFont val="Calibri"/>
        <family val="2"/>
      </rPr>
      <t>vespinozacornejo@gmail.com</t>
    </r>
  </si>
  <si>
    <r>
      <rPr>
        <u/>
        <sz val="10"/>
        <color rgb="FF1155CC"/>
        <rFont val="Calibri"/>
        <family val="2"/>
      </rPr>
      <t>Catagomezh00@gmail.com</t>
    </r>
  </si>
  <si>
    <r>
      <rPr>
        <u/>
        <sz val="10"/>
        <color rgb="FF1155CC"/>
        <rFont val="Calibri"/>
        <family val="2"/>
      </rPr>
      <t>mveronicaortegarelator@gmail.com</t>
    </r>
  </si>
  <si>
    <r>
      <rPr>
        <u/>
        <sz val="10"/>
        <color rgb="FF1155CC"/>
        <rFont val="Calibri"/>
        <family val="2"/>
      </rPr>
      <t>Patriciabriones199@gmail.com</t>
    </r>
  </si>
  <si>
    <r>
      <rPr>
        <u/>
        <sz val="10"/>
        <color rgb="FF1155CC"/>
        <rFont val="Calibri"/>
        <family val="2"/>
      </rPr>
      <t>mariaximenatobar@gmail.com</t>
    </r>
  </si>
  <si>
    <r>
      <rPr>
        <u/>
        <sz val="10"/>
        <color rgb="FF1155CC"/>
        <rFont val="Calibri"/>
        <family val="2"/>
      </rPr>
      <t>Mr.moncadav@gmail.com</t>
    </r>
  </si>
  <si>
    <r>
      <rPr>
        <u/>
        <sz val="10"/>
        <color rgb="FF1155CC"/>
        <rFont val="Calibri"/>
        <family val="2"/>
      </rPr>
      <t>Yolanda.Gonzalez.reyes@gmail.com</t>
    </r>
  </si>
  <si>
    <r>
      <rPr>
        <u/>
        <sz val="10"/>
        <color rgb="FF1155CC"/>
        <rFont val="Calibri"/>
        <family val="2"/>
      </rPr>
      <t>Sbva1956@gmail.com</t>
    </r>
  </si>
  <si>
    <r>
      <rPr>
        <u/>
        <sz val="10"/>
        <color rgb="FF1155CC"/>
        <rFont val="Calibri"/>
        <family val="2"/>
      </rPr>
      <t>Claudiafabiola.ojedamorales@gmail.com</t>
    </r>
  </si>
  <si>
    <r>
      <rPr>
        <u/>
        <sz val="10"/>
        <color rgb="FF1155CC"/>
        <rFont val="Calibri"/>
        <family val="2"/>
      </rPr>
      <t>Marielalarcon1972@gmail.com</t>
    </r>
  </si>
  <si>
    <r>
      <rPr>
        <u/>
        <sz val="10"/>
        <color rgb="FF1155CC"/>
        <rFont val="Calibri"/>
        <family val="2"/>
      </rPr>
      <t>Rosa.uribe.duran@gmail.com</t>
    </r>
  </si>
  <si>
    <r>
      <rPr>
        <u/>
        <sz val="10"/>
        <color rgb="FF1155CC"/>
        <rFont val="Calibri"/>
        <family val="2"/>
      </rPr>
      <t>Jsepulvedabugueño@gmail.com</t>
    </r>
  </si>
  <si>
    <r>
      <rPr>
        <u/>
        <sz val="10"/>
        <color rgb="FF1155CC"/>
        <rFont val="Calibri"/>
        <family val="2"/>
      </rPr>
      <t>AURELIAHUANCA@HOTMAAIL.COM</t>
    </r>
  </si>
  <si>
    <r>
      <rPr>
        <u/>
        <sz val="10"/>
        <color rgb="FF1155CC"/>
        <rFont val="Calibri"/>
        <family val="2"/>
      </rPr>
      <t>Edith1284@hotamail.com</t>
    </r>
  </si>
  <si>
    <r>
      <rPr>
        <u/>
        <sz val="10"/>
        <color rgb="FF1155CC"/>
        <rFont val="Calibri"/>
        <family val="2"/>
      </rPr>
      <t>Bertalucas07@hotmail.com</t>
    </r>
  </si>
  <si>
    <r>
      <rPr>
        <u/>
        <sz val="10"/>
        <color rgb="FF1155CC"/>
        <rFont val="Calibri"/>
        <family val="2"/>
      </rPr>
      <t>P14luceerina@live.cl</t>
    </r>
  </si>
  <si>
    <r>
      <rPr>
        <u/>
        <sz val="10"/>
        <color rgb="FF1155CC"/>
        <rFont val="Calibri"/>
        <family val="2"/>
      </rPr>
      <t>Mariateresamendez159@gmail.com</t>
    </r>
  </si>
  <si>
    <r>
      <rPr>
        <u/>
        <sz val="10"/>
        <color rgb="FF1155CC"/>
        <rFont val="Calibri"/>
        <family val="2"/>
      </rPr>
      <t>Old3mz1@gmail.com</t>
    </r>
  </si>
  <si>
    <r>
      <rPr>
        <u/>
        <sz val="10"/>
        <color rgb="FF1155CC"/>
        <rFont val="Calibri"/>
        <family val="2"/>
      </rPr>
      <t>francisca.menaresbarrera@gmail.com</t>
    </r>
  </si>
  <si>
    <r>
      <rPr>
        <u/>
        <sz val="10"/>
        <color rgb="FF1155CC"/>
        <rFont val="Calibri"/>
        <family val="2"/>
      </rPr>
      <t>pmora1475@gmail.com</t>
    </r>
  </si>
  <si>
    <r>
      <rPr>
        <u/>
        <sz val="10"/>
        <color rgb="FF1155CC"/>
        <rFont val="Calibri"/>
        <family val="2"/>
      </rPr>
      <t>Lizette.serranocart@gmail.com</t>
    </r>
  </si>
  <si>
    <r>
      <rPr>
        <u/>
        <sz val="10"/>
        <color rgb="FF1155CC"/>
        <rFont val="Calibri"/>
        <family val="2"/>
      </rPr>
      <t>toninapoblete@gmail.com</t>
    </r>
  </si>
  <si>
    <r>
      <rPr>
        <u/>
        <sz val="10"/>
        <color rgb="FF1155CC"/>
        <rFont val="Calibri"/>
        <family val="2"/>
      </rPr>
      <t>anamanriacasanova66@gmail.com</t>
    </r>
  </si>
  <si>
    <r>
      <rPr>
        <u/>
        <sz val="10"/>
        <color rgb="FF1155CC"/>
        <rFont val="Calibri"/>
        <family val="2"/>
      </rPr>
      <t>Isa.contardo@hotmail.com</t>
    </r>
  </si>
  <si>
    <r>
      <rPr>
        <u/>
        <sz val="10"/>
        <color rgb="FF1155CC"/>
        <rFont val="Calibri"/>
        <family val="2"/>
      </rPr>
      <t>Contre.molina@gmail.com</t>
    </r>
  </si>
  <si>
    <r>
      <rPr>
        <u/>
        <sz val="10"/>
        <color rgb="FF1155CC"/>
        <rFont val="Calibri"/>
        <family val="2"/>
      </rPr>
      <t>fernandagah2@gmail.com</t>
    </r>
  </si>
  <si>
    <r>
      <rPr>
        <u/>
        <sz val="10"/>
        <color rgb="FF1155CC"/>
        <rFont val="Calibri"/>
        <family val="2"/>
      </rPr>
      <t>Carmitcarmit2009@gmail.com</t>
    </r>
  </si>
  <si>
    <r>
      <rPr>
        <u/>
        <sz val="10"/>
        <color rgb="FF1155CC"/>
        <rFont val="Calibri"/>
        <family val="2"/>
      </rPr>
      <t>nirkitapelu@gmail.com</t>
    </r>
  </si>
  <si>
    <r>
      <rPr>
        <u/>
        <sz val="10"/>
        <color rgb="FF1155CC"/>
        <rFont val="Calibri"/>
        <family val="2"/>
      </rPr>
      <t>Ip697349@gmail.com</t>
    </r>
  </si>
  <si>
    <r>
      <rPr>
        <u/>
        <sz val="10"/>
        <color rgb="FF1155CC"/>
        <rFont val="Calibri"/>
        <family val="2"/>
      </rPr>
      <t>sgalvezbeltran@gmail.com</t>
    </r>
  </si>
  <si>
    <r>
      <rPr>
        <u/>
        <sz val="10"/>
        <color rgb="FF1155CC"/>
        <rFont val="Calibri"/>
        <family val="2"/>
      </rPr>
      <t>paulinabeniteztapia@gmail.com</t>
    </r>
  </si>
  <si>
    <r>
      <rPr>
        <u/>
        <sz val="10"/>
        <color rgb="FF1155CC"/>
        <rFont val="Calibri"/>
        <family val="2"/>
      </rPr>
      <t>fresiamunoz70@hotmail.com</t>
    </r>
  </si>
  <si>
    <r>
      <rPr>
        <u/>
        <sz val="10"/>
        <color rgb="FF1155CC"/>
        <rFont val="Calibri"/>
        <family val="2"/>
      </rPr>
      <t>Elsa.migueles@gmail.com</t>
    </r>
  </si>
  <si>
    <r>
      <rPr>
        <u/>
        <sz val="10"/>
        <color rgb="FF1155CC"/>
        <rFont val="Calibri"/>
        <family val="2"/>
      </rPr>
      <t>shirleycabello@gmail.com</t>
    </r>
  </si>
  <si>
    <r>
      <rPr>
        <u/>
        <sz val="10"/>
        <color rgb="FF1155CC"/>
        <rFont val="Calibri"/>
        <family val="2"/>
      </rPr>
      <t>m.eugeniacacceresgarrido@gmail.com</t>
    </r>
  </si>
  <si>
    <r>
      <rPr>
        <u/>
        <sz val="10"/>
        <color rgb="FF1155CC"/>
        <rFont val="Calibri"/>
        <family val="2"/>
      </rPr>
      <t>antonelapabonsia@gmail.com</t>
    </r>
  </si>
  <si>
    <r>
      <rPr>
        <u/>
        <sz val="10"/>
        <color rgb="FF1155CC"/>
        <rFont val="Calibri"/>
        <family val="2"/>
      </rPr>
      <t>Magdalena.briones22@gmail.com</t>
    </r>
  </si>
  <si>
    <r>
      <rPr>
        <u/>
        <sz val="10"/>
        <color rgb="FF1155CC"/>
        <rFont val="Calibri"/>
        <family val="2"/>
      </rPr>
      <t>Javi.venegas99@gmail.com</t>
    </r>
  </si>
  <si>
    <r>
      <rPr>
        <u/>
        <sz val="10"/>
        <color rgb="FF1155CC"/>
        <rFont val="Calibri"/>
        <family val="2"/>
      </rPr>
      <t>Naxo15patric@gmail.com</t>
    </r>
  </si>
  <si>
    <r>
      <rPr>
        <u/>
        <sz val="10"/>
        <color rgb="FF1155CC"/>
        <rFont val="Calibri"/>
        <family val="2"/>
      </rPr>
      <t>Valenzuelaantonia14@gmail.com</t>
    </r>
  </si>
  <si>
    <r>
      <rPr>
        <u/>
        <sz val="10"/>
        <color rgb="FF1155CC"/>
        <rFont val="Calibri"/>
        <family val="2"/>
      </rPr>
      <t>Rociomendezroa19@gmail.com</t>
    </r>
  </si>
  <si>
    <r>
      <rPr>
        <u/>
        <sz val="10"/>
        <color rgb="FF1155CC"/>
        <rFont val="Calibri"/>
        <family val="2"/>
      </rPr>
      <t>Victoria.zenteno.c@gmail.com</t>
    </r>
  </si>
  <si>
    <r>
      <rPr>
        <u/>
        <sz val="10"/>
        <color rgb="FF1155CC"/>
        <rFont val="Calibri"/>
        <family val="2"/>
      </rPr>
      <t>felipeandresvalen@gmail.com</t>
    </r>
  </si>
  <si>
    <r>
      <rPr>
        <u/>
        <sz val="10"/>
        <color rgb="FF1155CC"/>
        <rFont val="Calibri"/>
        <family val="2"/>
      </rPr>
      <t>Electrico.janb@gimail.com</t>
    </r>
  </si>
  <si>
    <r>
      <rPr>
        <u/>
        <sz val="10"/>
        <color rgb="FF1155CC"/>
        <rFont val="Calibri"/>
        <family val="2"/>
      </rPr>
      <t>Sebastianmarmota26@gmail.com</t>
    </r>
  </si>
  <si>
    <r>
      <rPr>
        <u/>
        <sz val="10"/>
        <color rgb="FF1155CC"/>
        <rFont val="Calibri"/>
        <family val="2"/>
      </rPr>
      <t>ninetteastudillo@gmail.com</t>
    </r>
  </si>
  <si>
    <r>
      <rPr>
        <u/>
        <sz val="10"/>
        <color rgb="FF1155CC"/>
        <rFont val="Calibri"/>
        <family val="2"/>
      </rPr>
      <t>Belenpv57@gmail.com</t>
    </r>
  </si>
  <si>
    <r>
      <rPr>
        <u/>
        <sz val="10"/>
        <color rgb="FF1155CC"/>
        <rFont val="Calibri"/>
        <family val="2"/>
      </rPr>
      <t>Rosure12a@gmail.com</t>
    </r>
  </si>
  <si>
    <r>
      <rPr>
        <u/>
        <sz val="10"/>
        <color rgb="FF1155CC"/>
        <rFont val="Calibri"/>
        <family val="2"/>
      </rPr>
      <t>veronicaromerocandia@gmail.com</t>
    </r>
  </si>
  <si>
    <r>
      <rPr>
        <u/>
        <sz val="10"/>
        <color rgb="FF1155CC"/>
        <rFont val="Calibri"/>
        <family val="2"/>
      </rPr>
      <t>Crosleiv3012@gmail.com</t>
    </r>
  </si>
  <si>
    <r>
      <rPr>
        <u/>
        <sz val="10"/>
        <color rgb="FF1155CC"/>
        <rFont val="Calibri"/>
        <family val="2"/>
      </rPr>
      <t>jorregobarrera@gmail.com</t>
    </r>
  </si>
  <si>
    <r>
      <rPr>
        <u/>
        <sz val="10"/>
        <color rgb="FF1155CC"/>
        <rFont val="Calibri"/>
        <family val="2"/>
      </rPr>
      <t>germaniabravom@gmail.com</t>
    </r>
  </si>
  <si>
    <r>
      <rPr>
        <u/>
        <sz val="10"/>
        <color rgb="FF1155CC"/>
        <rFont val="Calibri"/>
        <family val="2"/>
      </rPr>
      <t>Pilivenegastoloza57@gmail.com</t>
    </r>
  </si>
  <si>
    <r>
      <rPr>
        <u/>
        <sz val="10"/>
        <color rgb="FF1155CC"/>
        <rFont val="Calibri"/>
        <family val="2"/>
      </rPr>
      <t>Barbara.csv00@gmail.com</t>
    </r>
  </si>
  <si>
    <r>
      <rPr>
        <u/>
        <sz val="10"/>
        <color rgb="FF1155CC"/>
        <rFont val="Calibri"/>
        <family val="2"/>
      </rPr>
      <t>maliciamuñossoto@gmail.com</t>
    </r>
  </si>
  <si>
    <r>
      <rPr>
        <u/>
        <sz val="10"/>
        <color rgb="FF1155CC"/>
        <rFont val="Calibri"/>
        <family val="2"/>
      </rPr>
      <t>jemperatrizpereira@gmail.com</t>
    </r>
  </si>
  <si>
    <r>
      <rPr>
        <u/>
        <sz val="10"/>
        <color rgb="FF1155CC"/>
        <rFont val="Calibri"/>
        <family val="2"/>
      </rPr>
      <t>Mangeica1960@himail.com</t>
    </r>
  </si>
  <si>
    <r>
      <rPr>
        <u/>
        <sz val="10"/>
        <color rgb="FF1155CC"/>
        <rFont val="Calibri"/>
        <family val="2"/>
      </rPr>
      <t>vivianabarrerainzunza@gmail.com</t>
    </r>
  </si>
  <si>
    <r>
      <rPr>
        <u/>
        <sz val="10"/>
        <color rgb="FF1155CC"/>
        <rFont val="Calibri"/>
        <family val="2"/>
      </rPr>
      <t>yeyaastudilloespinoza@gmail.com</t>
    </r>
  </si>
  <si>
    <r>
      <rPr>
        <u/>
        <sz val="10"/>
        <color rgb="FF1155CC"/>
        <rFont val="Calibri"/>
        <family val="2"/>
      </rPr>
      <t>Ruth.ortega.muller@gmail.com</t>
    </r>
  </si>
  <si>
    <r>
      <rPr>
        <u/>
        <sz val="10"/>
        <color rgb="FF1155CC"/>
        <rFont val="Calibri"/>
        <family val="2"/>
      </rPr>
      <t>1ana.olgabh@gmail.com</t>
    </r>
  </si>
  <si>
    <r>
      <rPr>
        <u/>
        <sz val="10"/>
        <color rgb="FF1155CC"/>
        <rFont val="Calibri"/>
        <family val="2"/>
      </rPr>
      <t>Edithdelcarmen364@gmail.com</t>
    </r>
  </si>
  <si>
    <r>
      <rPr>
        <u/>
        <sz val="10"/>
        <color rgb="FF1155CC"/>
        <rFont val="Calibri"/>
        <family val="2"/>
      </rPr>
      <t>Carmenmuñoz16@gmail.com</t>
    </r>
  </si>
  <si>
    <r>
      <rPr>
        <u/>
        <sz val="10"/>
        <color rgb="FF1155CC"/>
        <rFont val="Calibri"/>
        <family val="2"/>
      </rPr>
      <t>vizcarramariaeugenia@gmail.com</t>
    </r>
  </si>
  <si>
    <r>
      <rPr>
        <u/>
        <sz val="10"/>
        <color rgb="FF1155CC"/>
        <rFont val="Calibri"/>
        <family val="2"/>
      </rPr>
      <t>Aidg8@hotmail.com</t>
    </r>
  </si>
  <si>
    <r>
      <rPr>
        <u/>
        <sz val="10"/>
        <color rgb="FF1155CC"/>
        <rFont val="Calibri"/>
        <family val="2"/>
      </rPr>
      <t>Yolandaaliaga007@gmail.com</t>
    </r>
  </si>
  <si>
    <r>
      <rPr>
        <u/>
        <sz val="10"/>
        <color rgb="FF1155CC"/>
        <rFont val="Calibri"/>
        <family val="2"/>
      </rPr>
      <t>Mariaangelicapino60@gmail.com</t>
    </r>
  </si>
  <si>
    <r>
      <rPr>
        <u/>
        <sz val="10"/>
        <color rgb="FF1155CC"/>
        <rFont val="Calibri"/>
        <family val="2"/>
      </rPr>
      <t>gladysgcohas@gmail.com</t>
    </r>
  </si>
  <si>
    <r>
      <rPr>
        <u/>
        <sz val="10"/>
        <color rgb="FF1155CC"/>
        <rFont val="Calibri"/>
        <family val="2"/>
      </rPr>
      <t>msidelafuente@gmail.com</t>
    </r>
  </si>
  <si>
    <r>
      <rPr>
        <u/>
        <sz val="10"/>
        <color rgb="FF1155CC"/>
        <rFont val="Calibri"/>
        <family val="2"/>
      </rPr>
      <t>Olgalarauz5@gmail.com</t>
    </r>
  </si>
  <si>
    <r>
      <rPr>
        <u/>
        <sz val="10"/>
        <color rgb="FF1155CC"/>
        <rFont val="Calibri"/>
        <family val="2"/>
      </rPr>
      <t>Audiliamenacampos22@gmail.com</t>
    </r>
  </si>
  <si>
    <r>
      <rPr>
        <u/>
        <sz val="10"/>
        <color rgb="FF1155CC"/>
        <rFont val="Calibri"/>
        <family val="2"/>
      </rPr>
      <t>nicolasalejandro.mgg@gmail.com</t>
    </r>
  </si>
  <si>
    <r>
      <rPr>
        <u/>
        <sz val="10"/>
        <color rgb="FF1155CC"/>
        <rFont val="Calibri"/>
        <family val="2"/>
      </rPr>
      <t>claudialek@gmail.com</t>
    </r>
  </si>
  <si>
    <r>
      <rPr>
        <u/>
        <sz val="10"/>
        <color rgb="FF1155CC"/>
        <rFont val="Calibri"/>
        <family val="2"/>
      </rPr>
      <t>jamorenogalaz@gmail.com</t>
    </r>
  </si>
  <si>
    <r>
      <rPr>
        <u/>
        <sz val="10"/>
        <color rgb="FF1155CC"/>
        <rFont val="Calibri"/>
        <family val="2"/>
      </rPr>
      <t>gladysrojas.mu43@gmail.com</t>
    </r>
  </si>
  <si>
    <r>
      <rPr>
        <u/>
        <sz val="10"/>
        <color rgb="FF1155CC"/>
        <rFont val="Calibri"/>
        <family val="2"/>
      </rPr>
      <t>evanaranjoarriegada@gmail.com</t>
    </r>
  </si>
  <si>
    <r>
      <rPr>
        <u/>
        <sz val="10"/>
        <color rgb="FF1155CC"/>
        <rFont val="Calibri"/>
        <family val="2"/>
      </rPr>
      <t>mjuliagueja22@gmail.com</t>
    </r>
  </si>
  <si>
    <r>
      <rPr>
        <u/>
        <sz val="10"/>
        <color rgb="FF1155CC"/>
        <rFont val="Calibri"/>
        <family val="2"/>
      </rPr>
      <t>malvinaa.patricia@gmail.com</t>
    </r>
  </si>
  <si>
    <r>
      <rPr>
        <u/>
        <sz val="10"/>
        <color rgb="FF1155CC"/>
        <rFont val="Calibri"/>
        <family val="2"/>
      </rPr>
      <t>LUNI3009@GMAIL.COM</t>
    </r>
  </si>
  <si>
    <r>
      <rPr>
        <u/>
        <sz val="10"/>
        <color rgb="FF1155CC"/>
        <rFont val="Calibri"/>
        <family val="2"/>
      </rPr>
      <t>CASERESFERNANDA53@GMAIL.COM</t>
    </r>
  </si>
  <si>
    <r>
      <rPr>
        <u/>
        <sz val="10"/>
        <color rgb="FF1155CC"/>
        <rFont val="Calibri"/>
        <family val="2"/>
      </rPr>
      <t>MESTASMEDINA@GMAIL.COM</t>
    </r>
  </si>
  <si>
    <r>
      <rPr>
        <u/>
        <sz val="10"/>
        <color rgb="FF1155CC"/>
        <rFont val="Calibri"/>
        <family val="2"/>
      </rPr>
      <t>SEVERINOLIVARES@GMAIL.COM</t>
    </r>
  </si>
  <si>
    <r>
      <rPr>
        <u/>
        <sz val="10"/>
        <color rgb="FF1155CC"/>
        <rFont val="Calibri"/>
        <family val="2"/>
      </rPr>
      <t>CAROLINARIVERACADIZ@GMAIL.COM</t>
    </r>
  </si>
  <si>
    <r>
      <rPr>
        <u/>
        <sz val="10"/>
        <color rgb="FF1155CC"/>
        <rFont val="Calibri"/>
        <family val="2"/>
      </rPr>
      <t>LUISNEYVASQUEZ@GMAIL.COM</t>
    </r>
  </si>
  <si>
    <r>
      <rPr>
        <u/>
        <sz val="10"/>
        <color rgb="FF1155CC"/>
        <rFont val="Calibri"/>
        <family val="2"/>
      </rPr>
      <t>MALDONADOPALMA@HOTMAIL.COM</t>
    </r>
  </si>
  <si>
    <r>
      <rPr>
        <u/>
        <sz val="10"/>
        <color rgb="FF1155CC"/>
        <rFont val="Calibri"/>
        <family val="2"/>
      </rPr>
      <t>NYNALOPEZ71@GMAIL.COM</t>
    </r>
  </si>
  <si>
    <r>
      <rPr>
        <u/>
        <sz val="10"/>
        <color rgb="FF1155CC"/>
        <rFont val="Calibri"/>
        <family val="2"/>
      </rPr>
      <t>CABEZONAMARILLO06@GMAIL.COM</t>
    </r>
  </si>
  <si>
    <r>
      <rPr>
        <u/>
        <sz val="10"/>
        <color rgb="FF1155CC"/>
        <rFont val="Calibri"/>
        <family val="2"/>
      </rPr>
      <t>ANAVIDAL@GMAIL.COM</t>
    </r>
  </si>
  <si>
    <r>
      <rPr>
        <u/>
        <sz val="10"/>
        <color rgb="FF1155CC"/>
        <rFont val="Calibri"/>
        <family val="2"/>
      </rPr>
      <t>EDUARDODONOSO@GMAIL.COM</t>
    </r>
  </si>
  <si>
    <r>
      <rPr>
        <u/>
        <sz val="10"/>
        <color rgb="FF1155CC"/>
        <rFont val="Calibri"/>
        <family val="2"/>
      </rPr>
      <t>jeaninesotodiaz@gmail.com</t>
    </r>
  </si>
  <si>
    <r>
      <rPr>
        <u/>
        <sz val="10"/>
        <color rgb="FF1155CC"/>
        <rFont val="Calibri"/>
        <family val="2"/>
      </rPr>
      <t>max.cruzroja@gmail.com</t>
    </r>
  </si>
  <si>
    <r>
      <rPr>
        <u/>
        <sz val="10"/>
        <color rgb="FF1155CC"/>
        <rFont val="Calibri"/>
        <family val="2"/>
      </rPr>
      <t>Regional.decima@cruzroja.cl</t>
    </r>
  </si>
  <si>
    <r>
      <rPr>
        <u/>
        <sz val="10"/>
        <color rgb="FF1155CC"/>
        <rFont val="Calibri"/>
        <family val="2"/>
      </rPr>
      <t>Beatrigajardo1968@gmail.com</t>
    </r>
  </si>
  <si>
    <r>
      <rPr>
        <u/>
        <sz val="10"/>
        <color rgb="FF1155CC"/>
        <rFont val="Calibri"/>
        <family val="2"/>
      </rPr>
      <t>sandrasilvabarrera@gmail.com</t>
    </r>
  </si>
  <si>
    <r>
      <rPr>
        <u/>
        <sz val="10"/>
        <color rgb="FF1155CC"/>
        <rFont val="Calibri"/>
        <family val="2"/>
      </rPr>
      <t>Mary.y.balito@gmail.com</t>
    </r>
  </si>
  <si>
    <r>
      <rPr>
        <u/>
        <sz val="10"/>
        <color rgb="FF1155CC"/>
        <rFont val="Calibri"/>
        <family val="2"/>
      </rPr>
      <t>jotadroguettm@gmail.com</t>
    </r>
  </si>
  <si>
    <r>
      <rPr>
        <u/>
        <sz val="10"/>
        <color rgb="FF1155CC"/>
        <rFont val="Calibri"/>
        <family val="2"/>
      </rPr>
      <t>martanovoam@gmail.com</t>
    </r>
  </si>
  <si>
    <r>
      <rPr>
        <u/>
        <sz val="10"/>
        <color rgb="FF1155CC"/>
        <rFont val="Calibri"/>
        <family val="2"/>
      </rPr>
      <t>cristinitatoledo@gmail.com</t>
    </r>
  </si>
  <si>
    <r>
      <rPr>
        <u/>
        <sz val="10"/>
        <color rgb="FF1155CC"/>
        <rFont val="Calibri"/>
        <family val="2"/>
      </rPr>
      <t>Arturo.olivares.calderon@gmail.com</t>
    </r>
  </si>
  <si>
    <r>
      <rPr>
        <u/>
        <sz val="10"/>
        <color rgb="FF1155CC"/>
        <rFont val="Calibri"/>
        <family val="2"/>
      </rPr>
      <t>Choquea522@gmail.com</t>
    </r>
  </si>
  <si>
    <r>
      <rPr>
        <u/>
        <sz val="10"/>
        <color rgb="FF1155CC"/>
        <rFont val="Calibri"/>
        <family val="2"/>
      </rPr>
      <t>Angelarodriguez.iglesia@gmail.com</t>
    </r>
  </si>
  <si>
    <r>
      <rPr>
        <u/>
        <sz val="10"/>
        <color rgb="FF1155CC"/>
        <rFont val="Calibri"/>
        <family val="2"/>
      </rPr>
      <t>Gorgette1116@gmail.com</t>
    </r>
  </si>
  <si>
    <r>
      <rPr>
        <u/>
        <sz val="10"/>
        <color rgb="FF1155CC"/>
        <rFont val="Calibri"/>
        <family val="2"/>
      </rPr>
      <t>Danizaperezcollao60@gmail.com</t>
    </r>
  </si>
  <si>
    <r>
      <rPr>
        <u/>
        <sz val="10"/>
        <color rgb="FF1155CC"/>
        <rFont val="Calibri"/>
        <family val="2"/>
      </rPr>
      <t>Asuncionramos151982@gmail.com</t>
    </r>
  </si>
  <si>
    <r>
      <rPr>
        <u/>
        <sz val="10"/>
        <color rgb="FF1155CC"/>
        <rFont val="Calibri"/>
        <family val="2"/>
      </rPr>
      <t>Bebesitamia75@gmail.com</t>
    </r>
  </si>
  <si>
    <r>
      <rPr>
        <u/>
        <sz val="10"/>
        <color rgb="FF1155CC"/>
        <rFont val="Calibri"/>
        <family val="2"/>
      </rPr>
      <t>silviahenriquezpizarro@hotmail.com</t>
    </r>
  </si>
  <si>
    <r>
      <rPr>
        <u/>
        <sz val="10"/>
        <color rgb="FF1155CC"/>
        <rFont val="Calibri"/>
        <family val="2"/>
      </rPr>
      <t>melissa281968@gmail.com</t>
    </r>
  </si>
  <si>
    <r>
      <rPr>
        <u/>
        <sz val="10"/>
        <color rgb="FF1155CC"/>
        <rFont val="Calibri"/>
        <family val="2"/>
      </rPr>
      <t>e.urrutia.9240@gmail.com</t>
    </r>
  </si>
  <si>
    <r>
      <rPr>
        <u/>
        <sz val="10"/>
        <color rgb="FF1155CC"/>
        <rFont val="Calibri"/>
        <family val="2"/>
      </rPr>
      <t>Juanchoagosto02@gmail.com</t>
    </r>
  </si>
  <si>
    <r>
      <rPr>
        <u/>
        <sz val="10"/>
        <color rgb="FF1155CC"/>
        <rFont val="Calibri"/>
        <family val="2"/>
      </rPr>
      <t>Sulemita_taltal@hotmail.com</t>
    </r>
  </si>
  <si>
    <r>
      <rPr>
        <u/>
        <sz val="10"/>
        <color rgb="FF1155CC"/>
        <rFont val="Calibri"/>
        <family val="2"/>
      </rPr>
      <t>Micrumar060@hotmail.com</t>
    </r>
  </si>
  <si>
    <r>
      <rPr>
        <u/>
        <sz val="10"/>
        <color rgb="FF1155CC"/>
        <rFont val="Calibri"/>
        <family val="2"/>
      </rPr>
      <t>Luisavega672023@gmail.com</t>
    </r>
  </si>
  <si>
    <r>
      <rPr>
        <u/>
        <sz val="10"/>
        <color rgb="FF1155CC"/>
        <rFont val="Calibri"/>
        <family val="2"/>
      </rPr>
      <t>Marllory.alcota@gmail.com</t>
    </r>
  </si>
  <si>
    <r>
      <rPr>
        <u/>
        <sz val="10"/>
        <color rgb="FF1155CC"/>
        <rFont val="Calibri"/>
        <family val="2"/>
      </rPr>
      <t>Marlene.quintana.egana12345@gmail.com</t>
    </r>
  </si>
  <si>
    <r>
      <rPr>
        <sz val="10"/>
        <color rgb="FF000000"/>
        <rFont val="Calibri"/>
        <family val="2"/>
      </rPr>
      <t>ivonne.rueda@g</t>
    </r>
    <r>
      <rPr>
        <u/>
        <sz val="10"/>
        <color rgb="FF1155CC"/>
        <rFont val="Calibri"/>
        <family val="2"/>
      </rPr>
      <t>mail.com</t>
    </r>
  </si>
  <si>
    <r>
      <rPr>
        <sz val="10"/>
        <color rgb="FF000000"/>
        <rFont val="Calibri"/>
        <family val="2"/>
      </rPr>
      <t>cataayal a1102@</t>
    </r>
    <r>
      <rPr>
        <u/>
        <sz val="10"/>
        <color rgb="FF1155CC"/>
        <rFont val="Calibri"/>
        <family val="2"/>
      </rPr>
      <t>gmail.com</t>
    </r>
  </si>
  <si>
    <r>
      <rPr>
        <sz val="10"/>
        <color rgb="FF000000"/>
        <rFont val="Calibri"/>
        <family val="2"/>
      </rPr>
      <t>elianacatalanparedes@g</t>
    </r>
    <r>
      <rPr>
        <u/>
        <sz val="10"/>
        <color rgb="FF1155CC"/>
        <rFont val="Calibri"/>
        <family val="2"/>
      </rPr>
      <t>mail.com</t>
    </r>
  </si>
  <si>
    <r>
      <rPr>
        <sz val="10"/>
        <color rgb="FF000000"/>
        <rFont val="Calibri"/>
        <family val="2"/>
      </rPr>
      <t>Maria.alarconsalgado@g</t>
    </r>
    <r>
      <rPr>
        <u/>
        <sz val="10"/>
        <color rgb="FF1155CC"/>
        <rFont val="Calibri"/>
        <family val="2"/>
      </rPr>
      <t>mail.com</t>
    </r>
  </si>
  <si>
    <r>
      <rPr>
        <sz val="10"/>
        <color rgb="FF000000"/>
        <rFont val="Calibri"/>
        <family val="2"/>
      </rPr>
      <t>gracebus07@g</t>
    </r>
    <r>
      <rPr>
        <u/>
        <sz val="10"/>
        <color rgb="FF1155CC"/>
        <rFont val="Calibri"/>
        <family val="2"/>
      </rPr>
      <t>mail.com</t>
    </r>
  </si>
  <si>
    <r>
      <rPr>
        <sz val="10"/>
        <color rgb="FF000000"/>
        <rFont val="Calibri"/>
        <family val="2"/>
      </rPr>
      <t>marisoljg2014@</t>
    </r>
    <r>
      <rPr>
        <u/>
        <sz val="10"/>
        <color rgb="FF1155CC"/>
        <rFont val="Calibri"/>
        <family val="2"/>
      </rPr>
      <t>gmail.com</t>
    </r>
  </si>
  <si>
    <r>
      <rPr>
        <sz val="10"/>
        <color rgb="FF000000"/>
        <rFont val="Calibri"/>
        <family val="2"/>
      </rPr>
      <t>eugevilla57@g</t>
    </r>
    <r>
      <rPr>
        <u/>
        <sz val="10"/>
        <color rgb="FF1155CC"/>
        <rFont val="Calibri"/>
        <family val="2"/>
      </rPr>
      <t>mail.com</t>
    </r>
  </si>
  <si>
    <r>
      <rPr>
        <u/>
        <sz val="10"/>
        <color rgb="FF1155CC"/>
        <rFont val="Calibri"/>
        <family val="2"/>
      </rPr>
      <t>c.ami1998@live.cl</t>
    </r>
  </si>
  <si>
    <r>
      <rPr>
        <u/>
        <sz val="10"/>
        <color rgb="FF1155CC"/>
        <rFont val="Calibri"/>
        <family val="2"/>
      </rPr>
      <t>jmendezcontreras98@gmail.com</t>
    </r>
  </si>
  <si>
    <r>
      <rPr>
        <u/>
        <sz val="10"/>
        <color rgb="FF1155CC"/>
        <rFont val="Calibri"/>
        <family val="2"/>
      </rPr>
      <t>nayelydr17@gmail.com</t>
    </r>
  </si>
  <si>
    <r>
      <rPr>
        <u/>
        <sz val="10"/>
        <color rgb="FF1155CC"/>
        <rFont val="Calibri"/>
        <family val="2"/>
      </rPr>
      <t>estefibusta17@gmail.com</t>
    </r>
  </si>
  <si>
    <r>
      <rPr>
        <u/>
        <sz val="10"/>
        <color rgb="FF1155CC"/>
        <rFont val="Calibri"/>
        <family val="2"/>
      </rPr>
      <t>carlaparraguezs@gmail.com</t>
    </r>
  </si>
  <si>
    <r>
      <rPr>
        <u/>
        <sz val="10"/>
        <color rgb="FF1155CC"/>
        <rFont val="Calibri"/>
        <family val="2"/>
      </rPr>
      <t>m.cepeda030591@gmail.com</t>
    </r>
  </si>
  <si>
    <r>
      <rPr>
        <u/>
        <sz val="10"/>
        <color rgb="FF1155CC"/>
        <rFont val="Calibri"/>
        <family val="2"/>
      </rPr>
      <t>isolinaore@gmail.com</t>
    </r>
  </si>
  <si>
    <r>
      <rPr>
        <u/>
        <sz val="10"/>
        <color rgb="FF1155CC"/>
        <rFont val="Calibri"/>
        <family val="2"/>
      </rPr>
      <t>carito33.valderrama1184@gmail.com</t>
    </r>
  </si>
  <si>
    <r>
      <rPr>
        <u/>
        <sz val="10"/>
        <color rgb="FF1155CC"/>
        <rFont val="Calibri"/>
        <family val="2"/>
      </rPr>
      <t>Hildaurra6@gmail.com</t>
    </r>
  </si>
  <si>
    <r>
      <rPr>
        <u/>
        <sz val="10"/>
        <color rgb="FF1155CC"/>
        <rFont val="Calibri"/>
        <family val="2"/>
      </rPr>
      <t>elizabethvergaragonzalez1@gmail.com</t>
    </r>
  </si>
  <si>
    <r>
      <rPr>
        <u/>
        <sz val="10"/>
        <color rgb="FF1155CC"/>
        <rFont val="Calibri"/>
        <family val="2"/>
      </rPr>
      <t>mzvf18@gmail.com</t>
    </r>
  </si>
  <si>
    <r>
      <rPr>
        <u/>
        <sz val="10"/>
        <color rgb="FF1155CC"/>
        <rFont val="Calibri"/>
        <family val="2"/>
      </rPr>
      <t>susanamelladoruiz@hotmail.com</t>
    </r>
  </si>
  <si>
    <r>
      <rPr>
        <u/>
        <sz val="10"/>
        <color rgb="FF1155CC"/>
        <rFont val="Calibri"/>
        <family val="2"/>
      </rPr>
      <t>alifuentealva2@gmail.com</t>
    </r>
  </si>
  <si>
    <r>
      <rPr>
        <u/>
        <sz val="10"/>
        <color rgb="FF1155CC"/>
        <rFont val="Calibri"/>
        <family val="2"/>
      </rPr>
      <t>h.garrenas@gmail.com</t>
    </r>
  </si>
  <si>
    <r>
      <rPr>
        <u/>
        <sz val="10"/>
        <color rgb="FF1155CC"/>
        <rFont val="Calibri"/>
        <family val="2"/>
      </rPr>
      <t>silviadelpilar2009@hotmail.com</t>
    </r>
  </si>
  <si>
    <r>
      <rPr>
        <u/>
        <sz val="10"/>
        <color rgb="FF1155CC"/>
        <rFont val="Calibri"/>
        <family val="2"/>
      </rPr>
      <t>Braylinneo.villegas@gmail.com</t>
    </r>
  </si>
  <si>
    <r>
      <rPr>
        <u/>
        <sz val="10"/>
        <color rgb="FF1155CC"/>
        <rFont val="Calibri"/>
        <family val="2"/>
      </rPr>
      <t>Claudia.eliana@hotmail.com</t>
    </r>
  </si>
  <si>
    <r>
      <rPr>
        <u/>
        <sz val="10"/>
        <color rgb="FF1155CC"/>
        <rFont val="Calibri"/>
        <family val="2"/>
      </rPr>
      <t>jofrearteaga@gmail.com</t>
    </r>
  </si>
  <si>
    <r>
      <rPr>
        <u/>
        <sz val="10"/>
        <color rgb="FF1155CC"/>
        <rFont val="Calibri"/>
        <family val="2"/>
      </rPr>
      <t>manar.sellami.a@gmail.com</t>
    </r>
  </si>
  <si>
    <r>
      <rPr>
        <u/>
        <sz val="10"/>
        <color rgb="FF1155CC"/>
        <rFont val="Calibri"/>
        <family val="2"/>
      </rPr>
      <t>javipilar.a.l@gmail.com</t>
    </r>
  </si>
  <si>
    <r>
      <rPr>
        <u/>
        <sz val="10"/>
        <color rgb="FF1155CC"/>
        <rFont val="Calibri"/>
        <family val="2"/>
      </rPr>
      <t>cortesia277@gmail.com</t>
    </r>
  </si>
  <si>
    <r>
      <rPr>
        <u/>
        <sz val="10"/>
        <color rgb="FF1155CC"/>
        <rFont val="Calibri"/>
        <family val="2"/>
      </rPr>
      <t>f.2007oslo@gmail.com</t>
    </r>
  </si>
  <si>
    <r>
      <rPr>
        <u/>
        <sz val="10"/>
        <color rgb="FF1155CC"/>
        <rFont val="Calibri"/>
        <family val="2"/>
      </rPr>
      <t>sole.g.h@gmail.com</t>
    </r>
  </si>
  <si>
    <r>
      <rPr>
        <u/>
        <sz val="10"/>
        <color rgb="FF1155CC"/>
        <rFont val="Calibri"/>
        <family val="2"/>
      </rPr>
      <t>tsmvaleria2@gmail.com</t>
    </r>
  </si>
  <si>
    <r>
      <rPr>
        <u/>
        <sz val="10"/>
        <color rgb="FF1155CC"/>
        <rFont val="Calibri"/>
        <family val="2"/>
      </rPr>
      <t>alarconde@gmail.com</t>
    </r>
  </si>
  <si>
    <r>
      <rPr>
        <u/>
        <sz val="10"/>
        <color rgb="FF1155CC"/>
        <rFont val="Calibri"/>
        <family val="2"/>
      </rPr>
      <t>marisel_al@hotmail.com</t>
    </r>
  </si>
  <si>
    <r>
      <rPr>
        <u/>
        <sz val="10"/>
        <color rgb="FF1155CC"/>
        <rFont val="Calibri"/>
        <family val="2"/>
      </rPr>
      <t>calcaneo34@gmail.com</t>
    </r>
  </si>
  <si>
    <r>
      <rPr>
        <u/>
        <sz val="10"/>
        <color rgb="FF1155CC"/>
        <rFont val="Calibri"/>
        <family val="2"/>
      </rPr>
      <t>kokamari2@gmail.com</t>
    </r>
  </si>
  <si>
    <r>
      <rPr>
        <u/>
        <sz val="10"/>
        <color rgb="FF1155CC"/>
        <rFont val="Calibri"/>
        <family val="2"/>
      </rPr>
      <t>mapacam08@gmail.com</t>
    </r>
  </si>
  <si>
    <r>
      <rPr>
        <u/>
        <sz val="10"/>
        <color rgb="FF1155CC"/>
        <rFont val="Calibri"/>
        <family val="2"/>
      </rPr>
      <t>danielcancino159@gmail.com</t>
    </r>
  </si>
  <si>
    <r>
      <rPr>
        <u/>
        <sz val="10"/>
        <color rgb="FF1155CC"/>
        <rFont val="Calibri"/>
        <family val="2"/>
      </rPr>
      <t>silvia.alvarez.pizarro@gmail.com</t>
    </r>
  </si>
  <si>
    <r>
      <rPr>
        <u/>
        <sz val="10"/>
        <color rgb="FF1155CC"/>
        <rFont val="Calibri"/>
        <family val="2"/>
      </rPr>
      <t>matheoo.aranguiz@gmail.com</t>
    </r>
  </si>
  <si>
    <r>
      <rPr>
        <u/>
        <sz val="10"/>
        <color rgb="FF1155CC"/>
        <rFont val="Calibri"/>
        <family val="2"/>
      </rPr>
      <t>victorseb.aravena@gmail.com</t>
    </r>
  </si>
  <si>
    <r>
      <rPr>
        <u/>
        <sz val="10"/>
        <color rgb="FF1155CC"/>
        <rFont val="Calibri"/>
        <family val="2"/>
      </rPr>
      <t>g.balbontin@gmail.com</t>
    </r>
  </si>
  <si>
    <r>
      <rPr>
        <u/>
        <sz val="10"/>
        <color rgb="FF1155CC"/>
        <rFont val="Calibri"/>
        <family val="2"/>
      </rPr>
      <t>barrybuses@gmail.com</t>
    </r>
  </si>
  <si>
    <r>
      <rPr>
        <u/>
        <sz val="10"/>
        <color rgb="FF1155CC"/>
        <rFont val="Calibri"/>
        <family val="2"/>
      </rPr>
      <t>rociobelenbugueno1@gmail.com</t>
    </r>
  </si>
  <si>
    <r>
      <rPr>
        <u/>
        <sz val="10"/>
        <color rgb="FF1155CC"/>
        <rFont val="Calibri"/>
        <family val="2"/>
      </rPr>
      <t>deysi.caroleon@gmail.com</t>
    </r>
  </si>
  <si>
    <r>
      <rPr>
        <u/>
        <sz val="10"/>
        <color rgb="FF1155CC"/>
        <rFont val="Calibri"/>
        <family val="2"/>
      </rPr>
      <t>1301malvi@gmail.com</t>
    </r>
  </si>
  <si>
    <r>
      <rPr>
        <u/>
        <sz val="10"/>
        <color rgb="FF1155CC"/>
        <rFont val="Calibri"/>
        <family val="2"/>
      </rPr>
      <t>maria.cecilia.gonzalez.munoz@gmail.com</t>
    </r>
  </si>
  <si>
    <r>
      <rPr>
        <u/>
        <sz val="10"/>
        <color rgb="FF1155CC"/>
        <rFont val="Calibri"/>
        <family val="2"/>
      </rPr>
      <t>maritza.hidalgo.vega@gmail.com</t>
    </r>
  </si>
  <si>
    <r>
      <rPr>
        <u/>
        <sz val="10"/>
        <color rgb="FF1155CC"/>
        <rFont val="Calibri"/>
        <family val="2"/>
      </rPr>
      <t>lindamarion4plant@gmail.com</t>
    </r>
  </si>
  <si>
    <r>
      <rPr>
        <u/>
        <sz val="10"/>
        <color rgb="FF1155CC"/>
        <rFont val="Calibri"/>
        <family val="2"/>
      </rPr>
      <t>alejandroandresibanezulloa@gmail.com</t>
    </r>
  </si>
  <si>
    <r>
      <rPr>
        <u/>
        <sz val="10"/>
        <color rgb="FF1155CC"/>
        <rFont val="Calibri"/>
        <family val="2"/>
      </rPr>
      <t>kaviota@gmail.com</t>
    </r>
  </si>
  <si>
    <r>
      <rPr>
        <u/>
        <sz val="10"/>
        <color rgb="FF1155CC"/>
        <rFont val="Calibri"/>
        <family val="2"/>
      </rPr>
      <t>clarylucero091@gmail.com</t>
    </r>
  </si>
  <si>
    <r>
      <rPr>
        <u/>
        <sz val="10"/>
        <color rgb="FF1155CC"/>
        <rFont val="Calibri"/>
        <family val="2"/>
      </rPr>
      <t>romina.mellap@gmail.com</t>
    </r>
  </si>
  <si>
    <r>
      <rPr>
        <u/>
        <sz val="10"/>
        <color rgb="FF1155CC"/>
        <rFont val="Calibri"/>
        <family val="2"/>
      </rPr>
      <t>mendozajaracecilia@gmail.com</t>
    </r>
  </si>
  <si>
    <r>
      <rPr>
        <u/>
        <sz val="10"/>
        <color rgb="FF1155CC"/>
        <rFont val="Calibri"/>
        <family val="2"/>
      </rPr>
      <t>emilia.munoz.meneses@gmail.com</t>
    </r>
  </si>
  <si>
    <r>
      <rPr>
        <u/>
        <sz val="10"/>
        <color rgb="FF1155CC"/>
        <rFont val="Calibri"/>
        <family val="2"/>
      </rPr>
      <t>maria.isabel.munozmeneses1963@gmail.com</t>
    </r>
  </si>
  <si>
    <r>
      <rPr>
        <u/>
        <sz val="10"/>
        <color rgb="FF1155CC"/>
        <rFont val="Calibri"/>
        <family val="2"/>
      </rPr>
      <t>angelanolicortes@gmail.com</t>
    </r>
  </si>
  <si>
    <r>
      <rPr>
        <u/>
        <sz val="10"/>
        <color rgb="FF1155CC"/>
        <rFont val="Calibri"/>
        <family val="2"/>
      </rPr>
      <t>myriamolivera24@gmail.com</t>
    </r>
  </si>
  <si>
    <r>
      <rPr>
        <u/>
        <sz val="10"/>
        <color rgb="FF1155CC"/>
        <rFont val="Calibri"/>
        <family val="2"/>
      </rPr>
      <t>diegooyarcev554@gmail.com</t>
    </r>
  </si>
  <si>
    <r>
      <rPr>
        <u/>
        <sz val="10"/>
        <color rgb="FF1155CC"/>
        <rFont val="Calibri"/>
        <family val="2"/>
      </rPr>
      <t>aleretamaljulio@yahoo.com</t>
    </r>
  </si>
  <si>
    <r>
      <rPr>
        <u/>
        <sz val="10"/>
        <color rgb="FF1155CC"/>
        <rFont val="Calibri"/>
        <family val="2"/>
      </rPr>
      <t>evelyn.m.rozas@gmail.com</t>
    </r>
  </si>
  <si>
    <r>
      <rPr>
        <u/>
        <sz val="10"/>
        <color rgb="FF1155CC"/>
        <rFont val="Calibri"/>
        <family val="2"/>
      </rPr>
      <t>carmensalazaralvarez1@gmail.com</t>
    </r>
  </si>
  <si>
    <r>
      <rPr>
        <u/>
        <sz val="10"/>
        <color rgb="FF1155CC"/>
        <rFont val="Calibri"/>
        <family val="2"/>
      </rPr>
      <t>lorenasilva.urbina@gmail.com</t>
    </r>
  </si>
  <si>
    <r>
      <rPr>
        <u/>
        <sz val="10"/>
        <color rgb="FF1155CC"/>
        <rFont val="Calibri"/>
        <family val="2"/>
      </rPr>
      <t>esperanzasiva@gmail.com</t>
    </r>
  </si>
  <si>
    <r>
      <rPr>
        <u/>
        <sz val="10"/>
        <color rgb="FF1155CC"/>
        <rFont val="Calibri"/>
        <family val="2"/>
      </rPr>
      <t>nachotapiaf99@gmail.com</t>
    </r>
  </si>
  <si>
    <r>
      <rPr>
        <u/>
        <sz val="10"/>
        <color rgb="FF1155CC"/>
        <rFont val="Calibri"/>
        <family val="2"/>
      </rPr>
      <t>emaurquieta4@gmail.com</t>
    </r>
  </si>
  <si>
    <r>
      <rPr>
        <u/>
        <sz val="10"/>
        <color rgb="FF1155CC"/>
        <rFont val="Calibri"/>
        <family val="2"/>
      </rPr>
      <t>flokorazon444@gmail.com</t>
    </r>
  </si>
  <si>
    <r>
      <rPr>
        <u/>
        <sz val="10"/>
        <color rgb="FF1155CC"/>
        <rFont val="Calibri"/>
        <family val="2"/>
      </rPr>
      <t>leddymiranda58@gmail.com</t>
    </r>
  </si>
  <si>
    <r>
      <rPr>
        <u/>
        <sz val="10"/>
        <color rgb="FF1155CC"/>
        <rFont val="Calibri"/>
        <family val="2"/>
      </rPr>
      <t>vilmagb@gmail.com</t>
    </r>
  </si>
  <si>
    <r>
      <rPr>
        <u/>
        <sz val="10"/>
        <color rgb="FF1155CC"/>
        <rFont val="Calibri"/>
        <family val="2"/>
      </rPr>
      <t>carmenrosaa@gmail.com</t>
    </r>
  </si>
  <si>
    <r>
      <rPr>
        <u/>
        <sz val="10"/>
        <color rgb="FF1155CC"/>
        <rFont val="Calibri"/>
        <family val="2"/>
      </rPr>
      <t>Samuel.redel@gmail.com</t>
    </r>
  </si>
  <si>
    <r>
      <rPr>
        <u/>
        <sz val="10"/>
        <color rgb="FF1155CC"/>
        <rFont val="Calibri"/>
        <family val="2"/>
      </rPr>
      <t>Lola1956@hotmail.com</t>
    </r>
  </si>
  <si>
    <r>
      <rPr>
        <u/>
        <sz val="10"/>
        <color rgb="FF1155CC"/>
        <rFont val="Calibri"/>
        <family val="2"/>
      </rPr>
      <t>Gela_41@hotmail.com</t>
    </r>
  </si>
  <si>
    <r>
      <rPr>
        <u/>
        <sz val="10"/>
        <color rgb="FF1155CC"/>
        <rFont val="Calibri"/>
        <family val="2"/>
      </rPr>
      <t>Mahen56@hotmail.com</t>
    </r>
  </si>
  <si>
    <r>
      <rPr>
        <u/>
        <sz val="10"/>
        <color rgb="FF1155CC"/>
        <rFont val="Calibri"/>
        <family val="2"/>
      </rPr>
      <t>patricialeuquencatepillan@gmail.com</t>
    </r>
  </si>
  <si>
    <r>
      <rPr>
        <u/>
        <sz val="10"/>
        <color rgb="FF1155CC"/>
        <rFont val="Calibri"/>
        <family val="2"/>
      </rPr>
      <t>mancillacardenasmariaestela@gmail.com</t>
    </r>
  </si>
  <si>
    <r>
      <rPr>
        <u/>
        <sz val="10"/>
        <color rgb="FF1155CC"/>
        <rFont val="Calibri"/>
        <family val="2"/>
      </rPr>
      <t>Luisamaldonado572@gmail.com</t>
    </r>
  </si>
  <si>
    <r>
      <rPr>
        <u/>
        <sz val="10"/>
        <color rgb="FF1155CC"/>
        <rFont val="Calibri"/>
        <family val="2"/>
      </rPr>
      <t>oyarzomirna@gmail.com</t>
    </r>
  </si>
  <si>
    <r>
      <rPr>
        <u/>
        <sz val="10"/>
        <color rgb="FF1155CC"/>
        <rFont val="Calibri"/>
        <family val="2"/>
      </rPr>
      <t>Gladys.oyarzo46@gmail.com</t>
    </r>
  </si>
  <si>
    <r>
      <rPr>
        <u/>
        <sz val="10"/>
        <color rgb="FF1155CC"/>
        <rFont val="Calibri"/>
        <family val="2"/>
      </rPr>
      <t>Leontinapena220@gmail.com</t>
    </r>
  </si>
  <si>
    <r>
      <rPr>
        <u/>
        <sz val="10"/>
        <color rgb="FF1155CC"/>
        <rFont val="Calibri"/>
        <family val="2"/>
      </rPr>
      <t>Irene9gomez01@gmail.com</t>
    </r>
  </si>
  <si>
    <r>
      <rPr>
        <u/>
        <sz val="10"/>
        <color rgb="FF1155CC"/>
        <rFont val="Calibri"/>
        <family val="2"/>
      </rPr>
      <t>Anitasotol@gmail.com</t>
    </r>
  </si>
  <si>
    <r>
      <rPr>
        <u/>
        <sz val="10"/>
        <color rgb="FF1155CC"/>
        <rFont val="Calibri"/>
        <family val="2"/>
      </rPr>
      <t>mariuribe@gmail.com</t>
    </r>
  </si>
  <si>
    <r>
      <rPr>
        <u/>
        <sz val="10"/>
        <color rgb="FF1155CC"/>
        <rFont val="Calibri"/>
        <family val="2"/>
      </rPr>
      <t>fresia.duran@gmail.com</t>
    </r>
  </si>
  <si>
    <r>
      <rPr>
        <u/>
        <sz val="10"/>
        <color rgb="FF1155CC"/>
        <rFont val="Calibri"/>
        <family val="2"/>
      </rPr>
      <t>ecataldoojeda@gmail.com</t>
    </r>
  </si>
  <si>
    <r>
      <rPr>
        <u/>
        <sz val="10"/>
        <color rgb="FF1155CC"/>
        <rFont val="Calibri"/>
        <family val="2"/>
      </rPr>
      <t>a</t>
    </r>
    <r>
      <rPr>
        <sz val="10"/>
        <rFont val="Calibri"/>
        <family val="2"/>
      </rPr>
      <t>mareloch52@gmail.com</t>
    </r>
  </si>
  <si>
    <r>
      <rPr>
        <u/>
        <sz val="10"/>
        <color rgb="FF1155CC"/>
        <rFont val="Calibri"/>
        <family val="2"/>
      </rPr>
      <t>m</t>
    </r>
    <r>
      <rPr>
        <sz val="10"/>
        <rFont val="Calibri"/>
        <family val="2"/>
      </rPr>
      <t>arysud8@gmail.com</t>
    </r>
  </si>
  <si>
    <r>
      <rPr>
        <u/>
        <sz val="10"/>
        <color rgb="FF1155CC"/>
        <rFont val="Calibri"/>
        <family val="2"/>
      </rPr>
      <t>joat26@gmail.com</t>
    </r>
  </si>
  <si>
    <r>
      <rPr>
        <u/>
        <sz val="10"/>
        <color rgb="FF1155CC"/>
        <rFont val="Calibri"/>
        <family val="2"/>
      </rPr>
      <t>camila.eatonduran@gmail.com</t>
    </r>
  </si>
  <si>
    <r>
      <rPr>
        <u/>
        <sz val="10"/>
        <color rgb="FF1155CC"/>
        <rFont val="Calibri"/>
        <family val="2"/>
      </rPr>
      <t>g</t>
    </r>
    <r>
      <rPr>
        <sz val="10"/>
        <rFont val="Calibri"/>
        <family val="2"/>
      </rPr>
      <t>aly_duran@gmail.com</t>
    </r>
  </si>
  <si>
    <r>
      <rPr>
        <u/>
        <sz val="10"/>
        <color rgb="FF1155CC"/>
        <rFont val="Calibri"/>
        <family val="2"/>
      </rPr>
      <t>gmabuga29@gmail.com</t>
    </r>
  </si>
  <si>
    <r>
      <rPr>
        <u/>
        <sz val="10"/>
        <color rgb="FF1155CC"/>
        <rFont val="Calibri"/>
        <family val="2"/>
      </rPr>
      <t>maría.sczlopez@gmail.com</t>
    </r>
  </si>
  <si>
    <r>
      <rPr>
        <u/>
        <sz val="10"/>
        <color rgb="FF1155CC"/>
        <rFont val="Calibri"/>
        <family val="2"/>
      </rPr>
      <t>monicarudolffib@gmail.com</t>
    </r>
  </si>
  <si>
    <r>
      <rPr>
        <u/>
        <sz val="10"/>
        <color rgb="FF1155CC"/>
        <rFont val="Calibri"/>
        <family val="2"/>
      </rPr>
      <t>olgaastudillo@gmail.com</t>
    </r>
  </si>
  <si>
    <r>
      <rPr>
        <u/>
        <sz val="10"/>
        <color rgb="FF1155CC"/>
        <rFont val="Calibri"/>
        <family val="2"/>
      </rPr>
      <t>deisygaetesierra@gmail.com</t>
    </r>
  </si>
  <si>
    <r>
      <rPr>
        <u/>
        <sz val="10"/>
        <color rgb="FF1155CC"/>
        <rFont val="Calibri"/>
        <family val="2"/>
      </rPr>
      <t>piarojasreyes@gmail.com</t>
    </r>
  </si>
  <si>
    <r>
      <rPr>
        <u/>
        <sz val="10"/>
        <color rgb="FF1155CC"/>
        <rFont val="Calibri"/>
        <family val="2"/>
      </rPr>
      <t>Mariapazmeneses.t@gmail.com</t>
    </r>
  </si>
  <si>
    <r>
      <rPr>
        <u/>
        <sz val="10"/>
        <color rgb="FF1155CC"/>
        <rFont val="Calibri"/>
        <family val="2"/>
      </rPr>
      <t>Benjamin.sepulvedamorales20@gmail.com</t>
    </r>
  </si>
  <si>
    <r>
      <rPr>
        <u/>
        <sz val="10"/>
        <color rgb="FF1155CC"/>
        <rFont val="Calibri"/>
        <family val="2"/>
      </rPr>
      <t>oliverolivaresh@gmail.com</t>
    </r>
  </si>
  <si>
    <r>
      <rPr>
        <u/>
        <sz val="10"/>
        <color rgb="FF1155CC"/>
        <rFont val="Calibri"/>
        <family val="2"/>
      </rPr>
      <t>mariapozohenriquez@gmail.com</t>
    </r>
  </si>
  <si>
    <r>
      <rPr>
        <u/>
        <sz val="10"/>
        <color rgb="FF1155CC"/>
        <rFont val="Calibri"/>
        <family val="2"/>
      </rPr>
      <t>cata.garciagonzalez0927@gmail.com</t>
    </r>
  </si>
  <si>
    <r>
      <rPr>
        <u/>
        <sz val="10"/>
        <color rgb="FF1155CC"/>
        <rFont val="Calibri"/>
        <family val="2"/>
      </rPr>
      <t>camilaarcomarceteddy@gmail.com</t>
    </r>
  </si>
  <si>
    <r>
      <rPr>
        <u/>
        <sz val="10"/>
        <color rgb="FF1155CC"/>
        <rFont val="Calibri"/>
        <family val="2"/>
      </rPr>
      <t>blanquita@hotmail.com</t>
    </r>
  </si>
  <si>
    <r>
      <rPr>
        <u/>
        <sz val="10"/>
        <color rgb="FF1155CC"/>
        <rFont val="Calibri"/>
        <family val="2"/>
      </rPr>
      <t>mmariateresacald@aol.com</t>
    </r>
  </si>
  <si>
    <r>
      <rPr>
        <u/>
        <sz val="10"/>
        <color rgb="FF1155CC"/>
        <rFont val="Calibri"/>
        <family val="2"/>
      </rPr>
      <t>jomygonzalez1979@gmail.com</t>
    </r>
  </si>
  <si>
    <r>
      <rPr>
        <u/>
        <sz val="10"/>
        <color rgb="FF1155CC"/>
        <rFont val="Calibri"/>
        <family val="2"/>
      </rPr>
      <t>lilian72alejandra@gmail.com</t>
    </r>
  </si>
  <si>
    <r>
      <rPr>
        <u/>
        <sz val="10"/>
        <color rgb="FF1155CC"/>
        <rFont val="Calibri"/>
        <family val="2"/>
      </rPr>
      <t>macepar@gmai.com</t>
    </r>
  </si>
  <si>
    <r>
      <rPr>
        <u/>
        <sz val="10"/>
        <color rgb="FF1155CC"/>
        <rFont val="Calibri"/>
        <family val="2"/>
      </rPr>
      <t>patriciasotosot63@gmail.com</t>
    </r>
  </si>
  <si>
    <r>
      <rPr>
        <u/>
        <sz val="10"/>
        <color rgb="FF1155CC"/>
        <rFont val="Calibri"/>
        <family val="2"/>
      </rPr>
      <t>sofia.g.c.706@gmail.com</t>
    </r>
  </si>
  <si>
    <r>
      <rPr>
        <u/>
        <sz val="10"/>
        <color rgb="FF1155CC"/>
        <rFont val="Calibri"/>
        <family val="2"/>
      </rPr>
      <t>antonia.alarcon2020@umce.cl</t>
    </r>
  </si>
  <si>
    <r>
      <rPr>
        <u/>
        <sz val="10"/>
        <color rgb="FF1155CC"/>
        <rFont val="Calibri"/>
        <family val="2"/>
      </rPr>
      <t>mcvaldesrozas@gmail.com</t>
    </r>
  </si>
  <si>
    <r>
      <rPr>
        <u/>
        <sz val="10"/>
        <color rgb="FF1155CC"/>
        <rFont val="Calibri"/>
        <family val="2"/>
      </rPr>
      <t>angi_navarr@hotmail.com</t>
    </r>
  </si>
  <si>
    <r>
      <rPr>
        <u/>
        <sz val="10"/>
        <color rgb="FF1155CC"/>
        <rFont val="Calibri"/>
        <family val="2"/>
      </rPr>
      <t>filial.requinoa@cruzroja.cl</t>
    </r>
  </si>
  <si>
    <r>
      <rPr>
        <u/>
        <sz val="10"/>
        <color rgb="FF1155CC"/>
        <rFont val="Calibri"/>
        <family val="2"/>
      </rPr>
      <t>samuel.ortegavalenzuela@gmail.com</t>
    </r>
  </si>
  <si>
    <r>
      <rPr>
        <u/>
        <sz val="10"/>
        <color rgb="FF1155CC"/>
        <rFont val="Calibri"/>
        <family val="2"/>
      </rPr>
      <t>marianacastillo275@hotmail.com</t>
    </r>
  </si>
  <si>
    <r>
      <rPr>
        <u/>
        <sz val="10"/>
        <color rgb="FF1155CC"/>
        <rFont val="Calibri"/>
        <family val="2"/>
      </rPr>
      <t>belenmolinamuñoz@gmail.com</t>
    </r>
  </si>
  <si>
    <r>
      <rPr>
        <u/>
        <sz val="10"/>
        <color rgb="FF1155CC"/>
        <rFont val="Calibri"/>
        <family val="2"/>
      </rPr>
      <t>carotoledosalas@gmail.com</t>
    </r>
  </si>
  <si>
    <r>
      <rPr>
        <u/>
        <sz val="10"/>
        <color rgb="FF1155CC"/>
        <rFont val="Calibri"/>
        <family val="2"/>
      </rPr>
      <t>Anitamdel07</t>
    </r>
    <r>
      <rPr>
        <sz val="10"/>
        <color rgb="FF000000"/>
        <rFont val="Calibri"/>
        <family val="2"/>
      </rPr>
      <t>@Gmail.co</t>
    </r>
    <r>
      <rPr>
        <sz val="10"/>
        <rFont val="Calibri"/>
        <family val="2"/>
      </rPr>
      <t>m</t>
    </r>
  </si>
  <si>
    <r>
      <rPr>
        <u/>
        <sz val="10"/>
        <color rgb="FF1155CC"/>
        <rFont val="Calibri"/>
        <family val="2"/>
      </rPr>
      <t>Silvialimelocorrea</t>
    </r>
    <r>
      <rPr>
        <sz val="10"/>
        <color rgb="FF000000"/>
        <rFont val="Calibri"/>
        <family val="2"/>
      </rPr>
      <t>@gmail.co</t>
    </r>
    <r>
      <rPr>
        <sz val="10"/>
        <rFont val="Calibri"/>
        <family val="2"/>
      </rPr>
      <t>m</t>
    </r>
  </si>
  <si>
    <r>
      <rPr>
        <u/>
        <sz val="10"/>
        <color rgb="FF1155CC"/>
        <rFont val="Calibri"/>
        <family val="2"/>
      </rPr>
      <t>Angelica.aguayo.o@gmail.com</t>
    </r>
  </si>
  <si>
    <r>
      <rPr>
        <u/>
        <sz val="10"/>
        <color rgb="FF1155CC"/>
        <rFont val="Calibri"/>
        <family val="2"/>
      </rPr>
      <t>Ziliampuero1954@gmail.com</t>
    </r>
  </si>
  <si>
    <r>
      <rPr>
        <u/>
        <sz val="10"/>
        <color rgb="FF1155CC"/>
        <rFont val="Calibri"/>
        <family val="2"/>
      </rPr>
      <t>barrimaria@gmail.com</t>
    </r>
  </si>
  <si>
    <r>
      <rPr>
        <u/>
        <sz val="10"/>
        <color rgb="FF1155CC"/>
        <rFont val="Calibri"/>
        <family val="2"/>
      </rPr>
      <t>carobarriasonia@gmail.com</t>
    </r>
  </si>
  <si>
    <r>
      <rPr>
        <u/>
        <sz val="10"/>
        <color rgb="FF1155CC"/>
        <rFont val="Calibri"/>
        <family val="2"/>
      </rPr>
      <t>maigammm@gmail.com</t>
    </r>
  </si>
  <si>
    <r>
      <rPr>
        <u/>
        <sz val="10"/>
        <color rgb="FF1155CC"/>
        <rFont val="Calibri"/>
        <family val="2"/>
      </rPr>
      <t>mamijennie@hotmail.com</t>
    </r>
  </si>
  <si>
    <r>
      <rPr>
        <u/>
        <sz val="10"/>
        <color rgb="FF1155CC"/>
        <rFont val="Calibri"/>
        <family val="2"/>
      </rPr>
      <t>rveronica.oyarzog@gmail.com</t>
    </r>
  </si>
  <si>
    <r>
      <rPr>
        <u/>
        <sz val="10"/>
        <color rgb="FF1155CC"/>
        <rFont val="Calibri"/>
        <family val="2"/>
      </rPr>
      <t>aluette@live.com</t>
    </r>
  </si>
  <si>
    <r>
      <rPr>
        <u/>
        <sz val="10"/>
        <color rgb="FF1155CC"/>
        <rFont val="Calibri"/>
        <family val="2"/>
      </rPr>
      <t>rebecasantana55@gmail.com</t>
    </r>
  </si>
  <si>
    <r>
      <rPr>
        <u/>
        <sz val="10"/>
        <color rgb="FF1155CC"/>
        <rFont val="Calibri"/>
        <family val="2"/>
      </rPr>
      <t>rosaacostaguzman@gmail.com</t>
    </r>
  </si>
  <si>
    <r>
      <rPr>
        <u/>
        <sz val="10"/>
        <color rgb="FF1155CC"/>
        <rFont val="Calibri"/>
        <family val="2"/>
      </rPr>
      <t>normaverasoto@gmail.com</t>
    </r>
  </si>
  <si>
    <r>
      <rPr>
        <u/>
        <sz val="10"/>
        <color rgb="FF1155CC"/>
        <rFont val="Calibri"/>
        <family val="2"/>
      </rPr>
      <t>marcelavergara1987@gmail.com</t>
    </r>
  </si>
  <si>
    <r>
      <rPr>
        <u/>
        <sz val="10"/>
        <color rgb="FF1155CC"/>
        <rFont val="Calibri"/>
        <family val="2"/>
      </rPr>
      <t>fabiola.gros@gmail.com</t>
    </r>
  </si>
  <si>
    <r>
      <rPr>
        <u/>
        <sz val="10"/>
        <color rgb="FF1155CC"/>
        <rFont val="Calibri"/>
        <family val="2"/>
      </rPr>
      <t>Sandraelena0618@gmail.com</t>
    </r>
  </si>
  <si>
    <r>
      <rPr>
        <u/>
        <sz val="10"/>
        <color rgb="FF1155CC"/>
        <rFont val="Calibri"/>
        <family val="2"/>
      </rPr>
      <t>tamycamusl@gmail.com</t>
    </r>
  </si>
  <si>
    <r>
      <rPr>
        <u/>
        <sz val="10"/>
        <color rgb="FF1155CC"/>
        <rFont val="Calibri"/>
        <family val="2"/>
      </rPr>
      <t>ro_ele@hotmail.com</t>
    </r>
  </si>
  <si>
    <r>
      <rPr>
        <u/>
        <sz val="10"/>
        <color rgb="FF1155CC"/>
        <rFont val="Calibri"/>
        <family val="2"/>
      </rPr>
      <t>selmalorca@gmail.com</t>
    </r>
  </si>
  <si>
    <r>
      <rPr>
        <u/>
        <sz val="10"/>
        <color rgb="FF1155CC"/>
        <rFont val="Calibri"/>
        <family val="2"/>
      </rPr>
      <t>carmen.mellahevia@gmail.com</t>
    </r>
  </si>
  <si>
    <r>
      <rPr>
        <u/>
        <sz val="10"/>
        <color rgb="FF1155CC"/>
        <rFont val="Calibri"/>
        <family val="2"/>
      </rPr>
      <t>veronicalorcalorca@gmail.com</t>
    </r>
  </si>
  <si>
    <r>
      <rPr>
        <u/>
        <sz val="10"/>
        <color rgb="FF1155CC"/>
        <rFont val="Calibri"/>
        <family val="2"/>
      </rPr>
      <t>yayimunozyavar@gmail.com</t>
    </r>
  </si>
  <si>
    <r>
      <rPr>
        <u/>
        <sz val="10"/>
        <color rgb="FF1155CC"/>
        <rFont val="Calibri"/>
        <family val="2"/>
      </rPr>
      <t>kennacornejos6@gmail.com</t>
    </r>
  </si>
  <si>
    <r>
      <rPr>
        <u/>
        <sz val="10"/>
        <color rgb="FF1155CC"/>
        <rFont val="Calibri"/>
        <family val="2"/>
      </rPr>
      <t>kenita.love@hotmail.com</t>
    </r>
  </si>
  <si>
    <r>
      <rPr>
        <u/>
        <sz val="10"/>
        <color rgb="FF1155CC"/>
        <rFont val="Calibri"/>
        <family val="2"/>
      </rPr>
      <t>maxitoarce2007@gmail.com</t>
    </r>
  </si>
  <si>
    <r>
      <rPr>
        <u/>
        <sz val="10"/>
        <color rgb="FF1155CC"/>
        <rFont val="Calibri"/>
        <family val="2"/>
      </rPr>
      <t>mogecaso@gmail.com</t>
    </r>
  </si>
  <si>
    <r>
      <rPr>
        <u/>
        <sz val="10"/>
        <color rgb="FF1155CC"/>
        <rFont val="Calibri"/>
        <family val="2"/>
      </rPr>
      <t>veromvii@gmail.com</t>
    </r>
  </si>
  <si>
    <r>
      <rPr>
        <u/>
        <sz val="10"/>
        <color rgb="FF1155CC"/>
        <rFont val="Calibri"/>
        <family val="2"/>
      </rPr>
      <t>navarrovalenzuela@gmail.com</t>
    </r>
  </si>
  <si>
    <r>
      <rPr>
        <u/>
        <sz val="10"/>
        <color rgb="FF1155CC"/>
        <rFont val="Calibri"/>
        <family val="2"/>
      </rPr>
      <t>anamariavillaloboslopez72@gmail.com</t>
    </r>
  </si>
  <si>
    <r>
      <rPr>
        <u/>
        <sz val="10"/>
        <color rgb="FF1155CC"/>
        <rFont val="Calibri"/>
        <family val="2"/>
      </rPr>
      <t>jsgomezfoix@gmail.com</t>
    </r>
  </si>
  <si>
    <r>
      <rPr>
        <u/>
        <sz val="10"/>
        <color rgb="FF1155CC"/>
        <rFont val="Calibri"/>
        <family val="2"/>
      </rPr>
      <t>pattypradon@gmail.com</t>
    </r>
  </si>
  <si>
    <r>
      <rPr>
        <u/>
        <sz val="10"/>
        <color rgb="FF1155CC"/>
        <rFont val="Calibri"/>
        <family val="2"/>
      </rPr>
      <t>Anita200359@gmail.com</t>
    </r>
  </si>
  <si>
    <r>
      <rPr>
        <u/>
        <sz val="10"/>
        <color rgb="FF1155CC"/>
        <rFont val="Calibri"/>
        <family val="2"/>
      </rPr>
      <t>Mary.y.balito@gmail</t>
    </r>
    <r>
      <rPr>
        <sz val="10"/>
        <rFont val="Calibri"/>
        <family val="2"/>
      </rPr>
      <t xml:space="preserve"> .com</t>
    </r>
  </si>
  <si>
    <r>
      <rPr>
        <u/>
        <sz val="10"/>
        <color rgb="FF1155CC"/>
        <rFont val="Calibri"/>
        <family val="2"/>
      </rPr>
      <t>Berta.AravenaB@gmail.com</t>
    </r>
  </si>
  <si>
    <r>
      <rPr>
        <u/>
        <sz val="10"/>
        <color rgb="FF1155CC"/>
        <rFont val="Calibri"/>
        <family val="2"/>
      </rPr>
      <t>haydeetorres1948@gmail.com</t>
    </r>
  </si>
  <si>
    <r>
      <rPr>
        <u/>
        <sz val="10"/>
        <color rgb="FF1155CC"/>
        <rFont val="Calibri"/>
        <family val="2"/>
      </rPr>
      <t>Giselle.munoz.gonzalez@live.cl</t>
    </r>
  </si>
  <si>
    <r>
      <rPr>
        <u/>
        <sz val="10"/>
        <color rgb="FF1155CC"/>
        <rFont val="Calibri"/>
        <family val="2"/>
      </rPr>
      <t>pablitoramonorellana77@gmail.com</t>
    </r>
  </si>
  <si>
    <r>
      <rPr>
        <u/>
        <sz val="10"/>
        <color rgb="FF1155CC"/>
        <rFont val="Calibri"/>
        <family val="2"/>
      </rPr>
      <t>julietacontrerasvernal@gmail.com</t>
    </r>
  </si>
  <si>
    <r>
      <rPr>
        <u/>
        <sz val="10"/>
        <color rgb="FF1155CC"/>
        <rFont val="Calibri"/>
        <family val="2"/>
      </rPr>
      <t>vladimir.pasteni@cormudesi.cl</t>
    </r>
  </si>
  <si>
    <r>
      <rPr>
        <u/>
        <sz val="10"/>
        <color rgb="FF1155CC"/>
        <rFont val="Calibri"/>
        <family val="2"/>
      </rPr>
      <t>Carmen.nu</t>
    </r>
    <r>
      <rPr>
        <sz val="10"/>
        <rFont val="Calibri"/>
        <family val="2"/>
      </rPr>
      <t>ñez.0848@gmail.com</t>
    </r>
  </si>
  <si>
    <r>
      <rPr>
        <u/>
        <sz val="10"/>
        <color rgb="FF1155CC"/>
        <rFont val="Calibri"/>
        <family val="2"/>
      </rPr>
      <t>silviaester55@hotmail.cl</t>
    </r>
  </si>
  <si>
    <r>
      <rPr>
        <u/>
        <sz val="10"/>
        <color rgb="FF1155CC"/>
        <rFont val="Calibri"/>
        <family val="2"/>
      </rPr>
      <t>tania.diaz2005@gmail.com</t>
    </r>
  </si>
  <si>
    <r>
      <rPr>
        <u/>
        <sz val="10"/>
        <color rgb="FF1155CC"/>
        <rFont val="Calibri"/>
        <family val="2"/>
      </rPr>
      <t>isabeldowning28@gmail.com</t>
    </r>
  </si>
  <si>
    <r>
      <rPr>
        <u/>
        <sz val="10"/>
        <color rgb="FF1155CC"/>
        <rFont val="Calibri"/>
        <family val="2"/>
      </rPr>
      <t>maricristi_52@yahoo.es</t>
    </r>
  </si>
  <si>
    <r>
      <rPr>
        <u/>
        <sz val="10"/>
        <color rgb="FF1155CC"/>
        <rFont val="Calibri"/>
        <family val="2"/>
      </rPr>
      <t>anacastilloaguirre1954@gmail.com</t>
    </r>
  </si>
  <si>
    <r>
      <rPr>
        <u/>
        <sz val="10"/>
        <color rgb="FF1155CC"/>
        <rFont val="Calibri"/>
        <family val="2"/>
      </rPr>
      <t>1234ceciliagomez@gmail.com</t>
    </r>
  </si>
  <si>
    <r>
      <rPr>
        <u/>
        <sz val="10"/>
        <color rgb="FF1155CC"/>
        <rFont val="Calibri"/>
        <family val="2"/>
      </rPr>
      <t>tallerartemodas@gmail.com</t>
    </r>
  </si>
  <si>
    <r>
      <rPr>
        <u/>
        <sz val="10"/>
        <color rgb="FF1155CC"/>
        <rFont val="Calibri"/>
        <family val="2"/>
      </rPr>
      <t>lerusiktocopilla@gamil.com</t>
    </r>
  </si>
  <si>
    <r>
      <rPr>
        <u/>
        <sz val="10"/>
        <color rgb="FF1155CC"/>
        <rFont val="Calibri"/>
        <family val="2"/>
      </rPr>
      <t>jorgemars1113@hotmail.com</t>
    </r>
  </si>
  <si>
    <r>
      <rPr>
        <u/>
        <sz val="10"/>
        <color rgb="FF1155CC"/>
        <rFont val="Calibri"/>
        <family val="2"/>
      </rPr>
      <t>Emilyyy2004.ea39@gmail.com</t>
    </r>
  </si>
  <si>
    <r>
      <rPr>
        <u/>
        <sz val="10"/>
        <color rgb="FF1155CC"/>
        <rFont val="Calibri"/>
        <family val="2"/>
      </rPr>
      <t>Olga_gema@hotmail.com</t>
    </r>
  </si>
  <si>
    <r>
      <rPr>
        <u/>
        <sz val="10"/>
        <color rgb="FF1155CC"/>
        <rFont val="Calibri"/>
        <family val="2"/>
      </rPr>
      <t>Constanza.ea.gomez@gmail.com</t>
    </r>
  </si>
  <si>
    <r>
      <rPr>
        <u/>
        <sz val="10"/>
        <color rgb="FF1155CC"/>
        <rFont val="Calibri"/>
        <family val="2"/>
      </rPr>
      <t>cocacabrol@gmail.com</t>
    </r>
  </si>
  <si>
    <t>MAIPU ESQUINA ESTADO Curicó</t>
  </si>
  <si>
    <t>Manuel Montt N°245 Mulchén</t>
  </si>
  <si>
    <t>Amunategui N°325 Mulchén</t>
  </si>
  <si>
    <t>Salvo N°10 Mulchén</t>
  </si>
  <si>
    <t>Ingrid.bascur@escuelaMulchén.cl</t>
  </si>
  <si>
    <t>Villalon N°984 Mulchén</t>
  </si>
  <si>
    <t>Pasaje Los Coigues N°880 Villa La Granja Mulchén</t>
  </si>
  <si>
    <t>Pasaje Los Coihues N°808 Villa La Granja Mulchén</t>
  </si>
  <si>
    <t>Unzueta N°820 Mulchén</t>
  </si>
  <si>
    <t>Maica Lote N°1 B3 Mulchén</t>
  </si>
  <si>
    <t>Los Robles N°1232 Villa La Granja Mulchén</t>
  </si>
  <si>
    <t>Villalon N°960 Mulchén</t>
  </si>
  <si>
    <t>Jose Miguel De La Jara N°75 Poblacion Isabel Riquelme Mulchén</t>
  </si>
  <si>
    <t>Manera N°670 Mulchén</t>
  </si>
  <si>
    <t>Pasaje Los Lingues N°0661 Mulchén</t>
  </si>
  <si>
    <t>Pasaje Los Lleuques N° S/N Villa La Granja Mulchén</t>
  </si>
  <si>
    <t>Paradero 12 s/n Olmué</t>
  </si>
  <si>
    <t>Av. Eastman 3118 Olmué</t>
  </si>
  <si>
    <t>La Concepciòn 2469 pr.25 Olmué</t>
  </si>
  <si>
    <t>jorge.hTraiguén@gmail.com</t>
  </si>
  <si>
    <t>5.227.979-8</t>
  </si>
  <si>
    <t>SR Arica, Tarapacá y Parinacota</t>
  </si>
  <si>
    <t>12974043-4</t>
  </si>
  <si>
    <t>14.543.451-3</t>
  </si>
  <si>
    <t>21.562.229-0</t>
  </si>
  <si>
    <t>6.770.730-3</t>
  </si>
  <si>
    <t>12.614.777-5</t>
  </si>
  <si>
    <t>14.930.865-2</t>
  </si>
  <si>
    <t>5.721.502-K</t>
  </si>
  <si>
    <t>20.126.310-7</t>
  </si>
  <si>
    <t>20.597.768-6</t>
  </si>
  <si>
    <t>7.353.019-9</t>
  </si>
  <si>
    <t>7.956.725-6</t>
  </si>
  <si>
    <t>8.272.591-1</t>
  </si>
  <si>
    <t>7.716.365-4</t>
  </si>
  <si>
    <t>8.261.866-9</t>
  </si>
  <si>
    <t>6.072.705-8</t>
  </si>
  <si>
    <t>7.667.127-3</t>
  </si>
  <si>
    <t>21.010.657-K</t>
  </si>
  <si>
    <t>8.235.042-K</t>
  </si>
  <si>
    <t>8.508.378-3</t>
  </si>
  <si>
    <t>5.853.602-4</t>
  </si>
  <si>
    <t>5.210.904-3</t>
  </si>
  <si>
    <t>5.593.532-7</t>
  </si>
  <si>
    <t>8.201.764-K</t>
  </si>
  <si>
    <t>Correo</t>
  </si>
  <si>
    <t>Fecha ultima elecciones</t>
  </si>
  <si>
    <t>Comentario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</si>
</sst>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dd\-mm\-yyyy"/>
    <numFmt numFmtId="165" formatCode="#,##0.0"/>
    <numFmt numFmtId="166" formatCode="d/m/yyyy"/>
    <numFmt numFmtId="167" formatCode="d\-m\-yyyy"/>
    <numFmt numFmtId="168" formatCode="d\ mmmm\ yyyy"/>
    <numFmt numFmtId="169" formatCode="d&quot; de &quot;mmmm\ yyyy"/>
    <numFmt numFmtId="170" formatCode="mmmm\ yyyy"/>
    <numFmt numFmtId="171" formatCode="mmmmyyyy"/>
    <numFmt numFmtId="172" formatCode="d&quot; DE &quot;mmmm\ yyyy"/>
    <numFmt numFmtId="173" formatCode="d&quot; DE &quot;mmmm&quot; DE &quot;yyyy"/>
    <numFmt numFmtId="174" formatCode="d\-mmmm\ yyyy"/>
  </numFmts>
  <fonts count="55">
    <font>
      <sz val="10"/>
      <color rgb="FF000000"/>
      <name val="Arial"/>
      <scheme val="minor"/>
    </font>
    <font>
      <sz val="10"/>
      <color theme="1"/>
      <name val="Calibri"/>
    </font>
    <font>
      <sz val="10"/>
      <color rgb="FF000000"/>
      <name val="Calibri"/>
    </font>
    <font>
      <u/>
      <sz val="10"/>
      <color rgb="FF000000"/>
      <name val="Calibri"/>
    </font>
    <font>
      <sz val="10"/>
      <color rgb="FF000000"/>
      <name val="Arial"/>
      <scheme val="minor"/>
    </font>
    <font>
      <sz val="11"/>
      <color rgb="FF000000"/>
      <name val="Calibri"/>
    </font>
    <font>
      <sz val="8"/>
      <color rgb="FF000000"/>
      <name val="Calibri"/>
    </font>
    <font>
      <sz val="10"/>
      <color rgb="FF000000"/>
      <name val="Calibri"/>
    </font>
    <font>
      <sz val="10"/>
      <color theme="1"/>
      <name val="Calibri"/>
    </font>
    <font>
      <b/>
      <sz val="10"/>
      <color theme="1"/>
      <name val="Calibri"/>
    </font>
    <font>
      <sz val="11"/>
      <color rgb="FFFF0000"/>
      <name val="Calibri"/>
    </font>
    <font>
      <sz val="10"/>
      <color theme="1"/>
      <name val="Arial"/>
      <scheme val="minor"/>
    </font>
    <font>
      <b/>
      <sz val="11"/>
      <color rgb="FF000000"/>
      <name val="Calibri"/>
    </font>
    <font>
      <b/>
      <sz val="10"/>
      <color theme="1"/>
      <name val="Arial"/>
      <scheme val="minor"/>
    </font>
    <font>
      <sz val="10"/>
      <color rgb="FFFFFFFF"/>
      <name val="Arial"/>
      <scheme val="minor"/>
    </font>
    <font>
      <sz val="10"/>
      <color theme="1"/>
      <name val="Arial"/>
      <scheme val="minor"/>
    </font>
    <font>
      <b/>
      <sz val="10"/>
      <color theme="1"/>
      <name val="Arial"/>
      <scheme val="minor"/>
    </font>
    <font>
      <i/>
      <sz val="11"/>
      <color rgb="FF000000"/>
      <name val="Calibri"/>
    </font>
    <font>
      <sz val="10"/>
      <color rgb="FFFF0000"/>
      <name val="Arial"/>
      <scheme val="minor"/>
    </font>
    <font>
      <b/>
      <sz val="10"/>
      <color rgb="FF000000"/>
      <name val="Arial"/>
      <scheme val="minor"/>
    </font>
    <font>
      <sz val="9"/>
      <color theme="1"/>
      <name val="Arial"/>
      <scheme val="minor"/>
    </font>
    <font>
      <sz val="12"/>
      <color rgb="FF000000"/>
      <name val="-webkit-standard"/>
    </font>
    <font>
      <sz val="10"/>
      <color rgb="FF000000"/>
      <name val="-webkit-standard"/>
    </font>
    <font>
      <sz val="12"/>
      <color rgb="FF000000"/>
      <name val="Arial"/>
    </font>
    <font>
      <sz val="10"/>
      <color theme="7"/>
      <name val="Arial"/>
      <scheme val="minor"/>
    </font>
    <font>
      <b/>
      <sz val="10"/>
      <color rgb="FFFF0000"/>
      <name val="Arial"/>
      <scheme val="minor"/>
    </font>
    <font>
      <u/>
      <sz val="10"/>
      <color rgb="FF0000FF"/>
      <name val="Arial"/>
    </font>
    <font>
      <b/>
      <sz val="12"/>
      <color rgb="FFFF0000"/>
      <name val="Calibri"/>
    </font>
    <font>
      <sz val="12"/>
      <color rgb="FFFF0000"/>
      <name val="Calibri"/>
    </font>
    <font>
      <sz val="11"/>
      <color rgb="FF00B050"/>
      <name val="Calibri"/>
    </font>
    <font>
      <u/>
      <sz val="11"/>
      <color rgb="FF0000FF"/>
      <name val="Calibri"/>
    </font>
    <font>
      <b/>
      <sz val="12"/>
      <color rgb="FF38761D"/>
      <name val="Calibri"/>
    </font>
    <font>
      <sz val="12"/>
      <color rgb="FF000000"/>
      <name val="Calibri"/>
    </font>
    <font>
      <u/>
      <sz val="11"/>
      <color rgb="FF1155CC"/>
      <name val="Calibri, sans-serif"/>
    </font>
    <font>
      <u/>
      <sz val="10"/>
      <color rgb="FF000000"/>
      <name val="Arial"/>
    </font>
    <font>
      <sz val="8"/>
      <name val="Arial"/>
      <scheme val="minor"/>
    </font>
    <font>
      <sz val="10"/>
      <color theme="1"/>
      <name val="Calibri"/>
      <family val="2"/>
    </font>
    <font>
      <sz val="10"/>
      <color rgb="FF000000"/>
      <name val="Calibri"/>
      <family val="2"/>
    </font>
    <font>
      <sz val="10"/>
      <color rgb="FFFFFFFF"/>
      <name val="Calibri"/>
      <family val="2"/>
    </font>
    <font>
      <sz val="10"/>
      <color rgb="FF222222"/>
      <name val="Calibri"/>
      <family val="2"/>
    </font>
    <font>
      <u/>
      <sz val="10"/>
      <color rgb="FF0563C1"/>
      <name val="Calibri"/>
      <family val="2"/>
    </font>
    <font>
      <u/>
      <sz val="10"/>
      <color rgb="FF000000"/>
      <name val="Calibri"/>
      <family val="2"/>
    </font>
    <font>
      <u/>
      <sz val="10"/>
      <color rgb="FF0000FF"/>
      <name val="Calibri"/>
      <family val="2"/>
    </font>
    <font>
      <u/>
      <sz val="10"/>
      <color rgb="FF1155CC"/>
      <name val="Calibri"/>
      <family val="2"/>
    </font>
    <font>
      <i/>
      <sz val="10"/>
      <color rgb="FF000000"/>
      <name val="Calibri"/>
      <family val="2"/>
    </font>
    <font>
      <sz val="10"/>
      <color rgb="FF0563C1"/>
      <name val="Calibri"/>
      <family val="2"/>
    </font>
    <font>
      <sz val="10"/>
      <color rgb="FF1F1F1F"/>
      <name val="Calibri"/>
      <family val="2"/>
    </font>
    <font>
      <sz val="10"/>
      <color rgb="FF2F5496"/>
      <name val="Calibri"/>
      <family val="2"/>
    </font>
    <font>
      <sz val="10"/>
      <color rgb="FFFF0000"/>
      <name val="Calibri"/>
      <family val="2"/>
    </font>
    <font>
      <sz val="10"/>
      <color rgb="FF5E5E5E"/>
      <name val="Calibri"/>
      <family val="2"/>
    </font>
    <font>
      <sz val="10"/>
      <color rgb="FF333333"/>
      <name val="Calibri"/>
      <family val="2"/>
    </font>
    <font>
      <b/>
      <sz val="10"/>
      <color theme="1"/>
      <name val="Calibri"/>
      <family val="2"/>
    </font>
    <font>
      <b/>
      <sz val="10"/>
      <color rgb="FF000000"/>
      <name val="Calibri"/>
      <family val="2"/>
    </font>
    <font>
      <sz val="10"/>
      <name val="Calibri"/>
      <family val="2"/>
    </font>
    <font>
      <b/>
      <sz val="10"/>
      <color rgb="FFFF0000"/>
      <name val="Calibri"/>
      <family val="2"/>
    </font>
  </fonts>
  <fills count="13">
    <fill>
      <patternFill patternType="none"/>
    </fill>
    <fill>
      <patternFill patternType="gray125"/>
    </fill>
    <fill>
      <patternFill patternType="solid">
        <fgColor rgb="FF0000FF"/>
        <bgColor rgb="FF0000FF"/>
      </patternFill>
    </fill>
    <fill>
      <patternFill patternType="solid">
        <fgColor rgb="FFE06666"/>
        <bgColor rgb="FFE06666"/>
      </patternFill>
    </fill>
    <fill>
      <patternFill patternType="solid">
        <fgColor rgb="FFFFE599"/>
        <bgColor rgb="FFFFE599"/>
      </patternFill>
    </fill>
    <fill>
      <patternFill patternType="solid">
        <fgColor rgb="FFD9EAD3"/>
        <bgColor rgb="FFD9EAD3"/>
      </patternFill>
    </fill>
    <fill>
      <patternFill patternType="solid">
        <fgColor rgb="FFFFFFFF"/>
        <bgColor rgb="FFFFFFFF"/>
      </patternFill>
    </fill>
    <fill>
      <patternFill patternType="solid">
        <fgColor theme="0"/>
        <bgColor theme="0"/>
      </patternFill>
    </fill>
    <fill>
      <patternFill patternType="solid">
        <fgColor rgb="FFC9DAF8"/>
        <bgColor rgb="FFC9DAF8"/>
      </patternFill>
    </fill>
    <fill>
      <patternFill patternType="solid">
        <fgColor rgb="FFFFF2CC"/>
        <bgColor rgb="FFFFF2CC"/>
      </patternFill>
    </fill>
    <fill>
      <patternFill patternType="solid">
        <fgColor rgb="FFD9D2E9"/>
        <bgColor rgb="FFD9D2E9"/>
      </patternFill>
    </fill>
    <fill>
      <patternFill patternType="solid">
        <fgColor rgb="FF990000"/>
        <bgColor rgb="FF990000"/>
      </patternFill>
    </fill>
    <fill>
      <patternFill patternType="solid">
        <fgColor rgb="FFD0E0E3"/>
        <bgColor rgb="FFD0E0E3"/>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4">
    <xf numFmtId="0" fontId="0" fillId="0" borderId="0" xfId="0"/>
    <xf numFmtId="0" fontId="1" fillId="0" borderId="0" xfId="0" applyFont="1" applyAlignment="1">
      <alignment horizontal="center"/>
    </xf>
    <xf numFmtId="0" fontId="13" fillId="8" borderId="1" xfId="0" applyFont="1" applyFill="1" applyBorder="1" applyAlignment="1">
      <alignment horizontal="center" wrapText="1"/>
    </xf>
    <xf numFmtId="0" fontId="13" fillId="9" borderId="1" xfId="0" applyFont="1" applyFill="1" applyBorder="1" applyAlignment="1">
      <alignment horizontal="center" wrapText="1"/>
    </xf>
    <xf numFmtId="0" fontId="13" fillId="10" borderId="1" xfId="0" applyFont="1" applyFill="1" applyBorder="1" applyAlignment="1">
      <alignment horizontal="center" wrapText="1"/>
    </xf>
    <xf numFmtId="0" fontId="13" fillId="3" borderId="1" xfId="0" applyFont="1" applyFill="1" applyBorder="1" applyAlignment="1">
      <alignment horizontal="center" wrapText="1"/>
    </xf>
    <xf numFmtId="0" fontId="14" fillId="11" borderId="1" xfId="0" applyFont="1" applyFill="1" applyBorder="1" applyAlignment="1">
      <alignment wrapText="1"/>
    </xf>
    <xf numFmtId="0" fontId="4" fillId="10" borderId="1" xfId="0" applyFont="1" applyFill="1" applyBorder="1" applyAlignment="1">
      <alignment wrapText="1"/>
    </xf>
    <xf numFmtId="0" fontId="4" fillId="12" borderId="1" xfId="0" applyFont="1" applyFill="1" applyBorder="1" applyAlignment="1">
      <alignment wrapText="1"/>
    </xf>
    <xf numFmtId="0" fontId="11" fillId="0" borderId="0" xfId="0" applyFont="1"/>
    <xf numFmtId="0" fontId="13" fillId="0" borderId="1" xfId="0" applyFont="1" applyBorder="1" applyAlignment="1">
      <alignment horizontal="center"/>
    </xf>
    <xf numFmtId="0" fontId="13" fillId="0" borderId="1" xfId="0" applyFont="1" applyBorder="1"/>
    <xf numFmtId="0" fontId="15" fillId="0" borderId="1" xfId="0" applyFont="1" applyBorder="1" applyAlignment="1">
      <alignment horizontal="center"/>
    </xf>
    <xf numFmtId="0" fontId="12" fillId="0" borderId="1" xfId="0" applyFont="1" applyBorder="1"/>
    <xf numFmtId="0" fontId="15" fillId="0" borderId="1" xfId="0" applyFont="1" applyBorder="1"/>
    <xf numFmtId="0" fontId="11" fillId="0" borderId="1" xfId="0" applyFont="1" applyBorder="1"/>
    <xf numFmtId="0" fontId="16" fillId="0" borderId="1" xfId="0" applyFont="1" applyBorder="1"/>
    <xf numFmtId="0" fontId="1" fillId="0" borderId="1" xfId="0" applyFont="1" applyBorder="1" applyAlignment="1">
      <alignment horizontal="center"/>
    </xf>
    <xf numFmtId="170" fontId="15" fillId="0" borderId="1" xfId="0" applyNumberFormat="1" applyFont="1" applyBorder="1" applyAlignment="1">
      <alignment horizontal="center"/>
    </xf>
    <xf numFmtId="0" fontId="2" fillId="0" borderId="1" xfId="0" applyFont="1" applyBorder="1" applyAlignment="1">
      <alignment horizontal="center"/>
    </xf>
    <xf numFmtId="0" fontId="15" fillId="0" borderId="1" xfId="0" applyFont="1" applyBorder="1" applyAlignment="1">
      <alignment horizontal="right"/>
    </xf>
    <xf numFmtId="0" fontId="5" fillId="0" borderId="1" xfId="0" applyFont="1" applyBorder="1"/>
    <xf numFmtId="0" fontId="5" fillId="0" borderId="1" xfId="0" applyFont="1" applyBorder="1" applyAlignment="1">
      <alignment horizontal="center"/>
    </xf>
    <xf numFmtId="0" fontId="5" fillId="0" borderId="0" xfId="0" applyFont="1" applyAlignment="1">
      <alignment horizontal="center"/>
    </xf>
    <xf numFmtId="0" fontId="5" fillId="0" borderId="1" xfId="0" applyFont="1" applyBorder="1" applyAlignment="1">
      <alignment horizontal="center" wrapText="1"/>
    </xf>
    <xf numFmtId="0" fontId="17" fillId="0" borderId="1" xfId="0" applyFont="1" applyBorder="1"/>
    <xf numFmtId="0" fontId="18" fillId="0" borderId="1" xfId="0" applyFont="1" applyBorder="1" applyAlignment="1">
      <alignment horizontal="center"/>
    </xf>
    <xf numFmtId="0" fontId="15" fillId="0" borderId="0" xfId="0" applyFont="1" applyAlignment="1">
      <alignment horizontal="center"/>
    </xf>
    <xf numFmtId="0" fontId="2" fillId="0" borderId="0" xfId="0" applyFont="1" applyAlignment="1">
      <alignment horizontal="center"/>
    </xf>
    <xf numFmtId="0" fontId="0" fillId="0" borderId="1" xfId="0" applyBorder="1" applyAlignment="1">
      <alignment horizontal="center"/>
    </xf>
    <xf numFmtId="170" fontId="1" fillId="0" borderId="1" xfId="0" applyNumberFormat="1" applyFont="1" applyBorder="1" applyAlignment="1">
      <alignment horizontal="center"/>
    </xf>
    <xf numFmtId="0" fontId="19" fillId="0" borderId="1" xfId="0" applyFont="1" applyBorder="1" applyAlignment="1">
      <alignment horizontal="center"/>
    </xf>
    <xf numFmtId="171" fontId="15" fillId="0" borderId="1" xfId="0" applyNumberFormat="1" applyFont="1" applyBorder="1" applyAlignment="1">
      <alignment horizontal="center"/>
    </xf>
    <xf numFmtId="0" fontId="19" fillId="0" borderId="1" xfId="0" applyFont="1" applyBorder="1"/>
    <xf numFmtId="0" fontId="2" fillId="0" borderId="0" xfId="0" applyFont="1"/>
    <xf numFmtId="0" fontId="11" fillId="0" borderId="1" xfId="0" applyFont="1" applyBorder="1" applyAlignment="1">
      <alignment horizontal="right"/>
    </xf>
    <xf numFmtId="0" fontId="15" fillId="0" borderId="1" xfId="0" applyFont="1" applyBorder="1" applyAlignment="1">
      <alignment horizontal="left"/>
    </xf>
    <xf numFmtId="0" fontId="11" fillId="0" borderId="1" xfId="0" applyFont="1" applyBorder="1" applyAlignment="1">
      <alignment horizontal="left"/>
    </xf>
    <xf numFmtId="169" fontId="15" fillId="0" borderId="0" xfId="0" applyNumberFormat="1" applyFont="1" applyAlignment="1">
      <alignment horizontal="center"/>
    </xf>
    <xf numFmtId="0" fontId="9" fillId="0" borderId="1" xfId="0" applyFont="1" applyBorder="1" applyAlignment="1">
      <alignment horizontal="center"/>
    </xf>
    <xf numFmtId="0" fontId="6" fillId="0" borderId="1" xfId="0" applyFont="1" applyBorder="1"/>
    <xf numFmtId="0" fontId="13" fillId="0" borderId="0" xfId="0" applyFont="1"/>
    <xf numFmtId="0" fontId="15" fillId="0" borderId="0" xfId="0" applyFont="1"/>
    <xf numFmtId="0" fontId="19" fillId="0" borderId="0" xfId="0" applyFont="1" applyAlignment="1">
      <alignment wrapText="1"/>
    </xf>
    <xf numFmtId="169" fontId="15" fillId="0" borderId="1" xfId="0" applyNumberFormat="1" applyFont="1" applyBorder="1" applyAlignment="1">
      <alignment horizontal="center"/>
    </xf>
    <xf numFmtId="0" fontId="20" fillId="0" borderId="1" xfId="0" applyFont="1" applyBorder="1" applyAlignment="1">
      <alignment horizontal="center"/>
    </xf>
    <xf numFmtId="164" fontId="15" fillId="0" borderId="1" xfId="0" applyNumberFormat="1" applyFont="1" applyBorder="1" applyAlignment="1">
      <alignment horizontal="center"/>
    </xf>
    <xf numFmtId="0" fontId="21" fillId="0" borderId="0" xfId="0" applyFont="1"/>
    <xf numFmtId="0" fontId="22" fillId="0" borderId="0" xfId="0" applyFont="1" applyAlignment="1">
      <alignment horizontal="center"/>
    </xf>
    <xf numFmtId="166" fontId="15" fillId="0" borderId="1" xfId="0" applyNumberFormat="1" applyFont="1" applyBorder="1" applyAlignment="1">
      <alignment horizontal="center"/>
    </xf>
    <xf numFmtId="167" fontId="15" fillId="0" borderId="1" xfId="0" applyNumberFormat="1" applyFont="1" applyBorder="1" applyAlignment="1">
      <alignment horizontal="center"/>
    </xf>
    <xf numFmtId="172" fontId="15" fillId="0" borderId="1" xfId="0" applyNumberFormat="1" applyFont="1" applyBorder="1" applyAlignment="1">
      <alignment horizontal="center"/>
    </xf>
    <xf numFmtId="168" fontId="15" fillId="0" borderId="1" xfId="0" applyNumberFormat="1" applyFont="1" applyBorder="1" applyAlignment="1">
      <alignment horizontal="center"/>
    </xf>
    <xf numFmtId="173" fontId="15" fillId="0" borderId="1" xfId="0" applyNumberFormat="1" applyFont="1" applyBorder="1" applyAlignment="1">
      <alignment horizontal="center"/>
    </xf>
    <xf numFmtId="174" fontId="15" fillId="0" borderId="1" xfId="0" applyNumberFormat="1" applyFont="1" applyBorder="1" applyAlignment="1">
      <alignment horizontal="center"/>
    </xf>
    <xf numFmtId="0" fontId="23" fillId="0" borderId="0" xfId="0" applyFont="1"/>
    <xf numFmtId="0" fontId="24" fillId="0" borderId="0" xfId="0" applyFont="1" applyAlignment="1">
      <alignment horizontal="center"/>
    </xf>
    <xf numFmtId="0" fontId="16" fillId="5" borderId="1" xfId="0" applyFont="1" applyFill="1" applyBorder="1" applyAlignment="1">
      <alignment horizontal="center"/>
    </xf>
    <xf numFmtId="0" fontId="11" fillId="5" borderId="1" xfId="0" applyFont="1" applyFill="1" applyBorder="1" applyAlignment="1">
      <alignment wrapText="1"/>
    </xf>
    <xf numFmtId="0" fontId="16" fillId="0" borderId="1" xfId="0" applyFont="1" applyBorder="1" applyAlignment="1">
      <alignment horizontal="center"/>
    </xf>
    <xf numFmtId="0" fontId="11" fillId="0" borderId="1" xfId="0" applyFont="1" applyBorder="1" applyAlignment="1">
      <alignment wrapText="1"/>
    </xf>
    <xf numFmtId="0" fontId="5" fillId="0" borderId="1" xfId="0" applyFont="1" applyBorder="1" applyAlignment="1">
      <alignment wrapText="1"/>
    </xf>
    <xf numFmtId="0" fontId="25" fillId="0" borderId="1" xfId="0" applyFont="1" applyBorder="1" applyAlignment="1">
      <alignment horizontal="center"/>
    </xf>
    <xf numFmtId="0" fontId="26" fillId="0" borderId="1" xfId="0" applyFont="1" applyBorder="1" applyAlignment="1">
      <alignment wrapText="1"/>
    </xf>
    <xf numFmtId="0" fontId="16" fillId="0" borderId="0" xfId="0" applyFont="1" applyAlignment="1">
      <alignment horizontal="center"/>
    </xf>
    <xf numFmtId="0" fontId="11" fillId="0" borderId="0" xfId="0" applyFont="1" applyAlignment="1">
      <alignment wrapText="1"/>
    </xf>
    <xf numFmtId="0" fontId="5" fillId="0" borderId="0" xfId="0" applyFont="1"/>
    <xf numFmtId="0" fontId="27" fillId="0" borderId="1" xfId="0" applyFont="1" applyBorder="1"/>
    <xf numFmtId="0" fontId="27" fillId="0" borderId="2" xfId="0" applyFont="1" applyBorder="1"/>
    <xf numFmtId="0" fontId="16" fillId="0" borderId="0" xfId="0" applyFont="1"/>
    <xf numFmtId="0" fontId="28" fillId="0" borderId="0" xfId="0" applyFont="1"/>
    <xf numFmtId="0" fontId="5" fillId="0" borderId="4" xfId="0" applyFont="1" applyBorder="1"/>
    <xf numFmtId="0" fontId="8" fillId="0" borderId="4" xfId="0" applyFont="1" applyBorder="1"/>
    <xf numFmtId="0" fontId="29" fillId="0" borderId="4" xfId="0" applyFont="1" applyBorder="1"/>
    <xf numFmtId="0" fontId="30" fillId="0" borderId="4" xfId="0" applyFont="1" applyBorder="1"/>
    <xf numFmtId="0" fontId="5" fillId="0" borderId="3" xfId="0" applyFont="1" applyBorder="1"/>
    <xf numFmtId="0" fontId="7" fillId="0" borderId="4" xfId="0" applyFont="1" applyBorder="1"/>
    <xf numFmtId="0" fontId="10" fillId="0" borderId="4" xfId="0" applyFont="1" applyBorder="1"/>
    <xf numFmtId="0" fontId="31" fillId="6" borderId="0" xfId="0" applyFont="1" applyFill="1"/>
    <xf numFmtId="0" fontId="32" fillId="0" borderId="0" xfId="0" applyFont="1"/>
    <xf numFmtId="10" fontId="11" fillId="0" borderId="0" xfId="0" applyNumberFormat="1" applyFont="1"/>
    <xf numFmtId="0" fontId="16" fillId="8" borderId="0" xfId="0" applyFont="1" applyFill="1"/>
    <xf numFmtId="0" fontId="38" fillId="2" borderId="5" xfId="0" applyFont="1" applyFill="1" applyBorder="1" applyAlignment="1">
      <alignment horizontal="center"/>
    </xf>
    <xf numFmtId="0" fontId="51" fillId="3" borderId="5" xfId="0" applyFont="1" applyFill="1" applyBorder="1" applyAlignment="1">
      <alignment horizontal="center" wrapText="1"/>
    </xf>
    <xf numFmtId="0" fontId="36" fillId="3" borderId="5" xfId="0" applyFont="1" applyFill="1" applyBorder="1" applyAlignment="1">
      <alignment horizontal="center" wrapText="1"/>
    </xf>
    <xf numFmtId="0" fontId="36" fillId="3" borderId="5" xfId="0" applyFont="1" applyFill="1" applyBorder="1" applyAlignment="1">
      <alignment horizontal="left" wrapText="1"/>
    </xf>
    <xf numFmtId="14" fontId="36" fillId="3" borderId="5" xfId="0" applyNumberFormat="1" applyFont="1" applyFill="1" applyBorder="1" applyAlignment="1">
      <alignment horizontal="center" wrapText="1"/>
    </xf>
    <xf numFmtId="4" fontId="36" fillId="3" borderId="5" xfId="0" applyNumberFormat="1" applyFont="1" applyFill="1" applyBorder="1" applyAlignment="1">
      <alignment horizontal="center" wrapText="1"/>
    </xf>
    <xf numFmtId="0" fontId="36" fillId="4" borderId="5" xfId="0" applyFont="1" applyFill="1" applyBorder="1" applyAlignment="1">
      <alignment horizontal="center"/>
    </xf>
    <xf numFmtId="0" fontId="36" fillId="4" borderId="5" xfId="0" applyFont="1" applyFill="1" applyBorder="1" applyAlignment="1">
      <alignment horizontal="center" wrapText="1"/>
    </xf>
    <xf numFmtId="0" fontId="36" fillId="0" borderId="5" xfId="0" applyFont="1" applyBorder="1" applyAlignment="1">
      <alignment horizontal="center"/>
    </xf>
    <xf numFmtId="0" fontId="36" fillId="0" borderId="0" xfId="0" applyFont="1" applyAlignment="1">
      <alignment horizontal="center"/>
    </xf>
    <xf numFmtId="0" fontId="37" fillId="0" borderId="0" xfId="0" applyFont="1" applyAlignment="1">
      <alignment horizontal="center"/>
    </xf>
    <xf numFmtId="0" fontId="51" fillId="0" borderId="0" xfId="0" applyFont="1" applyAlignment="1">
      <alignment horizontal="center" wrapText="1"/>
    </xf>
    <xf numFmtId="0" fontId="37" fillId="0" borderId="0" xfId="0" applyFont="1" applyAlignment="1">
      <alignment horizontal="left" wrapText="1"/>
    </xf>
    <xf numFmtId="0" fontId="37" fillId="0" borderId="0" xfId="0" applyFont="1" applyAlignment="1">
      <alignment horizontal="center" wrapText="1"/>
    </xf>
    <xf numFmtId="14" fontId="37" fillId="0" borderId="0" xfId="0" applyNumberFormat="1" applyFont="1" applyAlignment="1">
      <alignment horizontal="center" wrapText="1"/>
    </xf>
    <xf numFmtId="14" fontId="36" fillId="0" borderId="0" xfId="0" applyNumberFormat="1" applyFont="1" applyAlignment="1">
      <alignment horizontal="center"/>
    </xf>
    <xf numFmtId="165" fontId="36" fillId="5" borderId="0" xfId="0" applyNumberFormat="1" applyFont="1" applyFill="1" applyAlignment="1">
      <alignment horizontal="center"/>
    </xf>
    <xf numFmtId="4" fontId="36" fillId="0" borderId="0" xfId="0" applyNumberFormat="1" applyFont="1" applyAlignment="1">
      <alignment horizontal="center"/>
    </xf>
    <xf numFmtId="0" fontId="36" fillId="0" borderId="0" xfId="0" applyFont="1" applyAlignment="1">
      <alignment horizontal="left" wrapText="1"/>
    </xf>
    <xf numFmtId="0" fontId="39" fillId="6" borderId="0" xfId="0" applyFont="1" applyFill="1" applyAlignment="1">
      <alignment horizontal="left" wrapText="1"/>
    </xf>
    <xf numFmtId="0" fontId="40" fillId="0" borderId="0" xfId="0" applyFont="1" applyAlignment="1">
      <alignment horizontal="left" wrapText="1"/>
    </xf>
    <xf numFmtId="14" fontId="37" fillId="0" borderId="0" xfId="0" applyNumberFormat="1" applyFont="1" applyAlignment="1">
      <alignment horizontal="center"/>
    </xf>
    <xf numFmtId="0" fontId="39" fillId="0" borderId="0" xfId="0" applyFont="1" applyAlignment="1">
      <alignment horizontal="left" wrapText="1"/>
    </xf>
    <xf numFmtId="0" fontId="41" fillId="0" borderId="0" xfId="0" applyFont="1" applyAlignment="1">
      <alignment horizontal="left" wrapText="1"/>
    </xf>
    <xf numFmtId="0" fontId="37" fillId="0" borderId="0" xfId="0" applyFont="1" applyAlignment="1">
      <alignment horizontal="left"/>
    </xf>
    <xf numFmtId="0" fontId="36" fillId="0" borderId="0" xfId="0" applyFont="1" applyAlignment="1">
      <alignment horizontal="left"/>
    </xf>
    <xf numFmtId="0" fontId="42" fillId="0" borderId="0" xfId="0" applyFont="1" applyAlignment="1">
      <alignment horizontal="left" wrapText="1"/>
    </xf>
    <xf numFmtId="0" fontId="36" fillId="0" borderId="0" xfId="0" applyFont="1" applyAlignment="1">
      <alignment horizontal="center" wrapText="1"/>
    </xf>
    <xf numFmtId="0" fontId="44" fillId="0" borderId="0" xfId="0" applyFont="1" applyAlignment="1">
      <alignment horizontal="left" wrapText="1"/>
    </xf>
    <xf numFmtId="0" fontId="45" fillId="0" borderId="0" xfId="0" applyFont="1" applyAlignment="1">
      <alignment horizontal="left" wrapText="1"/>
    </xf>
    <xf numFmtId="0" fontId="46" fillId="0" borderId="0" xfId="0" applyFont="1" applyAlignment="1">
      <alignment horizontal="left" wrapText="1"/>
    </xf>
    <xf numFmtId="0" fontId="52" fillId="0" borderId="0" xfId="0" applyFont="1" applyAlignment="1">
      <alignment horizontal="center" wrapText="1"/>
    </xf>
    <xf numFmtId="3" fontId="37" fillId="0" borderId="0" xfId="0" applyNumberFormat="1" applyFont="1" applyAlignment="1">
      <alignment horizontal="center"/>
    </xf>
    <xf numFmtId="0" fontId="47" fillId="0" borderId="0" xfId="0" applyFont="1" applyAlignment="1">
      <alignment horizontal="left" wrapText="1"/>
    </xf>
    <xf numFmtId="14" fontId="36" fillId="0" borderId="0" xfId="0" applyNumberFormat="1" applyFont="1" applyAlignment="1">
      <alignment horizontal="center" wrapText="1"/>
    </xf>
    <xf numFmtId="164" fontId="36" fillId="0" borderId="0" xfId="0" applyNumberFormat="1" applyFont="1" applyAlignment="1">
      <alignment horizontal="center"/>
    </xf>
    <xf numFmtId="0" fontId="40" fillId="0" borderId="0" xfId="0" applyFont="1" applyAlignment="1">
      <alignment horizontal="center" wrapText="1"/>
    </xf>
    <xf numFmtId="0" fontId="48" fillId="0" borderId="0" xfId="0" applyFont="1" applyAlignment="1">
      <alignment horizontal="left"/>
    </xf>
    <xf numFmtId="168" fontId="36" fillId="0" borderId="0" xfId="0" applyNumberFormat="1" applyFont="1" applyAlignment="1">
      <alignment horizontal="left" wrapText="1"/>
    </xf>
    <xf numFmtId="0" fontId="49" fillId="6" borderId="0" xfId="0" applyFont="1" applyFill="1" applyAlignment="1">
      <alignment horizontal="left" wrapText="1"/>
    </xf>
    <xf numFmtId="0" fontId="49" fillId="6" borderId="0" xfId="0" applyFont="1" applyFill="1" applyAlignment="1">
      <alignment horizontal="center" wrapText="1"/>
    </xf>
    <xf numFmtId="4" fontId="48" fillId="0" borderId="0" xfId="0" applyNumberFormat="1" applyFont="1" applyAlignment="1">
      <alignment horizontal="center"/>
    </xf>
    <xf numFmtId="0" fontId="46" fillId="6" borderId="0" xfId="0" applyFont="1" applyFill="1" applyAlignment="1">
      <alignment horizontal="left" wrapText="1"/>
    </xf>
    <xf numFmtId="0" fontId="50" fillId="0" borderId="0" xfId="0" applyFont="1" applyAlignment="1">
      <alignment horizontal="left" wrapText="1"/>
    </xf>
    <xf numFmtId="14" fontId="37" fillId="7" borderId="0" xfId="0" applyNumberFormat="1" applyFont="1" applyFill="1" applyAlignment="1">
      <alignment horizontal="center"/>
    </xf>
    <xf numFmtId="169" fontId="37" fillId="0" borderId="0" xfId="0" applyNumberFormat="1" applyFont="1" applyAlignment="1">
      <alignment horizontal="left" wrapText="1"/>
    </xf>
    <xf numFmtId="0" fontId="51" fillId="0" borderId="0" xfId="0" applyFont="1" applyAlignment="1">
      <alignment horizontal="center"/>
    </xf>
    <xf numFmtId="0" fontId="48" fillId="0" borderId="0" xfId="0" applyFont="1" applyAlignment="1">
      <alignment horizontal="left" wrapText="1"/>
    </xf>
    <xf numFmtId="0" fontId="44" fillId="0" borderId="0" xfId="0" applyFont="1" applyAlignment="1">
      <alignment horizontal="center" wrapText="1"/>
    </xf>
    <xf numFmtId="0" fontId="50" fillId="0" borderId="0" xfId="0" applyFont="1" applyAlignment="1">
      <alignment horizontal="center"/>
    </xf>
    <xf numFmtId="0" fontId="48" fillId="0" borderId="0" xfId="0" applyFont="1" applyAlignment="1">
      <alignment horizontal="center"/>
    </xf>
    <xf numFmtId="0" fontId="54" fillId="0" borderId="0" xfId="0" applyFont="1" applyAlignment="1">
      <alignment horizontal="center" wrapText="1"/>
    </xf>
  </cellXfs>
  <cellStyles count="1">
    <cellStyle name="Normal" xfId="0" builtinId="0"/>
  </cellStyles>
  <dxfs count="1">
    <dxf>
      <fill>
        <patternFill patternType="solid">
          <fgColor rgb="FF000000"/>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rociobelenbugueno1@gmail.com" TargetMode="External"/><Relationship Id="rId299" Type="http://schemas.openxmlformats.org/officeDocument/2006/relationships/hyperlink" Target="mailto:amareloch52@gmail.com" TargetMode="External"/><Relationship Id="rId21" Type="http://schemas.openxmlformats.org/officeDocument/2006/relationships/hyperlink" Target="http://ail.com/" TargetMode="External"/><Relationship Id="rId63" Type="http://schemas.openxmlformats.org/officeDocument/2006/relationships/hyperlink" Target="mailto:Marianalagosdiaz@gmail.com" TargetMode="External"/><Relationship Id="rId159" Type="http://schemas.openxmlformats.org/officeDocument/2006/relationships/hyperlink" Target="mailto:fresiamunoz70@hotmail.com" TargetMode="External"/><Relationship Id="rId324" Type="http://schemas.openxmlformats.org/officeDocument/2006/relationships/hyperlink" Target="mailto:mcvaldesrozas@gmail.com" TargetMode="External"/><Relationship Id="rId366" Type="http://schemas.openxmlformats.org/officeDocument/2006/relationships/hyperlink" Target="mailto:Giselle.munoz.gonzalez@live.cl" TargetMode="External"/><Relationship Id="rId170" Type="http://schemas.openxmlformats.org/officeDocument/2006/relationships/hyperlink" Target="mailto:Victoria.zenteno.c@gmail.com" TargetMode="External"/><Relationship Id="rId226" Type="http://schemas.openxmlformats.org/officeDocument/2006/relationships/hyperlink" Target="mailto:martanovoam@gmail.com" TargetMode="External"/><Relationship Id="rId268" Type="http://schemas.openxmlformats.org/officeDocument/2006/relationships/hyperlink" Target="mailto:Braylinneo.villegas@gmail.com" TargetMode="External"/><Relationship Id="rId32" Type="http://schemas.openxmlformats.org/officeDocument/2006/relationships/hyperlink" Target="mailto:leytonk051@gmail.com" TargetMode="External"/><Relationship Id="rId74" Type="http://schemas.openxmlformats.org/officeDocument/2006/relationships/hyperlink" Target="mailto:gladysandreariquelmecofre@gmail.com" TargetMode="External"/><Relationship Id="rId128" Type="http://schemas.openxmlformats.org/officeDocument/2006/relationships/hyperlink" Target="mailto:romina.mellap@gmail.com" TargetMode="External"/><Relationship Id="rId335" Type="http://schemas.openxmlformats.org/officeDocument/2006/relationships/hyperlink" Target="mailto:barrimaria@gmail.com" TargetMode="External"/><Relationship Id="rId377" Type="http://schemas.openxmlformats.org/officeDocument/2006/relationships/hyperlink" Target="mailto:tallerartemodas@gmail.com" TargetMode="External"/><Relationship Id="rId5" Type="http://schemas.openxmlformats.org/officeDocument/2006/relationships/hyperlink" Target="mailto:jalil-11-11@hotmail.com" TargetMode="External"/><Relationship Id="rId181" Type="http://schemas.openxmlformats.org/officeDocument/2006/relationships/hyperlink" Target="mailto:Pilivenegastoloza57@gmail.com" TargetMode="External"/><Relationship Id="rId237" Type="http://schemas.openxmlformats.org/officeDocument/2006/relationships/hyperlink" Target="mailto:e.urrutia.9240@gmail.com" TargetMode="External"/><Relationship Id="rId279" Type="http://schemas.openxmlformats.org/officeDocument/2006/relationships/hyperlink" Target="mailto:calcaneo34@gmail.com" TargetMode="External"/><Relationship Id="rId43" Type="http://schemas.openxmlformats.org/officeDocument/2006/relationships/hyperlink" Target="mailto:lennymul9@gmail.com" TargetMode="External"/><Relationship Id="rId139" Type="http://schemas.openxmlformats.org/officeDocument/2006/relationships/hyperlink" Target="mailto:esperanzasiva@gmail.com" TargetMode="External"/><Relationship Id="rId290" Type="http://schemas.openxmlformats.org/officeDocument/2006/relationships/hyperlink" Target="mailto:Luisamaldonado572@gmail.com" TargetMode="External"/><Relationship Id="rId304" Type="http://schemas.openxmlformats.org/officeDocument/2006/relationships/hyperlink" Target="mailto:gmabuga29@gmail.com" TargetMode="External"/><Relationship Id="rId346" Type="http://schemas.openxmlformats.org/officeDocument/2006/relationships/hyperlink" Target="mailto:Sandraelena0618@gmail.com" TargetMode="External"/><Relationship Id="rId85" Type="http://schemas.openxmlformats.org/officeDocument/2006/relationships/hyperlink" Target="mailto:thiareconnixiomara@gmail.com" TargetMode="External"/><Relationship Id="rId150" Type="http://schemas.openxmlformats.org/officeDocument/2006/relationships/hyperlink" Target="mailto:anamanriacasanova66@gmail.com" TargetMode="External"/><Relationship Id="rId192" Type="http://schemas.openxmlformats.org/officeDocument/2006/relationships/hyperlink" Target="mailto:vizcarramariaeugenia@gmail.com" TargetMode="External"/><Relationship Id="rId206" Type="http://schemas.openxmlformats.org/officeDocument/2006/relationships/hyperlink" Target="mailto:malvinaa.patricia@gmail.com" TargetMode="External"/><Relationship Id="rId248" Type="http://schemas.openxmlformats.org/officeDocument/2006/relationships/hyperlink" Target="http://mail.com/" TargetMode="External"/><Relationship Id="rId12" Type="http://schemas.openxmlformats.org/officeDocument/2006/relationships/hyperlink" Target="mailto:sandravbravo@gmail.com" TargetMode="External"/><Relationship Id="rId108" Type="http://schemas.openxmlformats.org/officeDocument/2006/relationships/hyperlink" Target="mailto:Bertalucas07@hotmail.com" TargetMode="External"/><Relationship Id="rId315" Type="http://schemas.openxmlformats.org/officeDocument/2006/relationships/hyperlink" Target="mailto:camilaarcomarceteddy@gmail.com" TargetMode="External"/><Relationship Id="rId357" Type="http://schemas.openxmlformats.org/officeDocument/2006/relationships/hyperlink" Target="mailto:veromvii@gmail.com" TargetMode="External"/><Relationship Id="rId54" Type="http://schemas.openxmlformats.org/officeDocument/2006/relationships/hyperlink" Target="mailto:Rojaslilibeth22@gmail.com" TargetMode="External"/><Relationship Id="rId96" Type="http://schemas.openxmlformats.org/officeDocument/2006/relationships/hyperlink" Target="mailto:mveronicaortegarelator@gmail.com" TargetMode="External"/><Relationship Id="rId161" Type="http://schemas.openxmlformats.org/officeDocument/2006/relationships/hyperlink" Target="mailto:shirleycabello@gmail.com" TargetMode="External"/><Relationship Id="rId217" Type="http://schemas.openxmlformats.org/officeDocument/2006/relationships/hyperlink" Target="mailto:EDUARDODONOSO@GMAIL.COM" TargetMode="External"/><Relationship Id="rId259" Type="http://schemas.openxmlformats.org/officeDocument/2006/relationships/hyperlink" Target="mailto:Piran80@gmail.com" TargetMode="External"/><Relationship Id="rId23" Type="http://schemas.openxmlformats.org/officeDocument/2006/relationships/hyperlink" Target="http://il.com/" TargetMode="External"/><Relationship Id="rId119" Type="http://schemas.openxmlformats.org/officeDocument/2006/relationships/hyperlink" Target="mailto:deysi.caroleon@gmail.com" TargetMode="External"/><Relationship Id="rId270" Type="http://schemas.openxmlformats.org/officeDocument/2006/relationships/hyperlink" Target="mailto:jofrearteaga@gmail.com" TargetMode="External"/><Relationship Id="rId326" Type="http://schemas.openxmlformats.org/officeDocument/2006/relationships/hyperlink" Target="mailto:filial.requinoa@cruzroja.cl" TargetMode="External"/><Relationship Id="rId65" Type="http://schemas.openxmlformats.org/officeDocument/2006/relationships/hyperlink" Target="http://doritamagqhotmail.com/" TargetMode="External"/><Relationship Id="rId130" Type="http://schemas.openxmlformats.org/officeDocument/2006/relationships/hyperlink" Target="mailto:emilia.munoz.meneses@gmail.com" TargetMode="External"/><Relationship Id="rId368" Type="http://schemas.openxmlformats.org/officeDocument/2006/relationships/hyperlink" Target="mailto:julietacontrerasvernal@gmail.com" TargetMode="External"/><Relationship Id="rId172" Type="http://schemas.openxmlformats.org/officeDocument/2006/relationships/hyperlink" Target="mailto:Electrico.janb@gimail.com" TargetMode="External"/><Relationship Id="rId228" Type="http://schemas.openxmlformats.org/officeDocument/2006/relationships/hyperlink" Target="mailto:Arturo.olivares.calderon@gmail.com" TargetMode="External"/><Relationship Id="rId281" Type="http://schemas.openxmlformats.org/officeDocument/2006/relationships/hyperlink" Target="mailto:mapacam08@gmail.com" TargetMode="External"/><Relationship Id="rId337" Type="http://schemas.openxmlformats.org/officeDocument/2006/relationships/hyperlink" Target="mailto:maigammm@gmail.com" TargetMode="External"/><Relationship Id="rId34" Type="http://schemas.openxmlformats.org/officeDocument/2006/relationships/hyperlink" Target="mailto:caromorfata@gmail.com" TargetMode="External"/><Relationship Id="rId76" Type="http://schemas.openxmlformats.org/officeDocument/2006/relationships/hyperlink" Target="mailto:Tomasfaundez7@gmail.com" TargetMode="External"/><Relationship Id="rId141" Type="http://schemas.openxmlformats.org/officeDocument/2006/relationships/hyperlink" Target="mailto:emaurquieta4@gmail.com" TargetMode="External"/><Relationship Id="rId379" Type="http://schemas.openxmlformats.org/officeDocument/2006/relationships/hyperlink" Target="mailto:Jorgemars1113@hotmail.com" TargetMode="External"/><Relationship Id="rId7" Type="http://schemas.openxmlformats.org/officeDocument/2006/relationships/hyperlink" Target="mailto:mariajosemedelgutierrez@gmail.com" TargetMode="External"/><Relationship Id="rId183" Type="http://schemas.openxmlformats.org/officeDocument/2006/relationships/hyperlink" Target="about:blank" TargetMode="External"/><Relationship Id="rId239" Type="http://schemas.openxmlformats.org/officeDocument/2006/relationships/hyperlink" Target="mailto:Sulemita_taltal@hotmail.com" TargetMode="External"/><Relationship Id="rId250" Type="http://schemas.openxmlformats.org/officeDocument/2006/relationships/hyperlink" Target="http://mail.com/" TargetMode="External"/><Relationship Id="rId292" Type="http://schemas.openxmlformats.org/officeDocument/2006/relationships/hyperlink" Target="mailto:Gladys.oyarzo46@gmail.com" TargetMode="External"/><Relationship Id="rId306" Type="http://schemas.openxmlformats.org/officeDocument/2006/relationships/hyperlink" Target="mailto:monicarudolffib@gmail.com" TargetMode="External"/><Relationship Id="rId45" Type="http://schemas.openxmlformats.org/officeDocument/2006/relationships/hyperlink" Target="mailto:karimepastenes3@gmail.com" TargetMode="External"/><Relationship Id="rId87" Type="http://schemas.openxmlformats.org/officeDocument/2006/relationships/hyperlink" Target="mailto:relatoriasmc@gmail.com" TargetMode="External"/><Relationship Id="rId110" Type="http://schemas.openxmlformats.org/officeDocument/2006/relationships/hyperlink" Target="mailto:Mariateresamendez159@gmail.com" TargetMode="External"/><Relationship Id="rId348" Type="http://schemas.openxmlformats.org/officeDocument/2006/relationships/hyperlink" Target="mailto:Ro_ele@hotmail.com" TargetMode="External"/><Relationship Id="rId152" Type="http://schemas.openxmlformats.org/officeDocument/2006/relationships/hyperlink" Target="mailto:Contre.molina@gmail.com" TargetMode="External"/><Relationship Id="rId194" Type="http://schemas.openxmlformats.org/officeDocument/2006/relationships/hyperlink" Target="mailto:Yolandaaliaga007@gmail.com" TargetMode="External"/><Relationship Id="rId208" Type="http://schemas.openxmlformats.org/officeDocument/2006/relationships/hyperlink" Target="mailto:CASERESFERNANDA53@GMAIL.COM" TargetMode="External"/><Relationship Id="rId261" Type="http://schemas.openxmlformats.org/officeDocument/2006/relationships/hyperlink" Target="mailto:Hildaurra6@gmail.com" TargetMode="External"/><Relationship Id="rId14" Type="http://schemas.openxmlformats.org/officeDocument/2006/relationships/hyperlink" Target="mailto:mariateresayanezneira@gmail.com" TargetMode="External"/><Relationship Id="rId56" Type="http://schemas.openxmlformats.org/officeDocument/2006/relationships/hyperlink" Target="mailto:Herrera.cecilia.v@gmail.com" TargetMode="External"/><Relationship Id="rId317" Type="http://schemas.openxmlformats.org/officeDocument/2006/relationships/hyperlink" Target="mailto:mmariateresacald@aol.com" TargetMode="External"/><Relationship Id="rId359" Type="http://schemas.openxmlformats.org/officeDocument/2006/relationships/hyperlink" Target="mailto:Anamariavillaloboslopez72@gmail.com" TargetMode="External"/><Relationship Id="rId98" Type="http://schemas.openxmlformats.org/officeDocument/2006/relationships/hyperlink" Target="mailto:mariaximenatobar@gmail.com" TargetMode="External"/><Relationship Id="rId121" Type="http://schemas.openxmlformats.org/officeDocument/2006/relationships/hyperlink" Target="mailto:maria.cecilia.gonzalez.munoz@gmail.com" TargetMode="External"/><Relationship Id="rId163" Type="http://schemas.openxmlformats.org/officeDocument/2006/relationships/hyperlink" Target="mailto:m.eugeniacacceresgarrido@gmail.com" TargetMode="External"/><Relationship Id="rId219" Type="http://schemas.openxmlformats.org/officeDocument/2006/relationships/hyperlink" Target="mailto:max.cruzroja@gmail.com" TargetMode="External"/><Relationship Id="rId370" Type="http://schemas.openxmlformats.org/officeDocument/2006/relationships/hyperlink" Target="http://carmen.nu/" TargetMode="External"/><Relationship Id="rId230" Type="http://schemas.openxmlformats.org/officeDocument/2006/relationships/hyperlink" Target="mailto:Angelarodriguez.iglesia@gmail.com" TargetMode="External"/><Relationship Id="rId25" Type="http://schemas.openxmlformats.org/officeDocument/2006/relationships/hyperlink" Target="http://ail.com/" TargetMode="External"/><Relationship Id="rId67" Type="http://schemas.openxmlformats.org/officeDocument/2006/relationships/hyperlink" Target="http://anarosavargas181mail.com/" TargetMode="External"/><Relationship Id="rId272" Type="http://schemas.openxmlformats.org/officeDocument/2006/relationships/hyperlink" Target="mailto:javipilar.a.l@gmail.com" TargetMode="External"/><Relationship Id="rId328" Type="http://schemas.openxmlformats.org/officeDocument/2006/relationships/hyperlink" Target="mailto:Marianacastillo275@hotmail.com" TargetMode="External"/><Relationship Id="rId132" Type="http://schemas.openxmlformats.org/officeDocument/2006/relationships/hyperlink" Target="mailto:angelanolicortes@gmail.com" TargetMode="External"/><Relationship Id="rId174" Type="http://schemas.openxmlformats.org/officeDocument/2006/relationships/hyperlink" Target="mailto:ninetteastudillo@gmail.com" TargetMode="External"/><Relationship Id="rId381" Type="http://schemas.openxmlformats.org/officeDocument/2006/relationships/hyperlink" Target="mailto:Olga_gema@hotmail.com" TargetMode="External"/><Relationship Id="rId241" Type="http://schemas.openxmlformats.org/officeDocument/2006/relationships/hyperlink" Target="mailto:Luisavega672023@gmail.com" TargetMode="External"/><Relationship Id="rId36" Type="http://schemas.openxmlformats.org/officeDocument/2006/relationships/hyperlink" Target="mailto:dalrringo@hotmail.com" TargetMode="External"/><Relationship Id="rId283" Type="http://schemas.openxmlformats.org/officeDocument/2006/relationships/hyperlink" Target="mailto:carmenrosaa@gmail.com" TargetMode="External"/><Relationship Id="rId339" Type="http://schemas.openxmlformats.org/officeDocument/2006/relationships/hyperlink" Target="mailto:rveronica.oyarzog@gmail.com" TargetMode="External"/><Relationship Id="rId78" Type="http://schemas.openxmlformats.org/officeDocument/2006/relationships/hyperlink" Target="mailto:Saraslealvic@gmail.com" TargetMode="External"/><Relationship Id="rId101" Type="http://schemas.openxmlformats.org/officeDocument/2006/relationships/hyperlink" Target="mailto:Sbva1956@gmail.com" TargetMode="External"/><Relationship Id="rId143" Type="http://schemas.openxmlformats.org/officeDocument/2006/relationships/hyperlink" Target="mailto:leddymiranda58@gmail.com" TargetMode="External"/><Relationship Id="rId185" Type="http://schemas.openxmlformats.org/officeDocument/2006/relationships/hyperlink" Target="mailto:Mangeica1960@himail.com" TargetMode="External"/><Relationship Id="rId350" Type="http://schemas.openxmlformats.org/officeDocument/2006/relationships/hyperlink" Target="mailto:Carmen.mellahevia@gmail.com" TargetMode="External"/><Relationship Id="rId9" Type="http://schemas.openxmlformats.org/officeDocument/2006/relationships/hyperlink" Target="mailto:marialysesandoval@gmail.com" TargetMode="External"/><Relationship Id="rId210" Type="http://schemas.openxmlformats.org/officeDocument/2006/relationships/hyperlink" Target="mailto:SEVERINOLIVARES@GMAIL.COM" TargetMode="External"/><Relationship Id="rId252" Type="http://schemas.openxmlformats.org/officeDocument/2006/relationships/hyperlink" Target="mailto:jmendezcontreras98@gmail.com" TargetMode="External"/><Relationship Id="rId294" Type="http://schemas.openxmlformats.org/officeDocument/2006/relationships/hyperlink" Target="mailto:Irene9gomez01@gmail.com" TargetMode="External"/><Relationship Id="rId308" Type="http://schemas.openxmlformats.org/officeDocument/2006/relationships/hyperlink" Target="mailto:deisygaetesierra@gmail.com" TargetMode="External"/><Relationship Id="rId47" Type="http://schemas.openxmlformats.org/officeDocument/2006/relationships/hyperlink" Target="mailto:yayoreis14@gmail.com" TargetMode="External"/><Relationship Id="rId68" Type="http://schemas.openxmlformats.org/officeDocument/2006/relationships/hyperlink" Target="mailto:Sayenespinoza868@gmail.com" TargetMode="External"/><Relationship Id="rId89" Type="http://schemas.openxmlformats.org/officeDocument/2006/relationships/hyperlink" Target="mailto:Contadora.soraya@gmail.com" TargetMode="External"/><Relationship Id="rId112" Type="http://schemas.openxmlformats.org/officeDocument/2006/relationships/hyperlink" Target="mailto:silvia.alvarez.pizarro@gmail.com" TargetMode="External"/><Relationship Id="rId133" Type="http://schemas.openxmlformats.org/officeDocument/2006/relationships/hyperlink" Target="mailto:myriamolivera24@gmail.com" TargetMode="External"/><Relationship Id="rId154" Type="http://schemas.openxmlformats.org/officeDocument/2006/relationships/hyperlink" Target="mailto:Carmitcarmit2009@gmail.com" TargetMode="External"/><Relationship Id="rId175" Type="http://schemas.openxmlformats.org/officeDocument/2006/relationships/hyperlink" Target="mailto:Belenpv57@gmail.com" TargetMode="External"/><Relationship Id="rId340" Type="http://schemas.openxmlformats.org/officeDocument/2006/relationships/hyperlink" Target="mailto:aluette@live.com" TargetMode="External"/><Relationship Id="rId361" Type="http://schemas.openxmlformats.org/officeDocument/2006/relationships/hyperlink" Target="mailto:pattypradon@gmail.com" TargetMode="External"/><Relationship Id="rId196" Type="http://schemas.openxmlformats.org/officeDocument/2006/relationships/hyperlink" Target="mailto:gladysgcohas@gmail.com" TargetMode="External"/><Relationship Id="rId200" Type="http://schemas.openxmlformats.org/officeDocument/2006/relationships/hyperlink" Target="mailto:nicolasalejandro.mgg@gmail.com" TargetMode="External"/><Relationship Id="rId382" Type="http://schemas.openxmlformats.org/officeDocument/2006/relationships/hyperlink" Target="mailto:Constanza.ea.gomez@gmail.com" TargetMode="External"/><Relationship Id="rId16" Type="http://schemas.openxmlformats.org/officeDocument/2006/relationships/hyperlink" Target="mailto:anabellomunoz@gmail.com" TargetMode="External"/><Relationship Id="rId221" Type="http://schemas.openxmlformats.org/officeDocument/2006/relationships/hyperlink" Target="http://alexandra.pizarro.silvagmail.com/" TargetMode="External"/><Relationship Id="rId242" Type="http://schemas.openxmlformats.org/officeDocument/2006/relationships/hyperlink" Target="mailto:Marllory.alcota@gmail.com" TargetMode="External"/><Relationship Id="rId263" Type="http://schemas.openxmlformats.org/officeDocument/2006/relationships/hyperlink" Target="mailto:mzvf18@gmail.com" TargetMode="External"/><Relationship Id="rId284" Type="http://schemas.openxmlformats.org/officeDocument/2006/relationships/hyperlink" Target="mailto:Samuel.redel@gmail.com" TargetMode="External"/><Relationship Id="rId319" Type="http://schemas.openxmlformats.org/officeDocument/2006/relationships/hyperlink" Target="mailto:lilian72alejandra@gmail.com" TargetMode="External"/><Relationship Id="rId37" Type="http://schemas.openxmlformats.org/officeDocument/2006/relationships/hyperlink" Target="mailto:fernandogonzalezgodoy@gmail.com" TargetMode="External"/><Relationship Id="rId58" Type="http://schemas.openxmlformats.org/officeDocument/2006/relationships/hyperlink" Target="mailto:Sebastiandelgadobarrientos.94@gmail.com" TargetMode="External"/><Relationship Id="rId79" Type="http://schemas.openxmlformats.org/officeDocument/2006/relationships/hyperlink" Target="mailto:Sofiaandreapinto2007@gmail.com" TargetMode="External"/><Relationship Id="rId102" Type="http://schemas.openxmlformats.org/officeDocument/2006/relationships/hyperlink" Target="mailto:Claudiafabiola.ojedamorales@gmail.com" TargetMode="External"/><Relationship Id="rId123" Type="http://schemas.openxmlformats.org/officeDocument/2006/relationships/hyperlink" Target="mailto:lindamarion4plant@gmail.com" TargetMode="External"/><Relationship Id="rId144" Type="http://schemas.openxmlformats.org/officeDocument/2006/relationships/hyperlink" Target="mailto:vilmagb@gmail.com" TargetMode="External"/><Relationship Id="rId330" Type="http://schemas.openxmlformats.org/officeDocument/2006/relationships/hyperlink" Target="mailto:carotoledosalas@gmail.com" TargetMode="External"/><Relationship Id="rId90" Type="http://schemas.openxmlformats.org/officeDocument/2006/relationships/hyperlink" Target="mailto:Marinasoto1213@gmail.com" TargetMode="External"/><Relationship Id="rId165" Type="http://schemas.openxmlformats.org/officeDocument/2006/relationships/hyperlink" Target="mailto:Magdalena.briones22@gmail.com" TargetMode="External"/><Relationship Id="rId186" Type="http://schemas.openxmlformats.org/officeDocument/2006/relationships/hyperlink" Target="mailto:vivianabarrerainzunza@gmail.com" TargetMode="External"/><Relationship Id="rId351" Type="http://schemas.openxmlformats.org/officeDocument/2006/relationships/hyperlink" Target="mailto:Veronicalorcalorca@gmail.com" TargetMode="External"/><Relationship Id="rId372" Type="http://schemas.openxmlformats.org/officeDocument/2006/relationships/hyperlink" Target="mailto:tania.diaz2005@gmail.com" TargetMode="External"/><Relationship Id="rId211" Type="http://schemas.openxmlformats.org/officeDocument/2006/relationships/hyperlink" Target="mailto:CAROLINARIVERACADIZ@GMAIL.COM" TargetMode="External"/><Relationship Id="rId232" Type="http://schemas.openxmlformats.org/officeDocument/2006/relationships/hyperlink" Target="mailto:Danizaperezcollao60@gmail.com" TargetMode="External"/><Relationship Id="rId253" Type="http://schemas.openxmlformats.org/officeDocument/2006/relationships/hyperlink" Target="mailto:nayelydr17@gmail.com" TargetMode="External"/><Relationship Id="rId274" Type="http://schemas.openxmlformats.org/officeDocument/2006/relationships/hyperlink" Target="mailto:f.2007oslo@gmail.com" TargetMode="External"/><Relationship Id="rId295" Type="http://schemas.openxmlformats.org/officeDocument/2006/relationships/hyperlink" Target="mailto:Anitasotol@gmail.com" TargetMode="External"/><Relationship Id="rId309" Type="http://schemas.openxmlformats.org/officeDocument/2006/relationships/hyperlink" Target="mailto:piarojasreyes@gmail.com" TargetMode="External"/><Relationship Id="rId27" Type="http://schemas.openxmlformats.org/officeDocument/2006/relationships/hyperlink" Target="mailto:amparodarros@gmail.com" TargetMode="External"/><Relationship Id="rId48" Type="http://schemas.openxmlformats.org/officeDocument/2006/relationships/hyperlink" Target="mailto:veronicaalcayaga@gmail.com" TargetMode="External"/><Relationship Id="rId69" Type="http://schemas.openxmlformats.org/officeDocument/2006/relationships/hyperlink" Target="mailto:Cgangap75@gmail.com" TargetMode="External"/><Relationship Id="rId113" Type="http://schemas.openxmlformats.org/officeDocument/2006/relationships/hyperlink" Target="mailto:matheoo.aranguiz@gmail.com" TargetMode="External"/><Relationship Id="rId134" Type="http://schemas.openxmlformats.org/officeDocument/2006/relationships/hyperlink" Target="mailto:diegooyarcev554@gmail.com" TargetMode="External"/><Relationship Id="rId320" Type="http://schemas.openxmlformats.org/officeDocument/2006/relationships/hyperlink" Target="mailto:macepar@gmai.com" TargetMode="External"/><Relationship Id="rId80" Type="http://schemas.openxmlformats.org/officeDocument/2006/relationships/hyperlink" Target="mailto:dianafranciscastillo@gmail.com" TargetMode="External"/><Relationship Id="rId155" Type="http://schemas.openxmlformats.org/officeDocument/2006/relationships/hyperlink" Target="mailto:nirkitapelu@gmail.com" TargetMode="External"/><Relationship Id="rId176" Type="http://schemas.openxmlformats.org/officeDocument/2006/relationships/hyperlink" Target="mailto:Rosure12a@gmail.com" TargetMode="External"/><Relationship Id="rId197" Type="http://schemas.openxmlformats.org/officeDocument/2006/relationships/hyperlink" Target="mailto:msidelafuente@gmail.com" TargetMode="External"/><Relationship Id="rId341" Type="http://schemas.openxmlformats.org/officeDocument/2006/relationships/hyperlink" Target="mailto:rebecasantana55@gmail.com" TargetMode="External"/><Relationship Id="rId362" Type="http://schemas.openxmlformats.org/officeDocument/2006/relationships/hyperlink" Target="mailto:Anita200359@gmail.com" TargetMode="External"/><Relationship Id="rId383" Type="http://schemas.openxmlformats.org/officeDocument/2006/relationships/hyperlink" Target="mailto:cocacabrol@gmail.com" TargetMode="External"/><Relationship Id="rId201" Type="http://schemas.openxmlformats.org/officeDocument/2006/relationships/hyperlink" Target="mailto:claudialek@gmail.com" TargetMode="External"/><Relationship Id="rId222" Type="http://schemas.openxmlformats.org/officeDocument/2006/relationships/hyperlink" Target="mailto:Beatrigajardo1968@gmail.com" TargetMode="External"/><Relationship Id="rId243" Type="http://schemas.openxmlformats.org/officeDocument/2006/relationships/hyperlink" Target="mailto:Marlene.quintana.egana12345@gmail.com" TargetMode="External"/><Relationship Id="rId264" Type="http://schemas.openxmlformats.org/officeDocument/2006/relationships/hyperlink" Target="mailto:susanamelladoruiz@hotmail.com" TargetMode="External"/><Relationship Id="rId285" Type="http://schemas.openxmlformats.org/officeDocument/2006/relationships/hyperlink" Target="mailto:Lola1956@hotmail.com" TargetMode="External"/><Relationship Id="rId17" Type="http://schemas.openxmlformats.org/officeDocument/2006/relationships/hyperlink" Target="mailto:Connitasotosantis@gmail.com" TargetMode="External"/><Relationship Id="rId38" Type="http://schemas.openxmlformats.org/officeDocument/2006/relationships/hyperlink" Target="mailto:castillo@gmail.com" TargetMode="External"/><Relationship Id="rId59" Type="http://schemas.openxmlformats.org/officeDocument/2006/relationships/hyperlink" Target="mailto:Paulocardenas727@gmail.com" TargetMode="External"/><Relationship Id="rId103" Type="http://schemas.openxmlformats.org/officeDocument/2006/relationships/hyperlink" Target="mailto:Marielalarcon1972@gmail.com" TargetMode="External"/><Relationship Id="rId124" Type="http://schemas.openxmlformats.org/officeDocument/2006/relationships/hyperlink" Target="mailto:alejandroandresibanezulloa@gmail.com" TargetMode="External"/><Relationship Id="rId310" Type="http://schemas.openxmlformats.org/officeDocument/2006/relationships/hyperlink" Target="mailto:Mariapazmeneses.t@gmail.com" TargetMode="External"/><Relationship Id="rId70" Type="http://schemas.openxmlformats.org/officeDocument/2006/relationships/hyperlink" Target="mailto:maryaguilera754@gmail.com" TargetMode="External"/><Relationship Id="rId91" Type="http://schemas.openxmlformats.org/officeDocument/2006/relationships/hyperlink" Target="mailto:alegriamariamercedes@gmail.com" TargetMode="External"/><Relationship Id="rId145" Type="http://schemas.openxmlformats.org/officeDocument/2006/relationships/hyperlink" Target="mailto:Old3mz1@gmail.com" TargetMode="External"/><Relationship Id="rId166" Type="http://schemas.openxmlformats.org/officeDocument/2006/relationships/hyperlink" Target="mailto:Javi.venegas99@gmail.com" TargetMode="External"/><Relationship Id="rId187" Type="http://schemas.openxmlformats.org/officeDocument/2006/relationships/hyperlink" Target="mailto:yeyaastudilloespinoza@gmail.com" TargetMode="External"/><Relationship Id="rId331" Type="http://schemas.openxmlformats.org/officeDocument/2006/relationships/hyperlink" Target="mailto:Anitamdel07@gmail.com" TargetMode="External"/><Relationship Id="rId352" Type="http://schemas.openxmlformats.org/officeDocument/2006/relationships/hyperlink" Target="mailto:yayimunozyavar@gmail.com" TargetMode="External"/><Relationship Id="rId373" Type="http://schemas.openxmlformats.org/officeDocument/2006/relationships/hyperlink" Target="mailto:isabeldowning28@gmail.com" TargetMode="External"/><Relationship Id="rId1" Type="http://schemas.openxmlformats.org/officeDocument/2006/relationships/hyperlink" Target="http://guicela1951gmail.com/" TargetMode="External"/><Relationship Id="rId212" Type="http://schemas.openxmlformats.org/officeDocument/2006/relationships/hyperlink" Target="mailto:LUISNEYVASQUEZ@GMAIL.COM" TargetMode="External"/><Relationship Id="rId233" Type="http://schemas.openxmlformats.org/officeDocument/2006/relationships/hyperlink" Target="mailto:Asuncionramos151982@gmail.com" TargetMode="External"/><Relationship Id="rId254" Type="http://schemas.openxmlformats.org/officeDocument/2006/relationships/hyperlink" Target="mailto:estefibusta17@gmail.com" TargetMode="External"/><Relationship Id="rId28" Type="http://schemas.openxmlformats.org/officeDocument/2006/relationships/hyperlink" Target="mailto:08vikj@gmail.com" TargetMode="External"/><Relationship Id="rId49" Type="http://schemas.openxmlformats.org/officeDocument/2006/relationships/hyperlink" Target="mailto:Aldo2007ramirez@gmail.com" TargetMode="External"/><Relationship Id="rId114" Type="http://schemas.openxmlformats.org/officeDocument/2006/relationships/hyperlink" Target="mailto:victorseb.aravena@gmail.com" TargetMode="External"/><Relationship Id="rId275" Type="http://schemas.openxmlformats.org/officeDocument/2006/relationships/hyperlink" Target="mailto:sole.g.h@gmail.com" TargetMode="External"/><Relationship Id="rId296" Type="http://schemas.openxmlformats.org/officeDocument/2006/relationships/hyperlink" Target="mailto:mariuribe@gmail.com" TargetMode="External"/><Relationship Id="rId300" Type="http://schemas.openxmlformats.org/officeDocument/2006/relationships/hyperlink" Target="mailto:marysud8@gmail.com" TargetMode="External"/><Relationship Id="rId60" Type="http://schemas.openxmlformats.org/officeDocument/2006/relationships/hyperlink" Target="mailto:orielaaburto@gmail.com" TargetMode="External"/><Relationship Id="rId81" Type="http://schemas.openxmlformats.org/officeDocument/2006/relationships/hyperlink" Target="mailto:noemilopezlb@gmail.com" TargetMode="External"/><Relationship Id="rId135" Type="http://schemas.openxmlformats.org/officeDocument/2006/relationships/hyperlink" Target="mailto:aleretamaljulio@yahoo.com" TargetMode="External"/><Relationship Id="rId156" Type="http://schemas.openxmlformats.org/officeDocument/2006/relationships/hyperlink" Target="mailto:Ip697349@gmail.com" TargetMode="External"/><Relationship Id="rId177" Type="http://schemas.openxmlformats.org/officeDocument/2006/relationships/hyperlink" Target="mailto:veronicaromerocandia@gmail.com" TargetMode="External"/><Relationship Id="rId198" Type="http://schemas.openxmlformats.org/officeDocument/2006/relationships/hyperlink" Target="mailto:Olgalarauz5@gmail.com" TargetMode="External"/><Relationship Id="rId321" Type="http://schemas.openxmlformats.org/officeDocument/2006/relationships/hyperlink" Target="mailto:patriciasotosot63@gmail.com" TargetMode="External"/><Relationship Id="rId342" Type="http://schemas.openxmlformats.org/officeDocument/2006/relationships/hyperlink" Target="mailto:rosaacostaguzman@gmail.com" TargetMode="External"/><Relationship Id="rId363" Type="http://schemas.openxmlformats.org/officeDocument/2006/relationships/hyperlink" Target="about:blank" TargetMode="External"/><Relationship Id="rId384" Type="http://schemas.openxmlformats.org/officeDocument/2006/relationships/vmlDrawing" Target="../drawings/vmlDrawing1.vml"/><Relationship Id="rId202" Type="http://schemas.openxmlformats.org/officeDocument/2006/relationships/hyperlink" Target="mailto:jamorenogalaz@gmail.com" TargetMode="External"/><Relationship Id="rId223" Type="http://schemas.openxmlformats.org/officeDocument/2006/relationships/hyperlink" Target="mailto:sandrasilvabarrera@gmail.com" TargetMode="External"/><Relationship Id="rId244" Type="http://schemas.openxmlformats.org/officeDocument/2006/relationships/hyperlink" Target="http://mail.com/" TargetMode="External"/><Relationship Id="rId18" Type="http://schemas.openxmlformats.org/officeDocument/2006/relationships/hyperlink" Target="http://elviamontenegrofgmail.com/" TargetMode="External"/><Relationship Id="rId39" Type="http://schemas.openxmlformats.org/officeDocument/2006/relationships/hyperlink" Target="mailto:v.darinkovicks79@gmail.com" TargetMode="External"/><Relationship Id="rId265" Type="http://schemas.openxmlformats.org/officeDocument/2006/relationships/hyperlink" Target="mailto:alifuentealva2@gmail.com" TargetMode="External"/><Relationship Id="rId286" Type="http://schemas.openxmlformats.org/officeDocument/2006/relationships/hyperlink" Target="mailto:Gela_41@hotmail.com" TargetMode="External"/><Relationship Id="rId50" Type="http://schemas.openxmlformats.org/officeDocument/2006/relationships/hyperlink" Target="mailto:Catita.m91@gmail.com" TargetMode="External"/><Relationship Id="rId104" Type="http://schemas.openxmlformats.org/officeDocument/2006/relationships/hyperlink" Target="mailto:Rosa.uribe.duran@gmail.com" TargetMode="External"/><Relationship Id="rId125" Type="http://schemas.openxmlformats.org/officeDocument/2006/relationships/hyperlink" Target="mailto:kaviota@gmail.com" TargetMode="External"/><Relationship Id="rId146" Type="http://schemas.openxmlformats.org/officeDocument/2006/relationships/hyperlink" Target="mailto:francisca.menaresbarrera@gmail.com" TargetMode="External"/><Relationship Id="rId167" Type="http://schemas.openxmlformats.org/officeDocument/2006/relationships/hyperlink" Target="mailto:Naxo15patric@gmail.com" TargetMode="External"/><Relationship Id="rId188" Type="http://schemas.openxmlformats.org/officeDocument/2006/relationships/hyperlink" Target="mailto:Ruth.ortega.muller@gmail.com" TargetMode="External"/><Relationship Id="rId311" Type="http://schemas.openxmlformats.org/officeDocument/2006/relationships/hyperlink" Target="mailto:Benjamin.sepulvedamorales20@gmail.com" TargetMode="External"/><Relationship Id="rId332" Type="http://schemas.openxmlformats.org/officeDocument/2006/relationships/hyperlink" Target="mailto:Silvialimelocorrea@gmail.com" TargetMode="External"/><Relationship Id="rId353" Type="http://schemas.openxmlformats.org/officeDocument/2006/relationships/hyperlink" Target="mailto:Kennacornejos6@gmail.com" TargetMode="External"/><Relationship Id="rId374" Type="http://schemas.openxmlformats.org/officeDocument/2006/relationships/hyperlink" Target="mailto:maricristi_52@yahoo.es" TargetMode="External"/><Relationship Id="rId71" Type="http://schemas.openxmlformats.org/officeDocument/2006/relationships/hyperlink" Target="http://luzverdugo1952mqgmail.com/" TargetMode="External"/><Relationship Id="rId92" Type="http://schemas.openxmlformats.org/officeDocument/2006/relationships/hyperlink" Target="mailto:carmenbravo@gmail.com" TargetMode="External"/><Relationship Id="rId213" Type="http://schemas.openxmlformats.org/officeDocument/2006/relationships/hyperlink" Target="mailto:MALDONADOPALMA@HOTMAIL.COM" TargetMode="External"/><Relationship Id="rId234" Type="http://schemas.openxmlformats.org/officeDocument/2006/relationships/hyperlink" Target="mailto:Bebesitamia75@gmail.com" TargetMode="External"/><Relationship Id="rId2" Type="http://schemas.openxmlformats.org/officeDocument/2006/relationships/hyperlink" Target="mailto:Tamaraa.af2003@gmail.com" TargetMode="External"/><Relationship Id="rId29" Type="http://schemas.openxmlformats.org/officeDocument/2006/relationships/hyperlink" Target="mailto:niko14zx@gmail.com" TargetMode="External"/><Relationship Id="rId255" Type="http://schemas.openxmlformats.org/officeDocument/2006/relationships/hyperlink" Target="mailto:carlaparraguezs@gmail.com" TargetMode="External"/><Relationship Id="rId276" Type="http://schemas.openxmlformats.org/officeDocument/2006/relationships/hyperlink" Target="mailto:tsmvaleria2@gmail.com" TargetMode="External"/><Relationship Id="rId297" Type="http://schemas.openxmlformats.org/officeDocument/2006/relationships/hyperlink" Target="mailto:fresia.duran@gmail.com" TargetMode="External"/><Relationship Id="rId40" Type="http://schemas.openxmlformats.org/officeDocument/2006/relationships/hyperlink" Target="mailto:lauriangel06@gmail.com" TargetMode="External"/><Relationship Id="rId115" Type="http://schemas.openxmlformats.org/officeDocument/2006/relationships/hyperlink" Target="mailto:g.balbontin@gmail.com" TargetMode="External"/><Relationship Id="rId136" Type="http://schemas.openxmlformats.org/officeDocument/2006/relationships/hyperlink" Target="mailto:evelyn.m.rozas@gmail.com" TargetMode="External"/><Relationship Id="rId157" Type="http://schemas.openxmlformats.org/officeDocument/2006/relationships/hyperlink" Target="mailto:sgalvezbeltran@gmail.com" TargetMode="External"/><Relationship Id="rId178" Type="http://schemas.openxmlformats.org/officeDocument/2006/relationships/hyperlink" Target="mailto:Crosleiv3012@gmail.com" TargetMode="External"/><Relationship Id="rId301" Type="http://schemas.openxmlformats.org/officeDocument/2006/relationships/hyperlink" Target="mailto:joat26@gmail.com" TargetMode="External"/><Relationship Id="rId322" Type="http://schemas.openxmlformats.org/officeDocument/2006/relationships/hyperlink" Target="mailto:sofia.g.c.706@gmail.com" TargetMode="External"/><Relationship Id="rId343" Type="http://schemas.openxmlformats.org/officeDocument/2006/relationships/hyperlink" Target="mailto:normaverasoto@gmail.com" TargetMode="External"/><Relationship Id="rId364" Type="http://schemas.openxmlformats.org/officeDocument/2006/relationships/hyperlink" Target="mailto:Berta.AravenaB@gmail.com" TargetMode="External"/><Relationship Id="rId61" Type="http://schemas.openxmlformats.org/officeDocument/2006/relationships/hyperlink" Target="mailto:Jhoana23isabel@gmail.com" TargetMode="External"/><Relationship Id="rId82" Type="http://schemas.openxmlformats.org/officeDocument/2006/relationships/hyperlink" Target="mailto:Fran.alexandra852@gmail.com" TargetMode="External"/><Relationship Id="rId199" Type="http://schemas.openxmlformats.org/officeDocument/2006/relationships/hyperlink" Target="mailto:Audiliamenacampos22@gmail.com" TargetMode="External"/><Relationship Id="rId203" Type="http://schemas.openxmlformats.org/officeDocument/2006/relationships/hyperlink" Target="mailto:gladysrojas.mu43@gmail.com" TargetMode="External"/><Relationship Id="rId385" Type="http://schemas.openxmlformats.org/officeDocument/2006/relationships/comments" Target="../comments1.xml"/><Relationship Id="rId19" Type="http://schemas.openxmlformats.org/officeDocument/2006/relationships/hyperlink" Target="http://kky_bhotmail.com/" TargetMode="External"/><Relationship Id="rId224" Type="http://schemas.openxmlformats.org/officeDocument/2006/relationships/hyperlink" Target="mailto:Mary.y.balito@gmail.com" TargetMode="External"/><Relationship Id="rId245" Type="http://schemas.openxmlformats.org/officeDocument/2006/relationships/hyperlink" Target="http://gmail.com/" TargetMode="External"/><Relationship Id="rId266" Type="http://schemas.openxmlformats.org/officeDocument/2006/relationships/hyperlink" Target="mailto:h.garrenas@gmail.com" TargetMode="External"/><Relationship Id="rId287" Type="http://schemas.openxmlformats.org/officeDocument/2006/relationships/hyperlink" Target="mailto:Mahen56@hotmail.com" TargetMode="External"/><Relationship Id="rId30" Type="http://schemas.openxmlformats.org/officeDocument/2006/relationships/hyperlink" Target="mailto:burgosnicol898@gmail.com" TargetMode="External"/><Relationship Id="rId105" Type="http://schemas.openxmlformats.org/officeDocument/2006/relationships/hyperlink" Target="about:blank" TargetMode="External"/><Relationship Id="rId126" Type="http://schemas.openxmlformats.org/officeDocument/2006/relationships/hyperlink" Target="mailto:clarylucero091@gmail.com" TargetMode="External"/><Relationship Id="rId147" Type="http://schemas.openxmlformats.org/officeDocument/2006/relationships/hyperlink" Target="mailto:pmora1475@gmail.com" TargetMode="External"/><Relationship Id="rId168" Type="http://schemas.openxmlformats.org/officeDocument/2006/relationships/hyperlink" Target="mailto:Valenzuelaantonia14@gmail.com" TargetMode="External"/><Relationship Id="rId312" Type="http://schemas.openxmlformats.org/officeDocument/2006/relationships/hyperlink" Target="mailto:oliverolivaresh@gmail.com" TargetMode="External"/><Relationship Id="rId333" Type="http://schemas.openxmlformats.org/officeDocument/2006/relationships/hyperlink" Target="mailto:Angelica.aguayo.o@gmail.com" TargetMode="External"/><Relationship Id="rId354" Type="http://schemas.openxmlformats.org/officeDocument/2006/relationships/hyperlink" Target="mailto:Kenita.love@hotmail.com" TargetMode="External"/><Relationship Id="rId51" Type="http://schemas.openxmlformats.org/officeDocument/2006/relationships/hyperlink" Target="mailto:Mariajose11789@gmail.com" TargetMode="External"/><Relationship Id="rId72" Type="http://schemas.openxmlformats.org/officeDocument/2006/relationships/hyperlink" Target="http://guerrero.patolingmail.com/" TargetMode="External"/><Relationship Id="rId93" Type="http://schemas.openxmlformats.org/officeDocument/2006/relationships/hyperlink" Target="http://gmail.com/" TargetMode="External"/><Relationship Id="rId189" Type="http://schemas.openxmlformats.org/officeDocument/2006/relationships/hyperlink" Target="mailto:1ana.olgabh@gmail.com" TargetMode="External"/><Relationship Id="rId375" Type="http://schemas.openxmlformats.org/officeDocument/2006/relationships/hyperlink" Target="mailto:anacastilloaguirre1954@gmail.com" TargetMode="External"/><Relationship Id="rId3" Type="http://schemas.openxmlformats.org/officeDocument/2006/relationships/hyperlink" Target="mailto:Javieraconstanzamatamala@gmail.com" TargetMode="External"/><Relationship Id="rId214" Type="http://schemas.openxmlformats.org/officeDocument/2006/relationships/hyperlink" Target="mailto:NYNALOPEZ71@GMAIL.COM" TargetMode="External"/><Relationship Id="rId235" Type="http://schemas.openxmlformats.org/officeDocument/2006/relationships/hyperlink" Target="mailto:silviahenriquezpizarro@hotmail.com" TargetMode="External"/><Relationship Id="rId256" Type="http://schemas.openxmlformats.org/officeDocument/2006/relationships/hyperlink" Target="mailto:m.cepeda030591@gmail.com" TargetMode="External"/><Relationship Id="rId277" Type="http://schemas.openxmlformats.org/officeDocument/2006/relationships/hyperlink" Target="mailto:alarconde@gmail.com" TargetMode="External"/><Relationship Id="rId298" Type="http://schemas.openxmlformats.org/officeDocument/2006/relationships/hyperlink" Target="mailto:ecataldoojeda@gmail.com" TargetMode="External"/><Relationship Id="rId116" Type="http://schemas.openxmlformats.org/officeDocument/2006/relationships/hyperlink" Target="mailto:barrybuses@gmail.com" TargetMode="External"/><Relationship Id="rId137" Type="http://schemas.openxmlformats.org/officeDocument/2006/relationships/hyperlink" Target="mailto:carmensalazaralvarez1@gmail.com" TargetMode="External"/><Relationship Id="rId158" Type="http://schemas.openxmlformats.org/officeDocument/2006/relationships/hyperlink" Target="mailto:paulinabeniteztapia@gmail.com" TargetMode="External"/><Relationship Id="rId302" Type="http://schemas.openxmlformats.org/officeDocument/2006/relationships/hyperlink" Target="mailto:camila.eatonduran@gmail.com" TargetMode="External"/><Relationship Id="rId323" Type="http://schemas.openxmlformats.org/officeDocument/2006/relationships/hyperlink" Target="mailto:antonia.alarcon2020@umce.cl" TargetMode="External"/><Relationship Id="rId344" Type="http://schemas.openxmlformats.org/officeDocument/2006/relationships/hyperlink" Target="mailto:Marcelavergara1987@gmail.com" TargetMode="External"/><Relationship Id="rId20" Type="http://schemas.openxmlformats.org/officeDocument/2006/relationships/hyperlink" Target="mailto:maedosanmartin@gmail.com" TargetMode="External"/><Relationship Id="rId41" Type="http://schemas.openxmlformats.org/officeDocument/2006/relationships/hyperlink" Target="mailto:hermi63zx@gmail.com" TargetMode="External"/><Relationship Id="rId62" Type="http://schemas.openxmlformats.org/officeDocument/2006/relationships/hyperlink" Target="mailto:Orielalopez22@gmail.com" TargetMode="External"/><Relationship Id="rId83" Type="http://schemas.openxmlformats.org/officeDocument/2006/relationships/hyperlink" Target="mailto:Franlopezlara5@gmail.com" TargetMode="External"/><Relationship Id="rId179" Type="http://schemas.openxmlformats.org/officeDocument/2006/relationships/hyperlink" Target="mailto:jorregobarrera@gmail.com" TargetMode="External"/><Relationship Id="rId365" Type="http://schemas.openxmlformats.org/officeDocument/2006/relationships/hyperlink" Target="mailto:haydeetorres1948@gmail.com" TargetMode="External"/><Relationship Id="rId190" Type="http://schemas.openxmlformats.org/officeDocument/2006/relationships/hyperlink" Target="mailto:Edithdelcarmen364@gmail.com" TargetMode="External"/><Relationship Id="rId204" Type="http://schemas.openxmlformats.org/officeDocument/2006/relationships/hyperlink" Target="mailto:evanaranjoarriegada@gmail.com" TargetMode="External"/><Relationship Id="rId225" Type="http://schemas.openxmlformats.org/officeDocument/2006/relationships/hyperlink" Target="mailto:jotadroguettm@gmail.com" TargetMode="External"/><Relationship Id="rId246" Type="http://schemas.openxmlformats.org/officeDocument/2006/relationships/hyperlink" Target="http://mail.com/" TargetMode="External"/><Relationship Id="rId267" Type="http://schemas.openxmlformats.org/officeDocument/2006/relationships/hyperlink" Target="mailto:silviadelpilar2009@hotmail.com" TargetMode="External"/><Relationship Id="rId288" Type="http://schemas.openxmlformats.org/officeDocument/2006/relationships/hyperlink" Target="mailto:patricialeuquencatepillan@gmail.com" TargetMode="External"/><Relationship Id="rId106" Type="http://schemas.openxmlformats.org/officeDocument/2006/relationships/hyperlink" Target="mailto:AURELIAHUANCA@HOTMAAIL.COM" TargetMode="External"/><Relationship Id="rId127" Type="http://schemas.openxmlformats.org/officeDocument/2006/relationships/hyperlink" Target="mailto:alejandroandresibanezulloa@gmail.com" TargetMode="External"/><Relationship Id="rId313" Type="http://schemas.openxmlformats.org/officeDocument/2006/relationships/hyperlink" Target="mailto:mariapozohenriquez@gmail.com" TargetMode="External"/><Relationship Id="rId10" Type="http://schemas.openxmlformats.org/officeDocument/2006/relationships/hyperlink" Target="mailto:irina.burgos@gmail.com" TargetMode="External"/><Relationship Id="rId31" Type="http://schemas.openxmlformats.org/officeDocument/2006/relationships/hyperlink" Target="mailto:marielajaviera1025@gmail.com" TargetMode="External"/><Relationship Id="rId52" Type="http://schemas.openxmlformats.org/officeDocument/2006/relationships/hyperlink" Target="mailto:marcarthurgarraud@gmail.com" TargetMode="External"/><Relationship Id="rId73" Type="http://schemas.openxmlformats.org/officeDocument/2006/relationships/hyperlink" Target="http://cbmontecinoshotmail.com/" TargetMode="External"/><Relationship Id="rId94" Type="http://schemas.openxmlformats.org/officeDocument/2006/relationships/hyperlink" Target="mailto:vespinozacornejo@gmail.com" TargetMode="External"/><Relationship Id="rId148" Type="http://schemas.openxmlformats.org/officeDocument/2006/relationships/hyperlink" Target="mailto:Lizette.serranocart@gmail.com" TargetMode="External"/><Relationship Id="rId169" Type="http://schemas.openxmlformats.org/officeDocument/2006/relationships/hyperlink" Target="mailto:Rociomendezroa19@gmail.com" TargetMode="External"/><Relationship Id="rId334" Type="http://schemas.openxmlformats.org/officeDocument/2006/relationships/hyperlink" Target="mailto:Ziliampuero1954@gmail.com" TargetMode="External"/><Relationship Id="rId355" Type="http://schemas.openxmlformats.org/officeDocument/2006/relationships/hyperlink" Target="mailto:Maxitoarce2007@gmail.com" TargetMode="External"/><Relationship Id="rId376" Type="http://schemas.openxmlformats.org/officeDocument/2006/relationships/hyperlink" Target="mailto:1234ceciliagomez@gmail.com" TargetMode="External"/><Relationship Id="rId4" Type="http://schemas.openxmlformats.org/officeDocument/2006/relationships/hyperlink" Target="mailto:delgadobravoluna@gmail.com" TargetMode="External"/><Relationship Id="rId180" Type="http://schemas.openxmlformats.org/officeDocument/2006/relationships/hyperlink" Target="mailto:germaniabravom@gmail.com" TargetMode="External"/><Relationship Id="rId215" Type="http://schemas.openxmlformats.org/officeDocument/2006/relationships/hyperlink" Target="mailto:CABEZONAMARILLO06@GMAIL.COM" TargetMode="External"/><Relationship Id="rId236" Type="http://schemas.openxmlformats.org/officeDocument/2006/relationships/hyperlink" Target="mailto:melissa281968@gmail.com" TargetMode="External"/><Relationship Id="rId257" Type="http://schemas.openxmlformats.org/officeDocument/2006/relationships/hyperlink" Target="mailto:florsanbas@gmail.com" TargetMode="External"/><Relationship Id="rId278" Type="http://schemas.openxmlformats.org/officeDocument/2006/relationships/hyperlink" Target="mailto:marisel_al@hotmail.com" TargetMode="External"/><Relationship Id="rId303" Type="http://schemas.openxmlformats.org/officeDocument/2006/relationships/hyperlink" Target="mailto:galy_duran@gmail.com" TargetMode="External"/><Relationship Id="rId42" Type="http://schemas.openxmlformats.org/officeDocument/2006/relationships/hyperlink" Target="mailto:wcornejo843@gmail.com" TargetMode="External"/><Relationship Id="rId84" Type="http://schemas.openxmlformats.org/officeDocument/2006/relationships/hyperlink" Target="mailto:Madelaineramirez.1@gmail.com" TargetMode="External"/><Relationship Id="rId138" Type="http://schemas.openxmlformats.org/officeDocument/2006/relationships/hyperlink" Target="mailto:lorenasilva.urbina@gmail.com" TargetMode="External"/><Relationship Id="rId345" Type="http://schemas.openxmlformats.org/officeDocument/2006/relationships/hyperlink" Target="mailto:fabiola.gros@gmail.com" TargetMode="External"/><Relationship Id="rId191" Type="http://schemas.openxmlformats.org/officeDocument/2006/relationships/hyperlink" Target="about:blank" TargetMode="External"/><Relationship Id="rId205" Type="http://schemas.openxmlformats.org/officeDocument/2006/relationships/hyperlink" Target="mailto:mjuliagueja22@gmail.com" TargetMode="External"/><Relationship Id="rId247" Type="http://schemas.openxmlformats.org/officeDocument/2006/relationships/hyperlink" Target="http://mail.com/" TargetMode="External"/><Relationship Id="rId107" Type="http://schemas.openxmlformats.org/officeDocument/2006/relationships/hyperlink" Target="mailto:Edith1284@hotamail.com" TargetMode="External"/><Relationship Id="rId289" Type="http://schemas.openxmlformats.org/officeDocument/2006/relationships/hyperlink" Target="mailto:mancillacardenasmariaestela@gmail.com" TargetMode="External"/><Relationship Id="rId11" Type="http://schemas.openxmlformats.org/officeDocument/2006/relationships/hyperlink" Target="mailto:Benerisa2018@gmail.com" TargetMode="External"/><Relationship Id="rId53" Type="http://schemas.openxmlformats.org/officeDocument/2006/relationships/hyperlink" Target="mailto:teresruiz@gmail.com" TargetMode="External"/><Relationship Id="rId149" Type="http://schemas.openxmlformats.org/officeDocument/2006/relationships/hyperlink" Target="mailto:toninapoblete@gmail.com" TargetMode="External"/><Relationship Id="rId314" Type="http://schemas.openxmlformats.org/officeDocument/2006/relationships/hyperlink" Target="mailto:cata.garciagonzalez0927@gmail.com" TargetMode="External"/><Relationship Id="rId356" Type="http://schemas.openxmlformats.org/officeDocument/2006/relationships/hyperlink" Target="mailto:mogecaso@gmail.com" TargetMode="External"/><Relationship Id="rId95" Type="http://schemas.openxmlformats.org/officeDocument/2006/relationships/hyperlink" Target="mailto:Catagomezh00@gmail.com" TargetMode="External"/><Relationship Id="rId160" Type="http://schemas.openxmlformats.org/officeDocument/2006/relationships/hyperlink" Target="mailto:Elsa.migueles@gmail.com" TargetMode="External"/><Relationship Id="rId216" Type="http://schemas.openxmlformats.org/officeDocument/2006/relationships/hyperlink" Target="mailto:ANAVIDAL@GMAIL.COM" TargetMode="External"/><Relationship Id="rId258" Type="http://schemas.openxmlformats.org/officeDocument/2006/relationships/hyperlink" Target="mailto:isolinaore@gmail.com" TargetMode="External"/><Relationship Id="rId22" Type="http://schemas.openxmlformats.org/officeDocument/2006/relationships/hyperlink" Target="http://mail.com/" TargetMode="External"/><Relationship Id="rId64" Type="http://schemas.openxmlformats.org/officeDocument/2006/relationships/hyperlink" Target="mailto:narcilag@hotmail.com" TargetMode="External"/><Relationship Id="rId118" Type="http://schemas.openxmlformats.org/officeDocument/2006/relationships/hyperlink" Target="mailto:danielcancino159@gmail.com" TargetMode="External"/><Relationship Id="rId325" Type="http://schemas.openxmlformats.org/officeDocument/2006/relationships/hyperlink" Target="mailto:angi_navarr@hotmail.com" TargetMode="External"/><Relationship Id="rId367" Type="http://schemas.openxmlformats.org/officeDocument/2006/relationships/hyperlink" Target="mailto:pablitoramonorellana77@gmail.com" TargetMode="External"/><Relationship Id="rId171" Type="http://schemas.openxmlformats.org/officeDocument/2006/relationships/hyperlink" Target="mailto:felipeandresvalen@gmail.com" TargetMode="External"/><Relationship Id="rId227" Type="http://schemas.openxmlformats.org/officeDocument/2006/relationships/hyperlink" Target="mailto:cristinitatoledo@gmail.com" TargetMode="External"/><Relationship Id="rId269" Type="http://schemas.openxmlformats.org/officeDocument/2006/relationships/hyperlink" Target="mailto:Claudia.eliana@hotmail.com" TargetMode="External"/><Relationship Id="rId33" Type="http://schemas.openxmlformats.org/officeDocument/2006/relationships/hyperlink" Target="mailto:patricia24herrera.olivares@gmail.com" TargetMode="External"/><Relationship Id="rId129" Type="http://schemas.openxmlformats.org/officeDocument/2006/relationships/hyperlink" Target="mailto:mendozajaracecilia@gmail.com" TargetMode="External"/><Relationship Id="rId280" Type="http://schemas.openxmlformats.org/officeDocument/2006/relationships/hyperlink" Target="mailto:kokamari2@gmail.com" TargetMode="External"/><Relationship Id="rId336" Type="http://schemas.openxmlformats.org/officeDocument/2006/relationships/hyperlink" Target="mailto:carobarriasonia@gmail.com" TargetMode="External"/><Relationship Id="rId75" Type="http://schemas.openxmlformats.org/officeDocument/2006/relationships/hyperlink" Target="mailto:agustin.alvareze@mayor.cl" TargetMode="External"/><Relationship Id="rId140" Type="http://schemas.openxmlformats.org/officeDocument/2006/relationships/hyperlink" Target="mailto:nachotapiaf99@gmail.com" TargetMode="External"/><Relationship Id="rId182" Type="http://schemas.openxmlformats.org/officeDocument/2006/relationships/hyperlink" Target="mailto:Barbara.csv00@gmail.com" TargetMode="External"/><Relationship Id="rId378" Type="http://schemas.openxmlformats.org/officeDocument/2006/relationships/hyperlink" Target="mailto:lerusiktocopilla@gamil.com" TargetMode="External"/><Relationship Id="rId6" Type="http://schemas.openxmlformats.org/officeDocument/2006/relationships/hyperlink" Target="mailto:erny335@gmail.com" TargetMode="External"/><Relationship Id="rId238" Type="http://schemas.openxmlformats.org/officeDocument/2006/relationships/hyperlink" Target="mailto:Juanchoagosto02@gmail.com" TargetMode="External"/><Relationship Id="rId291" Type="http://schemas.openxmlformats.org/officeDocument/2006/relationships/hyperlink" Target="mailto:oyarzomirna@gmail.com" TargetMode="External"/><Relationship Id="rId305" Type="http://schemas.openxmlformats.org/officeDocument/2006/relationships/hyperlink" Target="about:blank" TargetMode="External"/><Relationship Id="rId347" Type="http://schemas.openxmlformats.org/officeDocument/2006/relationships/hyperlink" Target="mailto:tamycamusl@gmail.com" TargetMode="External"/><Relationship Id="rId44" Type="http://schemas.openxmlformats.org/officeDocument/2006/relationships/hyperlink" Target="mailto:rojascarmenxa@gmail.com" TargetMode="External"/><Relationship Id="rId86" Type="http://schemas.openxmlformats.org/officeDocument/2006/relationships/hyperlink" Target="mailto:leslietorresc@gmail.com" TargetMode="External"/><Relationship Id="rId151" Type="http://schemas.openxmlformats.org/officeDocument/2006/relationships/hyperlink" Target="mailto:Isa.contardo@hotmail.com" TargetMode="External"/><Relationship Id="rId193" Type="http://schemas.openxmlformats.org/officeDocument/2006/relationships/hyperlink" Target="mailto:Aidg8@hotmail.com" TargetMode="External"/><Relationship Id="rId207" Type="http://schemas.openxmlformats.org/officeDocument/2006/relationships/hyperlink" Target="mailto:LUNI3009@GMAIL.COM" TargetMode="External"/><Relationship Id="rId249" Type="http://schemas.openxmlformats.org/officeDocument/2006/relationships/hyperlink" Target="http://gmail.com/" TargetMode="External"/><Relationship Id="rId13" Type="http://schemas.openxmlformats.org/officeDocument/2006/relationships/hyperlink" Target="mailto:soledadcontrerast@gmail.com" TargetMode="External"/><Relationship Id="rId109" Type="http://schemas.openxmlformats.org/officeDocument/2006/relationships/hyperlink" Target="mailto:P14luceerina@live.cl" TargetMode="External"/><Relationship Id="rId260" Type="http://schemas.openxmlformats.org/officeDocument/2006/relationships/hyperlink" Target="mailto:carito33.valderrama1184@gmail.com" TargetMode="External"/><Relationship Id="rId316" Type="http://schemas.openxmlformats.org/officeDocument/2006/relationships/hyperlink" Target="mailto:blanquita@hotmail.com" TargetMode="External"/><Relationship Id="rId55" Type="http://schemas.openxmlformats.org/officeDocument/2006/relationships/hyperlink" Target="mailto:Sandra.marcelam4@gmail.com" TargetMode="External"/><Relationship Id="rId97" Type="http://schemas.openxmlformats.org/officeDocument/2006/relationships/hyperlink" Target="mailto:Patriciabriones199@gmail.com" TargetMode="External"/><Relationship Id="rId120" Type="http://schemas.openxmlformats.org/officeDocument/2006/relationships/hyperlink" Target="mailto:1301malvi@gmail.com" TargetMode="External"/><Relationship Id="rId358" Type="http://schemas.openxmlformats.org/officeDocument/2006/relationships/hyperlink" Target="mailto:navarrovalenzuela@gmail.com" TargetMode="External"/><Relationship Id="rId162" Type="http://schemas.openxmlformats.org/officeDocument/2006/relationships/hyperlink" Target="http://sconchajgmail.com/" TargetMode="External"/><Relationship Id="rId218" Type="http://schemas.openxmlformats.org/officeDocument/2006/relationships/hyperlink" Target="mailto:jeaninesotodiaz@gmail.com" TargetMode="External"/><Relationship Id="rId271" Type="http://schemas.openxmlformats.org/officeDocument/2006/relationships/hyperlink" Target="mailto:manar.sellami.a@gmail.com" TargetMode="External"/><Relationship Id="rId24" Type="http://schemas.openxmlformats.org/officeDocument/2006/relationships/hyperlink" Target="http://gmail.com/" TargetMode="External"/><Relationship Id="rId66" Type="http://schemas.openxmlformats.org/officeDocument/2006/relationships/hyperlink" Target="http://mariquenappqgmail.com/" TargetMode="External"/><Relationship Id="rId131" Type="http://schemas.openxmlformats.org/officeDocument/2006/relationships/hyperlink" Target="mailto:maria.isabel.munozmeneses1963@gmail.com" TargetMode="External"/><Relationship Id="rId327" Type="http://schemas.openxmlformats.org/officeDocument/2006/relationships/hyperlink" Target="mailto:samuel.ortegavalenzuela@gmail.com" TargetMode="External"/><Relationship Id="rId369" Type="http://schemas.openxmlformats.org/officeDocument/2006/relationships/hyperlink" Target="mailto:vladimir.pasteni@cormudesi.cl" TargetMode="External"/><Relationship Id="rId173" Type="http://schemas.openxmlformats.org/officeDocument/2006/relationships/hyperlink" Target="mailto:Sebastianmarmota26@gmail.com" TargetMode="External"/><Relationship Id="rId229" Type="http://schemas.openxmlformats.org/officeDocument/2006/relationships/hyperlink" Target="mailto:Choquea522@gmail.com" TargetMode="External"/><Relationship Id="rId380" Type="http://schemas.openxmlformats.org/officeDocument/2006/relationships/hyperlink" Target="mailto:Emilyyy2004.ea39@gmail.com" TargetMode="External"/><Relationship Id="rId240" Type="http://schemas.openxmlformats.org/officeDocument/2006/relationships/hyperlink" Target="mailto:Micrumar060@hotmail.com" TargetMode="External"/><Relationship Id="rId35" Type="http://schemas.openxmlformats.org/officeDocument/2006/relationships/hyperlink" Target="mailto:kit0894g@gmail.com" TargetMode="External"/><Relationship Id="rId77" Type="http://schemas.openxmlformats.org/officeDocument/2006/relationships/hyperlink" Target="mailto:benjastevealexis@gmail.com" TargetMode="External"/><Relationship Id="rId100" Type="http://schemas.openxmlformats.org/officeDocument/2006/relationships/hyperlink" Target="mailto:Yolanda.Gonzalez.reyes@gmail.com" TargetMode="External"/><Relationship Id="rId282" Type="http://schemas.openxmlformats.org/officeDocument/2006/relationships/hyperlink" Target="mailto:nruz4159@gmail.com" TargetMode="External"/><Relationship Id="rId338" Type="http://schemas.openxmlformats.org/officeDocument/2006/relationships/hyperlink" Target="mailto:mamijennie@hotmail.com" TargetMode="External"/><Relationship Id="rId8" Type="http://schemas.openxmlformats.org/officeDocument/2006/relationships/hyperlink" Target="mailto:ositapanda1962@gmail.com" TargetMode="External"/><Relationship Id="rId142" Type="http://schemas.openxmlformats.org/officeDocument/2006/relationships/hyperlink" Target="mailto:flokorazon444@gmail.com" TargetMode="External"/><Relationship Id="rId184" Type="http://schemas.openxmlformats.org/officeDocument/2006/relationships/hyperlink" Target="mailto:jemperatrizpereira@gmail.com" TargetMode="External"/><Relationship Id="rId251" Type="http://schemas.openxmlformats.org/officeDocument/2006/relationships/hyperlink" Target="mailto:c.ami1998@live.cl" TargetMode="External"/><Relationship Id="rId46" Type="http://schemas.openxmlformats.org/officeDocument/2006/relationships/hyperlink" Target="mailto:ximenaguerra.serrano@gmail.com" TargetMode="External"/><Relationship Id="rId293" Type="http://schemas.openxmlformats.org/officeDocument/2006/relationships/hyperlink" Target="mailto:Leontinapena220@gmail.com" TargetMode="External"/><Relationship Id="rId307" Type="http://schemas.openxmlformats.org/officeDocument/2006/relationships/hyperlink" Target="mailto:olgaastudillo@gmail.com" TargetMode="External"/><Relationship Id="rId349" Type="http://schemas.openxmlformats.org/officeDocument/2006/relationships/hyperlink" Target="mailto:selmalorca@gmail.com" TargetMode="External"/><Relationship Id="rId88" Type="http://schemas.openxmlformats.org/officeDocument/2006/relationships/hyperlink" Target="mailto:carmencanalestorres@gmail.com" TargetMode="External"/><Relationship Id="rId111" Type="http://schemas.openxmlformats.org/officeDocument/2006/relationships/hyperlink" Target="mailto:danielcancino159@gmail.com" TargetMode="External"/><Relationship Id="rId153" Type="http://schemas.openxmlformats.org/officeDocument/2006/relationships/hyperlink" Target="mailto:fernandagah2@gmail.com" TargetMode="External"/><Relationship Id="rId195" Type="http://schemas.openxmlformats.org/officeDocument/2006/relationships/hyperlink" Target="mailto:Mariaangelicapino60@gmail.com" TargetMode="External"/><Relationship Id="rId209" Type="http://schemas.openxmlformats.org/officeDocument/2006/relationships/hyperlink" Target="mailto:MESTASMEDINA@GMAIL.COM" TargetMode="External"/><Relationship Id="rId360" Type="http://schemas.openxmlformats.org/officeDocument/2006/relationships/hyperlink" Target="mailto:jsgomezfoix@gmail.com" TargetMode="External"/><Relationship Id="rId220" Type="http://schemas.openxmlformats.org/officeDocument/2006/relationships/hyperlink" Target="mailto:Regional.decima@cruzroja.cl" TargetMode="External"/><Relationship Id="rId15" Type="http://schemas.openxmlformats.org/officeDocument/2006/relationships/hyperlink" Target="mailto:fcidzapata@gmail.com" TargetMode="External"/><Relationship Id="rId57" Type="http://schemas.openxmlformats.org/officeDocument/2006/relationships/hyperlink" Target="mailto:barahonasalgadoveronica@gmail.com" TargetMode="External"/><Relationship Id="rId262" Type="http://schemas.openxmlformats.org/officeDocument/2006/relationships/hyperlink" Target="mailto:elizabethvergaragonzalez1@gmail.com" TargetMode="External"/><Relationship Id="rId318" Type="http://schemas.openxmlformats.org/officeDocument/2006/relationships/hyperlink" Target="mailto:jomygonzalez1979@gmail.com" TargetMode="External"/><Relationship Id="rId99" Type="http://schemas.openxmlformats.org/officeDocument/2006/relationships/hyperlink" Target="mailto:Mr.moncadav@gmail.com" TargetMode="External"/><Relationship Id="rId122" Type="http://schemas.openxmlformats.org/officeDocument/2006/relationships/hyperlink" Target="mailto:maritza.hidalgo.vega@gmail.com" TargetMode="External"/><Relationship Id="rId164" Type="http://schemas.openxmlformats.org/officeDocument/2006/relationships/hyperlink" Target="mailto:antonelapabonsia@gmail.com" TargetMode="External"/><Relationship Id="rId371" Type="http://schemas.openxmlformats.org/officeDocument/2006/relationships/hyperlink" Target="mailto:silviaester55@hotmail.cl" TargetMode="External"/><Relationship Id="rId26" Type="http://schemas.openxmlformats.org/officeDocument/2006/relationships/hyperlink" Target="mailto:nashyjaz@gmail.com" TargetMode="External"/><Relationship Id="rId231" Type="http://schemas.openxmlformats.org/officeDocument/2006/relationships/hyperlink" Target="mailto:Gorgette1116@gmail.com" TargetMode="External"/><Relationship Id="rId273" Type="http://schemas.openxmlformats.org/officeDocument/2006/relationships/hyperlink" Target="mailto:cortesia277@gmail.com" TargetMode="External"/><Relationship Id="rId329"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p/DBpeTYUgLeN/?img_index=1&amp;igsh=c2tyOXM2bGp0ZGN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regional.novena@cruzroja.cl" TargetMode="External"/><Relationship Id="rId3" Type="http://schemas.openxmlformats.org/officeDocument/2006/relationships/hyperlink" Target="mailto:regional.tercera@cruzroja.cl" TargetMode="External"/><Relationship Id="rId7" Type="http://schemas.openxmlformats.org/officeDocument/2006/relationships/hyperlink" Target="mailto:regional.octava@cruzroja.cl" TargetMode="External"/><Relationship Id="rId2" Type="http://schemas.openxmlformats.org/officeDocument/2006/relationships/hyperlink" Target="mailto:regional.segunda@cruzroja.cl" TargetMode="External"/><Relationship Id="rId1" Type="http://schemas.openxmlformats.org/officeDocument/2006/relationships/hyperlink" Target="mailto:regional.primera@cruzroja.cl" TargetMode="External"/><Relationship Id="rId6" Type="http://schemas.openxmlformats.org/officeDocument/2006/relationships/hyperlink" Target="mailto:regional.septima@cruzroja.cl" TargetMode="External"/><Relationship Id="rId11" Type="http://schemas.openxmlformats.org/officeDocument/2006/relationships/hyperlink" Target="mailto:regional.duodecima@cruzroja.cl" TargetMode="External"/><Relationship Id="rId5" Type="http://schemas.openxmlformats.org/officeDocument/2006/relationships/hyperlink" Target="mailto:regional.sexta@cruzroja.cl" TargetMode="External"/><Relationship Id="rId10" Type="http://schemas.openxmlformats.org/officeDocument/2006/relationships/hyperlink" Target="mailto:regional.decima@cruzroja.cl" TargetMode="External"/><Relationship Id="rId4" Type="http://schemas.openxmlformats.org/officeDocument/2006/relationships/hyperlink" Target="mailto:regional.quinta@cruzroja.cl" TargetMode="External"/><Relationship Id="rId9" Type="http://schemas.openxmlformats.org/officeDocument/2006/relationships/hyperlink" Target="mailto:regional.losrios@cruzroja.c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AM3100"/>
  <sheetViews>
    <sheetView tabSelected="1" workbookViewId="0">
      <pane ySplit="1" topLeftCell="A8" activePane="bottomLeft" state="frozen"/>
      <selection pane="bottomLeft" activeCell="D2596" sqref="D2596"/>
    </sheetView>
  </sheetViews>
  <sheetFormatPr baseColWidth="10" defaultColWidth="12.5703125" defaultRowHeight="15.75" customHeight="1"/>
  <cols>
    <col min="1" max="1" width="4.42578125" style="92" customWidth="1"/>
    <col min="2" max="2" width="17.5703125" style="113" customWidth="1"/>
    <col min="3" max="3" width="15.85546875" style="92" customWidth="1"/>
    <col min="4" max="4" width="21.140625" style="106" customWidth="1"/>
    <col min="5" max="5" width="20.42578125" style="106" customWidth="1"/>
    <col min="6" max="6" width="14" style="92" customWidth="1"/>
    <col min="7" max="7" width="16.140625" style="103" bestFit="1" customWidth="1"/>
    <col min="8" max="8" width="16.42578125" style="103" customWidth="1"/>
    <col min="9" max="9" width="18.42578125" style="94" customWidth="1"/>
    <col min="10" max="10" width="11.85546875" style="94" customWidth="1"/>
    <col min="11" max="11" width="12.5703125" style="92"/>
    <col min="12" max="12" width="12.42578125" style="92" customWidth="1"/>
    <col min="13" max="13" width="8.140625" style="92" customWidth="1"/>
    <col min="14" max="14" width="9.85546875" style="92" customWidth="1"/>
    <col min="15" max="15" width="8.42578125" style="92" customWidth="1"/>
    <col min="16" max="16" width="8.5703125" style="92" customWidth="1"/>
    <col min="17" max="17" width="10.42578125" style="92" customWidth="1"/>
    <col min="18" max="18" width="11.85546875" style="92" customWidth="1"/>
    <col min="19" max="19" width="7.5703125" style="92" customWidth="1"/>
    <col min="20" max="20" width="8.5703125" style="92" customWidth="1"/>
    <col min="21" max="21" width="9.28515625" style="92" customWidth="1"/>
    <col min="22" max="22" width="8.85546875" style="92" customWidth="1"/>
    <col min="23" max="23" width="8.7109375" style="92" customWidth="1"/>
    <col min="24" max="24" width="9.7109375" style="92" customWidth="1"/>
    <col min="25" max="25" width="8.28515625" style="92" customWidth="1"/>
    <col min="26" max="39" width="8.140625" style="92" customWidth="1"/>
    <col min="40" max="16384" width="12.5703125" style="92"/>
  </cols>
  <sheetData>
    <row r="1" spans="1:39" ht="51.75" customHeight="1">
      <c r="A1" s="82" t="s">
        <v>0</v>
      </c>
      <c r="B1" s="83" t="s">
        <v>1</v>
      </c>
      <c r="C1" s="84" t="s">
        <v>2</v>
      </c>
      <c r="D1" s="85" t="s">
        <v>3</v>
      </c>
      <c r="E1" s="85" t="s">
        <v>4</v>
      </c>
      <c r="F1" s="84" t="s">
        <v>5</v>
      </c>
      <c r="G1" s="86" t="s">
        <v>12287</v>
      </c>
      <c r="H1" s="86" t="s">
        <v>12288</v>
      </c>
      <c r="I1" s="85" t="s">
        <v>12707</v>
      </c>
      <c r="J1" s="85" t="s">
        <v>6</v>
      </c>
      <c r="K1" s="84" t="s">
        <v>7</v>
      </c>
      <c r="L1" s="84" t="s">
        <v>8</v>
      </c>
      <c r="M1" s="84" t="s">
        <v>9</v>
      </c>
      <c r="N1" s="87" t="s">
        <v>10</v>
      </c>
      <c r="O1" s="84" t="s">
        <v>11</v>
      </c>
      <c r="P1" s="84" t="s">
        <v>12</v>
      </c>
      <c r="Q1" s="84" t="s">
        <v>13</v>
      </c>
      <c r="R1" s="84" t="s">
        <v>14</v>
      </c>
      <c r="S1" s="84" t="s">
        <v>15</v>
      </c>
      <c r="T1" s="88" t="s">
        <v>16</v>
      </c>
      <c r="U1" s="88" t="s">
        <v>17</v>
      </c>
      <c r="V1" s="88" t="s">
        <v>18</v>
      </c>
      <c r="W1" s="88" t="s">
        <v>19</v>
      </c>
      <c r="X1" s="88" t="s">
        <v>20</v>
      </c>
      <c r="Y1" s="88" t="s">
        <v>21</v>
      </c>
      <c r="Z1" s="89" t="s">
        <v>22</v>
      </c>
      <c r="AA1" s="88" t="s">
        <v>23</v>
      </c>
      <c r="AB1" s="88" t="s">
        <v>24</v>
      </c>
      <c r="AC1" s="88" t="s">
        <v>25</v>
      </c>
      <c r="AD1" s="89" t="s">
        <v>26</v>
      </c>
      <c r="AE1" s="89" t="s">
        <v>27</v>
      </c>
      <c r="AF1" s="88" t="s">
        <v>28</v>
      </c>
      <c r="AG1" s="90" t="s">
        <v>29</v>
      </c>
      <c r="AH1" s="90" t="s">
        <v>30</v>
      </c>
      <c r="AI1" s="90" t="s">
        <v>31</v>
      </c>
      <c r="AJ1" s="90" t="s">
        <v>32</v>
      </c>
      <c r="AK1" s="90" t="s">
        <v>33</v>
      </c>
      <c r="AL1" s="90" t="s">
        <v>34</v>
      </c>
      <c r="AM1" s="91"/>
    </row>
    <row r="2" spans="1:39" ht="20.25" hidden="1" customHeight="1">
      <c r="A2" s="91"/>
      <c r="B2" s="133" t="s">
        <v>35</v>
      </c>
      <c r="C2" s="91" t="s">
        <v>36</v>
      </c>
      <c r="D2" s="94" t="s">
        <v>37</v>
      </c>
      <c r="E2" s="94" t="s">
        <v>38</v>
      </c>
      <c r="F2" s="95" t="s">
        <v>39</v>
      </c>
      <c r="G2" s="96">
        <v>34780</v>
      </c>
      <c r="H2" s="97">
        <v>21495</v>
      </c>
      <c r="I2" s="94" t="s">
        <v>40</v>
      </c>
      <c r="J2" s="94" t="s">
        <v>41</v>
      </c>
      <c r="K2" s="95">
        <v>991413562</v>
      </c>
      <c r="L2" s="91" t="s">
        <v>42</v>
      </c>
      <c r="M2" s="98">
        <f t="shared" ref="M2:M33" ca="1" si="0">(TODAY()-H2)/365</f>
        <v>67.142465753424659</v>
      </c>
      <c r="N2" s="99">
        <f t="shared" ref="N2:N33" si="1">(G2-H2)/365</f>
        <v>36.397260273972606</v>
      </c>
      <c r="O2" s="98">
        <f t="shared" ref="O2:O65" ca="1" si="2">(TODAY()-G2)/365</f>
        <v>30.745205479452054</v>
      </c>
      <c r="P2" s="91" t="s">
        <v>43</v>
      </c>
      <c r="Q2" s="91">
        <v>0</v>
      </c>
      <c r="R2" s="91">
        <v>0</v>
      </c>
      <c r="S2" s="91">
        <v>0</v>
      </c>
      <c r="T2" s="91"/>
      <c r="U2" s="91"/>
      <c r="V2" s="91"/>
      <c r="W2" s="91"/>
      <c r="X2" s="91"/>
      <c r="Y2" s="91"/>
      <c r="Z2" s="91"/>
      <c r="AA2" s="91"/>
      <c r="AB2" s="91"/>
      <c r="AC2" s="91"/>
      <c r="AD2" s="91"/>
      <c r="AE2" s="91"/>
      <c r="AF2" s="91"/>
      <c r="AG2" s="91"/>
      <c r="AH2" s="91"/>
      <c r="AI2" s="91"/>
      <c r="AJ2" s="91"/>
      <c r="AK2" s="91"/>
      <c r="AL2" s="91"/>
      <c r="AM2" s="91"/>
    </row>
    <row r="3" spans="1:39" ht="20.25" hidden="1" customHeight="1">
      <c r="A3" s="91"/>
      <c r="B3" s="93" t="s">
        <v>35</v>
      </c>
      <c r="C3" s="91" t="s">
        <v>36</v>
      </c>
      <c r="D3" s="94" t="s">
        <v>44</v>
      </c>
      <c r="E3" s="94" t="s">
        <v>45</v>
      </c>
      <c r="F3" s="95" t="s">
        <v>46</v>
      </c>
      <c r="G3" s="96">
        <v>34836</v>
      </c>
      <c r="H3" s="97">
        <v>20538</v>
      </c>
      <c r="I3" s="94" t="s">
        <v>47</v>
      </c>
      <c r="J3" s="94" t="s">
        <v>48</v>
      </c>
      <c r="K3" s="95">
        <v>946321495</v>
      </c>
      <c r="L3" s="91" t="s">
        <v>49</v>
      </c>
      <c r="M3" s="98">
        <f t="shared" ca="1" si="0"/>
        <v>69.764383561643839</v>
      </c>
      <c r="N3" s="99">
        <f t="shared" si="1"/>
        <v>39.172602739726024</v>
      </c>
      <c r="O3" s="98">
        <f t="shared" ca="1" si="2"/>
        <v>30.591780821917808</v>
      </c>
      <c r="P3" s="91" t="s">
        <v>43</v>
      </c>
      <c r="Q3" s="91">
        <v>0</v>
      </c>
      <c r="R3" s="91">
        <v>0</v>
      </c>
      <c r="S3" s="91">
        <v>0</v>
      </c>
      <c r="T3" s="91"/>
      <c r="U3" s="91"/>
      <c r="V3" s="91"/>
      <c r="W3" s="91"/>
      <c r="X3" s="91"/>
      <c r="Y3" s="91"/>
      <c r="Z3" s="91"/>
      <c r="AA3" s="91"/>
      <c r="AB3" s="91"/>
      <c r="AC3" s="91"/>
      <c r="AD3" s="91"/>
      <c r="AE3" s="91"/>
      <c r="AF3" s="91"/>
      <c r="AG3" s="91"/>
      <c r="AH3" s="91"/>
      <c r="AI3" s="91"/>
      <c r="AJ3" s="91"/>
      <c r="AK3" s="91"/>
      <c r="AL3" s="91"/>
      <c r="AM3" s="91"/>
    </row>
    <row r="4" spans="1:39" ht="20.25" hidden="1" customHeight="1">
      <c r="A4" s="91"/>
      <c r="B4" s="93" t="s">
        <v>35</v>
      </c>
      <c r="C4" s="91" t="s">
        <v>36</v>
      </c>
      <c r="D4" s="94" t="s">
        <v>50</v>
      </c>
      <c r="E4" s="94" t="s">
        <v>51</v>
      </c>
      <c r="F4" s="95" t="s">
        <v>12684</v>
      </c>
      <c r="G4" s="96">
        <v>43390</v>
      </c>
      <c r="H4" s="97">
        <v>27973</v>
      </c>
      <c r="I4" s="94" t="s">
        <v>52</v>
      </c>
      <c r="J4" s="94" t="s">
        <v>53</v>
      </c>
      <c r="K4" s="95">
        <v>979980559</v>
      </c>
      <c r="L4" s="91" t="s">
        <v>54</v>
      </c>
      <c r="M4" s="98">
        <f t="shared" ca="1" si="0"/>
        <v>49.394520547945206</v>
      </c>
      <c r="N4" s="99">
        <f t="shared" si="1"/>
        <v>42.238356164383561</v>
      </c>
      <c r="O4" s="98">
        <f t="shared" ca="1" si="2"/>
        <v>7.1561643835616442</v>
      </c>
      <c r="P4" s="91" t="s">
        <v>43</v>
      </c>
      <c r="Q4" s="91">
        <v>0</v>
      </c>
      <c r="R4" s="91">
        <v>0</v>
      </c>
      <c r="S4" s="91">
        <v>0</v>
      </c>
      <c r="T4" s="91"/>
      <c r="U4" s="91"/>
      <c r="V4" s="91"/>
      <c r="W4" s="91"/>
      <c r="X4" s="91"/>
      <c r="Y4" s="91"/>
      <c r="Z4" s="91"/>
      <c r="AA4" s="91"/>
      <c r="AB4" s="91"/>
      <c r="AC4" s="91"/>
      <c r="AD4" s="91"/>
      <c r="AE4" s="91"/>
      <c r="AF4" s="91"/>
      <c r="AG4" s="91"/>
      <c r="AH4" s="91"/>
      <c r="AI4" s="91"/>
      <c r="AJ4" s="91"/>
      <c r="AK4" s="91"/>
      <c r="AL4" s="91"/>
      <c r="AM4" s="91"/>
    </row>
    <row r="5" spans="1:39" ht="20.25" hidden="1" customHeight="1">
      <c r="A5" s="91"/>
      <c r="B5" s="93" t="s">
        <v>35</v>
      </c>
      <c r="C5" s="91" t="s">
        <v>36</v>
      </c>
      <c r="D5" s="94" t="s">
        <v>55</v>
      </c>
      <c r="E5" s="94" t="s">
        <v>56</v>
      </c>
      <c r="F5" s="95" t="s">
        <v>57</v>
      </c>
      <c r="G5" s="96">
        <v>43390</v>
      </c>
      <c r="H5" s="97">
        <v>27532</v>
      </c>
      <c r="I5" s="94" t="s">
        <v>58</v>
      </c>
      <c r="J5" s="94" t="s">
        <v>59</v>
      </c>
      <c r="K5" s="95">
        <v>953019125</v>
      </c>
      <c r="L5" s="91" t="s">
        <v>60</v>
      </c>
      <c r="M5" s="98">
        <f t="shared" ca="1" si="0"/>
        <v>50.602739726027394</v>
      </c>
      <c r="N5" s="99">
        <f t="shared" si="1"/>
        <v>43.446575342465756</v>
      </c>
      <c r="O5" s="98">
        <f t="shared" ca="1" si="2"/>
        <v>7.1561643835616442</v>
      </c>
      <c r="P5" s="91" t="s">
        <v>43</v>
      </c>
      <c r="Q5" s="91">
        <v>0</v>
      </c>
      <c r="R5" s="91">
        <v>0</v>
      </c>
      <c r="S5" s="91">
        <v>0</v>
      </c>
      <c r="T5" s="91"/>
      <c r="U5" s="91"/>
      <c r="V5" s="91"/>
      <c r="W5" s="91"/>
      <c r="X5" s="91"/>
      <c r="Y5" s="91"/>
      <c r="Z5" s="91"/>
      <c r="AA5" s="91"/>
      <c r="AB5" s="91"/>
      <c r="AC5" s="91"/>
      <c r="AD5" s="91"/>
      <c r="AE5" s="91"/>
      <c r="AF5" s="91"/>
      <c r="AG5" s="91"/>
      <c r="AH5" s="91"/>
      <c r="AI5" s="91"/>
      <c r="AJ5" s="91"/>
      <c r="AK5" s="91"/>
      <c r="AL5" s="91"/>
      <c r="AM5" s="91"/>
    </row>
    <row r="6" spans="1:39" ht="20.25" hidden="1" customHeight="1">
      <c r="A6" s="91"/>
      <c r="B6" s="93" t="s">
        <v>35</v>
      </c>
      <c r="C6" s="91" t="s">
        <v>36</v>
      </c>
      <c r="D6" s="94" t="s">
        <v>61</v>
      </c>
      <c r="E6" s="94" t="s">
        <v>62</v>
      </c>
      <c r="F6" s="95" t="s">
        <v>63</v>
      </c>
      <c r="G6" s="96">
        <v>34801</v>
      </c>
      <c r="H6" s="97">
        <v>16800</v>
      </c>
      <c r="I6" s="94" t="s">
        <v>64</v>
      </c>
      <c r="J6" s="94" t="s">
        <v>65</v>
      </c>
      <c r="K6" s="95">
        <v>947102600</v>
      </c>
      <c r="L6" s="91" t="s">
        <v>66</v>
      </c>
      <c r="M6" s="98">
        <f t="shared" ca="1" si="0"/>
        <v>80.0054794520548</v>
      </c>
      <c r="N6" s="99">
        <f t="shared" si="1"/>
        <v>49.317808219178083</v>
      </c>
      <c r="O6" s="98">
        <f t="shared" ca="1" si="2"/>
        <v>30.687671232876713</v>
      </c>
      <c r="P6" s="91" t="s">
        <v>43</v>
      </c>
      <c r="Q6" s="91">
        <v>0</v>
      </c>
      <c r="R6" s="91">
        <v>0</v>
      </c>
      <c r="S6" s="91">
        <v>0</v>
      </c>
      <c r="T6" s="91"/>
      <c r="U6" s="91"/>
      <c r="V6" s="91"/>
      <c r="W6" s="91"/>
      <c r="X6" s="91"/>
      <c r="Y6" s="91"/>
      <c r="Z6" s="91"/>
      <c r="AA6" s="91"/>
      <c r="AB6" s="91"/>
      <c r="AC6" s="91"/>
      <c r="AD6" s="91"/>
      <c r="AE6" s="91"/>
      <c r="AF6" s="91"/>
      <c r="AG6" s="91"/>
      <c r="AH6" s="91"/>
      <c r="AI6" s="91"/>
      <c r="AJ6" s="91"/>
      <c r="AK6" s="91"/>
      <c r="AL6" s="91"/>
      <c r="AM6" s="91"/>
    </row>
    <row r="7" spans="1:39" ht="20.25" hidden="1" customHeight="1">
      <c r="A7" s="91"/>
      <c r="B7" s="93" t="s">
        <v>35</v>
      </c>
      <c r="C7" s="91" t="s">
        <v>36</v>
      </c>
      <c r="D7" s="94" t="s">
        <v>67</v>
      </c>
      <c r="E7" s="94" t="s">
        <v>68</v>
      </c>
      <c r="F7" s="95" t="s">
        <v>69</v>
      </c>
      <c r="G7" s="96">
        <v>44874</v>
      </c>
      <c r="H7" s="97">
        <v>19787</v>
      </c>
      <c r="I7" s="94" t="s">
        <v>70</v>
      </c>
      <c r="J7" s="94" t="s">
        <v>71</v>
      </c>
      <c r="K7" s="95">
        <v>996174648</v>
      </c>
      <c r="L7" s="91" t="s">
        <v>72</v>
      </c>
      <c r="M7" s="98">
        <f t="shared" ca="1" si="0"/>
        <v>71.821917808219183</v>
      </c>
      <c r="N7" s="99">
        <f t="shared" si="1"/>
        <v>68.731506849315068</v>
      </c>
      <c r="O7" s="98">
        <f t="shared" ca="1" si="2"/>
        <v>3.0904109589041098</v>
      </c>
      <c r="P7" s="91" t="s">
        <v>43</v>
      </c>
      <c r="Q7" s="91">
        <v>0</v>
      </c>
      <c r="R7" s="91">
        <v>0</v>
      </c>
      <c r="S7" s="91">
        <v>0</v>
      </c>
      <c r="T7" s="91"/>
      <c r="U7" s="91"/>
      <c r="V7" s="91"/>
      <c r="W7" s="91"/>
      <c r="X7" s="91"/>
      <c r="Y7" s="91"/>
      <c r="Z7" s="91"/>
      <c r="AA7" s="91"/>
      <c r="AB7" s="91"/>
      <c r="AC7" s="91"/>
      <c r="AD7" s="91"/>
      <c r="AE7" s="91"/>
      <c r="AF7" s="91"/>
      <c r="AG7" s="91"/>
      <c r="AH7" s="91"/>
      <c r="AI7" s="91"/>
      <c r="AJ7" s="91"/>
      <c r="AK7" s="91"/>
      <c r="AL7" s="91"/>
      <c r="AM7" s="91"/>
    </row>
    <row r="8" spans="1:39" ht="20.25" customHeight="1">
      <c r="A8" s="91"/>
      <c r="B8" s="93" t="s">
        <v>2663</v>
      </c>
      <c r="C8" s="91" t="s">
        <v>73</v>
      </c>
      <c r="D8" s="94" t="s">
        <v>265</v>
      </c>
      <c r="E8" s="94" t="s">
        <v>2664</v>
      </c>
      <c r="F8" s="95" t="s">
        <v>2665</v>
      </c>
      <c r="G8" s="96">
        <v>45366</v>
      </c>
      <c r="H8" s="97">
        <v>40034</v>
      </c>
      <c r="I8" s="94" t="s">
        <v>2666</v>
      </c>
      <c r="J8" s="94" t="s">
        <v>58</v>
      </c>
      <c r="K8" s="95" t="s">
        <v>58</v>
      </c>
      <c r="L8" s="91" t="s">
        <v>60</v>
      </c>
      <c r="M8" s="98">
        <f ca="1">(TODAY()-H8)/365</f>
        <v>16.350684931506848</v>
      </c>
      <c r="N8" s="99">
        <f>(G8-H8)/365</f>
        <v>14.608219178082193</v>
      </c>
      <c r="O8" s="98">
        <f ca="1">(TODAY()-G8)/365</f>
        <v>1.7424657534246575</v>
      </c>
      <c r="P8" s="91" t="s">
        <v>43</v>
      </c>
      <c r="Q8" s="91">
        <v>0</v>
      </c>
      <c r="R8" s="91">
        <v>0</v>
      </c>
      <c r="S8" s="91">
        <v>0</v>
      </c>
      <c r="T8" s="91"/>
      <c r="U8" s="91"/>
      <c r="V8" s="91"/>
      <c r="W8" s="91"/>
      <c r="X8" s="91"/>
      <c r="Y8" s="91"/>
      <c r="Z8" s="91"/>
      <c r="AA8" s="91"/>
      <c r="AB8" s="91"/>
      <c r="AC8" s="91"/>
      <c r="AD8" s="91"/>
      <c r="AE8" s="91"/>
      <c r="AF8" s="91"/>
      <c r="AG8" s="91"/>
      <c r="AH8" s="91"/>
      <c r="AI8" s="91"/>
      <c r="AJ8" s="91"/>
      <c r="AK8" s="91"/>
      <c r="AL8" s="91"/>
      <c r="AM8" s="91"/>
    </row>
    <row r="9" spans="1:39" ht="20.25" hidden="1" customHeight="1">
      <c r="A9" s="128"/>
      <c r="B9" s="133" t="s">
        <v>11240</v>
      </c>
      <c r="C9" s="91" t="s">
        <v>36</v>
      </c>
      <c r="D9" s="106" t="s">
        <v>416</v>
      </c>
      <c r="E9" s="106" t="s">
        <v>11241</v>
      </c>
      <c r="F9" s="92" t="s">
        <v>11242</v>
      </c>
      <c r="G9" s="103">
        <v>43466</v>
      </c>
      <c r="H9" s="103">
        <v>26239</v>
      </c>
      <c r="I9" s="94" t="s">
        <v>58</v>
      </c>
      <c r="J9" s="94" t="s">
        <v>11243</v>
      </c>
      <c r="K9" s="92">
        <v>942787221</v>
      </c>
      <c r="L9" s="91"/>
      <c r="M9" s="98">
        <f ca="1">(TODAY()-H9)/365</f>
        <v>54.145205479452052</v>
      </c>
      <c r="N9" s="99">
        <f>(G9-H9)/365</f>
        <v>47.197260273972603</v>
      </c>
      <c r="O9" s="98">
        <f ca="1">(TODAY()-G9)/365</f>
        <v>6.9479452054794519</v>
      </c>
      <c r="P9" s="91" t="s">
        <v>43</v>
      </c>
      <c r="Q9" s="91"/>
      <c r="R9" s="91"/>
      <c r="S9" s="91"/>
      <c r="T9" s="91"/>
      <c r="U9" s="91"/>
      <c r="V9" s="91"/>
      <c r="W9" s="91"/>
      <c r="X9" s="91"/>
      <c r="Y9" s="91"/>
      <c r="Z9" s="91"/>
      <c r="AA9" s="91"/>
      <c r="AB9" s="91"/>
      <c r="AC9" s="91"/>
      <c r="AD9" s="91"/>
      <c r="AE9" s="91"/>
      <c r="AF9" s="91"/>
      <c r="AG9" s="91"/>
      <c r="AH9" s="91"/>
      <c r="AI9" s="91"/>
      <c r="AJ9" s="91"/>
      <c r="AK9" s="91"/>
      <c r="AL9" s="91"/>
      <c r="AM9" s="91"/>
    </row>
    <row r="10" spans="1:39" ht="20.25" hidden="1" customHeight="1">
      <c r="A10" s="128"/>
      <c r="B10" s="93" t="s">
        <v>11240</v>
      </c>
      <c r="C10" s="91" t="s">
        <v>36</v>
      </c>
      <c r="D10" s="106" t="s">
        <v>6915</v>
      </c>
      <c r="E10" s="106" t="s">
        <v>4584</v>
      </c>
      <c r="F10" s="92" t="s">
        <v>11244</v>
      </c>
      <c r="G10" s="103">
        <v>39448</v>
      </c>
      <c r="H10" s="103">
        <v>35633</v>
      </c>
      <c r="I10" s="94" t="s">
        <v>58</v>
      </c>
      <c r="J10" s="94" t="s">
        <v>11243</v>
      </c>
      <c r="K10" s="92">
        <v>965016697</v>
      </c>
      <c r="L10" s="91"/>
      <c r="M10" s="98">
        <f ca="1">(TODAY()-H10)/365</f>
        <v>28.408219178082192</v>
      </c>
      <c r="N10" s="99">
        <f>(G10-H10)/365</f>
        <v>10.452054794520548</v>
      </c>
      <c r="O10" s="98">
        <f ca="1">(TODAY()-G10)/365</f>
        <v>17.956164383561642</v>
      </c>
      <c r="P10" s="91" t="s">
        <v>43</v>
      </c>
      <c r="Q10" s="91"/>
      <c r="R10" s="91"/>
      <c r="S10" s="91"/>
      <c r="T10" s="91"/>
      <c r="U10" s="91"/>
      <c r="V10" s="91"/>
      <c r="W10" s="91"/>
      <c r="X10" s="91"/>
      <c r="Y10" s="91"/>
      <c r="Z10" s="91"/>
      <c r="AA10" s="91"/>
      <c r="AB10" s="91"/>
      <c r="AC10" s="91"/>
      <c r="AD10" s="91"/>
      <c r="AE10" s="91"/>
      <c r="AF10" s="91"/>
      <c r="AG10" s="91"/>
      <c r="AH10" s="91"/>
      <c r="AI10" s="91"/>
      <c r="AJ10" s="91"/>
      <c r="AK10" s="91"/>
      <c r="AL10" s="91"/>
      <c r="AM10" s="91"/>
    </row>
    <row r="11" spans="1:39" ht="20.25" hidden="1" customHeight="1">
      <c r="A11" s="128"/>
      <c r="B11" s="93" t="s">
        <v>11240</v>
      </c>
      <c r="C11" s="91" t="s">
        <v>36</v>
      </c>
      <c r="D11" s="106" t="s">
        <v>6536</v>
      </c>
      <c r="E11" s="106" t="s">
        <v>11245</v>
      </c>
      <c r="F11" s="92" t="s">
        <v>11246</v>
      </c>
      <c r="G11" s="103">
        <v>43101</v>
      </c>
      <c r="H11" s="103">
        <v>23030</v>
      </c>
      <c r="I11" s="94" t="s">
        <v>58</v>
      </c>
      <c r="J11" s="94" t="s">
        <v>11243</v>
      </c>
      <c r="K11" s="92">
        <v>987602052</v>
      </c>
      <c r="L11" s="91"/>
      <c r="M11" s="98">
        <f ca="1">(TODAY()-H11)/365</f>
        <v>62.936986301369863</v>
      </c>
      <c r="N11" s="99">
        <f>(G11-H11)/365</f>
        <v>54.989041095890414</v>
      </c>
      <c r="O11" s="98">
        <f ca="1">(TODAY()-G11)/365</f>
        <v>7.9479452054794519</v>
      </c>
      <c r="P11" s="91" t="s">
        <v>43</v>
      </c>
      <c r="Q11" s="91"/>
      <c r="R11" s="91"/>
      <c r="S11" s="91"/>
      <c r="T11" s="91"/>
      <c r="U11" s="91"/>
      <c r="V11" s="91"/>
      <c r="W11" s="91"/>
      <c r="X11" s="91"/>
      <c r="Y11" s="91"/>
      <c r="Z11" s="91"/>
      <c r="AA11" s="91"/>
      <c r="AB11" s="91"/>
      <c r="AC11" s="91"/>
      <c r="AD11" s="91"/>
      <c r="AE11" s="91"/>
      <c r="AF11" s="91"/>
      <c r="AG11" s="91"/>
      <c r="AH11" s="91"/>
      <c r="AI11" s="91"/>
      <c r="AJ11" s="91"/>
      <c r="AK11" s="91"/>
      <c r="AL11" s="91"/>
      <c r="AM11" s="91"/>
    </row>
    <row r="12" spans="1:39" ht="20.25" hidden="1" customHeight="1">
      <c r="A12" s="128"/>
      <c r="B12" s="93" t="s">
        <v>11240</v>
      </c>
      <c r="C12" s="91" t="s">
        <v>36</v>
      </c>
      <c r="D12" s="106" t="s">
        <v>6915</v>
      </c>
      <c r="E12" s="106" t="s">
        <v>11247</v>
      </c>
      <c r="F12" s="92" t="s">
        <v>11248</v>
      </c>
      <c r="G12" s="103">
        <v>43101</v>
      </c>
      <c r="H12" s="103">
        <v>25427</v>
      </c>
      <c r="I12" s="94" t="s">
        <v>58</v>
      </c>
      <c r="J12" s="94" t="s">
        <v>11243</v>
      </c>
      <c r="K12" s="92">
        <v>991770543</v>
      </c>
      <c r="L12" s="91"/>
      <c r="M12" s="98">
        <f ca="1">(TODAY()-H12)/365</f>
        <v>56.369863013698627</v>
      </c>
      <c r="N12" s="99">
        <f>(G12-H12)/365</f>
        <v>48.421917808219177</v>
      </c>
      <c r="O12" s="98">
        <f ca="1">(TODAY()-G12)/365</f>
        <v>7.9479452054794519</v>
      </c>
      <c r="P12" s="91" t="s">
        <v>43</v>
      </c>
      <c r="Q12" s="91"/>
      <c r="R12" s="91"/>
      <c r="S12" s="91"/>
      <c r="T12" s="91"/>
      <c r="U12" s="91"/>
      <c r="V12" s="91"/>
      <c r="W12" s="91"/>
      <c r="X12" s="91"/>
      <c r="Y12" s="91"/>
      <c r="Z12" s="91"/>
      <c r="AA12" s="91"/>
      <c r="AB12" s="91"/>
      <c r="AC12" s="91"/>
      <c r="AD12" s="91"/>
      <c r="AE12" s="91"/>
      <c r="AF12" s="91"/>
      <c r="AG12" s="91"/>
      <c r="AH12" s="91"/>
      <c r="AI12" s="91"/>
      <c r="AJ12" s="91"/>
      <c r="AK12" s="91"/>
      <c r="AL12" s="91"/>
      <c r="AM12" s="91"/>
    </row>
    <row r="13" spans="1:39" ht="20.25" hidden="1" customHeight="1">
      <c r="A13" s="128"/>
      <c r="B13" s="93" t="s">
        <v>11240</v>
      </c>
      <c r="C13" s="91" t="s">
        <v>36</v>
      </c>
      <c r="D13" s="106" t="s">
        <v>416</v>
      </c>
      <c r="E13" s="106" t="s">
        <v>11249</v>
      </c>
      <c r="F13" s="92" t="s">
        <v>11250</v>
      </c>
      <c r="G13" s="103">
        <v>42370</v>
      </c>
      <c r="H13" s="103">
        <v>28313</v>
      </c>
      <c r="I13" s="94" t="s">
        <v>58</v>
      </c>
      <c r="J13" s="94" t="s">
        <v>11243</v>
      </c>
      <c r="K13" s="92">
        <v>963081766</v>
      </c>
      <c r="L13" s="91"/>
      <c r="M13" s="98">
        <f ca="1">(TODAY()-H13)/365</f>
        <v>48.463013698630135</v>
      </c>
      <c r="N13" s="99">
        <f>(G13-H13)/365</f>
        <v>38.512328767123286</v>
      </c>
      <c r="O13" s="98">
        <f ca="1">(TODAY()-G13)/365</f>
        <v>9.9506849315068493</v>
      </c>
      <c r="P13" s="91" t="s">
        <v>43</v>
      </c>
      <c r="Q13" s="91"/>
      <c r="R13" s="91"/>
      <c r="S13" s="91"/>
      <c r="T13" s="91"/>
      <c r="U13" s="91"/>
      <c r="V13" s="91"/>
      <c r="W13" s="91"/>
      <c r="X13" s="91"/>
      <c r="Y13" s="91"/>
      <c r="Z13" s="91"/>
      <c r="AA13" s="91"/>
      <c r="AB13" s="91"/>
      <c r="AC13" s="91"/>
      <c r="AD13" s="91"/>
      <c r="AE13" s="91"/>
      <c r="AF13" s="91"/>
      <c r="AG13" s="91"/>
      <c r="AH13" s="91"/>
      <c r="AI13" s="91"/>
      <c r="AJ13" s="91"/>
      <c r="AK13" s="91"/>
      <c r="AL13" s="91"/>
      <c r="AM13" s="91"/>
    </row>
    <row r="14" spans="1:39" ht="20.25" hidden="1" customHeight="1">
      <c r="A14" s="128"/>
      <c r="B14" s="93" t="s">
        <v>11240</v>
      </c>
      <c r="C14" s="91" t="s">
        <v>36</v>
      </c>
      <c r="D14" s="106" t="s">
        <v>1291</v>
      </c>
      <c r="E14" s="106" t="s">
        <v>11251</v>
      </c>
      <c r="F14" s="92" t="s">
        <v>11252</v>
      </c>
      <c r="G14" s="103">
        <v>45292</v>
      </c>
      <c r="H14" s="103">
        <v>39187</v>
      </c>
      <c r="I14" s="94" t="s">
        <v>58</v>
      </c>
      <c r="J14" s="94" t="s">
        <v>11243</v>
      </c>
      <c r="K14" s="92">
        <v>963081766</v>
      </c>
      <c r="L14" s="91"/>
      <c r="M14" s="98">
        <f ca="1">(TODAY()-H14)/365</f>
        <v>18.671232876712327</v>
      </c>
      <c r="N14" s="99">
        <f>(G14-H14)/365</f>
        <v>16.726027397260275</v>
      </c>
      <c r="O14" s="98">
        <f ca="1">(TODAY()-G14)/365</f>
        <v>1.9452054794520548</v>
      </c>
      <c r="P14" s="91" t="s">
        <v>272</v>
      </c>
      <c r="Q14" s="91"/>
      <c r="R14" s="91"/>
      <c r="S14" s="91"/>
      <c r="T14" s="91"/>
      <c r="U14" s="91"/>
      <c r="V14" s="91"/>
      <c r="W14" s="91"/>
      <c r="X14" s="91"/>
      <c r="Y14" s="91"/>
      <c r="Z14" s="91"/>
      <c r="AA14" s="91"/>
      <c r="AB14" s="91"/>
      <c r="AC14" s="91"/>
      <c r="AD14" s="91"/>
      <c r="AE14" s="91"/>
      <c r="AF14" s="91"/>
      <c r="AG14" s="91"/>
      <c r="AH14" s="91"/>
      <c r="AI14" s="91"/>
      <c r="AJ14" s="91"/>
      <c r="AK14" s="91"/>
      <c r="AL14" s="91"/>
      <c r="AM14" s="91"/>
    </row>
    <row r="15" spans="1:39" ht="20.25" hidden="1" customHeight="1">
      <c r="A15" s="128"/>
      <c r="B15" s="93" t="s">
        <v>11240</v>
      </c>
      <c r="C15" s="91" t="s">
        <v>36</v>
      </c>
      <c r="D15" s="106" t="s">
        <v>11253</v>
      </c>
      <c r="E15" s="106" t="s">
        <v>5683</v>
      </c>
      <c r="F15" s="92" t="s">
        <v>11254</v>
      </c>
      <c r="G15" s="103">
        <v>45658</v>
      </c>
      <c r="H15" s="103">
        <v>38387</v>
      </c>
      <c r="I15" s="94" t="s">
        <v>58</v>
      </c>
      <c r="J15" s="94" t="s">
        <v>11243</v>
      </c>
      <c r="K15" s="92">
        <v>923680294</v>
      </c>
      <c r="L15" s="91"/>
      <c r="M15" s="98">
        <f ca="1">(TODAY()-H15)/365</f>
        <v>20.863013698630137</v>
      </c>
      <c r="N15" s="99">
        <f>(G15-H15)/365</f>
        <v>19.920547945205481</v>
      </c>
      <c r="O15" s="98">
        <f ca="1">(TODAY()-G15)/365</f>
        <v>0.94246575342465755</v>
      </c>
      <c r="P15" s="91" t="s">
        <v>43</v>
      </c>
      <c r="Q15" s="91"/>
      <c r="R15" s="91"/>
      <c r="S15" s="91"/>
      <c r="T15" s="91"/>
      <c r="U15" s="91"/>
      <c r="V15" s="91"/>
      <c r="W15" s="91"/>
      <c r="X15" s="91"/>
      <c r="Y15" s="91"/>
      <c r="Z15" s="91"/>
      <c r="AA15" s="91"/>
      <c r="AB15" s="91"/>
      <c r="AC15" s="91"/>
      <c r="AD15" s="91"/>
      <c r="AE15" s="91"/>
      <c r="AF15" s="91"/>
      <c r="AG15" s="91"/>
      <c r="AH15" s="91"/>
      <c r="AI15" s="91"/>
      <c r="AJ15" s="91"/>
      <c r="AK15" s="91"/>
      <c r="AL15" s="91"/>
      <c r="AM15" s="91"/>
    </row>
    <row r="16" spans="1:39" ht="20.25" hidden="1" customHeight="1">
      <c r="A16" s="128"/>
      <c r="B16" s="93" t="s">
        <v>11240</v>
      </c>
      <c r="C16" s="91" t="s">
        <v>36</v>
      </c>
      <c r="D16" s="106" t="s">
        <v>4448</v>
      </c>
      <c r="E16" s="106" t="s">
        <v>11255</v>
      </c>
      <c r="F16" s="92" t="s">
        <v>11256</v>
      </c>
      <c r="G16" s="103">
        <v>45292</v>
      </c>
      <c r="H16" s="103">
        <v>26841</v>
      </c>
      <c r="I16" s="94" t="s">
        <v>58</v>
      </c>
      <c r="J16" s="94" t="s">
        <v>11243</v>
      </c>
      <c r="K16" s="92">
        <v>956618713</v>
      </c>
      <c r="L16" s="91"/>
      <c r="M16" s="98">
        <f ca="1">(TODAY()-H16)/365</f>
        <v>52.495890410958907</v>
      </c>
      <c r="N16" s="99">
        <f>(G16-H16)/365</f>
        <v>50.550684931506851</v>
      </c>
      <c r="O16" s="98">
        <f ca="1">(TODAY()-G16)/365</f>
        <v>1.9452054794520548</v>
      </c>
      <c r="P16" s="91" t="s">
        <v>272</v>
      </c>
      <c r="Q16" s="91"/>
      <c r="R16" s="91"/>
      <c r="S16" s="91"/>
      <c r="T16" s="91"/>
      <c r="U16" s="91"/>
      <c r="V16" s="91"/>
      <c r="W16" s="91"/>
      <c r="X16" s="91"/>
      <c r="Y16" s="91"/>
      <c r="Z16" s="91"/>
      <c r="AA16" s="91"/>
      <c r="AB16" s="91"/>
      <c r="AC16" s="91"/>
      <c r="AD16" s="91"/>
      <c r="AE16" s="91"/>
      <c r="AF16" s="91"/>
      <c r="AG16" s="91"/>
      <c r="AH16" s="91"/>
      <c r="AI16" s="91"/>
      <c r="AJ16" s="91"/>
      <c r="AK16" s="91"/>
      <c r="AL16" s="91"/>
      <c r="AM16" s="91"/>
    </row>
    <row r="17" spans="1:39" ht="20.25" hidden="1" customHeight="1">
      <c r="A17" s="128"/>
      <c r="B17" s="93" t="s">
        <v>11240</v>
      </c>
      <c r="C17" s="91" t="s">
        <v>36</v>
      </c>
      <c r="D17" s="106" t="s">
        <v>11257</v>
      </c>
      <c r="E17" s="106" t="s">
        <v>11258</v>
      </c>
      <c r="F17" s="92" t="s">
        <v>11259</v>
      </c>
      <c r="G17" s="103">
        <v>43101</v>
      </c>
      <c r="H17" s="103">
        <v>34728</v>
      </c>
      <c r="I17" s="94" t="s">
        <v>58</v>
      </c>
      <c r="J17" s="94" t="s">
        <v>11243</v>
      </c>
      <c r="K17" s="92">
        <v>993102961</v>
      </c>
      <c r="L17" s="91"/>
      <c r="M17" s="98">
        <f ca="1">(TODAY()-H17)/365</f>
        <v>30.887671232876713</v>
      </c>
      <c r="N17" s="99">
        <f>(G17-H17)/365</f>
        <v>22.93972602739726</v>
      </c>
      <c r="O17" s="98">
        <f ca="1">(TODAY()-G17)/365</f>
        <v>7.9479452054794519</v>
      </c>
      <c r="P17" s="91" t="s">
        <v>272</v>
      </c>
      <c r="Q17" s="91"/>
      <c r="R17" s="91"/>
      <c r="S17" s="91"/>
      <c r="T17" s="91"/>
      <c r="U17" s="91"/>
      <c r="V17" s="91"/>
      <c r="W17" s="91"/>
      <c r="X17" s="91"/>
      <c r="Y17" s="91"/>
      <c r="Z17" s="91"/>
      <c r="AA17" s="91"/>
      <c r="AB17" s="91"/>
      <c r="AC17" s="91"/>
      <c r="AD17" s="91"/>
      <c r="AE17" s="91"/>
      <c r="AF17" s="91"/>
      <c r="AG17" s="91"/>
      <c r="AH17" s="91"/>
      <c r="AI17" s="91"/>
      <c r="AJ17" s="91"/>
      <c r="AK17" s="91"/>
      <c r="AL17" s="91"/>
      <c r="AM17" s="91"/>
    </row>
    <row r="18" spans="1:39" ht="20.25" customHeight="1">
      <c r="A18" s="91"/>
      <c r="B18" s="93" t="s">
        <v>1477</v>
      </c>
      <c r="C18" s="91" t="s">
        <v>73</v>
      </c>
      <c r="D18" s="94" t="s">
        <v>1566</v>
      </c>
      <c r="E18" s="94" t="s">
        <v>1539</v>
      </c>
      <c r="F18" s="95" t="s">
        <v>1567</v>
      </c>
      <c r="G18" s="96">
        <v>39509</v>
      </c>
      <c r="H18" s="97">
        <v>30264</v>
      </c>
      <c r="I18" s="94" t="s">
        <v>1568</v>
      </c>
      <c r="J18" s="100" t="s">
        <v>58</v>
      </c>
      <c r="K18" s="91" t="s">
        <v>58</v>
      </c>
      <c r="L18" s="91" t="s">
        <v>60</v>
      </c>
      <c r="M18" s="98">
        <f ca="1">(TODAY()-H18)/365</f>
        <v>43.11780821917808</v>
      </c>
      <c r="N18" s="99">
        <f>(G18-H18)/365</f>
        <v>25.328767123287673</v>
      </c>
      <c r="O18" s="98">
        <f ca="1">(TODAY()-G18)/365</f>
        <v>17.789041095890411</v>
      </c>
      <c r="P18" s="91" t="s">
        <v>43</v>
      </c>
      <c r="Q18" s="91">
        <v>0</v>
      </c>
      <c r="R18" s="91">
        <v>0</v>
      </c>
      <c r="S18" s="91">
        <v>0</v>
      </c>
      <c r="T18" s="91"/>
      <c r="U18" s="91"/>
      <c r="V18" s="91"/>
      <c r="W18" s="91"/>
      <c r="X18" s="91"/>
      <c r="Y18" s="91"/>
      <c r="Z18" s="91"/>
      <c r="AA18" s="91"/>
      <c r="AB18" s="91"/>
      <c r="AC18" s="91"/>
      <c r="AD18" s="91"/>
      <c r="AE18" s="91"/>
      <c r="AF18" s="91"/>
      <c r="AG18" s="91"/>
      <c r="AH18" s="91"/>
      <c r="AI18" s="91"/>
      <c r="AJ18" s="91"/>
      <c r="AK18" s="91"/>
      <c r="AL18" s="91"/>
      <c r="AM18" s="91"/>
    </row>
    <row r="19" spans="1:39" ht="20.25" customHeight="1">
      <c r="A19" s="91"/>
      <c r="B19" s="93" t="s">
        <v>1811</v>
      </c>
      <c r="C19" s="91" t="s">
        <v>73</v>
      </c>
      <c r="D19" s="94" t="s">
        <v>1864</v>
      </c>
      <c r="E19" s="94" t="s">
        <v>1819</v>
      </c>
      <c r="F19" s="95" t="s">
        <v>1865</v>
      </c>
      <c r="G19" s="96">
        <v>42892</v>
      </c>
      <c r="H19" s="97">
        <v>36233</v>
      </c>
      <c r="I19" s="102" t="s">
        <v>1866</v>
      </c>
      <c r="J19" s="94" t="s">
        <v>1822</v>
      </c>
      <c r="K19" s="95" t="s">
        <v>1867</v>
      </c>
      <c r="L19" s="91" t="s">
        <v>60</v>
      </c>
      <c r="M19" s="98">
        <f ca="1">(TODAY()-H19)/365</f>
        <v>26.764383561643836</v>
      </c>
      <c r="N19" s="99">
        <f>(G19-H19)/365</f>
        <v>18.243835616438357</v>
      </c>
      <c r="O19" s="98">
        <f ca="1">(TODAY()-G19)/365</f>
        <v>8.5205479452054789</v>
      </c>
      <c r="P19" s="91" t="s">
        <v>43</v>
      </c>
      <c r="Q19" s="91">
        <v>0</v>
      </c>
      <c r="R19" s="91">
        <v>0</v>
      </c>
      <c r="S19" s="91">
        <v>1</v>
      </c>
      <c r="T19" s="91"/>
      <c r="U19" s="91"/>
      <c r="V19" s="91"/>
      <c r="W19" s="91"/>
      <c r="X19" s="91"/>
      <c r="Y19" s="91"/>
      <c r="Z19" s="91"/>
      <c r="AA19" s="91"/>
      <c r="AB19" s="91"/>
      <c r="AC19" s="91"/>
      <c r="AD19" s="91"/>
      <c r="AE19" s="91"/>
      <c r="AF19" s="91"/>
      <c r="AG19" s="91"/>
      <c r="AH19" s="91"/>
      <c r="AI19" s="91"/>
      <c r="AJ19" s="91"/>
      <c r="AK19" s="91"/>
      <c r="AL19" s="91"/>
      <c r="AM19" s="91"/>
    </row>
    <row r="20" spans="1:39" ht="20.25" customHeight="1">
      <c r="A20" s="91"/>
      <c r="B20" s="93" t="s">
        <v>3935</v>
      </c>
      <c r="C20" s="91" t="s">
        <v>73</v>
      </c>
      <c r="D20" s="94" t="s">
        <v>3964</v>
      </c>
      <c r="E20" s="94" t="s">
        <v>3965</v>
      </c>
      <c r="F20" s="95" t="s">
        <v>3966</v>
      </c>
      <c r="G20" s="96">
        <v>44592</v>
      </c>
      <c r="H20" s="97">
        <v>35461</v>
      </c>
      <c r="I20" s="94" t="s">
        <v>58</v>
      </c>
      <c r="J20" s="100" t="s">
        <v>58</v>
      </c>
      <c r="K20" s="91" t="s">
        <v>58</v>
      </c>
      <c r="L20" s="91" t="s">
        <v>60</v>
      </c>
      <c r="M20" s="98">
        <f ca="1">(TODAY()-H20)/365</f>
        <v>28.87945205479452</v>
      </c>
      <c r="N20" s="99">
        <f>(G20-H20)/365</f>
        <v>25.016438356164382</v>
      </c>
      <c r="O20" s="98">
        <f ca="1">(TODAY()-G20)/365</f>
        <v>3.8630136986301369</v>
      </c>
      <c r="P20" s="91" t="s">
        <v>43</v>
      </c>
      <c r="Q20" s="91">
        <v>0</v>
      </c>
      <c r="R20" s="91">
        <v>0</v>
      </c>
      <c r="S20" s="91">
        <v>0</v>
      </c>
      <c r="T20" s="91"/>
      <c r="U20" s="91"/>
      <c r="V20" s="91"/>
      <c r="W20" s="91"/>
      <c r="X20" s="91"/>
      <c r="Y20" s="91"/>
      <c r="Z20" s="91"/>
      <c r="AA20" s="91"/>
      <c r="AB20" s="91"/>
      <c r="AC20" s="91"/>
      <c r="AD20" s="91"/>
      <c r="AE20" s="91"/>
      <c r="AF20" s="91"/>
      <c r="AG20" s="91"/>
      <c r="AH20" s="91"/>
      <c r="AI20" s="91"/>
      <c r="AJ20" s="91"/>
      <c r="AK20" s="91"/>
      <c r="AL20" s="91"/>
      <c r="AM20" s="91"/>
    </row>
    <row r="21" spans="1:39" ht="20.25" customHeight="1">
      <c r="A21" s="91"/>
      <c r="B21" s="93" t="s">
        <v>4648</v>
      </c>
      <c r="C21" s="91" t="s">
        <v>73</v>
      </c>
      <c r="D21" s="94" t="s">
        <v>291</v>
      </c>
      <c r="E21" s="94" t="s">
        <v>4670</v>
      </c>
      <c r="F21" s="95" t="s">
        <v>4671</v>
      </c>
      <c r="G21" s="96">
        <v>45597</v>
      </c>
      <c r="H21" s="97">
        <v>27701</v>
      </c>
      <c r="I21" s="94" t="s">
        <v>58</v>
      </c>
      <c r="J21" s="100" t="s">
        <v>58</v>
      </c>
      <c r="K21" s="91" t="s">
        <v>58</v>
      </c>
      <c r="L21" s="91" t="s">
        <v>60</v>
      </c>
      <c r="M21" s="98">
        <f ca="1">(TODAY()-H21)/365</f>
        <v>50.139726027397259</v>
      </c>
      <c r="N21" s="99">
        <f>(G21-H21)/365</f>
        <v>49.030136986301372</v>
      </c>
      <c r="O21" s="98">
        <f ca="1">(TODAY()-G21)/365</f>
        <v>1.1095890410958904</v>
      </c>
      <c r="P21" s="91" t="s">
        <v>43</v>
      </c>
      <c r="Q21" s="91">
        <v>0</v>
      </c>
      <c r="R21" s="91">
        <v>0</v>
      </c>
      <c r="S21" s="91">
        <v>0</v>
      </c>
      <c r="T21" s="91"/>
      <c r="U21" s="91"/>
      <c r="V21" s="91"/>
      <c r="W21" s="91"/>
      <c r="X21" s="91"/>
      <c r="Y21" s="91"/>
      <c r="Z21" s="91"/>
      <c r="AA21" s="91"/>
      <c r="AB21" s="91"/>
      <c r="AC21" s="91"/>
      <c r="AD21" s="91"/>
      <c r="AE21" s="91"/>
      <c r="AF21" s="91"/>
      <c r="AG21" s="91"/>
      <c r="AH21" s="91"/>
      <c r="AI21" s="91"/>
      <c r="AJ21" s="91"/>
      <c r="AK21" s="91"/>
      <c r="AL21" s="91"/>
      <c r="AM21" s="91"/>
    </row>
    <row r="22" spans="1:39" ht="20.25" customHeight="1">
      <c r="A22" s="91"/>
      <c r="B22" s="93" t="s">
        <v>3374</v>
      </c>
      <c r="C22" s="91" t="s">
        <v>73</v>
      </c>
      <c r="D22" s="107" t="s">
        <v>3453</v>
      </c>
      <c r="E22" s="107" t="s">
        <v>3454</v>
      </c>
      <c r="F22" s="91" t="s">
        <v>3455</v>
      </c>
      <c r="G22" s="96">
        <v>45636</v>
      </c>
      <c r="H22" s="97">
        <v>33838</v>
      </c>
      <c r="I22" s="100" t="s">
        <v>3456</v>
      </c>
      <c r="J22" s="94" t="s">
        <v>58</v>
      </c>
      <c r="K22" s="95" t="s">
        <v>58</v>
      </c>
      <c r="L22" s="91" t="s">
        <v>60</v>
      </c>
      <c r="M22" s="98">
        <f ca="1">(TODAY()-H22)/365</f>
        <v>33.326027397260276</v>
      </c>
      <c r="N22" s="99">
        <f>(G22-H22)/365</f>
        <v>32.323287671232876</v>
      </c>
      <c r="O22" s="98">
        <f ca="1">(TODAY()-G22)/365</f>
        <v>1.0027397260273974</v>
      </c>
      <c r="P22" s="91" t="s">
        <v>43</v>
      </c>
      <c r="Q22" s="91"/>
      <c r="R22" s="91"/>
      <c r="S22" s="91"/>
      <c r="T22" s="91"/>
      <c r="U22" s="91"/>
      <c r="V22" s="91"/>
      <c r="W22" s="91"/>
      <c r="X22" s="91"/>
      <c r="Y22" s="91"/>
      <c r="Z22" s="91"/>
      <c r="AA22" s="91"/>
      <c r="AB22" s="91"/>
      <c r="AC22" s="91"/>
      <c r="AD22" s="91"/>
      <c r="AE22" s="91"/>
      <c r="AF22" s="91"/>
      <c r="AG22" s="91"/>
      <c r="AH22" s="91"/>
      <c r="AI22" s="91"/>
      <c r="AJ22" s="91"/>
      <c r="AK22" s="91"/>
      <c r="AL22" s="91"/>
      <c r="AM22" s="91"/>
    </row>
    <row r="23" spans="1:39" ht="20.25" customHeight="1">
      <c r="A23" s="128"/>
      <c r="B23" s="93" t="s">
        <v>11444</v>
      </c>
      <c r="C23" s="91" t="s">
        <v>73</v>
      </c>
      <c r="D23" s="106" t="s">
        <v>11478</v>
      </c>
      <c r="E23" s="106" t="s">
        <v>11479</v>
      </c>
      <c r="F23" s="92" t="s">
        <v>12686</v>
      </c>
      <c r="G23" s="103">
        <v>45356</v>
      </c>
      <c r="H23" s="103">
        <v>38104</v>
      </c>
      <c r="I23" s="108" t="s">
        <v>12658</v>
      </c>
      <c r="J23" s="100" t="s">
        <v>58</v>
      </c>
      <c r="K23" s="95" t="s">
        <v>58</v>
      </c>
      <c r="L23" s="91"/>
      <c r="M23" s="98">
        <f ca="1">(TODAY()-H23)/365</f>
        <v>21.638356164383563</v>
      </c>
      <c r="N23" s="99">
        <f>(G23-H23)/365</f>
        <v>19.86849315068493</v>
      </c>
      <c r="O23" s="98">
        <f ca="1">(TODAY()-G23)/365</f>
        <v>1.7698630136986302</v>
      </c>
      <c r="P23" s="91" t="s">
        <v>43</v>
      </c>
      <c r="Q23" s="91"/>
      <c r="R23" s="91"/>
      <c r="S23" s="91"/>
      <c r="T23" s="91"/>
      <c r="U23" s="91"/>
      <c r="V23" s="91"/>
      <c r="W23" s="91"/>
      <c r="X23" s="91"/>
      <c r="Y23" s="91"/>
      <c r="Z23" s="91"/>
      <c r="AA23" s="91"/>
      <c r="AB23" s="91"/>
      <c r="AC23" s="91"/>
      <c r="AD23" s="91"/>
      <c r="AE23" s="91"/>
      <c r="AF23" s="91"/>
      <c r="AG23" s="91"/>
      <c r="AH23" s="91"/>
      <c r="AI23" s="91"/>
      <c r="AJ23" s="91"/>
      <c r="AK23" s="91"/>
      <c r="AL23" s="91"/>
      <c r="AM23" s="91"/>
    </row>
    <row r="24" spans="1:39" ht="20.25" hidden="1" customHeight="1">
      <c r="A24" s="91"/>
      <c r="B24" s="133" t="s">
        <v>10687</v>
      </c>
      <c r="C24" s="91" t="s">
        <v>36</v>
      </c>
      <c r="D24" s="106" t="s">
        <v>10688</v>
      </c>
      <c r="E24" s="106" t="s">
        <v>10689</v>
      </c>
      <c r="F24" s="92" t="s">
        <v>10690</v>
      </c>
      <c r="G24" s="103">
        <v>45056</v>
      </c>
      <c r="H24" s="103">
        <v>20382</v>
      </c>
      <c r="I24" s="108" t="s">
        <v>12611</v>
      </c>
      <c r="J24" s="94" t="s">
        <v>10687</v>
      </c>
      <c r="K24" s="92">
        <v>989730502</v>
      </c>
      <c r="L24" s="91"/>
      <c r="M24" s="98">
        <f ca="1">(TODAY()-H24)/365</f>
        <v>70.191780821917803</v>
      </c>
      <c r="N24" s="99">
        <f>(G24-H24)/365</f>
        <v>67.599999999999994</v>
      </c>
      <c r="O24" s="98">
        <f ca="1">(TODAY()-G24)/365</f>
        <v>2.591780821917808</v>
      </c>
      <c r="P24" s="91" t="s">
        <v>43</v>
      </c>
      <c r="Q24" s="91"/>
      <c r="R24" s="91"/>
      <c r="S24" s="91"/>
      <c r="T24" s="91"/>
      <c r="U24" s="91"/>
      <c r="V24" s="91"/>
      <c r="W24" s="91"/>
      <c r="X24" s="91"/>
      <c r="Y24" s="91"/>
      <c r="Z24" s="91"/>
      <c r="AA24" s="91"/>
      <c r="AB24" s="91"/>
      <c r="AC24" s="91"/>
      <c r="AD24" s="91"/>
      <c r="AE24" s="91"/>
      <c r="AF24" s="91"/>
      <c r="AG24" s="91"/>
      <c r="AH24" s="91"/>
      <c r="AI24" s="91"/>
      <c r="AJ24" s="91"/>
      <c r="AK24" s="91"/>
      <c r="AL24" s="91"/>
      <c r="AM24" s="91"/>
    </row>
    <row r="25" spans="1:39" ht="20.25" hidden="1" customHeight="1">
      <c r="A25" s="91"/>
      <c r="B25" s="93" t="s">
        <v>10687</v>
      </c>
      <c r="C25" s="91" t="s">
        <v>36</v>
      </c>
      <c r="D25" s="106" t="s">
        <v>10691</v>
      </c>
      <c r="E25" s="106" t="s">
        <v>10692</v>
      </c>
      <c r="F25" s="92" t="s">
        <v>10693</v>
      </c>
      <c r="G25" s="103">
        <v>31523</v>
      </c>
      <c r="H25" s="103">
        <v>20002</v>
      </c>
      <c r="I25" s="108" t="s">
        <v>12612</v>
      </c>
      <c r="J25" s="94" t="s">
        <v>10694</v>
      </c>
      <c r="K25" s="92">
        <v>965807436</v>
      </c>
      <c r="L25" s="91"/>
      <c r="M25" s="98">
        <f ca="1">(TODAY()-H25)/365</f>
        <v>71.232876712328761</v>
      </c>
      <c r="N25" s="99">
        <f>(G25-H25)/365</f>
        <v>31.564383561643837</v>
      </c>
      <c r="O25" s="98">
        <f ca="1">(TODAY()-G25)/365</f>
        <v>39.668493150684931</v>
      </c>
      <c r="P25" s="91" t="s">
        <v>43</v>
      </c>
      <c r="Q25" s="91"/>
      <c r="R25" s="91"/>
      <c r="S25" s="91"/>
      <c r="T25" s="91"/>
      <c r="U25" s="91"/>
      <c r="V25" s="91"/>
      <c r="W25" s="91"/>
      <c r="X25" s="91"/>
      <c r="Y25" s="91"/>
      <c r="Z25" s="91"/>
      <c r="AA25" s="91"/>
      <c r="AB25" s="91"/>
      <c r="AC25" s="91"/>
      <c r="AD25" s="91"/>
      <c r="AE25" s="91"/>
      <c r="AF25" s="91"/>
      <c r="AG25" s="91"/>
      <c r="AH25" s="91"/>
      <c r="AI25" s="91"/>
      <c r="AJ25" s="91"/>
      <c r="AK25" s="91"/>
      <c r="AL25" s="91"/>
      <c r="AM25" s="91"/>
    </row>
    <row r="26" spans="1:39" ht="20.25" hidden="1" customHeight="1">
      <c r="A26" s="91"/>
      <c r="B26" s="93" t="s">
        <v>10687</v>
      </c>
      <c r="C26" s="91" t="s">
        <v>36</v>
      </c>
      <c r="D26" s="106" t="s">
        <v>10695</v>
      </c>
      <c r="E26" s="106" t="s">
        <v>10696</v>
      </c>
      <c r="F26" s="92" t="s">
        <v>10697</v>
      </c>
      <c r="G26" s="103">
        <v>41248</v>
      </c>
      <c r="H26" s="103">
        <v>18500</v>
      </c>
      <c r="I26" s="108" t="s">
        <v>12613</v>
      </c>
      <c r="J26" s="94" t="s">
        <v>10698</v>
      </c>
      <c r="K26" s="92">
        <v>945555863</v>
      </c>
      <c r="L26" s="91"/>
      <c r="M26" s="98">
        <f ca="1">(TODAY()-H26)/365</f>
        <v>75.347945205479448</v>
      </c>
      <c r="N26" s="99">
        <f>(G26-H26)/365</f>
        <v>62.323287671232876</v>
      </c>
      <c r="O26" s="98">
        <f ca="1">(TODAY()-G26)/365</f>
        <v>13.024657534246575</v>
      </c>
      <c r="P26" s="91" t="s">
        <v>43</v>
      </c>
      <c r="Q26" s="91"/>
      <c r="R26" s="91"/>
      <c r="S26" s="91"/>
      <c r="T26" s="91"/>
      <c r="U26" s="91"/>
      <c r="V26" s="91"/>
      <c r="W26" s="91"/>
      <c r="X26" s="91"/>
      <c r="Y26" s="91"/>
      <c r="Z26" s="91"/>
      <c r="AA26" s="91"/>
      <c r="AB26" s="91"/>
      <c r="AC26" s="91"/>
      <c r="AD26" s="91"/>
      <c r="AE26" s="91"/>
      <c r="AF26" s="91"/>
      <c r="AG26" s="91"/>
      <c r="AH26" s="91"/>
      <c r="AI26" s="91"/>
      <c r="AJ26" s="91"/>
      <c r="AK26" s="91"/>
      <c r="AL26" s="91"/>
      <c r="AM26" s="91"/>
    </row>
    <row r="27" spans="1:39" ht="20.25" hidden="1" customHeight="1">
      <c r="A27" s="91"/>
      <c r="B27" s="93" t="s">
        <v>10687</v>
      </c>
      <c r="C27" s="91" t="s">
        <v>36</v>
      </c>
      <c r="D27" s="106" t="s">
        <v>10699</v>
      </c>
      <c r="E27" s="106" t="s">
        <v>10700</v>
      </c>
      <c r="F27" s="92" t="s">
        <v>10701</v>
      </c>
      <c r="G27" s="103">
        <v>37672</v>
      </c>
      <c r="H27" s="103">
        <v>19382</v>
      </c>
      <c r="I27" s="108" t="s">
        <v>12614</v>
      </c>
      <c r="J27" s="94" t="s">
        <v>10702</v>
      </c>
      <c r="K27" s="92">
        <v>933314048</v>
      </c>
      <c r="L27" s="91"/>
      <c r="M27" s="98">
        <f ca="1">(TODAY()-H27)/365</f>
        <v>72.93150684931507</v>
      </c>
      <c r="N27" s="99">
        <f>(G27-H27)/365</f>
        <v>50.109589041095887</v>
      </c>
      <c r="O27" s="98">
        <f ca="1">(TODAY()-G27)/365</f>
        <v>22.82191780821918</v>
      </c>
      <c r="P27" s="91" t="s">
        <v>43</v>
      </c>
      <c r="Q27" s="91"/>
      <c r="R27" s="91"/>
      <c r="S27" s="91"/>
      <c r="T27" s="91"/>
      <c r="U27" s="91"/>
      <c r="V27" s="91"/>
      <c r="W27" s="91"/>
      <c r="X27" s="91"/>
      <c r="Y27" s="91"/>
      <c r="Z27" s="91"/>
      <c r="AA27" s="91"/>
      <c r="AB27" s="91"/>
      <c r="AC27" s="91"/>
      <c r="AD27" s="91"/>
      <c r="AE27" s="91"/>
      <c r="AF27" s="91"/>
      <c r="AG27" s="91"/>
      <c r="AH27" s="91"/>
      <c r="AI27" s="91"/>
      <c r="AJ27" s="91"/>
      <c r="AK27" s="91"/>
      <c r="AL27" s="91"/>
      <c r="AM27" s="91"/>
    </row>
    <row r="28" spans="1:39" ht="20.25" hidden="1" customHeight="1">
      <c r="A28" s="91"/>
      <c r="B28" s="93" t="s">
        <v>10687</v>
      </c>
      <c r="C28" s="91" t="s">
        <v>36</v>
      </c>
      <c r="D28" s="106" t="s">
        <v>10703</v>
      </c>
      <c r="E28" s="106" t="s">
        <v>10704</v>
      </c>
      <c r="F28" s="92" t="s">
        <v>10705</v>
      </c>
      <c r="G28" s="103">
        <v>37672</v>
      </c>
      <c r="H28" s="103">
        <v>20244</v>
      </c>
      <c r="I28" s="108" t="s">
        <v>12615</v>
      </c>
      <c r="J28" s="94" t="s">
        <v>10706</v>
      </c>
      <c r="K28" s="92">
        <v>997069613</v>
      </c>
      <c r="L28" s="91"/>
      <c r="M28" s="98">
        <f ca="1">(TODAY()-H28)/365</f>
        <v>70.569863013698637</v>
      </c>
      <c r="N28" s="99">
        <f>(G28-H28)/365</f>
        <v>47.747945205479454</v>
      </c>
      <c r="O28" s="98">
        <f ca="1">(TODAY()-G28)/365</f>
        <v>22.82191780821918</v>
      </c>
      <c r="P28" s="91" t="s">
        <v>43</v>
      </c>
      <c r="Q28" s="91"/>
      <c r="R28" s="91"/>
      <c r="S28" s="91"/>
      <c r="T28" s="91"/>
      <c r="U28" s="91"/>
      <c r="V28" s="91"/>
      <c r="W28" s="91"/>
      <c r="X28" s="91"/>
      <c r="Y28" s="91"/>
      <c r="Z28" s="91"/>
      <c r="AA28" s="91"/>
      <c r="AB28" s="91"/>
      <c r="AC28" s="91"/>
      <c r="AD28" s="91"/>
      <c r="AE28" s="91"/>
      <c r="AF28" s="91"/>
      <c r="AG28" s="91"/>
      <c r="AH28" s="91"/>
      <c r="AI28" s="91"/>
      <c r="AJ28" s="91"/>
      <c r="AK28" s="91"/>
      <c r="AL28" s="91"/>
      <c r="AM28" s="91"/>
    </row>
    <row r="29" spans="1:39" ht="20.25" hidden="1" customHeight="1">
      <c r="A29" s="91"/>
      <c r="B29" s="93" t="s">
        <v>10687</v>
      </c>
      <c r="C29" s="91" t="s">
        <v>36</v>
      </c>
      <c r="D29" s="106" t="s">
        <v>10707</v>
      </c>
      <c r="E29" s="106" t="s">
        <v>10708</v>
      </c>
      <c r="F29" s="92" t="s">
        <v>10709</v>
      </c>
      <c r="G29" s="103">
        <v>41233</v>
      </c>
      <c r="H29" s="103">
        <v>20538</v>
      </c>
      <c r="I29" s="108" t="s">
        <v>12616</v>
      </c>
      <c r="J29" s="94" t="s">
        <v>10710</v>
      </c>
      <c r="K29" s="92">
        <v>988076304</v>
      </c>
      <c r="L29" s="91"/>
      <c r="M29" s="98">
        <f ca="1">(TODAY()-H29)/365</f>
        <v>69.764383561643839</v>
      </c>
      <c r="N29" s="99">
        <f>(G29-H29)/365</f>
        <v>56.698630136986303</v>
      </c>
      <c r="O29" s="98">
        <f ca="1">(TODAY()-G29)/365</f>
        <v>13.065753424657535</v>
      </c>
      <c r="P29" s="91" t="s">
        <v>43</v>
      </c>
      <c r="Q29" s="91"/>
      <c r="R29" s="91"/>
      <c r="S29" s="91"/>
      <c r="T29" s="91"/>
      <c r="U29" s="91"/>
      <c r="V29" s="91"/>
      <c r="W29" s="91"/>
      <c r="X29" s="91"/>
      <c r="Y29" s="91"/>
      <c r="Z29" s="91"/>
      <c r="AA29" s="91"/>
      <c r="AB29" s="91"/>
      <c r="AC29" s="91"/>
      <c r="AD29" s="91"/>
      <c r="AE29" s="91"/>
      <c r="AF29" s="91"/>
      <c r="AG29" s="91"/>
      <c r="AH29" s="91"/>
      <c r="AI29" s="91"/>
      <c r="AJ29" s="91"/>
      <c r="AK29" s="91"/>
      <c r="AL29" s="91"/>
      <c r="AM29" s="91"/>
    </row>
    <row r="30" spans="1:39" ht="20.25" hidden="1" customHeight="1">
      <c r="A30" s="91"/>
      <c r="B30" s="93" t="s">
        <v>10687</v>
      </c>
      <c r="C30" s="91" t="s">
        <v>36</v>
      </c>
      <c r="D30" s="106" t="s">
        <v>10711</v>
      </c>
      <c r="E30" s="106" t="s">
        <v>10712</v>
      </c>
      <c r="F30" s="92" t="s">
        <v>10713</v>
      </c>
      <c r="G30" s="103">
        <v>44767</v>
      </c>
      <c r="H30" s="103">
        <v>21750</v>
      </c>
      <c r="I30" s="108" t="s">
        <v>12617</v>
      </c>
      <c r="J30" s="94" t="s">
        <v>10714</v>
      </c>
      <c r="K30" s="92">
        <v>966375661</v>
      </c>
      <c r="L30" s="91"/>
      <c r="M30" s="98">
        <f ca="1">(TODAY()-H30)/365</f>
        <v>66.443835616438349</v>
      </c>
      <c r="N30" s="99">
        <f>(G30-H30)/365</f>
        <v>63.060273972602737</v>
      </c>
      <c r="O30" s="98">
        <f ca="1">(TODAY()-G30)/365</f>
        <v>3.3835616438356166</v>
      </c>
      <c r="P30" s="91" t="s">
        <v>43</v>
      </c>
      <c r="Q30" s="91"/>
      <c r="R30" s="91"/>
      <c r="S30" s="91"/>
      <c r="T30" s="91"/>
      <c r="U30" s="91"/>
      <c r="V30" s="91"/>
      <c r="W30" s="91"/>
      <c r="X30" s="91"/>
      <c r="Y30" s="91"/>
      <c r="Z30" s="91"/>
      <c r="AA30" s="91"/>
      <c r="AB30" s="91"/>
      <c r="AC30" s="91"/>
      <c r="AD30" s="91"/>
      <c r="AE30" s="91"/>
      <c r="AF30" s="91"/>
      <c r="AG30" s="91"/>
      <c r="AH30" s="91"/>
      <c r="AI30" s="91"/>
      <c r="AJ30" s="91"/>
      <c r="AK30" s="91"/>
      <c r="AL30" s="91"/>
      <c r="AM30" s="91"/>
    </row>
    <row r="31" spans="1:39" ht="20.25" hidden="1" customHeight="1">
      <c r="A31" s="91"/>
      <c r="B31" s="93" t="s">
        <v>10687</v>
      </c>
      <c r="C31" s="91" t="s">
        <v>36</v>
      </c>
      <c r="D31" s="106" t="s">
        <v>10715</v>
      </c>
      <c r="E31" s="106" t="s">
        <v>10716</v>
      </c>
      <c r="F31" s="92" t="s">
        <v>10717</v>
      </c>
      <c r="G31" s="103">
        <v>31030</v>
      </c>
      <c r="H31" s="103">
        <v>18130</v>
      </c>
      <c r="I31" s="108" t="s">
        <v>12618</v>
      </c>
      <c r="J31" s="94" t="s">
        <v>10718</v>
      </c>
      <c r="K31" s="92">
        <v>966048985</v>
      </c>
      <c r="L31" s="91"/>
      <c r="M31" s="98">
        <f ca="1">(TODAY()-H31)/365</f>
        <v>76.361643835616434</v>
      </c>
      <c r="N31" s="99">
        <f>(G31-H31)/365</f>
        <v>35.342465753424655</v>
      </c>
      <c r="O31" s="98">
        <f ca="1">(TODAY()-G31)/365</f>
        <v>41.019178082191779</v>
      </c>
      <c r="P31" s="91" t="s">
        <v>43</v>
      </c>
      <c r="Q31" s="91"/>
      <c r="R31" s="91"/>
      <c r="S31" s="91"/>
      <c r="T31" s="91"/>
      <c r="U31" s="91"/>
      <c r="V31" s="91"/>
      <c r="W31" s="91"/>
      <c r="X31" s="91"/>
      <c r="Y31" s="91"/>
      <c r="Z31" s="91"/>
      <c r="AA31" s="91"/>
      <c r="AB31" s="91"/>
      <c r="AC31" s="91"/>
      <c r="AD31" s="91"/>
      <c r="AE31" s="91"/>
      <c r="AF31" s="91"/>
      <c r="AG31" s="91"/>
      <c r="AH31" s="91"/>
      <c r="AI31" s="91"/>
      <c r="AJ31" s="91"/>
      <c r="AK31" s="91"/>
      <c r="AL31" s="91"/>
      <c r="AM31" s="91"/>
    </row>
    <row r="32" spans="1:39" ht="20.25" hidden="1" customHeight="1">
      <c r="A32" s="91"/>
      <c r="B32" s="93" t="s">
        <v>10687</v>
      </c>
      <c r="C32" s="91" t="s">
        <v>36</v>
      </c>
      <c r="D32" s="106" t="s">
        <v>10719</v>
      </c>
      <c r="E32" s="106" t="s">
        <v>10720</v>
      </c>
      <c r="F32" s="92" t="s">
        <v>10721</v>
      </c>
      <c r="G32" s="103">
        <v>45056</v>
      </c>
      <c r="H32" s="103">
        <v>20110</v>
      </c>
      <c r="I32" s="108" t="s">
        <v>12619</v>
      </c>
      <c r="J32" s="94" t="s">
        <v>10687</v>
      </c>
      <c r="K32" s="92">
        <v>988003435</v>
      </c>
      <c r="L32" s="91"/>
      <c r="M32" s="98">
        <f ca="1">(TODAY()-H32)/365</f>
        <v>70.936986301369856</v>
      </c>
      <c r="N32" s="99">
        <f>(G32-H32)/365</f>
        <v>68.345205479452048</v>
      </c>
      <c r="O32" s="98">
        <f ca="1">(TODAY()-G32)/365</f>
        <v>2.591780821917808</v>
      </c>
      <c r="P32" s="91" t="s">
        <v>43</v>
      </c>
      <c r="Q32" s="91"/>
      <c r="R32" s="91"/>
      <c r="S32" s="91"/>
      <c r="T32" s="91"/>
      <c r="U32" s="91"/>
      <c r="V32" s="91"/>
      <c r="W32" s="91"/>
      <c r="X32" s="91"/>
      <c r="Y32" s="91"/>
      <c r="Z32" s="91"/>
      <c r="AA32" s="91"/>
      <c r="AB32" s="91"/>
      <c r="AC32" s="91"/>
      <c r="AD32" s="91"/>
      <c r="AE32" s="91"/>
      <c r="AF32" s="91"/>
      <c r="AG32" s="91"/>
      <c r="AH32" s="91"/>
      <c r="AI32" s="91"/>
      <c r="AJ32" s="91"/>
      <c r="AK32" s="91"/>
      <c r="AL32" s="91"/>
      <c r="AM32" s="91"/>
    </row>
    <row r="33" spans="1:39" ht="20.25" customHeight="1">
      <c r="A33" s="91"/>
      <c r="B33" s="93" t="s">
        <v>8369</v>
      </c>
      <c r="C33" s="91" t="s">
        <v>73</v>
      </c>
      <c r="D33" s="107" t="s">
        <v>1276</v>
      </c>
      <c r="E33" s="107" t="s">
        <v>8375</v>
      </c>
      <c r="F33" s="95" t="s">
        <v>8376</v>
      </c>
      <c r="G33" s="96">
        <v>45061</v>
      </c>
      <c r="H33" s="97">
        <v>39871</v>
      </c>
      <c r="I33" s="94" t="s">
        <v>8377</v>
      </c>
      <c r="J33" s="100" t="s">
        <v>58</v>
      </c>
      <c r="K33" s="91" t="s">
        <v>58</v>
      </c>
      <c r="L33" s="91" t="s">
        <v>60</v>
      </c>
      <c r="M33" s="98">
        <f ca="1">(TODAY()-H33)/365</f>
        <v>16.797260273972604</v>
      </c>
      <c r="N33" s="99">
        <f>(G33-H33)/365</f>
        <v>14.219178082191782</v>
      </c>
      <c r="O33" s="98">
        <f ca="1">(TODAY()-G33)/365</f>
        <v>2.5780821917808221</v>
      </c>
      <c r="P33" s="91" t="s">
        <v>43</v>
      </c>
      <c r="Q33" s="91">
        <v>0</v>
      </c>
      <c r="R33" s="91">
        <v>0</v>
      </c>
      <c r="S33" s="91">
        <v>0</v>
      </c>
      <c r="T33" s="91"/>
      <c r="U33" s="91"/>
      <c r="V33" s="91"/>
      <c r="W33" s="91"/>
      <c r="X33" s="91"/>
      <c r="Y33" s="91"/>
      <c r="Z33" s="91"/>
      <c r="AA33" s="91"/>
      <c r="AB33" s="91"/>
      <c r="AC33" s="91"/>
      <c r="AD33" s="91"/>
      <c r="AE33" s="91"/>
      <c r="AF33" s="91"/>
      <c r="AG33" s="91"/>
      <c r="AH33" s="91"/>
      <c r="AI33" s="91"/>
      <c r="AJ33" s="91"/>
      <c r="AK33" s="91"/>
      <c r="AL33" s="91"/>
      <c r="AM33" s="91"/>
    </row>
    <row r="34" spans="1:39" ht="20.25" customHeight="1">
      <c r="A34" s="91"/>
      <c r="B34" s="93" t="s">
        <v>10823</v>
      </c>
      <c r="C34" s="91" t="s">
        <v>73</v>
      </c>
      <c r="D34" s="106" t="s">
        <v>10847</v>
      </c>
      <c r="E34" s="106" t="s">
        <v>10848</v>
      </c>
      <c r="F34" s="92" t="s">
        <v>10849</v>
      </c>
      <c r="G34" s="103">
        <v>44848</v>
      </c>
      <c r="H34" s="103" t="s">
        <v>58</v>
      </c>
      <c r="I34" s="94" t="s">
        <v>58</v>
      </c>
      <c r="J34" s="100" t="s">
        <v>58</v>
      </c>
      <c r="K34" s="95" t="s">
        <v>58</v>
      </c>
      <c r="L34" s="91"/>
      <c r="M34" s="98" t="e">
        <f ca="1">(TODAY()-H34)/365</f>
        <v>#VALUE!</v>
      </c>
      <c r="N34" s="99" t="e">
        <f>(G34-H34)/365</f>
        <v>#VALUE!</v>
      </c>
      <c r="O34" s="98">
        <f ca="1">(TODAY()-G34)/365</f>
        <v>3.1616438356164385</v>
      </c>
      <c r="P34" s="91" t="s">
        <v>272</v>
      </c>
      <c r="Q34" s="91"/>
      <c r="R34" s="91"/>
      <c r="S34" s="91"/>
      <c r="T34" s="91"/>
      <c r="U34" s="91"/>
      <c r="V34" s="91"/>
      <c r="W34" s="91"/>
      <c r="X34" s="91"/>
      <c r="Y34" s="91"/>
      <c r="Z34" s="91"/>
      <c r="AA34" s="91"/>
      <c r="AB34" s="91"/>
      <c r="AC34" s="91"/>
      <c r="AD34" s="91"/>
      <c r="AE34" s="91"/>
      <c r="AF34" s="91"/>
      <c r="AG34" s="91"/>
      <c r="AH34" s="91"/>
      <c r="AI34" s="91"/>
      <c r="AJ34" s="91"/>
      <c r="AK34" s="91"/>
      <c r="AL34" s="91"/>
      <c r="AM34" s="91"/>
    </row>
    <row r="35" spans="1:39" ht="20.25" hidden="1" customHeight="1">
      <c r="A35" s="91"/>
      <c r="B35" s="93" t="s">
        <v>77</v>
      </c>
      <c r="C35" s="91" t="s">
        <v>36</v>
      </c>
      <c r="D35" s="94" t="s">
        <v>86</v>
      </c>
      <c r="E35" s="94" t="s">
        <v>87</v>
      </c>
      <c r="F35" s="95" t="s">
        <v>88</v>
      </c>
      <c r="G35" s="96">
        <v>28978</v>
      </c>
      <c r="H35" s="97">
        <v>21074</v>
      </c>
      <c r="I35" s="94" t="s">
        <v>89</v>
      </c>
      <c r="J35" s="94" t="s">
        <v>90</v>
      </c>
      <c r="K35" s="95">
        <v>942927464</v>
      </c>
      <c r="L35" s="91" t="s">
        <v>60</v>
      </c>
      <c r="M35" s="98">
        <f ca="1">(TODAY()-H35)/365</f>
        <v>68.295890410958904</v>
      </c>
      <c r="N35" s="99">
        <f>(G35-H35)/365</f>
        <v>21.654794520547945</v>
      </c>
      <c r="O35" s="98">
        <f ca="1">(TODAY()-G35)/365</f>
        <v>46.641095890410959</v>
      </c>
      <c r="P35" s="91" t="s">
        <v>43</v>
      </c>
      <c r="Q35" s="91">
        <v>0</v>
      </c>
      <c r="R35" s="91">
        <v>0</v>
      </c>
      <c r="S35" s="91">
        <v>0</v>
      </c>
      <c r="T35" s="91"/>
      <c r="U35" s="91"/>
      <c r="V35" s="91"/>
      <c r="W35" s="91"/>
      <c r="X35" s="91"/>
      <c r="Y35" s="91"/>
      <c r="Z35" s="91"/>
      <c r="AA35" s="91"/>
      <c r="AB35" s="91"/>
      <c r="AC35" s="91"/>
      <c r="AD35" s="91"/>
      <c r="AE35" s="91"/>
      <c r="AF35" s="91"/>
      <c r="AG35" s="91"/>
      <c r="AH35" s="91"/>
      <c r="AI35" s="91"/>
      <c r="AJ35" s="91"/>
      <c r="AK35" s="91"/>
      <c r="AL35" s="91"/>
      <c r="AM35" s="91"/>
    </row>
    <row r="36" spans="1:39" ht="20.25" hidden="1" customHeight="1">
      <c r="A36" s="91"/>
      <c r="B36" s="93" t="s">
        <v>77</v>
      </c>
      <c r="C36" s="91" t="s">
        <v>36</v>
      </c>
      <c r="D36" s="94" t="s">
        <v>91</v>
      </c>
      <c r="E36" s="94" t="s">
        <v>92</v>
      </c>
      <c r="F36" s="95" t="s">
        <v>93</v>
      </c>
      <c r="G36" s="96">
        <v>32588</v>
      </c>
      <c r="H36" s="97">
        <v>24034</v>
      </c>
      <c r="I36" s="94" t="s">
        <v>94</v>
      </c>
      <c r="J36" s="94" t="s">
        <v>95</v>
      </c>
      <c r="K36" s="95">
        <v>949186075</v>
      </c>
      <c r="L36" s="91" t="s">
        <v>60</v>
      </c>
      <c r="M36" s="98">
        <f ca="1">(TODAY()-H36)/365</f>
        <v>60.186301369863017</v>
      </c>
      <c r="N36" s="99">
        <f>(G36-H36)/365</f>
        <v>23.435616438356163</v>
      </c>
      <c r="O36" s="98">
        <f ca="1">(TODAY()-G36)/365</f>
        <v>36.750684931506846</v>
      </c>
      <c r="P36" s="91" t="s">
        <v>43</v>
      </c>
      <c r="Q36" s="91">
        <v>0</v>
      </c>
      <c r="R36" s="91">
        <v>0</v>
      </c>
      <c r="S36" s="91">
        <v>0</v>
      </c>
      <c r="T36" s="91"/>
      <c r="U36" s="91"/>
      <c r="V36" s="91"/>
      <c r="W36" s="91"/>
      <c r="X36" s="91"/>
      <c r="Y36" s="91"/>
      <c r="Z36" s="91"/>
      <c r="AA36" s="91"/>
      <c r="AB36" s="91"/>
      <c r="AC36" s="91"/>
      <c r="AD36" s="91"/>
      <c r="AE36" s="91"/>
      <c r="AF36" s="91"/>
      <c r="AG36" s="91"/>
      <c r="AH36" s="91"/>
      <c r="AI36" s="91"/>
      <c r="AJ36" s="91"/>
      <c r="AK36" s="91"/>
      <c r="AL36" s="91"/>
      <c r="AM36" s="91"/>
    </row>
    <row r="37" spans="1:39" ht="20.25" customHeight="1">
      <c r="A37" s="91"/>
      <c r="B37" s="93" t="s">
        <v>5846</v>
      </c>
      <c r="C37" s="91" t="s">
        <v>73</v>
      </c>
      <c r="D37" s="107" t="s">
        <v>5891</v>
      </c>
      <c r="E37" s="107" t="s">
        <v>5892</v>
      </c>
      <c r="F37" s="91" t="s">
        <v>58</v>
      </c>
      <c r="G37" s="97" t="s">
        <v>58</v>
      </c>
      <c r="H37" s="97" t="s">
        <v>58</v>
      </c>
      <c r="I37" s="100" t="s">
        <v>58</v>
      </c>
      <c r="J37" s="100" t="s">
        <v>58</v>
      </c>
      <c r="K37" s="91" t="s">
        <v>58</v>
      </c>
      <c r="L37" s="91" t="s">
        <v>66</v>
      </c>
      <c r="M37" s="98"/>
      <c r="N37" s="91"/>
      <c r="O37" s="98" t="e">
        <f ca="1">(TODAY()-G37)/365</f>
        <v>#VALUE!</v>
      </c>
      <c r="P37" s="91" t="s">
        <v>43</v>
      </c>
      <c r="Q37" s="91">
        <v>0</v>
      </c>
      <c r="R37" s="91">
        <v>0</v>
      </c>
      <c r="S37" s="91">
        <v>0</v>
      </c>
      <c r="T37" s="91"/>
      <c r="U37" s="91"/>
      <c r="V37" s="91"/>
      <c r="W37" s="91"/>
      <c r="X37" s="91"/>
      <c r="Y37" s="91"/>
      <c r="Z37" s="91"/>
      <c r="AA37" s="91"/>
      <c r="AB37" s="91"/>
      <c r="AC37" s="91"/>
      <c r="AD37" s="91"/>
      <c r="AE37" s="91"/>
      <c r="AF37" s="91"/>
      <c r="AG37" s="91"/>
      <c r="AH37" s="91"/>
      <c r="AI37" s="91"/>
      <c r="AJ37" s="91"/>
      <c r="AK37" s="91"/>
      <c r="AL37" s="91"/>
      <c r="AM37" s="91"/>
    </row>
    <row r="38" spans="1:39" ht="20.25" customHeight="1">
      <c r="A38" s="91"/>
      <c r="B38" s="93" t="s">
        <v>4396</v>
      </c>
      <c r="C38" s="91" t="s">
        <v>73</v>
      </c>
      <c r="D38" s="106" t="s">
        <v>3766</v>
      </c>
      <c r="E38" s="106" t="s">
        <v>4439</v>
      </c>
      <c r="F38" s="92" t="s">
        <v>4440</v>
      </c>
      <c r="G38" s="96">
        <v>44867</v>
      </c>
      <c r="H38" s="97" t="s">
        <v>58</v>
      </c>
      <c r="I38" s="100" t="s">
        <v>58</v>
      </c>
      <c r="J38" s="100" t="s">
        <v>58</v>
      </c>
      <c r="K38" s="92" t="s">
        <v>4441</v>
      </c>
      <c r="L38" s="91" t="s">
        <v>167</v>
      </c>
      <c r="M38" s="98">
        <v>0</v>
      </c>
      <c r="N38" s="91"/>
      <c r="O38" s="98">
        <f ca="1">(TODAY()-G38)/365</f>
        <v>3.1095890410958904</v>
      </c>
      <c r="P38" s="91" t="s">
        <v>43</v>
      </c>
      <c r="Q38" s="91">
        <v>0</v>
      </c>
      <c r="R38" s="91">
        <v>0</v>
      </c>
      <c r="S38" s="91">
        <v>0</v>
      </c>
      <c r="T38" s="91"/>
      <c r="U38" s="91"/>
      <c r="V38" s="91"/>
      <c r="W38" s="91"/>
      <c r="X38" s="91"/>
      <c r="Y38" s="91"/>
      <c r="Z38" s="91"/>
      <c r="AA38" s="91"/>
      <c r="AB38" s="91"/>
      <c r="AC38" s="91"/>
      <c r="AD38" s="91"/>
      <c r="AE38" s="91"/>
      <c r="AF38" s="91"/>
      <c r="AG38" s="91"/>
      <c r="AH38" s="91"/>
      <c r="AI38" s="91"/>
      <c r="AJ38" s="91"/>
      <c r="AK38" s="91"/>
      <c r="AL38" s="91"/>
      <c r="AM38" s="91"/>
    </row>
    <row r="39" spans="1:39" ht="20.25" customHeight="1">
      <c r="A39" s="91"/>
      <c r="B39" s="93" t="s">
        <v>10232</v>
      </c>
      <c r="C39" s="91" t="s">
        <v>73</v>
      </c>
      <c r="D39" s="106" t="s">
        <v>10253</v>
      </c>
      <c r="E39" s="106" t="s">
        <v>10254</v>
      </c>
      <c r="F39" s="92" t="s">
        <v>10255</v>
      </c>
      <c r="G39" s="103">
        <v>43112</v>
      </c>
      <c r="H39" s="103">
        <v>37330</v>
      </c>
      <c r="I39" s="108" t="s">
        <v>12601</v>
      </c>
      <c r="J39" s="94" t="s">
        <v>10256</v>
      </c>
      <c r="K39" s="92">
        <v>991424570</v>
      </c>
      <c r="L39" s="91"/>
      <c r="M39" s="98">
        <f ca="1">(TODAY()-H39)/365</f>
        <v>23.758904109589039</v>
      </c>
      <c r="N39" s="99">
        <f>(G39-H39)/365</f>
        <v>15.841095890410958</v>
      </c>
      <c r="O39" s="98">
        <f ca="1">(TODAY()-G39)/365</f>
        <v>7.9178082191780819</v>
      </c>
      <c r="P39" s="91" t="s">
        <v>43</v>
      </c>
      <c r="Q39" s="91"/>
      <c r="R39" s="91"/>
      <c r="S39" s="91"/>
      <c r="T39" s="91"/>
      <c r="U39" s="91"/>
      <c r="V39" s="91"/>
      <c r="W39" s="91"/>
      <c r="X39" s="91"/>
      <c r="Y39" s="91"/>
      <c r="Z39" s="91"/>
      <c r="AA39" s="91"/>
      <c r="AB39" s="91"/>
      <c r="AC39" s="91"/>
      <c r="AD39" s="91"/>
      <c r="AE39" s="91"/>
      <c r="AF39" s="91"/>
      <c r="AG39" s="91"/>
      <c r="AH39" s="91"/>
      <c r="AI39" s="91"/>
      <c r="AJ39" s="91"/>
      <c r="AK39" s="91"/>
      <c r="AL39" s="91"/>
      <c r="AM39" s="91"/>
    </row>
    <row r="40" spans="1:39" ht="20.25" hidden="1" customHeight="1">
      <c r="A40" s="91"/>
      <c r="B40" s="93" t="s">
        <v>77</v>
      </c>
      <c r="C40" s="91" t="s">
        <v>36</v>
      </c>
      <c r="D40" s="94" t="s">
        <v>108</v>
      </c>
      <c r="E40" s="94" t="s">
        <v>109</v>
      </c>
      <c r="F40" s="95" t="s">
        <v>110</v>
      </c>
      <c r="G40" s="96">
        <v>30302</v>
      </c>
      <c r="H40" s="97">
        <v>20321</v>
      </c>
      <c r="I40" s="100" t="s">
        <v>58</v>
      </c>
      <c r="J40" s="94" t="s">
        <v>111</v>
      </c>
      <c r="K40" s="95">
        <v>995133160</v>
      </c>
      <c r="L40" s="91" t="s">
        <v>60</v>
      </c>
      <c r="M40" s="98">
        <f ca="1">(TODAY()-H40)/365</f>
        <v>70.358904109589048</v>
      </c>
      <c r="N40" s="99">
        <f>(G40-H40)/365</f>
        <v>27.345205479452055</v>
      </c>
      <c r="O40" s="98">
        <f ca="1">(TODAY()-G40)/365</f>
        <v>43.013698630136986</v>
      </c>
      <c r="P40" s="91" t="s">
        <v>43</v>
      </c>
      <c r="Q40" s="91">
        <v>0</v>
      </c>
      <c r="R40" s="91">
        <v>0</v>
      </c>
      <c r="S40" s="91">
        <v>0</v>
      </c>
      <c r="T40" s="91"/>
      <c r="U40" s="91"/>
      <c r="V40" s="91"/>
      <c r="W40" s="91"/>
      <c r="X40" s="91"/>
      <c r="Y40" s="91"/>
      <c r="Z40" s="91"/>
      <c r="AA40" s="91"/>
      <c r="AB40" s="91"/>
      <c r="AC40" s="91"/>
      <c r="AD40" s="91"/>
      <c r="AE40" s="91"/>
      <c r="AF40" s="91"/>
      <c r="AG40" s="91"/>
      <c r="AH40" s="91"/>
      <c r="AI40" s="91"/>
      <c r="AJ40" s="91"/>
      <c r="AK40" s="91"/>
      <c r="AL40" s="91"/>
      <c r="AM40" s="91"/>
    </row>
    <row r="41" spans="1:39" ht="20.25" hidden="1" customHeight="1">
      <c r="A41" s="91"/>
      <c r="B41" s="93" t="s">
        <v>77</v>
      </c>
      <c r="C41" s="91" t="s">
        <v>36</v>
      </c>
      <c r="D41" s="94" t="s">
        <v>112</v>
      </c>
      <c r="E41" s="94" t="s">
        <v>113</v>
      </c>
      <c r="F41" s="95" t="s">
        <v>114</v>
      </c>
      <c r="G41" s="96">
        <v>29694</v>
      </c>
      <c r="H41" s="97">
        <v>19692</v>
      </c>
      <c r="I41" s="94" t="s">
        <v>115</v>
      </c>
      <c r="J41" s="94" t="s">
        <v>116</v>
      </c>
      <c r="K41" s="95">
        <v>989063569</v>
      </c>
      <c r="L41" s="91" t="s">
        <v>60</v>
      </c>
      <c r="M41" s="98">
        <f ca="1">(TODAY()-H41)/365</f>
        <v>72.082191780821915</v>
      </c>
      <c r="N41" s="99">
        <f>(G41-H41)/365</f>
        <v>27.402739726027399</v>
      </c>
      <c r="O41" s="98">
        <f ca="1">(TODAY()-G41)/365</f>
        <v>44.679452054794524</v>
      </c>
      <c r="P41" s="91" t="s">
        <v>43</v>
      </c>
      <c r="Q41" s="91">
        <v>0</v>
      </c>
      <c r="R41" s="91">
        <v>0</v>
      </c>
      <c r="S41" s="91">
        <v>0</v>
      </c>
      <c r="T41" s="91"/>
      <c r="U41" s="91"/>
      <c r="V41" s="91"/>
      <c r="W41" s="91"/>
      <c r="X41" s="91"/>
      <c r="Y41" s="91"/>
      <c r="Z41" s="91"/>
      <c r="AA41" s="91"/>
      <c r="AB41" s="91"/>
      <c r="AC41" s="91"/>
      <c r="AD41" s="91"/>
      <c r="AE41" s="91"/>
      <c r="AF41" s="91"/>
      <c r="AG41" s="91"/>
      <c r="AH41" s="91"/>
      <c r="AI41" s="91"/>
      <c r="AJ41" s="91"/>
      <c r="AK41" s="91"/>
      <c r="AL41" s="91"/>
      <c r="AM41" s="91"/>
    </row>
    <row r="42" spans="1:39" ht="20.25" customHeight="1">
      <c r="A42" s="91"/>
      <c r="B42" s="93" t="s">
        <v>8287</v>
      </c>
      <c r="C42" s="91" t="s">
        <v>73</v>
      </c>
      <c r="D42" s="94" t="s">
        <v>2812</v>
      </c>
      <c r="E42" s="94" t="s">
        <v>8357</v>
      </c>
      <c r="F42" s="95" t="s">
        <v>8358</v>
      </c>
      <c r="G42" s="96">
        <v>45409</v>
      </c>
      <c r="H42" s="97">
        <v>26972</v>
      </c>
      <c r="I42" s="94" t="s">
        <v>8359</v>
      </c>
      <c r="J42" s="100" t="s">
        <v>58</v>
      </c>
      <c r="K42" s="91" t="s">
        <v>58</v>
      </c>
      <c r="L42" s="91" t="s">
        <v>60</v>
      </c>
      <c r="M42" s="98">
        <f ca="1">(TODAY()-H42)/365</f>
        <v>52.136986301369866</v>
      </c>
      <c r="N42" s="99">
        <f>(G42-H42)/365</f>
        <v>50.512328767123286</v>
      </c>
      <c r="O42" s="98">
        <f ca="1">(TODAY()-G42)/365</f>
        <v>1.6246575342465754</v>
      </c>
      <c r="P42" s="91" t="s">
        <v>43</v>
      </c>
      <c r="Q42" s="91">
        <v>0</v>
      </c>
      <c r="R42" s="91">
        <v>0</v>
      </c>
      <c r="S42" s="91">
        <v>0</v>
      </c>
      <c r="T42" s="91"/>
      <c r="U42" s="91"/>
      <c r="V42" s="91"/>
      <c r="W42" s="91"/>
      <c r="X42" s="91"/>
      <c r="Y42" s="91"/>
      <c r="Z42" s="91"/>
      <c r="AA42" s="91"/>
      <c r="AB42" s="91"/>
      <c r="AC42" s="91"/>
      <c r="AD42" s="91"/>
      <c r="AE42" s="91"/>
      <c r="AF42" s="91"/>
      <c r="AG42" s="91"/>
      <c r="AH42" s="91"/>
      <c r="AI42" s="91"/>
      <c r="AJ42" s="91"/>
      <c r="AK42" s="91"/>
      <c r="AL42" s="91"/>
      <c r="AM42" s="91"/>
    </row>
    <row r="43" spans="1:39" ht="20.25" customHeight="1">
      <c r="A43" s="128"/>
      <c r="B43" s="93" t="s">
        <v>11444</v>
      </c>
      <c r="C43" s="91" t="s">
        <v>73</v>
      </c>
      <c r="D43" s="106" t="s">
        <v>11476</v>
      </c>
      <c r="E43" s="106" t="s">
        <v>11477</v>
      </c>
      <c r="F43" s="92" t="s">
        <v>12689</v>
      </c>
      <c r="G43" s="103">
        <v>41318</v>
      </c>
      <c r="H43" s="103" t="s">
        <v>58</v>
      </c>
      <c r="I43" s="94" t="s">
        <v>58</v>
      </c>
      <c r="J43" s="100" t="s">
        <v>58</v>
      </c>
      <c r="K43" s="95" t="s">
        <v>58</v>
      </c>
      <c r="L43" s="91"/>
      <c r="M43" s="98"/>
      <c r="N43" s="99" t="e">
        <f>(G43-H43)/365</f>
        <v>#VALUE!</v>
      </c>
      <c r="O43" s="98">
        <f ca="1">(TODAY()-G43)/365</f>
        <v>12.832876712328767</v>
      </c>
      <c r="P43" s="91" t="s">
        <v>43</v>
      </c>
      <c r="Q43" s="91"/>
      <c r="R43" s="91"/>
      <c r="S43" s="91"/>
      <c r="T43" s="91"/>
      <c r="U43" s="91"/>
      <c r="V43" s="91"/>
      <c r="W43" s="91"/>
      <c r="X43" s="91"/>
      <c r="Y43" s="91"/>
      <c r="Z43" s="91"/>
      <c r="AA43" s="91"/>
      <c r="AB43" s="91"/>
      <c r="AC43" s="91"/>
      <c r="AD43" s="91"/>
      <c r="AE43" s="91"/>
      <c r="AF43" s="91"/>
      <c r="AG43" s="91"/>
      <c r="AH43" s="91"/>
      <c r="AI43" s="91"/>
      <c r="AJ43" s="91"/>
      <c r="AK43" s="91"/>
      <c r="AL43" s="91"/>
      <c r="AM43" s="91"/>
    </row>
    <row r="44" spans="1:39" ht="20.25" customHeight="1">
      <c r="A44" s="91"/>
      <c r="B44" s="93" t="s">
        <v>2419</v>
      </c>
      <c r="C44" s="91" t="s">
        <v>73</v>
      </c>
      <c r="D44" s="94" t="s">
        <v>1386</v>
      </c>
      <c r="E44" s="94" t="s">
        <v>2511</v>
      </c>
      <c r="F44" s="95" t="s">
        <v>2512</v>
      </c>
      <c r="G44" s="96" t="s">
        <v>58</v>
      </c>
      <c r="H44" s="97">
        <v>20639</v>
      </c>
      <c r="I44" s="108" t="s">
        <v>12353</v>
      </c>
      <c r="J44" s="94" t="s">
        <v>58</v>
      </c>
      <c r="K44" s="95" t="s">
        <v>58</v>
      </c>
      <c r="L44" s="91" t="s">
        <v>60</v>
      </c>
      <c r="M44" s="98">
        <f ca="1">(TODAY()-H44)/365</f>
        <v>69.487671232876707</v>
      </c>
      <c r="N44" s="95" t="s">
        <v>58</v>
      </c>
      <c r="O44" s="98" t="e">
        <f ca="1">(TODAY()-G44)/365</f>
        <v>#VALUE!</v>
      </c>
      <c r="P44" s="91" t="s">
        <v>43</v>
      </c>
      <c r="Q44" s="91">
        <v>0</v>
      </c>
      <c r="R44" s="91">
        <v>0</v>
      </c>
      <c r="S44" s="91">
        <v>0</v>
      </c>
      <c r="T44" s="91"/>
      <c r="U44" s="91"/>
      <c r="V44" s="91"/>
      <c r="W44" s="91"/>
      <c r="X44" s="91"/>
      <c r="Y44" s="91"/>
      <c r="Z44" s="91"/>
      <c r="AA44" s="91"/>
      <c r="AB44" s="91"/>
      <c r="AC44" s="91"/>
      <c r="AD44" s="91"/>
      <c r="AE44" s="91"/>
      <c r="AF44" s="91"/>
      <c r="AG44" s="91"/>
      <c r="AH44" s="91"/>
      <c r="AI44" s="91"/>
      <c r="AJ44" s="91"/>
      <c r="AK44" s="91"/>
      <c r="AL44" s="91"/>
      <c r="AM44" s="91"/>
    </row>
    <row r="45" spans="1:39" ht="20.25" customHeight="1">
      <c r="A45" s="91"/>
      <c r="B45" s="93" t="s">
        <v>11928</v>
      </c>
      <c r="C45" s="91" t="s">
        <v>73</v>
      </c>
      <c r="D45" s="107" t="s">
        <v>7507</v>
      </c>
      <c r="E45" s="107" t="s">
        <v>7508</v>
      </c>
      <c r="F45" s="91" t="s">
        <v>7509</v>
      </c>
      <c r="G45" s="96">
        <v>44535</v>
      </c>
      <c r="H45" s="97">
        <v>29529</v>
      </c>
      <c r="I45" s="94" t="s">
        <v>58</v>
      </c>
      <c r="J45" s="94" t="s">
        <v>58</v>
      </c>
      <c r="K45" s="95" t="s">
        <v>58</v>
      </c>
      <c r="L45" s="91" t="s">
        <v>60</v>
      </c>
      <c r="M45" s="98">
        <f ca="1">(TODAY()-H45)/365</f>
        <v>45.131506849315066</v>
      </c>
      <c r="N45" s="99">
        <f>(G45-H45)/365</f>
        <v>41.112328767123287</v>
      </c>
      <c r="O45" s="98">
        <f ca="1">(TODAY()-G45)/365</f>
        <v>4.0191780821917806</v>
      </c>
      <c r="P45" s="91" t="s">
        <v>272</v>
      </c>
      <c r="Q45" s="91">
        <v>0</v>
      </c>
      <c r="R45" s="91">
        <v>0</v>
      </c>
      <c r="S45" s="91">
        <v>0</v>
      </c>
      <c r="T45" s="91"/>
      <c r="U45" s="91"/>
      <c r="V45" s="91"/>
      <c r="W45" s="91"/>
      <c r="X45" s="91"/>
      <c r="Y45" s="91"/>
      <c r="Z45" s="91"/>
      <c r="AA45" s="91"/>
      <c r="AB45" s="91"/>
      <c r="AC45" s="91"/>
      <c r="AD45" s="91"/>
      <c r="AE45" s="91"/>
      <c r="AF45" s="91"/>
      <c r="AG45" s="91"/>
      <c r="AH45" s="91"/>
      <c r="AI45" s="91"/>
      <c r="AJ45" s="91"/>
      <c r="AK45" s="91"/>
      <c r="AL45" s="91"/>
      <c r="AM45" s="91"/>
    </row>
    <row r="46" spans="1:39" ht="20.25" hidden="1" customHeight="1">
      <c r="A46" s="91"/>
      <c r="B46" s="93" t="s">
        <v>77</v>
      </c>
      <c r="C46" s="91" t="s">
        <v>36</v>
      </c>
      <c r="D46" s="94" t="s">
        <v>134</v>
      </c>
      <c r="E46" s="94" t="s">
        <v>135</v>
      </c>
      <c r="F46" s="95" t="s">
        <v>136</v>
      </c>
      <c r="G46" s="96">
        <v>30419</v>
      </c>
      <c r="H46" s="97">
        <v>17124</v>
      </c>
      <c r="I46" s="100" t="s">
        <v>58</v>
      </c>
      <c r="J46" s="94" t="s">
        <v>137</v>
      </c>
      <c r="K46" s="95">
        <v>984673051</v>
      </c>
      <c r="L46" s="91" t="s">
        <v>60</v>
      </c>
      <c r="M46" s="98">
        <f ca="1">(TODAY()-H46)/365</f>
        <v>79.117808219178087</v>
      </c>
      <c r="N46" s="99">
        <f>(G46-H46)/365</f>
        <v>36.424657534246577</v>
      </c>
      <c r="O46" s="98">
        <f ca="1">(TODAY()-G46)/365</f>
        <v>42.69315068493151</v>
      </c>
      <c r="P46" s="91" t="s">
        <v>43</v>
      </c>
      <c r="Q46" s="91">
        <v>0</v>
      </c>
      <c r="R46" s="91">
        <v>0</v>
      </c>
      <c r="S46" s="91">
        <v>0</v>
      </c>
      <c r="T46" s="91"/>
      <c r="U46" s="91"/>
      <c r="V46" s="91"/>
      <c r="W46" s="91"/>
      <c r="X46" s="91"/>
      <c r="Y46" s="91"/>
      <c r="Z46" s="91"/>
      <c r="AA46" s="91"/>
      <c r="AB46" s="91"/>
      <c r="AC46" s="91"/>
      <c r="AD46" s="91"/>
      <c r="AE46" s="91"/>
      <c r="AF46" s="91"/>
      <c r="AG46" s="91"/>
      <c r="AH46" s="91"/>
      <c r="AI46" s="91"/>
      <c r="AJ46" s="91"/>
      <c r="AK46" s="91"/>
      <c r="AL46" s="91"/>
      <c r="AM46" s="91"/>
    </row>
    <row r="47" spans="1:39" ht="20.25" customHeight="1">
      <c r="A47" s="91"/>
      <c r="B47" s="93" t="s">
        <v>3610</v>
      </c>
      <c r="C47" s="91" t="s">
        <v>73</v>
      </c>
      <c r="D47" s="94" t="s">
        <v>3570</v>
      </c>
      <c r="E47" s="94" t="s">
        <v>3631</v>
      </c>
      <c r="F47" s="95" t="s">
        <v>3632</v>
      </c>
      <c r="G47" s="96">
        <v>44777</v>
      </c>
      <c r="H47" s="97">
        <v>37895</v>
      </c>
      <c r="I47" s="100" t="s">
        <v>58</v>
      </c>
      <c r="J47" s="100" t="s">
        <v>58</v>
      </c>
      <c r="K47" s="91" t="s">
        <v>58</v>
      </c>
      <c r="L47" s="91" t="s">
        <v>60</v>
      </c>
      <c r="M47" s="98">
        <f ca="1">(TODAY()-H47)/365</f>
        <v>22.210958904109589</v>
      </c>
      <c r="N47" s="99">
        <f>(G47-H47)/365</f>
        <v>18.854794520547944</v>
      </c>
      <c r="O47" s="98">
        <f ca="1">(TODAY()-G47)/365</f>
        <v>3.3561643835616439</v>
      </c>
      <c r="P47" s="91" t="s">
        <v>43</v>
      </c>
      <c r="Q47" s="91">
        <v>0</v>
      </c>
      <c r="R47" s="91">
        <v>0</v>
      </c>
      <c r="S47" s="91">
        <v>0</v>
      </c>
      <c r="T47" s="91"/>
      <c r="U47" s="91"/>
      <c r="V47" s="91"/>
      <c r="W47" s="91"/>
      <c r="X47" s="91"/>
      <c r="Y47" s="91"/>
      <c r="Z47" s="91"/>
      <c r="AA47" s="91"/>
      <c r="AB47" s="91"/>
      <c r="AC47" s="91"/>
      <c r="AD47" s="91"/>
      <c r="AE47" s="91"/>
      <c r="AF47" s="91"/>
      <c r="AG47" s="91"/>
      <c r="AH47" s="91"/>
      <c r="AI47" s="91"/>
      <c r="AJ47" s="91"/>
      <c r="AK47" s="91"/>
      <c r="AL47" s="91"/>
      <c r="AM47" s="91"/>
    </row>
    <row r="48" spans="1:39" ht="20.25" customHeight="1">
      <c r="A48" s="91"/>
      <c r="B48" s="93" t="s">
        <v>77</v>
      </c>
      <c r="C48" s="91" t="s">
        <v>73</v>
      </c>
      <c r="D48" s="94" t="s">
        <v>238</v>
      </c>
      <c r="E48" s="94" t="s">
        <v>239</v>
      </c>
      <c r="F48" s="95" t="s">
        <v>240</v>
      </c>
      <c r="G48" s="96">
        <v>45266</v>
      </c>
      <c r="H48" s="97">
        <v>20066</v>
      </c>
      <c r="I48" s="94" t="s">
        <v>241</v>
      </c>
      <c r="J48" s="100" t="s">
        <v>58</v>
      </c>
      <c r="K48" s="91" t="s">
        <v>58</v>
      </c>
      <c r="L48" s="91" t="s">
        <v>60</v>
      </c>
      <c r="M48" s="98">
        <f ca="1">(TODAY()-H48)/365</f>
        <v>71.057534246575344</v>
      </c>
      <c r="N48" s="99">
        <f>(G48-H48)/365</f>
        <v>69.041095890410958</v>
      </c>
      <c r="O48" s="98">
        <f ca="1">(TODAY()-G48)/365</f>
        <v>2.0164383561643837</v>
      </c>
      <c r="P48" s="91" t="s">
        <v>43</v>
      </c>
      <c r="Q48" s="91">
        <v>0</v>
      </c>
      <c r="R48" s="91">
        <v>0</v>
      </c>
      <c r="S48" s="91">
        <v>0</v>
      </c>
      <c r="T48" s="91"/>
      <c r="U48" s="91"/>
      <c r="V48" s="91"/>
      <c r="W48" s="91"/>
      <c r="X48" s="91"/>
      <c r="Y48" s="91"/>
      <c r="Z48" s="91"/>
      <c r="AA48" s="91"/>
      <c r="AB48" s="91"/>
      <c r="AC48" s="91"/>
      <c r="AD48" s="91"/>
      <c r="AE48" s="91"/>
      <c r="AF48" s="91"/>
      <c r="AG48" s="91"/>
      <c r="AH48" s="91"/>
      <c r="AI48" s="91"/>
      <c r="AJ48" s="91"/>
      <c r="AK48" s="91"/>
      <c r="AL48" s="91"/>
      <c r="AM48" s="91"/>
    </row>
    <row r="49" spans="1:39" ht="20.25" hidden="1" customHeight="1">
      <c r="A49" s="91"/>
      <c r="B49" s="93" t="s">
        <v>77</v>
      </c>
      <c r="C49" s="91" t="s">
        <v>36</v>
      </c>
      <c r="D49" s="94" t="s">
        <v>146</v>
      </c>
      <c r="E49" s="94" t="s">
        <v>147</v>
      </c>
      <c r="F49" s="95" t="s">
        <v>148</v>
      </c>
      <c r="G49" s="96">
        <v>38126</v>
      </c>
      <c r="H49" s="97">
        <v>24050</v>
      </c>
      <c r="I49" s="94" t="s">
        <v>149</v>
      </c>
      <c r="J49" s="94" t="s">
        <v>150</v>
      </c>
      <c r="K49" s="95">
        <v>978045000</v>
      </c>
      <c r="L49" s="91" t="s">
        <v>151</v>
      </c>
      <c r="M49" s="98">
        <f ca="1">(TODAY()-H49)/365</f>
        <v>60.142465753424659</v>
      </c>
      <c r="N49" s="99">
        <f>(G49-H49)/365</f>
        <v>38.564383561643837</v>
      </c>
      <c r="O49" s="98">
        <f ca="1">(TODAY()-G49)/365</f>
        <v>21.578082191780823</v>
      </c>
      <c r="P49" s="91" t="s">
        <v>43</v>
      </c>
      <c r="Q49" s="91">
        <v>0</v>
      </c>
      <c r="R49" s="91">
        <v>0</v>
      </c>
      <c r="S49" s="91">
        <v>0</v>
      </c>
      <c r="T49" s="91"/>
      <c r="U49" s="91"/>
      <c r="V49" s="91"/>
      <c r="W49" s="91"/>
      <c r="X49" s="91"/>
      <c r="Y49" s="91"/>
      <c r="Z49" s="91"/>
      <c r="AA49" s="91"/>
      <c r="AB49" s="91"/>
      <c r="AC49" s="91"/>
      <c r="AD49" s="91"/>
      <c r="AE49" s="91"/>
      <c r="AF49" s="91"/>
      <c r="AG49" s="91"/>
      <c r="AH49" s="91"/>
      <c r="AI49" s="91"/>
      <c r="AJ49" s="91"/>
      <c r="AK49" s="91"/>
      <c r="AL49" s="91"/>
      <c r="AM49" s="91"/>
    </row>
    <row r="50" spans="1:39" ht="20.25" hidden="1" customHeight="1">
      <c r="A50" s="91"/>
      <c r="B50" s="93" t="s">
        <v>77</v>
      </c>
      <c r="C50" s="91" t="s">
        <v>36</v>
      </c>
      <c r="D50" s="94" t="s">
        <v>152</v>
      </c>
      <c r="E50" s="94" t="s">
        <v>153</v>
      </c>
      <c r="F50" s="95" t="s">
        <v>154</v>
      </c>
      <c r="G50" s="96">
        <v>37386</v>
      </c>
      <c r="H50" s="97">
        <v>22783</v>
      </c>
      <c r="I50" s="94" t="s">
        <v>155</v>
      </c>
      <c r="J50" s="94" t="s">
        <v>156</v>
      </c>
      <c r="K50" s="95">
        <v>98842205</v>
      </c>
      <c r="L50" s="91" t="s">
        <v>60</v>
      </c>
      <c r="M50" s="98">
        <f ca="1">(TODAY()-H50)/365</f>
        <v>63.613698630136987</v>
      </c>
      <c r="N50" s="99">
        <f>(G50-H50)/365</f>
        <v>40.008219178082193</v>
      </c>
      <c r="O50" s="98">
        <f ca="1">(TODAY()-G50)/365</f>
        <v>23.605479452054794</v>
      </c>
      <c r="P50" s="91" t="s">
        <v>43</v>
      </c>
      <c r="Q50" s="91">
        <v>0</v>
      </c>
      <c r="R50" s="91">
        <v>0</v>
      </c>
      <c r="S50" s="91">
        <v>0</v>
      </c>
      <c r="T50" s="91"/>
      <c r="U50" s="91"/>
      <c r="V50" s="91"/>
      <c r="W50" s="91"/>
      <c r="X50" s="91"/>
      <c r="Y50" s="91"/>
      <c r="Z50" s="91"/>
      <c r="AA50" s="91"/>
      <c r="AB50" s="91"/>
      <c r="AC50" s="91"/>
      <c r="AD50" s="91"/>
      <c r="AE50" s="91"/>
      <c r="AF50" s="91"/>
      <c r="AG50" s="91"/>
      <c r="AH50" s="91"/>
      <c r="AI50" s="91"/>
      <c r="AJ50" s="91"/>
      <c r="AK50" s="91"/>
      <c r="AL50" s="91"/>
      <c r="AM50" s="91"/>
    </row>
    <row r="51" spans="1:39" ht="20.25" hidden="1" customHeight="1">
      <c r="A51" s="91"/>
      <c r="B51" s="93" t="s">
        <v>77</v>
      </c>
      <c r="C51" s="91" t="s">
        <v>36</v>
      </c>
      <c r="D51" s="94" t="s">
        <v>157</v>
      </c>
      <c r="E51" s="94" t="s">
        <v>158</v>
      </c>
      <c r="F51" s="95" t="s">
        <v>159</v>
      </c>
      <c r="G51" s="96">
        <v>37545</v>
      </c>
      <c r="H51" s="97">
        <v>22746</v>
      </c>
      <c r="I51" s="94" t="s">
        <v>160</v>
      </c>
      <c r="J51" s="94" t="s">
        <v>161</v>
      </c>
      <c r="K51" s="95">
        <v>931926001</v>
      </c>
      <c r="L51" s="91" t="s">
        <v>60</v>
      </c>
      <c r="M51" s="98">
        <f ca="1">(TODAY()-H51)/365</f>
        <v>63.715068493150682</v>
      </c>
      <c r="N51" s="99">
        <f>(G51-H51)/365</f>
        <v>40.545205479452058</v>
      </c>
      <c r="O51" s="98">
        <f ca="1">(TODAY()-G51)/365</f>
        <v>23.169863013698631</v>
      </c>
      <c r="P51" s="91" t="s">
        <v>43</v>
      </c>
      <c r="Q51" s="91">
        <v>0</v>
      </c>
      <c r="R51" s="91">
        <v>0</v>
      </c>
      <c r="S51" s="91">
        <v>0</v>
      </c>
      <c r="T51" s="91"/>
      <c r="U51" s="91"/>
      <c r="V51" s="91"/>
      <c r="W51" s="91"/>
      <c r="X51" s="91"/>
      <c r="Y51" s="91"/>
      <c r="Z51" s="91"/>
      <c r="AA51" s="91"/>
      <c r="AB51" s="91"/>
      <c r="AC51" s="91"/>
      <c r="AD51" s="91"/>
      <c r="AE51" s="91"/>
      <c r="AF51" s="91"/>
      <c r="AG51" s="91"/>
      <c r="AH51" s="91"/>
      <c r="AI51" s="91"/>
      <c r="AJ51" s="91"/>
      <c r="AK51" s="91"/>
      <c r="AL51" s="91"/>
      <c r="AM51" s="91"/>
    </row>
    <row r="52" spans="1:39" ht="20.25" hidden="1" customHeight="1">
      <c r="A52" s="91"/>
      <c r="B52" s="93" t="s">
        <v>77</v>
      </c>
      <c r="C52" s="91" t="s">
        <v>36</v>
      </c>
      <c r="D52" s="94" t="s">
        <v>162</v>
      </c>
      <c r="E52" s="94" t="s">
        <v>163</v>
      </c>
      <c r="F52" s="95" t="s">
        <v>164</v>
      </c>
      <c r="G52" s="96">
        <v>30145</v>
      </c>
      <c r="H52" s="97">
        <v>15241</v>
      </c>
      <c r="I52" s="94" t="s">
        <v>165</v>
      </c>
      <c r="J52" s="94" t="s">
        <v>166</v>
      </c>
      <c r="K52" s="95">
        <v>93119601</v>
      </c>
      <c r="L52" s="91" t="s">
        <v>167</v>
      </c>
      <c r="M52" s="98">
        <f ca="1">(TODAY()-H52)/365</f>
        <v>84.276712328767118</v>
      </c>
      <c r="N52" s="99">
        <f>(G52-H52)/365</f>
        <v>40.832876712328769</v>
      </c>
      <c r="O52" s="98">
        <f ca="1">(TODAY()-G52)/365</f>
        <v>43.443835616438356</v>
      </c>
      <c r="P52" s="91" t="s">
        <v>43</v>
      </c>
      <c r="Q52" s="91">
        <v>0</v>
      </c>
      <c r="R52" s="91">
        <v>0</v>
      </c>
      <c r="S52" s="91">
        <v>0</v>
      </c>
      <c r="T52" s="91"/>
      <c r="U52" s="91"/>
      <c r="V52" s="91"/>
      <c r="W52" s="91"/>
      <c r="X52" s="91"/>
      <c r="Y52" s="91"/>
      <c r="Z52" s="91"/>
      <c r="AA52" s="91"/>
      <c r="AB52" s="91"/>
      <c r="AC52" s="91"/>
      <c r="AD52" s="91"/>
      <c r="AE52" s="91"/>
      <c r="AF52" s="91"/>
      <c r="AG52" s="91"/>
      <c r="AH52" s="91"/>
      <c r="AI52" s="91"/>
      <c r="AJ52" s="91"/>
      <c r="AK52" s="91"/>
      <c r="AL52" s="91"/>
      <c r="AM52" s="91"/>
    </row>
    <row r="53" spans="1:39" ht="20.25" customHeight="1">
      <c r="A53" s="91"/>
      <c r="B53" s="93" t="s">
        <v>4648</v>
      </c>
      <c r="C53" s="91" t="s">
        <v>73</v>
      </c>
      <c r="D53" s="94" t="s">
        <v>4655</v>
      </c>
      <c r="E53" s="94" t="s">
        <v>4656</v>
      </c>
      <c r="F53" s="95" t="s">
        <v>4657</v>
      </c>
      <c r="G53" s="96">
        <v>45597</v>
      </c>
      <c r="H53" s="97">
        <v>30785</v>
      </c>
      <c r="I53" s="94" t="s">
        <v>4658</v>
      </c>
      <c r="J53" s="100" t="s">
        <v>58</v>
      </c>
      <c r="K53" s="91" t="s">
        <v>58</v>
      </c>
      <c r="L53" s="91" t="s">
        <v>60</v>
      </c>
      <c r="M53" s="98">
        <f ca="1">(TODAY()-H53)/365</f>
        <v>41.69041095890411</v>
      </c>
      <c r="N53" s="99">
        <f>(G53-H53)/365</f>
        <v>40.580821917808223</v>
      </c>
      <c r="O53" s="98">
        <f ca="1">(TODAY()-G53)/365</f>
        <v>1.1095890410958904</v>
      </c>
      <c r="P53" s="91" t="s">
        <v>43</v>
      </c>
      <c r="Q53" s="91">
        <v>0</v>
      </c>
      <c r="R53" s="91">
        <v>0</v>
      </c>
      <c r="S53" s="91">
        <v>0</v>
      </c>
      <c r="T53" s="91"/>
      <c r="U53" s="91"/>
      <c r="V53" s="91"/>
      <c r="W53" s="91"/>
      <c r="X53" s="91"/>
      <c r="Y53" s="91"/>
      <c r="Z53" s="91"/>
      <c r="AA53" s="91"/>
      <c r="AB53" s="91"/>
      <c r="AC53" s="91"/>
      <c r="AD53" s="91"/>
      <c r="AE53" s="91"/>
      <c r="AF53" s="91"/>
      <c r="AG53" s="91"/>
      <c r="AH53" s="91"/>
      <c r="AI53" s="91"/>
      <c r="AJ53" s="91"/>
      <c r="AK53" s="91"/>
      <c r="AL53" s="91"/>
      <c r="AM53" s="91"/>
    </row>
    <row r="54" spans="1:39" ht="20.25" hidden="1" customHeight="1">
      <c r="A54" s="91"/>
      <c r="B54" s="93" t="s">
        <v>77</v>
      </c>
      <c r="C54" s="91" t="s">
        <v>36</v>
      </c>
      <c r="D54" s="94" t="s">
        <v>171</v>
      </c>
      <c r="E54" s="94" t="s">
        <v>172</v>
      </c>
      <c r="F54" s="95" t="s">
        <v>173</v>
      </c>
      <c r="G54" s="96">
        <v>33725</v>
      </c>
      <c r="H54" s="97">
        <v>17360</v>
      </c>
      <c r="I54" s="94" t="s">
        <v>174</v>
      </c>
      <c r="J54" s="94" t="s">
        <v>175</v>
      </c>
      <c r="K54" s="95">
        <v>956444330</v>
      </c>
      <c r="L54" s="91" t="s">
        <v>72</v>
      </c>
      <c r="M54" s="98">
        <f ca="1">(TODAY()-H54)/365</f>
        <v>78.471232876712335</v>
      </c>
      <c r="N54" s="99">
        <f>(G54-H54)/365</f>
        <v>44.835616438356162</v>
      </c>
      <c r="O54" s="98">
        <f ca="1">(TODAY()-G54)/365</f>
        <v>33.635616438356166</v>
      </c>
      <c r="P54" s="91" t="s">
        <v>43</v>
      </c>
      <c r="Q54" s="91">
        <v>0</v>
      </c>
      <c r="R54" s="91">
        <v>0</v>
      </c>
      <c r="S54" s="91">
        <v>0</v>
      </c>
      <c r="T54" s="91"/>
      <c r="U54" s="91"/>
      <c r="V54" s="91"/>
      <c r="W54" s="91"/>
      <c r="X54" s="91"/>
      <c r="Y54" s="91"/>
      <c r="Z54" s="91"/>
      <c r="AA54" s="91"/>
      <c r="AB54" s="91"/>
      <c r="AC54" s="91"/>
      <c r="AD54" s="91"/>
      <c r="AE54" s="91"/>
      <c r="AF54" s="91"/>
      <c r="AG54" s="91"/>
      <c r="AH54" s="91"/>
      <c r="AI54" s="91"/>
      <c r="AJ54" s="91"/>
      <c r="AK54" s="91"/>
      <c r="AL54" s="91"/>
      <c r="AM54" s="91"/>
    </row>
    <row r="55" spans="1:39" ht="20.25" customHeight="1">
      <c r="A55" s="91"/>
      <c r="B55" s="93" t="s">
        <v>1477</v>
      </c>
      <c r="C55" s="91" t="s">
        <v>73</v>
      </c>
      <c r="D55" s="94" t="s">
        <v>126</v>
      </c>
      <c r="E55" s="94" t="s">
        <v>1543</v>
      </c>
      <c r="F55" s="95" t="s">
        <v>1544</v>
      </c>
      <c r="G55" s="96">
        <v>41036</v>
      </c>
      <c r="H55" s="97">
        <v>34313</v>
      </c>
      <c r="I55" s="94" t="s">
        <v>1545</v>
      </c>
      <c r="J55" s="100" t="s">
        <v>58</v>
      </c>
      <c r="K55" s="91" t="s">
        <v>58</v>
      </c>
      <c r="L55" s="91" t="s">
        <v>60</v>
      </c>
      <c r="M55" s="98">
        <f ca="1">(TODAY()-H55)/365</f>
        <v>32.024657534246572</v>
      </c>
      <c r="N55" s="99">
        <f>(G55-H55)/365</f>
        <v>18.419178082191781</v>
      </c>
      <c r="O55" s="98">
        <f ca="1">(TODAY()-G55)/365</f>
        <v>13.605479452054794</v>
      </c>
      <c r="P55" s="91" t="s">
        <v>43</v>
      </c>
      <c r="Q55" s="91">
        <v>0</v>
      </c>
      <c r="R55" s="91">
        <v>0</v>
      </c>
      <c r="S55" s="91">
        <v>0</v>
      </c>
      <c r="T55" s="91"/>
      <c r="U55" s="91"/>
      <c r="V55" s="91"/>
      <c r="W55" s="91"/>
      <c r="X55" s="91"/>
      <c r="Y55" s="91"/>
      <c r="Z55" s="91"/>
      <c r="AA55" s="91"/>
      <c r="AB55" s="91"/>
      <c r="AC55" s="91"/>
      <c r="AD55" s="91"/>
      <c r="AE55" s="91"/>
      <c r="AF55" s="91"/>
      <c r="AG55" s="91"/>
      <c r="AH55" s="91"/>
      <c r="AI55" s="91"/>
      <c r="AJ55" s="91"/>
      <c r="AK55" s="91"/>
      <c r="AL55" s="91"/>
      <c r="AM55" s="91"/>
    </row>
    <row r="56" spans="1:39" ht="20.25" hidden="1" customHeight="1">
      <c r="A56" s="91"/>
      <c r="B56" s="93" t="s">
        <v>77</v>
      </c>
      <c r="C56" s="91" t="s">
        <v>36</v>
      </c>
      <c r="D56" s="94" t="s">
        <v>180</v>
      </c>
      <c r="E56" s="94" t="s">
        <v>181</v>
      </c>
      <c r="F56" s="95" t="s">
        <v>182</v>
      </c>
      <c r="G56" s="96">
        <v>38617</v>
      </c>
      <c r="H56" s="97">
        <v>21419</v>
      </c>
      <c r="I56" s="100" t="s">
        <v>58</v>
      </c>
      <c r="J56" s="94" t="s">
        <v>183</v>
      </c>
      <c r="K56" s="95">
        <v>977470401</v>
      </c>
      <c r="L56" s="91" t="s">
        <v>60</v>
      </c>
      <c r="M56" s="98">
        <f ca="1">(TODAY()-H56)/365</f>
        <v>67.350684931506848</v>
      </c>
      <c r="N56" s="99">
        <f>(G56-H56)/365</f>
        <v>47.11780821917808</v>
      </c>
      <c r="O56" s="98">
        <f ca="1">(TODAY()-G56)/365</f>
        <v>20.232876712328768</v>
      </c>
      <c r="P56" s="91" t="s">
        <v>43</v>
      </c>
      <c r="Q56" s="91">
        <v>0</v>
      </c>
      <c r="R56" s="91">
        <v>0</v>
      </c>
      <c r="S56" s="91">
        <v>0</v>
      </c>
      <c r="T56" s="91"/>
      <c r="U56" s="91"/>
      <c r="V56" s="91"/>
      <c r="W56" s="91"/>
      <c r="X56" s="91"/>
      <c r="Y56" s="91"/>
      <c r="Z56" s="91"/>
      <c r="AA56" s="91"/>
      <c r="AB56" s="91"/>
      <c r="AC56" s="91"/>
      <c r="AD56" s="91"/>
      <c r="AE56" s="91"/>
      <c r="AF56" s="91"/>
      <c r="AG56" s="91"/>
      <c r="AH56" s="91"/>
      <c r="AI56" s="91"/>
      <c r="AJ56" s="91"/>
      <c r="AK56" s="91"/>
      <c r="AL56" s="91"/>
      <c r="AM56" s="91"/>
    </row>
    <row r="57" spans="1:39" ht="20.25" hidden="1" customHeight="1">
      <c r="A57" s="91"/>
      <c r="B57" s="93" t="s">
        <v>77</v>
      </c>
      <c r="C57" s="91" t="s">
        <v>36</v>
      </c>
      <c r="D57" s="94" t="s">
        <v>184</v>
      </c>
      <c r="E57" s="94" t="s">
        <v>185</v>
      </c>
      <c r="F57" s="95" t="s">
        <v>186</v>
      </c>
      <c r="G57" s="96">
        <v>37026</v>
      </c>
      <c r="H57" s="97">
        <v>19300</v>
      </c>
      <c r="I57" s="94" t="s">
        <v>187</v>
      </c>
      <c r="J57" s="94" t="s">
        <v>188</v>
      </c>
      <c r="K57" s="95">
        <v>999370454</v>
      </c>
      <c r="L57" s="91" t="s">
        <v>60</v>
      </c>
      <c r="M57" s="98">
        <f ca="1">(TODAY()-H57)/365</f>
        <v>73.156164383561645</v>
      </c>
      <c r="N57" s="99">
        <f>(G57-H57)/365</f>
        <v>48.564383561643837</v>
      </c>
      <c r="O57" s="98">
        <f ca="1">(TODAY()-G57)/365</f>
        <v>24.591780821917808</v>
      </c>
      <c r="P57" s="91" t="s">
        <v>43</v>
      </c>
      <c r="Q57" s="91">
        <v>0</v>
      </c>
      <c r="R57" s="91">
        <v>0</v>
      </c>
      <c r="S57" s="91">
        <v>0</v>
      </c>
      <c r="T57" s="91"/>
      <c r="U57" s="91"/>
      <c r="V57" s="91"/>
      <c r="W57" s="91"/>
      <c r="X57" s="91"/>
      <c r="Y57" s="91"/>
      <c r="Z57" s="91"/>
      <c r="AA57" s="91"/>
      <c r="AB57" s="91"/>
      <c r="AC57" s="91"/>
      <c r="AD57" s="91"/>
      <c r="AE57" s="91"/>
      <c r="AF57" s="91"/>
      <c r="AG57" s="91"/>
      <c r="AH57" s="91"/>
      <c r="AI57" s="91"/>
      <c r="AJ57" s="91"/>
      <c r="AK57" s="91"/>
      <c r="AL57" s="91"/>
      <c r="AM57" s="91"/>
    </row>
    <row r="58" spans="1:39" ht="20.25" customHeight="1">
      <c r="A58" s="91"/>
      <c r="B58" s="93" t="s">
        <v>9558</v>
      </c>
      <c r="C58" s="91" t="s">
        <v>73</v>
      </c>
      <c r="D58" s="94" t="s">
        <v>3187</v>
      </c>
      <c r="E58" s="94" t="s">
        <v>9627</v>
      </c>
      <c r="F58" s="91" t="s">
        <v>58</v>
      </c>
      <c r="G58" s="96">
        <v>41640</v>
      </c>
      <c r="H58" s="97" t="s">
        <v>58</v>
      </c>
      <c r="I58" s="100" t="s">
        <v>58</v>
      </c>
      <c r="J58" s="100" t="s">
        <v>58</v>
      </c>
      <c r="K58" s="91" t="s">
        <v>58</v>
      </c>
      <c r="L58" s="91" t="s">
        <v>60</v>
      </c>
      <c r="M58" s="98"/>
      <c r="N58" s="99"/>
      <c r="O58" s="98">
        <f ca="1">(TODAY()-G58)/365</f>
        <v>11.950684931506849</v>
      </c>
      <c r="P58" s="91" t="s">
        <v>272</v>
      </c>
      <c r="Q58" s="91">
        <v>0</v>
      </c>
      <c r="R58" s="91">
        <v>0</v>
      </c>
      <c r="S58" s="91">
        <v>0</v>
      </c>
      <c r="T58" s="91"/>
      <c r="U58" s="91"/>
      <c r="V58" s="91"/>
      <c r="W58" s="91"/>
      <c r="X58" s="91"/>
      <c r="Y58" s="91"/>
      <c r="Z58" s="91"/>
      <c r="AA58" s="91"/>
      <c r="AB58" s="91"/>
      <c r="AC58" s="91"/>
      <c r="AD58" s="91"/>
      <c r="AE58" s="91"/>
      <c r="AF58" s="91"/>
      <c r="AG58" s="91"/>
      <c r="AH58" s="91"/>
      <c r="AI58" s="91"/>
      <c r="AJ58" s="91"/>
      <c r="AK58" s="91"/>
      <c r="AL58" s="91"/>
      <c r="AM58" s="91"/>
    </row>
    <row r="59" spans="1:39" ht="20.25" hidden="1" customHeight="1">
      <c r="A59" s="91"/>
      <c r="B59" s="93" t="s">
        <v>77</v>
      </c>
      <c r="C59" s="91" t="s">
        <v>36</v>
      </c>
      <c r="D59" s="94" t="s">
        <v>192</v>
      </c>
      <c r="E59" s="94" t="s">
        <v>193</v>
      </c>
      <c r="F59" s="95" t="s">
        <v>194</v>
      </c>
      <c r="G59" s="96">
        <v>42357</v>
      </c>
      <c r="H59" s="97">
        <v>23018</v>
      </c>
      <c r="I59" s="94" t="s">
        <v>195</v>
      </c>
      <c r="J59" s="94" t="s">
        <v>196</v>
      </c>
      <c r="K59" s="95">
        <v>984429676</v>
      </c>
      <c r="L59" s="91" t="s">
        <v>197</v>
      </c>
      <c r="M59" s="98">
        <f ca="1">(TODAY()-H59)/365</f>
        <v>62.969863013698628</v>
      </c>
      <c r="N59" s="99">
        <f>(G59-H59)/365</f>
        <v>52.983561643835614</v>
      </c>
      <c r="O59" s="98">
        <f ca="1">(TODAY()-G59)/365</f>
        <v>9.9863013698630141</v>
      </c>
      <c r="P59" s="91" t="s">
        <v>43</v>
      </c>
      <c r="Q59" s="91">
        <v>0</v>
      </c>
      <c r="R59" s="91">
        <v>0</v>
      </c>
      <c r="S59" s="91">
        <v>0</v>
      </c>
      <c r="T59" s="91"/>
      <c r="U59" s="91"/>
      <c r="V59" s="91"/>
      <c r="W59" s="91"/>
      <c r="X59" s="91"/>
      <c r="Y59" s="91"/>
      <c r="Z59" s="91"/>
      <c r="AA59" s="91"/>
      <c r="AB59" s="91"/>
      <c r="AC59" s="91"/>
      <c r="AD59" s="91"/>
      <c r="AE59" s="91"/>
      <c r="AF59" s="91"/>
      <c r="AG59" s="91"/>
      <c r="AH59" s="91"/>
      <c r="AI59" s="91"/>
      <c r="AJ59" s="91"/>
      <c r="AK59" s="91"/>
      <c r="AL59" s="91"/>
      <c r="AM59" s="91"/>
    </row>
    <row r="60" spans="1:39" ht="20.25" customHeight="1">
      <c r="A60" s="91"/>
      <c r="B60" s="93" t="s">
        <v>3610</v>
      </c>
      <c r="C60" s="91" t="s">
        <v>73</v>
      </c>
      <c r="D60" s="94" t="s">
        <v>2671</v>
      </c>
      <c r="E60" s="94" t="s">
        <v>3628</v>
      </c>
      <c r="F60" s="95" t="s">
        <v>3629</v>
      </c>
      <c r="G60" s="96">
        <v>44879</v>
      </c>
      <c r="H60" s="97">
        <v>38130</v>
      </c>
      <c r="I60" s="94" t="s">
        <v>3630</v>
      </c>
      <c r="J60" s="100" t="s">
        <v>58</v>
      </c>
      <c r="K60" s="91" t="s">
        <v>58</v>
      </c>
      <c r="L60" s="91" t="s">
        <v>60</v>
      </c>
      <c r="M60" s="98">
        <f ca="1">(TODAY()-H60)/365</f>
        <v>21.567123287671233</v>
      </c>
      <c r="N60" s="99">
        <f>(G60-H60)/365</f>
        <v>18.490410958904111</v>
      </c>
      <c r="O60" s="98">
        <f ca="1">(TODAY()-G60)/365</f>
        <v>3.0767123287671234</v>
      </c>
      <c r="P60" s="91" t="s">
        <v>43</v>
      </c>
      <c r="Q60" s="91">
        <v>0</v>
      </c>
      <c r="R60" s="91">
        <v>0</v>
      </c>
      <c r="S60" s="91">
        <v>0</v>
      </c>
      <c r="T60" s="91"/>
      <c r="U60" s="91"/>
      <c r="V60" s="91"/>
      <c r="W60" s="91"/>
      <c r="X60" s="91"/>
      <c r="Y60" s="91"/>
      <c r="Z60" s="91"/>
      <c r="AA60" s="91"/>
      <c r="AB60" s="91"/>
      <c r="AC60" s="91"/>
      <c r="AD60" s="91"/>
      <c r="AE60" s="91"/>
      <c r="AF60" s="91"/>
      <c r="AG60" s="91"/>
      <c r="AH60" s="91"/>
      <c r="AI60" s="91"/>
      <c r="AJ60" s="91"/>
      <c r="AK60" s="91"/>
      <c r="AL60" s="91"/>
      <c r="AM60" s="91"/>
    </row>
    <row r="61" spans="1:39" ht="20.25" hidden="1" customHeight="1">
      <c r="A61" s="91"/>
      <c r="B61" s="93" t="s">
        <v>77</v>
      </c>
      <c r="C61" s="91" t="s">
        <v>36</v>
      </c>
      <c r="D61" s="94" t="s">
        <v>202</v>
      </c>
      <c r="E61" s="94" t="s">
        <v>203</v>
      </c>
      <c r="F61" s="95" t="s">
        <v>204</v>
      </c>
      <c r="G61" s="96">
        <v>41519</v>
      </c>
      <c r="H61" s="97">
        <v>19843</v>
      </c>
      <c r="I61" s="104" t="s">
        <v>205</v>
      </c>
      <c r="J61" s="94" t="s">
        <v>206</v>
      </c>
      <c r="K61" s="95">
        <v>987515358</v>
      </c>
      <c r="L61" s="91" t="s">
        <v>54</v>
      </c>
      <c r="M61" s="98">
        <f ca="1">(TODAY()-H61)/365</f>
        <v>71.668493150684938</v>
      </c>
      <c r="N61" s="99">
        <f>(G61-H61)/365</f>
        <v>59.386301369863013</v>
      </c>
      <c r="O61" s="98">
        <f ca="1">(TODAY()-G61)/365</f>
        <v>12.282191780821918</v>
      </c>
      <c r="P61" s="91" t="s">
        <v>43</v>
      </c>
      <c r="Q61" s="91">
        <v>0</v>
      </c>
      <c r="R61" s="91">
        <v>0</v>
      </c>
      <c r="S61" s="91">
        <v>0</v>
      </c>
      <c r="T61" s="91"/>
      <c r="U61" s="91"/>
      <c r="V61" s="91"/>
      <c r="W61" s="91"/>
      <c r="X61" s="91"/>
      <c r="Y61" s="91"/>
      <c r="Z61" s="91"/>
      <c r="AA61" s="91"/>
      <c r="AB61" s="91"/>
      <c r="AC61" s="91"/>
      <c r="AD61" s="91"/>
      <c r="AE61" s="91"/>
      <c r="AF61" s="91"/>
      <c r="AG61" s="91"/>
      <c r="AH61" s="91"/>
      <c r="AI61" s="91"/>
      <c r="AJ61" s="91"/>
      <c r="AK61" s="91"/>
      <c r="AL61" s="91"/>
      <c r="AM61" s="91"/>
    </row>
    <row r="62" spans="1:39" ht="20.25" customHeight="1">
      <c r="A62" s="91"/>
      <c r="B62" s="93" t="s">
        <v>10061</v>
      </c>
      <c r="C62" s="91" t="s">
        <v>73</v>
      </c>
      <c r="D62" s="106" t="s">
        <v>10121</v>
      </c>
      <c r="E62" s="106" t="s">
        <v>10122</v>
      </c>
      <c r="F62" s="92" t="s">
        <v>10123</v>
      </c>
      <c r="G62" s="103">
        <v>45200</v>
      </c>
      <c r="H62" s="103">
        <v>30036</v>
      </c>
      <c r="I62" s="94" t="s">
        <v>10124</v>
      </c>
      <c r="J62" s="100" t="s">
        <v>58</v>
      </c>
      <c r="K62" s="95" t="s">
        <v>58</v>
      </c>
      <c r="L62" s="91"/>
      <c r="M62" s="98">
        <f ca="1">(TODAY()-H62)/365</f>
        <v>43.742465753424661</v>
      </c>
      <c r="N62" s="99">
        <f>(G62-H62)/365</f>
        <v>41.545205479452058</v>
      </c>
      <c r="O62" s="98">
        <f ca="1">(TODAY()-G62)/365</f>
        <v>2.1972602739726028</v>
      </c>
      <c r="P62" s="91" t="s">
        <v>43</v>
      </c>
      <c r="Q62" s="91"/>
      <c r="R62" s="91"/>
      <c r="S62" s="91"/>
      <c r="T62" s="91"/>
      <c r="U62" s="91"/>
      <c r="V62" s="91"/>
      <c r="W62" s="91"/>
      <c r="X62" s="91"/>
      <c r="Y62" s="91"/>
      <c r="Z62" s="91"/>
      <c r="AA62" s="91"/>
      <c r="AB62" s="91"/>
      <c r="AC62" s="91"/>
      <c r="AD62" s="91"/>
      <c r="AE62" s="91"/>
      <c r="AF62" s="91"/>
      <c r="AG62" s="91"/>
      <c r="AH62" s="91"/>
      <c r="AI62" s="91"/>
      <c r="AJ62" s="91"/>
      <c r="AK62" s="91"/>
      <c r="AL62" s="91"/>
      <c r="AM62" s="91"/>
    </row>
    <row r="63" spans="1:39" ht="20.25" hidden="1" customHeight="1">
      <c r="A63" s="91"/>
      <c r="B63" s="93" t="s">
        <v>77</v>
      </c>
      <c r="C63" s="91" t="s">
        <v>36</v>
      </c>
      <c r="D63" s="94" t="s">
        <v>211</v>
      </c>
      <c r="E63" s="94" t="s">
        <v>212</v>
      </c>
      <c r="F63" s="95" t="s">
        <v>213</v>
      </c>
      <c r="G63" s="96">
        <v>41048</v>
      </c>
      <c r="H63" s="97">
        <v>18692</v>
      </c>
      <c r="I63" s="105" t="s">
        <v>214</v>
      </c>
      <c r="J63" s="94" t="s">
        <v>215</v>
      </c>
      <c r="K63" s="95">
        <v>981564090</v>
      </c>
      <c r="L63" s="91" t="s">
        <v>216</v>
      </c>
      <c r="M63" s="98">
        <f ca="1">(TODAY()-H63)/365</f>
        <v>74.821917808219183</v>
      </c>
      <c r="N63" s="99">
        <f>(G63-H63)/365</f>
        <v>61.249315068493154</v>
      </c>
      <c r="O63" s="98">
        <f ca="1">(TODAY()-G63)/365</f>
        <v>13.572602739726028</v>
      </c>
      <c r="P63" s="91" t="s">
        <v>43</v>
      </c>
      <c r="Q63" s="91">
        <v>0</v>
      </c>
      <c r="R63" s="91">
        <v>0</v>
      </c>
      <c r="S63" s="91">
        <v>0</v>
      </c>
      <c r="T63" s="91"/>
      <c r="U63" s="91"/>
      <c r="V63" s="91"/>
      <c r="W63" s="91"/>
      <c r="X63" s="91"/>
      <c r="Y63" s="91"/>
      <c r="Z63" s="91"/>
      <c r="AA63" s="91"/>
      <c r="AB63" s="91"/>
      <c r="AC63" s="91"/>
      <c r="AD63" s="91"/>
      <c r="AE63" s="91"/>
      <c r="AF63" s="91"/>
      <c r="AG63" s="91"/>
      <c r="AH63" s="91"/>
      <c r="AI63" s="91"/>
      <c r="AJ63" s="91"/>
      <c r="AK63" s="91"/>
      <c r="AL63" s="91"/>
      <c r="AM63" s="91"/>
    </row>
    <row r="64" spans="1:39" ht="20.25" customHeight="1">
      <c r="A64" s="91"/>
      <c r="B64" s="93" t="s">
        <v>3992</v>
      </c>
      <c r="C64" s="91" t="s">
        <v>73</v>
      </c>
      <c r="D64" s="94" t="s">
        <v>4001</v>
      </c>
      <c r="E64" s="94" t="s">
        <v>4002</v>
      </c>
      <c r="F64" s="95" t="s">
        <v>4003</v>
      </c>
      <c r="G64" s="96">
        <v>45215</v>
      </c>
      <c r="H64" s="97">
        <v>35704</v>
      </c>
      <c r="I64" s="94" t="s">
        <v>58</v>
      </c>
      <c r="J64" s="94" t="s">
        <v>58</v>
      </c>
      <c r="K64" s="95" t="s">
        <v>58</v>
      </c>
      <c r="L64" s="91" t="s">
        <v>60</v>
      </c>
      <c r="M64" s="98">
        <f ca="1">(TODAY()-H64)/365</f>
        <v>28.213698630136985</v>
      </c>
      <c r="N64" s="99">
        <f>(G64-H64)/365</f>
        <v>26.057534246575344</v>
      </c>
      <c r="O64" s="98">
        <f ca="1">(TODAY()-G64)/365</f>
        <v>2.1561643835616437</v>
      </c>
      <c r="P64" s="91" t="s">
        <v>43</v>
      </c>
      <c r="Q64" s="91">
        <v>0</v>
      </c>
      <c r="R64" s="91">
        <v>0</v>
      </c>
      <c r="S64" s="91">
        <v>0</v>
      </c>
      <c r="T64" s="91"/>
      <c r="U64" s="91"/>
      <c r="V64" s="91"/>
      <c r="W64" s="91"/>
      <c r="X64" s="91"/>
      <c r="Y64" s="91"/>
      <c r="Z64" s="91"/>
      <c r="AA64" s="91"/>
      <c r="AB64" s="91"/>
      <c r="AC64" s="91"/>
      <c r="AD64" s="91"/>
      <c r="AE64" s="91"/>
      <c r="AF64" s="91"/>
      <c r="AG64" s="91"/>
      <c r="AH64" s="91"/>
      <c r="AI64" s="91"/>
      <c r="AJ64" s="91"/>
      <c r="AK64" s="91"/>
      <c r="AL64" s="91"/>
      <c r="AM64" s="91"/>
    </row>
    <row r="65" spans="1:39" ht="20.25" hidden="1" customHeight="1">
      <c r="A65" s="91"/>
      <c r="B65" s="93" t="s">
        <v>77</v>
      </c>
      <c r="C65" s="91" t="s">
        <v>36</v>
      </c>
      <c r="D65" s="94" t="s">
        <v>221</v>
      </c>
      <c r="E65" s="94" t="s">
        <v>222</v>
      </c>
      <c r="F65" s="95" t="s">
        <v>223</v>
      </c>
      <c r="G65" s="96">
        <v>43041</v>
      </c>
      <c r="H65" s="97">
        <v>19357</v>
      </c>
      <c r="I65" s="94" t="s">
        <v>224</v>
      </c>
      <c r="J65" s="94" t="s">
        <v>225</v>
      </c>
      <c r="K65" s="95">
        <v>998354197</v>
      </c>
      <c r="L65" s="91" t="s">
        <v>49</v>
      </c>
      <c r="M65" s="98">
        <f ca="1">(TODAY()-H65)/365</f>
        <v>73</v>
      </c>
      <c r="N65" s="99">
        <f>(G65-H65)/365</f>
        <v>64.887671232876713</v>
      </c>
      <c r="O65" s="98">
        <f ca="1">(TODAY()-G65)/365</f>
        <v>8.1123287671232873</v>
      </c>
      <c r="P65" s="91" t="s">
        <v>43</v>
      </c>
      <c r="Q65" s="91">
        <v>0</v>
      </c>
      <c r="R65" s="91">
        <v>0</v>
      </c>
      <c r="S65" s="91">
        <v>0</v>
      </c>
      <c r="T65" s="91"/>
      <c r="U65" s="91"/>
      <c r="V65" s="91"/>
      <c r="W65" s="91"/>
      <c r="X65" s="91"/>
      <c r="Y65" s="91"/>
      <c r="Z65" s="91"/>
      <c r="AA65" s="91"/>
      <c r="AB65" s="91"/>
      <c r="AC65" s="91"/>
      <c r="AD65" s="91"/>
      <c r="AE65" s="91"/>
      <c r="AF65" s="91"/>
      <c r="AG65" s="91"/>
      <c r="AH65" s="91"/>
      <c r="AI65" s="91"/>
      <c r="AJ65" s="91"/>
      <c r="AK65" s="91"/>
      <c r="AL65" s="91"/>
      <c r="AM65" s="91"/>
    </row>
    <row r="66" spans="1:39" ht="20.25" customHeight="1">
      <c r="A66" s="91"/>
      <c r="B66" s="93" t="s">
        <v>4579</v>
      </c>
      <c r="C66" s="91" t="s">
        <v>73</v>
      </c>
      <c r="D66" s="107" t="s">
        <v>2812</v>
      </c>
      <c r="E66" s="107" t="s">
        <v>4582</v>
      </c>
      <c r="F66" s="91" t="s">
        <v>4583</v>
      </c>
      <c r="G66" s="96">
        <v>44403</v>
      </c>
      <c r="H66" s="97">
        <v>37984</v>
      </c>
      <c r="I66" s="94" t="s">
        <v>58</v>
      </c>
      <c r="J66" s="94" t="s">
        <v>58</v>
      </c>
      <c r="K66" s="95" t="s">
        <v>58</v>
      </c>
      <c r="L66" s="91" t="s">
        <v>60</v>
      </c>
      <c r="M66" s="98">
        <f ca="1">(TODAY()-H66)/365</f>
        <v>21.967123287671232</v>
      </c>
      <c r="N66" s="99">
        <f>(G66-H66)/365</f>
        <v>17.586301369863012</v>
      </c>
      <c r="O66" s="98">
        <f ca="1">(TODAY()-G66)/365</f>
        <v>4.3808219178082188</v>
      </c>
      <c r="P66" s="91" t="s">
        <v>43</v>
      </c>
      <c r="Q66" s="91">
        <v>0</v>
      </c>
      <c r="R66" s="91">
        <v>0</v>
      </c>
      <c r="S66" s="91">
        <v>0</v>
      </c>
      <c r="T66" s="91"/>
      <c r="U66" s="91"/>
      <c r="V66" s="91"/>
      <c r="W66" s="91"/>
      <c r="X66" s="91"/>
      <c r="Y66" s="91"/>
      <c r="Z66" s="91"/>
      <c r="AA66" s="91"/>
      <c r="AB66" s="91"/>
      <c r="AC66" s="91"/>
      <c r="AD66" s="91"/>
      <c r="AE66" s="91"/>
      <c r="AF66" s="91"/>
      <c r="AG66" s="91"/>
      <c r="AH66" s="91"/>
      <c r="AI66" s="91"/>
      <c r="AJ66" s="91"/>
      <c r="AK66" s="91"/>
      <c r="AL66" s="91"/>
      <c r="AM66" s="91"/>
    </row>
    <row r="67" spans="1:39" ht="20.25" hidden="1" customHeight="1">
      <c r="A67" s="91"/>
      <c r="B67" s="93" t="s">
        <v>77</v>
      </c>
      <c r="C67" s="91" t="s">
        <v>36</v>
      </c>
      <c r="D67" s="94" t="s">
        <v>229</v>
      </c>
      <c r="E67" s="94" t="s">
        <v>230</v>
      </c>
      <c r="F67" s="95" t="s">
        <v>231</v>
      </c>
      <c r="G67" s="96">
        <v>43319</v>
      </c>
      <c r="H67" s="97">
        <v>19627</v>
      </c>
      <c r="I67" s="94" t="s">
        <v>232</v>
      </c>
      <c r="J67" s="94" t="s">
        <v>233</v>
      </c>
      <c r="K67" s="95">
        <v>952305345</v>
      </c>
      <c r="L67" s="91" t="s">
        <v>66</v>
      </c>
      <c r="M67" s="98">
        <f ca="1">(TODAY()-H67)/365</f>
        <v>72.260273972602747</v>
      </c>
      <c r="N67" s="99">
        <f>(G67-H67)/365</f>
        <v>64.909589041095884</v>
      </c>
      <c r="O67" s="98">
        <f ca="1">(TODAY()-G67)/365</f>
        <v>7.3506849315068497</v>
      </c>
      <c r="P67" s="91" t="s">
        <v>43</v>
      </c>
      <c r="Q67" s="91">
        <v>0</v>
      </c>
      <c r="R67" s="91">
        <v>0</v>
      </c>
      <c r="S67" s="91">
        <v>0</v>
      </c>
      <c r="T67" s="91"/>
      <c r="U67" s="91"/>
      <c r="V67" s="91"/>
      <c r="W67" s="91"/>
      <c r="X67" s="91"/>
      <c r="Y67" s="91"/>
      <c r="Z67" s="91"/>
      <c r="AA67" s="91"/>
      <c r="AB67" s="91"/>
      <c r="AC67" s="91"/>
      <c r="AD67" s="91"/>
      <c r="AE67" s="91"/>
      <c r="AF67" s="91"/>
      <c r="AG67" s="91"/>
      <c r="AH67" s="91"/>
      <c r="AI67" s="91"/>
      <c r="AJ67" s="91"/>
      <c r="AK67" s="91"/>
      <c r="AL67" s="91"/>
      <c r="AM67" s="91"/>
    </row>
    <row r="68" spans="1:39" ht="20.25" hidden="1" customHeight="1">
      <c r="A68" s="91"/>
      <c r="B68" s="93" t="s">
        <v>77</v>
      </c>
      <c r="C68" s="91" t="s">
        <v>36</v>
      </c>
      <c r="D68" s="94" t="s">
        <v>234</v>
      </c>
      <c r="E68" s="94" t="s">
        <v>235</v>
      </c>
      <c r="F68" s="95" t="s">
        <v>236</v>
      </c>
      <c r="G68" s="96">
        <v>42737</v>
      </c>
      <c r="H68" s="97">
        <v>18376</v>
      </c>
      <c r="I68" s="94" t="s">
        <v>237</v>
      </c>
      <c r="J68" s="94" t="s">
        <v>215</v>
      </c>
      <c r="K68" s="95">
        <v>952077688</v>
      </c>
      <c r="L68" s="91" t="s">
        <v>42</v>
      </c>
      <c r="M68" s="98">
        <f ca="1">(TODAY()-H68)/365</f>
        <v>75.68767123287671</v>
      </c>
      <c r="N68" s="99">
        <f>(G68-H68)/365</f>
        <v>66.742465753424653</v>
      </c>
      <c r="O68" s="98">
        <f ca="1">(TODAY()-G68)/365</f>
        <v>8.9452054794520546</v>
      </c>
      <c r="P68" s="91" t="s">
        <v>43</v>
      </c>
      <c r="Q68" s="91">
        <v>0</v>
      </c>
      <c r="R68" s="91">
        <v>0</v>
      </c>
      <c r="S68" s="91">
        <v>1</v>
      </c>
      <c r="T68" s="91"/>
      <c r="U68" s="91"/>
      <c r="V68" s="91"/>
      <c r="W68" s="91"/>
      <c r="X68" s="91"/>
      <c r="Y68" s="91"/>
      <c r="Z68" s="91"/>
      <c r="AA68" s="91"/>
      <c r="AB68" s="91"/>
      <c r="AC68" s="91"/>
      <c r="AD68" s="91"/>
      <c r="AE68" s="91"/>
      <c r="AF68" s="91"/>
      <c r="AG68" s="91"/>
      <c r="AH68" s="91"/>
      <c r="AI68" s="91"/>
      <c r="AJ68" s="91"/>
      <c r="AK68" s="91"/>
      <c r="AL68" s="91"/>
      <c r="AM68" s="91"/>
    </row>
    <row r="69" spans="1:39" ht="20.25" customHeight="1">
      <c r="A69" s="91"/>
      <c r="B69" s="93" t="s">
        <v>4579</v>
      </c>
      <c r="C69" s="91" t="s">
        <v>73</v>
      </c>
      <c r="D69" s="107" t="s">
        <v>4616</v>
      </c>
      <c r="E69" s="107" t="s">
        <v>4582</v>
      </c>
      <c r="F69" s="91" t="s">
        <v>4617</v>
      </c>
      <c r="G69" s="96" t="s">
        <v>58</v>
      </c>
      <c r="H69" s="97">
        <v>38513</v>
      </c>
      <c r="I69" s="94" t="s">
        <v>58</v>
      </c>
      <c r="J69" s="94" t="s">
        <v>58</v>
      </c>
      <c r="K69" s="95" t="s">
        <v>58</v>
      </c>
      <c r="L69" s="91" t="s">
        <v>60</v>
      </c>
      <c r="M69" s="98">
        <f ca="1">(TODAY()-H69)/365</f>
        <v>20.517808219178082</v>
      </c>
      <c r="N69" s="95" t="s">
        <v>58</v>
      </c>
      <c r="O69" s="98" t="e">
        <f ca="1">(TODAY()-G69)/365</f>
        <v>#VALUE!</v>
      </c>
      <c r="P69" s="91" t="s">
        <v>43</v>
      </c>
      <c r="Q69" s="91">
        <v>0</v>
      </c>
      <c r="R69" s="91">
        <v>0</v>
      </c>
      <c r="S69" s="91">
        <v>0</v>
      </c>
      <c r="T69" s="91"/>
      <c r="U69" s="91"/>
      <c r="V69" s="91"/>
      <c r="W69" s="91"/>
      <c r="X69" s="91"/>
      <c r="Y69" s="91"/>
      <c r="Z69" s="91"/>
      <c r="AA69" s="91"/>
      <c r="AB69" s="91"/>
      <c r="AC69" s="91"/>
      <c r="AD69" s="91"/>
      <c r="AE69" s="91"/>
      <c r="AF69" s="91"/>
      <c r="AG69" s="91"/>
      <c r="AH69" s="91"/>
      <c r="AI69" s="91"/>
      <c r="AJ69" s="91"/>
      <c r="AK69" s="91"/>
      <c r="AL69" s="91"/>
      <c r="AM69" s="91"/>
    </row>
    <row r="70" spans="1:39" ht="20.25" customHeight="1">
      <c r="A70" s="91"/>
      <c r="B70" s="93" t="s">
        <v>4702</v>
      </c>
      <c r="C70" s="91" t="s">
        <v>73</v>
      </c>
      <c r="D70" s="107" t="s">
        <v>4780</v>
      </c>
      <c r="E70" s="107" t="s">
        <v>4781</v>
      </c>
      <c r="F70" s="91" t="s">
        <v>4782</v>
      </c>
      <c r="G70" s="96" t="s">
        <v>58</v>
      </c>
      <c r="H70" s="97">
        <v>33118</v>
      </c>
      <c r="I70" s="94" t="s">
        <v>58</v>
      </c>
      <c r="J70" s="94" t="s">
        <v>58</v>
      </c>
      <c r="K70" s="95" t="s">
        <v>58</v>
      </c>
      <c r="L70" s="91" t="s">
        <v>60</v>
      </c>
      <c r="M70" s="98">
        <f ca="1">(TODAY()-H70)/365</f>
        <v>35.298630136986304</v>
      </c>
      <c r="N70" s="95" t="s">
        <v>58</v>
      </c>
      <c r="O70" s="98" t="e">
        <f ca="1">(TODAY()-G70)/365</f>
        <v>#VALUE!</v>
      </c>
      <c r="P70" s="91" t="s">
        <v>43</v>
      </c>
      <c r="Q70" s="91">
        <v>0</v>
      </c>
      <c r="R70" s="91">
        <v>0</v>
      </c>
      <c r="S70" s="91">
        <v>0</v>
      </c>
      <c r="T70" s="91"/>
      <c r="U70" s="91"/>
      <c r="V70" s="91"/>
      <c r="W70" s="91"/>
      <c r="X70" s="91"/>
      <c r="Y70" s="91"/>
      <c r="Z70" s="91"/>
      <c r="AA70" s="91"/>
      <c r="AB70" s="91"/>
      <c r="AC70" s="91"/>
      <c r="AD70" s="91"/>
      <c r="AE70" s="91"/>
      <c r="AF70" s="91"/>
      <c r="AG70" s="91"/>
      <c r="AH70" s="91"/>
      <c r="AI70" s="91"/>
      <c r="AJ70" s="91"/>
      <c r="AK70" s="91"/>
      <c r="AL70" s="91"/>
      <c r="AM70" s="91"/>
    </row>
    <row r="71" spans="1:39" ht="20.25" customHeight="1">
      <c r="A71" s="91"/>
      <c r="B71" s="93" t="s">
        <v>2663</v>
      </c>
      <c r="C71" s="91" t="s">
        <v>73</v>
      </c>
      <c r="D71" s="94" t="s">
        <v>2687</v>
      </c>
      <c r="E71" s="94" t="s">
        <v>2688</v>
      </c>
      <c r="F71" s="95" t="s">
        <v>2689</v>
      </c>
      <c r="G71" s="96">
        <v>45366</v>
      </c>
      <c r="H71" s="97">
        <v>37789</v>
      </c>
      <c r="I71" s="94" t="s">
        <v>2690</v>
      </c>
      <c r="J71" s="94" t="s">
        <v>58</v>
      </c>
      <c r="K71" s="95" t="s">
        <v>58</v>
      </c>
      <c r="L71" s="91" t="s">
        <v>60</v>
      </c>
      <c r="M71" s="98">
        <f ca="1">(TODAY()-H71)/365</f>
        <v>22.5013698630137</v>
      </c>
      <c r="N71" s="99">
        <f>(G71-H71)/365</f>
        <v>20.758904109589039</v>
      </c>
      <c r="O71" s="98">
        <f ca="1">(TODAY()-G71)/365</f>
        <v>1.7424657534246575</v>
      </c>
      <c r="P71" s="91" t="s">
        <v>272</v>
      </c>
      <c r="Q71" s="91">
        <v>0</v>
      </c>
      <c r="R71" s="91">
        <v>0</v>
      </c>
      <c r="S71" s="91">
        <v>0</v>
      </c>
      <c r="T71" s="91"/>
      <c r="U71" s="91"/>
      <c r="V71" s="91"/>
      <c r="W71" s="91"/>
      <c r="X71" s="91"/>
      <c r="Y71" s="91"/>
      <c r="Z71" s="91"/>
      <c r="AA71" s="91"/>
      <c r="AB71" s="91"/>
      <c r="AC71" s="91"/>
      <c r="AD71" s="91"/>
      <c r="AE71" s="91"/>
      <c r="AF71" s="91"/>
      <c r="AG71" s="91"/>
      <c r="AH71" s="91"/>
      <c r="AI71" s="91"/>
      <c r="AJ71" s="91"/>
      <c r="AK71" s="91"/>
      <c r="AL71" s="91"/>
      <c r="AM71" s="91"/>
    </row>
    <row r="72" spans="1:39" ht="20.25" customHeight="1">
      <c r="A72" s="91"/>
      <c r="B72" s="93" t="s">
        <v>7961</v>
      </c>
      <c r="C72" s="91" t="s">
        <v>73</v>
      </c>
      <c r="D72" s="94" t="s">
        <v>7995</v>
      </c>
      <c r="E72" s="94" t="s">
        <v>7996</v>
      </c>
      <c r="F72" s="95" t="s">
        <v>7997</v>
      </c>
      <c r="G72" s="96">
        <v>44328</v>
      </c>
      <c r="H72" s="97">
        <v>17954</v>
      </c>
      <c r="I72" s="100" t="s">
        <v>58</v>
      </c>
      <c r="J72" s="100" t="s">
        <v>58</v>
      </c>
      <c r="K72" s="91" t="s">
        <v>58</v>
      </c>
      <c r="L72" s="91" t="s">
        <v>60</v>
      </c>
      <c r="M72" s="98">
        <f ca="1">(TODAY()-H72)/365</f>
        <v>76.843835616438355</v>
      </c>
      <c r="N72" s="99">
        <f>(G72-H72)/365</f>
        <v>72.257534246575347</v>
      </c>
      <c r="O72" s="98">
        <f ca="1">(TODAY()-G72)/365</f>
        <v>4.5863013698630137</v>
      </c>
      <c r="P72" s="91" t="s">
        <v>43</v>
      </c>
      <c r="Q72" s="91">
        <v>0</v>
      </c>
      <c r="R72" s="91">
        <v>0</v>
      </c>
      <c r="S72" s="91">
        <v>0</v>
      </c>
      <c r="T72" s="91"/>
      <c r="U72" s="91"/>
      <c r="V72" s="91"/>
      <c r="W72" s="91"/>
      <c r="X72" s="91"/>
      <c r="Y72" s="91"/>
      <c r="Z72" s="91"/>
      <c r="AA72" s="91"/>
      <c r="AB72" s="91"/>
      <c r="AC72" s="91"/>
      <c r="AD72" s="91"/>
      <c r="AE72" s="91"/>
      <c r="AF72" s="91"/>
      <c r="AG72" s="91"/>
      <c r="AH72" s="91"/>
      <c r="AI72" s="91"/>
      <c r="AJ72" s="91"/>
      <c r="AK72" s="91"/>
      <c r="AL72" s="91"/>
      <c r="AM72" s="91"/>
    </row>
    <row r="73" spans="1:39" ht="20.25" customHeight="1">
      <c r="A73" s="91"/>
      <c r="B73" s="93" t="s">
        <v>4783</v>
      </c>
      <c r="C73" s="91" t="s">
        <v>73</v>
      </c>
      <c r="D73" s="94" t="s">
        <v>4811</v>
      </c>
      <c r="E73" s="94" t="s">
        <v>4812</v>
      </c>
      <c r="F73" s="95" t="s">
        <v>4813</v>
      </c>
      <c r="G73" s="96">
        <v>41125</v>
      </c>
      <c r="H73" s="97">
        <v>30224</v>
      </c>
      <c r="I73" s="94" t="s">
        <v>4814</v>
      </c>
      <c r="J73" s="94" t="s">
        <v>58</v>
      </c>
      <c r="K73" s="95" t="s">
        <v>58</v>
      </c>
      <c r="L73" s="91" t="s">
        <v>60</v>
      </c>
      <c r="M73" s="98">
        <f ca="1">(TODAY()-H73)/365</f>
        <v>43.227397260273975</v>
      </c>
      <c r="N73" s="99">
        <f>(G73-H73)/365</f>
        <v>29.865753424657534</v>
      </c>
      <c r="O73" s="98">
        <f ca="1">(TODAY()-G73)/365</f>
        <v>13.361643835616439</v>
      </c>
      <c r="P73" s="91" t="s">
        <v>43</v>
      </c>
      <c r="Q73" s="91">
        <v>0</v>
      </c>
      <c r="R73" s="91">
        <v>0</v>
      </c>
      <c r="S73" s="91">
        <v>0</v>
      </c>
      <c r="T73" s="91"/>
      <c r="U73" s="91"/>
      <c r="V73" s="91"/>
      <c r="W73" s="91"/>
      <c r="X73" s="91"/>
      <c r="Y73" s="91"/>
      <c r="Z73" s="91"/>
      <c r="AA73" s="91"/>
      <c r="AB73" s="91"/>
      <c r="AC73" s="91"/>
      <c r="AD73" s="91"/>
      <c r="AE73" s="91"/>
      <c r="AF73" s="91"/>
      <c r="AG73" s="91"/>
      <c r="AH73" s="91"/>
      <c r="AI73" s="91"/>
      <c r="AJ73" s="91"/>
      <c r="AK73" s="91"/>
      <c r="AL73" s="91"/>
      <c r="AM73" s="91"/>
    </row>
    <row r="74" spans="1:39" ht="20.25" customHeight="1">
      <c r="A74" s="91"/>
      <c r="B74" s="93" t="s">
        <v>12263</v>
      </c>
      <c r="C74" s="91" t="s">
        <v>73</v>
      </c>
      <c r="D74" s="106" t="s">
        <v>431</v>
      </c>
      <c r="E74" s="106" t="s">
        <v>11204</v>
      </c>
      <c r="F74" s="92" t="s">
        <v>11205</v>
      </c>
      <c r="G74" s="103">
        <v>44828</v>
      </c>
      <c r="H74" s="103">
        <v>37165</v>
      </c>
      <c r="I74" s="94" t="s">
        <v>58</v>
      </c>
      <c r="J74" s="100" t="s">
        <v>58</v>
      </c>
      <c r="K74" s="95" t="s">
        <v>58</v>
      </c>
      <c r="L74" s="91"/>
      <c r="M74" s="98">
        <f ca="1">(TODAY()-H74)/365</f>
        <v>24.210958904109589</v>
      </c>
      <c r="N74" s="99">
        <f>(G74-H74)/365</f>
        <v>20.994520547945207</v>
      </c>
      <c r="O74" s="98">
        <f ca="1">(TODAY()-G74)/365</f>
        <v>3.2164383561643834</v>
      </c>
      <c r="P74" s="91" t="s">
        <v>272</v>
      </c>
      <c r="Q74" s="91"/>
      <c r="R74" s="91"/>
      <c r="S74" s="91"/>
      <c r="T74" s="91"/>
      <c r="U74" s="91"/>
      <c r="V74" s="91"/>
      <c r="W74" s="91"/>
      <c r="X74" s="91"/>
      <c r="Y74" s="91"/>
      <c r="Z74" s="91"/>
      <c r="AA74" s="91"/>
      <c r="AB74" s="91"/>
      <c r="AC74" s="91"/>
      <c r="AD74" s="91"/>
      <c r="AE74" s="91"/>
      <c r="AF74" s="91"/>
      <c r="AG74" s="91"/>
      <c r="AH74" s="91"/>
      <c r="AI74" s="91"/>
      <c r="AJ74" s="91"/>
      <c r="AK74" s="91"/>
      <c r="AL74" s="91"/>
      <c r="AM74" s="91"/>
    </row>
    <row r="75" spans="1:39" ht="20.25" hidden="1" customHeight="1">
      <c r="A75" s="91"/>
      <c r="B75" s="93" t="s">
        <v>260</v>
      </c>
      <c r="C75" s="91" t="s">
        <v>36</v>
      </c>
      <c r="D75" s="106" t="s">
        <v>261</v>
      </c>
      <c r="E75" s="106" t="s">
        <v>262</v>
      </c>
      <c r="F75" s="92" t="s">
        <v>263</v>
      </c>
      <c r="G75" s="103">
        <v>45458</v>
      </c>
      <c r="H75" s="97">
        <v>38993</v>
      </c>
      <c r="I75" s="100" t="s">
        <v>58</v>
      </c>
      <c r="J75" s="94" t="s">
        <v>264</v>
      </c>
      <c r="K75" s="92">
        <v>946963880</v>
      </c>
      <c r="L75" s="91" t="s">
        <v>60</v>
      </c>
      <c r="M75" s="98">
        <f ca="1">(TODAY()-H75)/365</f>
        <v>19.202739726027396</v>
      </c>
      <c r="N75" s="99">
        <f>(G75-H75)/365</f>
        <v>17.712328767123289</v>
      </c>
      <c r="O75" s="98">
        <f ca="1">(TODAY()-G75)/365</f>
        <v>1.4904109589041097</v>
      </c>
      <c r="P75" s="91" t="s">
        <v>43</v>
      </c>
      <c r="Q75" s="91">
        <v>0</v>
      </c>
      <c r="R75" s="91">
        <v>0</v>
      </c>
      <c r="S75" s="91">
        <v>0</v>
      </c>
      <c r="T75" s="91"/>
      <c r="U75" s="91"/>
      <c r="V75" s="91"/>
      <c r="W75" s="91"/>
      <c r="X75" s="91"/>
      <c r="Y75" s="91"/>
      <c r="Z75" s="91"/>
      <c r="AA75" s="91"/>
      <c r="AB75" s="91"/>
      <c r="AC75" s="91"/>
      <c r="AD75" s="91"/>
      <c r="AE75" s="91"/>
      <c r="AF75" s="91"/>
      <c r="AG75" s="91"/>
      <c r="AH75" s="91"/>
      <c r="AI75" s="91"/>
      <c r="AJ75" s="91"/>
      <c r="AK75" s="91"/>
      <c r="AL75" s="91"/>
      <c r="AM75" s="91"/>
    </row>
    <row r="76" spans="1:39" ht="20.25" hidden="1" customHeight="1">
      <c r="A76" s="91"/>
      <c r="B76" s="93" t="s">
        <v>260</v>
      </c>
      <c r="C76" s="91" t="s">
        <v>36</v>
      </c>
      <c r="D76" s="106" t="s">
        <v>265</v>
      </c>
      <c r="E76" s="106" t="s">
        <v>266</v>
      </c>
      <c r="F76" s="92" t="s">
        <v>267</v>
      </c>
      <c r="G76" s="103">
        <v>43767</v>
      </c>
      <c r="H76" s="97">
        <v>36651</v>
      </c>
      <c r="I76" s="100" t="s">
        <v>58</v>
      </c>
      <c r="J76" s="94" t="s">
        <v>268</v>
      </c>
      <c r="K76" s="92">
        <v>973980541</v>
      </c>
      <c r="L76" s="91" t="s">
        <v>60</v>
      </c>
      <c r="M76" s="98">
        <f ca="1">(TODAY()-H76)/365</f>
        <v>25.61917808219178</v>
      </c>
      <c r="N76" s="99">
        <f>(G76-H76)/365</f>
        <v>19.495890410958904</v>
      </c>
      <c r="O76" s="98">
        <f ca="1">(TODAY()-G76)/365</f>
        <v>6.1232876712328768</v>
      </c>
      <c r="P76" s="91" t="s">
        <v>43</v>
      </c>
      <c r="Q76" s="91">
        <v>0</v>
      </c>
      <c r="R76" s="91">
        <v>0</v>
      </c>
      <c r="S76" s="91">
        <v>0</v>
      </c>
      <c r="T76" s="91"/>
      <c r="U76" s="91"/>
      <c r="V76" s="91"/>
      <c r="W76" s="91"/>
      <c r="X76" s="91"/>
      <c r="Y76" s="91"/>
      <c r="Z76" s="91"/>
      <c r="AA76" s="91"/>
      <c r="AB76" s="91"/>
      <c r="AC76" s="91"/>
      <c r="AD76" s="91"/>
      <c r="AE76" s="91"/>
      <c r="AF76" s="91"/>
      <c r="AG76" s="91"/>
      <c r="AH76" s="91"/>
      <c r="AI76" s="91"/>
      <c r="AJ76" s="91"/>
      <c r="AK76" s="91"/>
      <c r="AL76" s="91"/>
      <c r="AM76" s="91"/>
    </row>
    <row r="77" spans="1:39" ht="20.25" customHeight="1">
      <c r="A77" s="128"/>
      <c r="B77" s="93" t="s">
        <v>11273</v>
      </c>
      <c r="C77" s="91" t="s">
        <v>73</v>
      </c>
      <c r="D77" s="106" t="s">
        <v>7995</v>
      </c>
      <c r="E77" s="106" t="s">
        <v>11416</v>
      </c>
      <c r="F77" s="92" t="s">
        <v>12700</v>
      </c>
      <c r="G77" s="103">
        <v>42497</v>
      </c>
      <c r="H77" s="103">
        <v>39581</v>
      </c>
      <c r="I77" s="100" t="s">
        <v>11417</v>
      </c>
      <c r="J77" s="100" t="s">
        <v>58</v>
      </c>
      <c r="K77" s="95" t="s">
        <v>58</v>
      </c>
      <c r="L77" s="91"/>
      <c r="M77" s="98">
        <f ca="1">(TODAY()-H77)/365</f>
        <v>17.591780821917808</v>
      </c>
      <c r="N77" s="99">
        <f>(G77-H77)/365</f>
        <v>7.9890410958904106</v>
      </c>
      <c r="O77" s="98">
        <f ca="1">(TODAY()-G77)/365</f>
        <v>9.6027397260273979</v>
      </c>
      <c r="P77" s="91" t="s">
        <v>272</v>
      </c>
      <c r="Q77" s="91"/>
      <c r="R77" s="91"/>
      <c r="S77" s="91"/>
      <c r="T77" s="91"/>
      <c r="U77" s="91"/>
      <c r="V77" s="91"/>
      <c r="W77" s="91"/>
      <c r="X77" s="91"/>
      <c r="Y77" s="91"/>
      <c r="Z77" s="91"/>
      <c r="AA77" s="91"/>
      <c r="AB77" s="91"/>
      <c r="AC77" s="91"/>
      <c r="AD77" s="91"/>
      <c r="AE77" s="91"/>
      <c r="AF77" s="91"/>
      <c r="AG77" s="91"/>
      <c r="AH77" s="91"/>
      <c r="AI77" s="91"/>
      <c r="AJ77" s="91"/>
      <c r="AK77" s="91"/>
      <c r="AL77" s="91"/>
      <c r="AM77" s="91"/>
    </row>
    <row r="78" spans="1:39" ht="20.25" hidden="1" customHeight="1">
      <c r="A78" s="91"/>
      <c r="B78" s="93" t="s">
        <v>260</v>
      </c>
      <c r="C78" s="91" t="s">
        <v>36</v>
      </c>
      <c r="D78" s="106" t="s">
        <v>273</v>
      </c>
      <c r="E78" s="106" t="s">
        <v>274</v>
      </c>
      <c r="F78" s="92" t="s">
        <v>275</v>
      </c>
      <c r="G78" s="103">
        <v>45444</v>
      </c>
      <c r="H78" s="97">
        <v>37495</v>
      </c>
      <c r="I78" s="100" t="s">
        <v>58</v>
      </c>
      <c r="J78" s="94" t="s">
        <v>276</v>
      </c>
      <c r="K78" s="92">
        <v>955170785</v>
      </c>
      <c r="L78" s="91" t="s">
        <v>60</v>
      </c>
      <c r="M78" s="98">
        <f ca="1">(TODAY()-H78)/365</f>
        <v>23.306849315068494</v>
      </c>
      <c r="N78" s="99">
        <f>(G78-H78)/365</f>
        <v>21.778082191780822</v>
      </c>
      <c r="O78" s="98">
        <f ca="1">(TODAY()-G78)/365</f>
        <v>1.5287671232876712</v>
      </c>
      <c r="P78" s="91" t="s">
        <v>43</v>
      </c>
      <c r="Q78" s="91">
        <v>0</v>
      </c>
      <c r="R78" s="91">
        <v>0</v>
      </c>
      <c r="S78" s="91">
        <v>0</v>
      </c>
      <c r="T78" s="91"/>
      <c r="U78" s="91"/>
      <c r="V78" s="91"/>
      <c r="W78" s="91"/>
      <c r="X78" s="91"/>
      <c r="Y78" s="91"/>
      <c r="Z78" s="91"/>
      <c r="AA78" s="91"/>
      <c r="AB78" s="91"/>
      <c r="AC78" s="91"/>
      <c r="AD78" s="91"/>
      <c r="AE78" s="91"/>
      <c r="AF78" s="91"/>
      <c r="AG78" s="91"/>
      <c r="AH78" s="91"/>
      <c r="AI78" s="91"/>
      <c r="AJ78" s="91"/>
      <c r="AK78" s="91"/>
      <c r="AL78" s="91"/>
      <c r="AM78" s="91"/>
    </row>
    <row r="79" spans="1:39" ht="20.25" hidden="1" customHeight="1">
      <c r="A79" s="91"/>
      <c r="B79" s="93" t="s">
        <v>260</v>
      </c>
      <c r="C79" s="91" t="s">
        <v>36</v>
      </c>
      <c r="D79" s="106" t="s">
        <v>277</v>
      </c>
      <c r="E79" s="106" t="s">
        <v>278</v>
      </c>
      <c r="F79" s="92" t="s">
        <v>279</v>
      </c>
      <c r="G79" s="103">
        <v>45584</v>
      </c>
      <c r="H79" s="97">
        <v>35812</v>
      </c>
      <c r="I79" s="100" t="s">
        <v>58</v>
      </c>
      <c r="J79" s="94" t="s">
        <v>280</v>
      </c>
      <c r="K79" s="92">
        <v>957612463</v>
      </c>
      <c r="L79" s="91" t="s">
        <v>60</v>
      </c>
      <c r="M79" s="98">
        <f ca="1">(TODAY()-H79)/365</f>
        <v>27.917808219178081</v>
      </c>
      <c r="N79" s="99">
        <f>(G79-H79)/365</f>
        <v>26.772602739726029</v>
      </c>
      <c r="O79" s="98">
        <f ca="1">(TODAY()-G79)/365</f>
        <v>1.1452054794520548</v>
      </c>
      <c r="P79" s="91" t="s">
        <v>272</v>
      </c>
      <c r="Q79" s="91">
        <v>0</v>
      </c>
      <c r="R79" s="91">
        <v>0</v>
      </c>
      <c r="S79" s="91">
        <v>0</v>
      </c>
      <c r="T79" s="91"/>
      <c r="U79" s="91"/>
      <c r="V79" s="91"/>
      <c r="W79" s="91"/>
      <c r="X79" s="91"/>
      <c r="Y79" s="91"/>
      <c r="Z79" s="91"/>
      <c r="AA79" s="91"/>
      <c r="AB79" s="91"/>
      <c r="AC79" s="91"/>
      <c r="AD79" s="91"/>
      <c r="AE79" s="91"/>
      <c r="AF79" s="91"/>
      <c r="AG79" s="91"/>
      <c r="AH79" s="91"/>
      <c r="AI79" s="91"/>
      <c r="AJ79" s="91"/>
      <c r="AK79" s="91"/>
      <c r="AL79" s="91"/>
      <c r="AM79" s="91"/>
    </row>
    <row r="80" spans="1:39" ht="20.25" customHeight="1">
      <c r="A80" s="91"/>
      <c r="B80" s="93" t="s">
        <v>8930</v>
      </c>
      <c r="C80" s="91" t="s">
        <v>73</v>
      </c>
      <c r="D80" s="107" t="s">
        <v>8958</v>
      </c>
      <c r="E80" s="107" t="s">
        <v>8959</v>
      </c>
      <c r="F80" s="91" t="s">
        <v>8960</v>
      </c>
      <c r="G80" s="96">
        <v>45146</v>
      </c>
      <c r="H80" s="97">
        <v>32647</v>
      </c>
      <c r="I80" s="94" t="s">
        <v>58</v>
      </c>
      <c r="J80" s="94" t="s">
        <v>58</v>
      </c>
      <c r="K80" s="91">
        <v>958445382</v>
      </c>
      <c r="L80" s="91" t="s">
        <v>60</v>
      </c>
      <c r="M80" s="98">
        <f ca="1">(TODAY()-H80)/365</f>
        <v>36.589041095890408</v>
      </c>
      <c r="N80" s="99">
        <f>(G80-H80)/365</f>
        <v>34.243835616438353</v>
      </c>
      <c r="O80" s="98">
        <f ca="1">(TODAY()-G80)/365</f>
        <v>2.3452054794520549</v>
      </c>
      <c r="P80" s="91" t="s">
        <v>43</v>
      </c>
      <c r="Q80" s="91">
        <v>0</v>
      </c>
      <c r="R80" s="91">
        <v>0</v>
      </c>
      <c r="S80" s="91">
        <v>0</v>
      </c>
      <c r="T80" s="91"/>
      <c r="U80" s="91"/>
      <c r="V80" s="91"/>
      <c r="W80" s="91"/>
      <c r="X80" s="91"/>
      <c r="Y80" s="91"/>
      <c r="Z80" s="91"/>
      <c r="AA80" s="91"/>
      <c r="AB80" s="91"/>
      <c r="AC80" s="91"/>
      <c r="AD80" s="91"/>
      <c r="AE80" s="91"/>
      <c r="AF80" s="91"/>
      <c r="AG80" s="91"/>
      <c r="AH80" s="91"/>
      <c r="AI80" s="91"/>
      <c r="AJ80" s="91"/>
      <c r="AK80" s="91"/>
      <c r="AL80" s="91"/>
      <c r="AM80" s="91"/>
    </row>
    <row r="81" spans="1:39" ht="20.25" customHeight="1">
      <c r="A81" s="91"/>
      <c r="B81" s="93" t="s">
        <v>9659</v>
      </c>
      <c r="C81" s="91" t="s">
        <v>73</v>
      </c>
      <c r="D81" s="107" t="s">
        <v>5807</v>
      </c>
      <c r="E81" s="107" t="s">
        <v>6275</v>
      </c>
      <c r="F81" s="92" t="s">
        <v>9773</v>
      </c>
      <c r="G81" s="103">
        <v>44044</v>
      </c>
      <c r="H81" s="103">
        <v>36739</v>
      </c>
      <c r="I81" s="94" t="s">
        <v>58</v>
      </c>
      <c r="J81" s="100" t="s">
        <v>58</v>
      </c>
      <c r="K81" s="95" t="s">
        <v>58</v>
      </c>
      <c r="L81" s="91" t="s">
        <v>60</v>
      </c>
      <c r="M81" s="98">
        <f ca="1">(TODAY()-H81)/365</f>
        <v>25.378082191780823</v>
      </c>
      <c r="N81" s="99">
        <f>(G81-H81)/365</f>
        <v>20.013698630136986</v>
      </c>
      <c r="O81" s="98">
        <f ca="1">(TODAY()-G81)/365</f>
        <v>5.3643835616438356</v>
      </c>
      <c r="P81" s="91" t="s">
        <v>272</v>
      </c>
      <c r="Q81" s="91">
        <v>0</v>
      </c>
      <c r="R81" s="91">
        <v>0</v>
      </c>
      <c r="S81" s="91">
        <v>0</v>
      </c>
      <c r="T81" s="91"/>
      <c r="U81" s="91"/>
      <c r="V81" s="91"/>
      <c r="W81" s="91"/>
      <c r="X81" s="91"/>
      <c r="Y81" s="91"/>
      <c r="Z81" s="91"/>
      <c r="AA81" s="91"/>
      <c r="AB81" s="91"/>
      <c r="AC81" s="91"/>
      <c r="AD81" s="91"/>
      <c r="AE81" s="91"/>
      <c r="AF81" s="91"/>
      <c r="AG81" s="91"/>
      <c r="AH81" s="91"/>
      <c r="AI81" s="91"/>
      <c r="AJ81" s="91"/>
      <c r="AK81" s="91"/>
      <c r="AL81" s="91"/>
      <c r="AM81" s="91"/>
    </row>
    <row r="82" spans="1:39" ht="20.25" hidden="1" customHeight="1">
      <c r="A82" s="91"/>
      <c r="B82" s="93" t="s">
        <v>260</v>
      </c>
      <c r="C82" s="91" t="s">
        <v>36</v>
      </c>
      <c r="D82" s="106" t="s">
        <v>287</v>
      </c>
      <c r="E82" s="106" t="s">
        <v>288</v>
      </c>
      <c r="F82" s="92" t="s">
        <v>289</v>
      </c>
      <c r="G82" s="103">
        <v>43767</v>
      </c>
      <c r="H82" s="97">
        <v>32645</v>
      </c>
      <c r="I82" s="100" t="s">
        <v>58</v>
      </c>
      <c r="J82" s="94" t="s">
        <v>290</v>
      </c>
      <c r="K82" s="92">
        <v>992925671</v>
      </c>
      <c r="L82" s="91" t="s">
        <v>197</v>
      </c>
      <c r="M82" s="98">
        <f ca="1">(TODAY()-H82)/365</f>
        <v>36.594520547945208</v>
      </c>
      <c r="N82" s="99">
        <f>(G82-H82)/365</f>
        <v>30.471232876712328</v>
      </c>
      <c r="O82" s="98">
        <f ca="1">(TODAY()-G82)/365</f>
        <v>6.1232876712328768</v>
      </c>
      <c r="P82" s="91" t="s">
        <v>272</v>
      </c>
      <c r="Q82" s="91">
        <v>0</v>
      </c>
      <c r="R82" s="91">
        <v>0</v>
      </c>
      <c r="S82" s="91">
        <v>0</v>
      </c>
      <c r="T82" s="91"/>
      <c r="U82" s="91"/>
      <c r="V82" s="91"/>
      <c r="W82" s="91"/>
      <c r="X82" s="91"/>
      <c r="Y82" s="91"/>
      <c r="Z82" s="91"/>
      <c r="AA82" s="91"/>
      <c r="AB82" s="91"/>
      <c r="AC82" s="91"/>
      <c r="AD82" s="91"/>
      <c r="AE82" s="91"/>
      <c r="AF82" s="91"/>
      <c r="AG82" s="91"/>
      <c r="AH82" s="91"/>
      <c r="AI82" s="91"/>
      <c r="AJ82" s="91"/>
      <c r="AK82" s="91"/>
      <c r="AL82" s="91"/>
      <c r="AM82" s="91"/>
    </row>
    <row r="83" spans="1:39" ht="20.25" hidden="1" customHeight="1">
      <c r="A83" s="91"/>
      <c r="B83" s="93" t="s">
        <v>260</v>
      </c>
      <c r="C83" s="91" t="s">
        <v>36</v>
      </c>
      <c r="D83" s="106" t="s">
        <v>291</v>
      </c>
      <c r="E83" s="106" t="s">
        <v>292</v>
      </c>
      <c r="F83" s="92" t="s">
        <v>293</v>
      </c>
      <c r="G83" s="103">
        <v>28536</v>
      </c>
      <c r="H83" s="97">
        <v>17045</v>
      </c>
      <c r="I83" s="100" t="s">
        <v>58</v>
      </c>
      <c r="J83" s="94" t="s">
        <v>294</v>
      </c>
      <c r="K83" s="92">
        <v>957824417</v>
      </c>
      <c r="L83" s="91" t="s">
        <v>60</v>
      </c>
      <c r="M83" s="98">
        <f ca="1">(TODAY()-H83)/365</f>
        <v>79.334246575342462</v>
      </c>
      <c r="N83" s="99">
        <f>(G83-H83)/365</f>
        <v>31.482191780821918</v>
      </c>
      <c r="O83" s="98">
        <f ca="1">(TODAY()-G83)/365</f>
        <v>47.852054794520548</v>
      </c>
      <c r="P83" s="91" t="s">
        <v>43</v>
      </c>
      <c r="Q83" s="91">
        <v>0</v>
      </c>
      <c r="R83" s="91">
        <v>0</v>
      </c>
      <c r="S83" s="91">
        <v>0</v>
      </c>
      <c r="T83" s="91"/>
      <c r="U83" s="91"/>
      <c r="V83" s="91"/>
      <c r="W83" s="91"/>
      <c r="X83" s="91"/>
      <c r="Y83" s="91"/>
      <c r="Z83" s="91"/>
      <c r="AA83" s="91"/>
      <c r="AB83" s="91"/>
      <c r="AC83" s="91"/>
      <c r="AD83" s="91"/>
      <c r="AE83" s="91"/>
      <c r="AF83" s="91"/>
      <c r="AG83" s="91"/>
      <c r="AH83" s="91"/>
      <c r="AI83" s="91"/>
      <c r="AJ83" s="91"/>
      <c r="AK83" s="91"/>
      <c r="AL83" s="91"/>
      <c r="AM83" s="91"/>
    </row>
    <row r="84" spans="1:39" ht="20.25" hidden="1" customHeight="1">
      <c r="A84" s="91"/>
      <c r="B84" s="93" t="s">
        <v>260</v>
      </c>
      <c r="C84" s="91" t="s">
        <v>36</v>
      </c>
      <c r="D84" s="106" t="s">
        <v>295</v>
      </c>
      <c r="E84" s="106" t="s">
        <v>296</v>
      </c>
      <c r="F84" s="92" t="s">
        <v>297</v>
      </c>
      <c r="G84" s="103">
        <v>45444</v>
      </c>
      <c r="H84" s="97">
        <v>33732</v>
      </c>
      <c r="I84" s="100" t="s">
        <v>58</v>
      </c>
      <c r="J84" s="94" t="s">
        <v>298</v>
      </c>
      <c r="K84" s="92">
        <v>975234820</v>
      </c>
      <c r="L84" s="91" t="s">
        <v>60</v>
      </c>
      <c r="M84" s="98">
        <f ca="1">(TODAY()-H84)/365</f>
        <v>33.61643835616438</v>
      </c>
      <c r="N84" s="99">
        <f>(G84-H84)/365</f>
        <v>32.087671232876716</v>
      </c>
      <c r="O84" s="98">
        <f ca="1">(TODAY()-G84)/365</f>
        <v>1.5287671232876712</v>
      </c>
      <c r="P84" s="91" t="s">
        <v>43</v>
      </c>
      <c r="Q84" s="91">
        <v>0</v>
      </c>
      <c r="R84" s="91">
        <v>0</v>
      </c>
      <c r="S84" s="91">
        <v>0</v>
      </c>
      <c r="T84" s="91"/>
      <c r="U84" s="91"/>
      <c r="V84" s="91"/>
      <c r="W84" s="91"/>
      <c r="X84" s="91"/>
      <c r="Y84" s="91"/>
      <c r="Z84" s="91"/>
      <c r="AA84" s="91"/>
      <c r="AB84" s="91"/>
      <c r="AC84" s="91"/>
      <c r="AD84" s="91"/>
      <c r="AE84" s="91"/>
      <c r="AF84" s="91"/>
      <c r="AG84" s="91"/>
      <c r="AH84" s="91"/>
      <c r="AI84" s="91"/>
      <c r="AJ84" s="91"/>
      <c r="AK84" s="91"/>
      <c r="AL84" s="91"/>
      <c r="AM84" s="91"/>
    </row>
    <row r="85" spans="1:39" ht="20.25" customHeight="1">
      <c r="A85" s="91"/>
      <c r="B85" s="93" t="s">
        <v>11879</v>
      </c>
      <c r="C85" s="91" t="s">
        <v>73</v>
      </c>
      <c r="D85" s="107" t="s">
        <v>6274</v>
      </c>
      <c r="E85" s="107" t="s">
        <v>6275</v>
      </c>
      <c r="F85" s="91" t="s">
        <v>6276</v>
      </c>
      <c r="G85" s="96">
        <v>43535</v>
      </c>
      <c r="H85" s="97">
        <v>21098</v>
      </c>
      <c r="I85" s="94" t="s">
        <v>58</v>
      </c>
      <c r="J85" s="94" t="s">
        <v>58</v>
      </c>
      <c r="K85" s="95" t="s">
        <v>58</v>
      </c>
      <c r="L85" s="91" t="s">
        <v>60</v>
      </c>
      <c r="M85" s="98">
        <f ca="1">(TODAY()-H85)/365</f>
        <v>68.230136986301375</v>
      </c>
      <c r="N85" s="99">
        <f>(G85-H85)/365</f>
        <v>61.471232876712328</v>
      </c>
      <c r="O85" s="98">
        <f ca="1">(TODAY()-G85)/365</f>
        <v>6.7589041095890412</v>
      </c>
      <c r="P85" s="91" t="s">
        <v>43</v>
      </c>
      <c r="Q85" s="91"/>
      <c r="R85" s="91"/>
      <c r="S85" s="91"/>
      <c r="T85" s="91"/>
      <c r="U85" s="91"/>
      <c r="V85" s="91"/>
      <c r="W85" s="91"/>
      <c r="X85" s="91"/>
      <c r="Y85" s="91"/>
      <c r="Z85" s="91"/>
      <c r="AA85" s="91"/>
      <c r="AB85" s="91"/>
      <c r="AC85" s="91"/>
      <c r="AD85" s="91"/>
      <c r="AE85" s="91"/>
      <c r="AF85" s="91"/>
      <c r="AG85" s="91"/>
      <c r="AH85" s="91"/>
      <c r="AI85" s="91"/>
      <c r="AJ85" s="91"/>
      <c r="AK85" s="91"/>
      <c r="AL85" s="91"/>
      <c r="AM85" s="91"/>
    </row>
    <row r="86" spans="1:39" ht="20.25" hidden="1" customHeight="1">
      <c r="A86" s="91"/>
      <c r="B86" s="93" t="s">
        <v>260</v>
      </c>
      <c r="C86" s="91" t="s">
        <v>36</v>
      </c>
      <c r="D86" s="106" t="s">
        <v>302</v>
      </c>
      <c r="E86" s="106" t="s">
        <v>303</v>
      </c>
      <c r="F86" s="92" t="s">
        <v>304</v>
      </c>
      <c r="G86" s="103">
        <v>42586</v>
      </c>
      <c r="H86" s="97">
        <v>29121</v>
      </c>
      <c r="I86" s="100" t="s">
        <v>58</v>
      </c>
      <c r="J86" s="94" t="s">
        <v>305</v>
      </c>
      <c r="K86" s="92">
        <v>933835716</v>
      </c>
      <c r="L86" s="91" t="s">
        <v>42</v>
      </c>
      <c r="M86" s="98">
        <f ca="1">(TODAY()-H86)/365</f>
        <v>46.249315068493154</v>
      </c>
      <c r="N86" s="99">
        <f>(G86-H86)/365</f>
        <v>36.890410958904113</v>
      </c>
      <c r="O86" s="98">
        <f ca="1">(TODAY()-G86)/365</f>
        <v>9.3589041095890408</v>
      </c>
      <c r="P86" s="91" t="s">
        <v>272</v>
      </c>
      <c r="Q86" s="91">
        <v>1</v>
      </c>
      <c r="R86" s="91">
        <v>1</v>
      </c>
      <c r="S86" s="91">
        <v>0</v>
      </c>
      <c r="T86" s="91"/>
      <c r="U86" s="91"/>
      <c r="V86" s="91">
        <v>1</v>
      </c>
      <c r="W86" s="91"/>
      <c r="X86" s="91"/>
      <c r="Y86" s="91"/>
      <c r="Z86" s="91"/>
      <c r="AA86" s="91"/>
      <c r="AB86" s="91"/>
      <c r="AC86" s="91"/>
      <c r="AD86" s="91"/>
      <c r="AE86" s="91"/>
      <c r="AF86" s="91"/>
      <c r="AG86" s="91"/>
      <c r="AH86" s="91"/>
      <c r="AI86" s="91"/>
      <c r="AJ86" s="91"/>
      <c r="AK86" s="91"/>
      <c r="AL86" s="91"/>
      <c r="AM86" s="91"/>
    </row>
    <row r="87" spans="1:39" ht="20.25" hidden="1" customHeight="1">
      <c r="A87" s="91"/>
      <c r="B87" s="93" t="s">
        <v>260</v>
      </c>
      <c r="C87" s="91" t="s">
        <v>36</v>
      </c>
      <c r="D87" s="106" t="s">
        <v>306</v>
      </c>
      <c r="E87" s="106" t="s">
        <v>307</v>
      </c>
      <c r="F87" s="92" t="s">
        <v>308</v>
      </c>
      <c r="G87" s="103">
        <v>38090</v>
      </c>
      <c r="H87" s="97">
        <v>22432</v>
      </c>
      <c r="I87" s="100" t="s">
        <v>58</v>
      </c>
      <c r="J87" s="94" t="s">
        <v>309</v>
      </c>
      <c r="K87" s="92">
        <v>988060022</v>
      </c>
      <c r="L87" s="91" t="s">
        <v>54</v>
      </c>
      <c r="M87" s="98">
        <f ca="1">(TODAY()-H87)/365</f>
        <v>64.575342465753423</v>
      </c>
      <c r="N87" s="99">
        <f>(G87-H87)/365</f>
        <v>42.898630136986299</v>
      </c>
      <c r="O87" s="98">
        <f ca="1">(TODAY()-G87)/365</f>
        <v>21.676712328767124</v>
      </c>
      <c r="P87" s="91" t="s">
        <v>43</v>
      </c>
      <c r="Q87" s="91">
        <v>0</v>
      </c>
      <c r="R87" s="91">
        <v>0</v>
      </c>
      <c r="S87" s="91">
        <v>0</v>
      </c>
      <c r="T87" s="91"/>
      <c r="U87" s="91"/>
      <c r="V87" s="91"/>
      <c r="W87" s="91"/>
      <c r="X87" s="91"/>
      <c r="Y87" s="91"/>
      <c r="Z87" s="91"/>
      <c r="AA87" s="91"/>
      <c r="AB87" s="91"/>
      <c r="AC87" s="91"/>
      <c r="AD87" s="91"/>
      <c r="AE87" s="91"/>
      <c r="AF87" s="91"/>
      <c r="AG87" s="91"/>
      <c r="AH87" s="91"/>
      <c r="AI87" s="91"/>
      <c r="AJ87" s="91"/>
      <c r="AK87" s="91"/>
      <c r="AL87" s="91"/>
      <c r="AM87" s="91"/>
    </row>
    <row r="88" spans="1:39" ht="20.25" hidden="1" customHeight="1">
      <c r="A88" s="91"/>
      <c r="B88" s="93" t="s">
        <v>260</v>
      </c>
      <c r="C88" s="91" t="s">
        <v>36</v>
      </c>
      <c r="D88" s="106" t="s">
        <v>310</v>
      </c>
      <c r="E88" s="106" t="s">
        <v>311</v>
      </c>
      <c r="F88" s="92" t="s">
        <v>312</v>
      </c>
      <c r="G88" s="103">
        <v>35046</v>
      </c>
      <c r="H88" s="97">
        <v>19381</v>
      </c>
      <c r="I88" s="100" t="s">
        <v>58</v>
      </c>
      <c r="J88" s="94" t="s">
        <v>313</v>
      </c>
      <c r="K88" s="92">
        <v>995947610</v>
      </c>
      <c r="L88" s="91" t="s">
        <v>60</v>
      </c>
      <c r="M88" s="98">
        <f ca="1">(TODAY()-H88)/365</f>
        <v>72.93424657534247</v>
      </c>
      <c r="N88" s="99">
        <f>(G88-H88)/365</f>
        <v>42.917808219178085</v>
      </c>
      <c r="O88" s="98">
        <f ca="1">(TODAY()-G88)/365</f>
        <v>30.016438356164382</v>
      </c>
      <c r="P88" s="91" t="s">
        <v>43</v>
      </c>
      <c r="Q88" s="91">
        <v>0</v>
      </c>
      <c r="R88" s="91">
        <v>0</v>
      </c>
      <c r="S88" s="91">
        <v>0</v>
      </c>
      <c r="T88" s="91"/>
      <c r="U88" s="91"/>
      <c r="V88" s="91"/>
      <c r="W88" s="91"/>
      <c r="X88" s="91"/>
      <c r="Y88" s="91"/>
      <c r="Z88" s="91"/>
      <c r="AA88" s="91"/>
      <c r="AB88" s="91"/>
      <c r="AC88" s="91"/>
      <c r="AD88" s="91"/>
      <c r="AE88" s="91"/>
      <c r="AF88" s="91"/>
      <c r="AG88" s="91"/>
      <c r="AH88" s="91"/>
      <c r="AI88" s="91"/>
      <c r="AJ88" s="91"/>
      <c r="AK88" s="91"/>
      <c r="AL88" s="91"/>
      <c r="AM88" s="91"/>
    </row>
    <row r="89" spans="1:39" ht="20.25" hidden="1" customHeight="1">
      <c r="A89" s="91"/>
      <c r="B89" s="93" t="s">
        <v>260</v>
      </c>
      <c r="C89" s="91" t="s">
        <v>36</v>
      </c>
      <c r="D89" s="106" t="s">
        <v>314</v>
      </c>
      <c r="E89" s="106" t="s">
        <v>262</v>
      </c>
      <c r="F89" s="92" t="s">
        <v>315</v>
      </c>
      <c r="G89" s="103">
        <v>37345</v>
      </c>
      <c r="H89" s="103" t="s">
        <v>58</v>
      </c>
      <c r="I89" s="100" t="s">
        <v>58</v>
      </c>
      <c r="J89" s="94" t="s">
        <v>316</v>
      </c>
      <c r="K89" s="92">
        <v>967348244</v>
      </c>
      <c r="L89" s="91" t="s">
        <v>60</v>
      </c>
      <c r="M89" s="98">
        <v>0</v>
      </c>
      <c r="N89" s="91"/>
      <c r="O89" s="98">
        <f ca="1">(TODAY()-G89)/365</f>
        <v>23.717808219178082</v>
      </c>
      <c r="P89" s="91" t="s">
        <v>272</v>
      </c>
      <c r="Q89" s="91">
        <v>0</v>
      </c>
      <c r="R89" s="91">
        <v>0</v>
      </c>
      <c r="S89" s="91">
        <v>0</v>
      </c>
      <c r="T89" s="91"/>
      <c r="U89" s="91"/>
      <c r="V89" s="91"/>
      <c r="W89" s="91"/>
      <c r="X89" s="91"/>
      <c r="Y89" s="91"/>
      <c r="Z89" s="91"/>
      <c r="AA89" s="91"/>
      <c r="AB89" s="91"/>
      <c r="AC89" s="91"/>
      <c r="AD89" s="91"/>
      <c r="AE89" s="91"/>
      <c r="AF89" s="91"/>
      <c r="AG89" s="91"/>
      <c r="AH89" s="91"/>
      <c r="AI89" s="91"/>
      <c r="AJ89" s="91"/>
      <c r="AK89" s="91"/>
      <c r="AL89" s="91"/>
      <c r="AM89" s="91"/>
    </row>
    <row r="90" spans="1:39" ht="20.25" hidden="1" customHeight="1">
      <c r="A90" s="91"/>
      <c r="B90" s="93" t="s">
        <v>260</v>
      </c>
      <c r="C90" s="91" t="s">
        <v>36</v>
      </c>
      <c r="D90" s="106" t="s">
        <v>317</v>
      </c>
      <c r="E90" s="106" t="s">
        <v>318</v>
      </c>
      <c r="F90" s="92" t="s">
        <v>319</v>
      </c>
      <c r="G90" s="103">
        <v>39011</v>
      </c>
      <c r="H90" s="103" t="s">
        <v>58</v>
      </c>
      <c r="I90" s="100" t="s">
        <v>58</v>
      </c>
      <c r="J90" s="94" t="s">
        <v>316</v>
      </c>
      <c r="K90" s="92">
        <v>931811390</v>
      </c>
      <c r="L90" s="91" t="s">
        <v>60</v>
      </c>
      <c r="M90" s="98">
        <v>0</v>
      </c>
      <c r="N90" s="91"/>
      <c r="O90" s="98">
        <f ca="1">(TODAY()-G90)/365</f>
        <v>19.153424657534245</v>
      </c>
      <c r="P90" s="91" t="s">
        <v>43</v>
      </c>
      <c r="Q90" s="91">
        <v>0</v>
      </c>
      <c r="R90" s="91">
        <v>0</v>
      </c>
      <c r="S90" s="91">
        <v>0</v>
      </c>
      <c r="T90" s="91"/>
      <c r="U90" s="91"/>
      <c r="V90" s="91"/>
      <c r="W90" s="91"/>
      <c r="X90" s="91"/>
      <c r="Y90" s="91"/>
      <c r="Z90" s="91"/>
      <c r="AA90" s="91"/>
      <c r="AB90" s="91"/>
      <c r="AC90" s="91"/>
      <c r="AD90" s="91"/>
      <c r="AE90" s="91"/>
      <c r="AF90" s="91"/>
      <c r="AG90" s="91"/>
      <c r="AH90" s="91"/>
      <c r="AI90" s="91"/>
      <c r="AJ90" s="91"/>
      <c r="AK90" s="91"/>
      <c r="AL90" s="91"/>
      <c r="AM90" s="91"/>
    </row>
    <row r="91" spans="1:39" ht="20.25" hidden="1" customHeight="1">
      <c r="A91" s="91"/>
      <c r="B91" s="93" t="s">
        <v>260</v>
      </c>
      <c r="C91" s="91" t="s">
        <v>36</v>
      </c>
      <c r="D91" s="106" t="s">
        <v>320</v>
      </c>
      <c r="E91" s="106" t="s">
        <v>321</v>
      </c>
      <c r="F91" s="92" t="s">
        <v>322</v>
      </c>
      <c r="G91" s="103">
        <v>35185</v>
      </c>
      <c r="H91" s="103" t="s">
        <v>58</v>
      </c>
      <c r="I91" s="100" t="s">
        <v>58</v>
      </c>
      <c r="J91" s="94" t="s">
        <v>323</v>
      </c>
      <c r="K91" s="92">
        <v>962738921</v>
      </c>
      <c r="L91" s="91" t="s">
        <v>60</v>
      </c>
      <c r="M91" s="98">
        <v>0</v>
      </c>
      <c r="N91" s="91"/>
      <c r="O91" s="98">
        <f ca="1">(TODAY()-G91)/365</f>
        <v>29.635616438356163</v>
      </c>
      <c r="P91" s="91" t="s">
        <v>272</v>
      </c>
      <c r="Q91" s="91">
        <v>0</v>
      </c>
      <c r="R91" s="91">
        <v>0</v>
      </c>
      <c r="S91" s="91">
        <v>0</v>
      </c>
      <c r="T91" s="91"/>
      <c r="U91" s="91"/>
      <c r="V91" s="91"/>
      <c r="W91" s="91"/>
      <c r="X91" s="91"/>
      <c r="Y91" s="91"/>
      <c r="Z91" s="91"/>
      <c r="AA91" s="91"/>
      <c r="AB91" s="91"/>
      <c r="AC91" s="91"/>
      <c r="AD91" s="91"/>
      <c r="AE91" s="91"/>
      <c r="AF91" s="91"/>
      <c r="AG91" s="91"/>
      <c r="AH91" s="91"/>
      <c r="AI91" s="91"/>
      <c r="AJ91" s="91"/>
      <c r="AK91" s="91"/>
      <c r="AL91" s="91"/>
      <c r="AM91" s="91"/>
    </row>
    <row r="92" spans="1:39" ht="20.25" hidden="1" customHeight="1">
      <c r="A92" s="91"/>
      <c r="B92" s="93" t="s">
        <v>260</v>
      </c>
      <c r="C92" s="91" t="s">
        <v>36</v>
      </c>
      <c r="D92" s="106" t="s">
        <v>291</v>
      </c>
      <c r="E92" s="106" t="s">
        <v>324</v>
      </c>
      <c r="F92" s="92" t="s">
        <v>325</v>
      </c>
      <c r="G92" s="103">
        <v>38019</v>
      </c>
      <c r="H92" s="97">
        <v>21637</v>
      </c>
      <c r="I92" s="100" t="s">
        <v>58</v>
      </c>
      <c r="J92" s="94" t="s">
        <v>326</v>
      </c>
      <c r="K92" s="92">
        <v>993899583</v>
      </c>
      <c r="L92" s="91" t="s">
        <v>60</v>
      </c>
      <c r="M92" s="98">
        <f ca="1">(TODAY()-H92)/365</f>
        <v>66.753424657534254</v>
      </c>
      <c r="N92" s="99">
        <f>(G92-H92)/365</f>
        <v>44.88219178082192</v>
      </c>
      <c r="O92" s="98">
        <f ca="1">(TODAY()-G92)/365</f>
        <v>21.87123287671233</v>
      </c>
      <c r="P92" s="91" t="s">
        <v>43</v>
      </c>
      <c r="Q92" s="91">
        <v>0</v>
      </c>
      <c r="R92" s="91">
        <v>0</v>
      </c>
      <c r="S92" s="91">
        <v>0</v>
      </c>
      <c r="T92" s="91"/>
      <c r="U92" s="91"/>
      <c r="V92" s="91"/>
      <c r="W92" s="91"/>
      <c r="X92" s="91"/>
      <c r="Y92" s="91"/>
      <c r="Z92" s="91"/>
      <c r="AA92" s="91"/>
      <c r="AB92" s="91"/>
      <c r="AC92" s="91"/>
      <c r="AD92" s="91"/>
      <c r="AE92" s="91"/>
      <c r="AF92" s="91"/>
      <c r="AG92" s="91"/>
      <c r="AH92" s="91"/>
      <c r="AI92" s="91"/>
      <c r="AJ92" s="91"/>
      <c r="AK92" s="91"/>
      <c r="AL92" s="91"/>
      <c r="AM92" s="91"/>
    </row>
    <row r="93" spans="1:39" ht="20.25" hidden="1" customHeight="1">
      <c r="A93" s="91"/>
      <c r="B93" s="93" t="s">
        <v>260</v>
      </c>
      <c r="C93" s="91" t="s">
        <v>36</v>
      </c>
      <c r="D93" s="106" t="s">
        <v>327</v>
      </c>
      <c r="E93" s="106" t="s">
        <v>328</v>
      </c>
      <c r="F93" s="92" t="s">
        <v>329</v>
      </c>
      <c r="G93" s="103">
        <v>38813</v>
      </c>
      <c r="H93" s="97">
        <v>22306</v>
      </c>
      <c r="I93" s="100" t="s">
        <v>58</v>
      </c>
      <c r="J93" s="94" t="s">
        <v>330</v>
      </c>
      <c r="K93" s="92">
        <v>923972872</v>
      </c>
      <c r="L93" s="91" t="s">
        <v>60</v>
      </c>
      <c r="M93" s="98">
        <f ca="1">(TODAY()-H93)/365</f>
        <v>64.920547945205485</v>
      </c>
      <c r="N93" s="99">
        <f>(G93-H93)/365</f>
        <v>45.224657534246575</v>
      </c>
      <c r="O93" s="98">
        <f ca="1">(TODAY()-G93)/365</f>
        <v>19.695890410958903</v>
      </c>
      <c r="P93" s="91" t="s">
        <v>43</v>
      </c>
      <c r="Q93" s="91">
        <v>0</v>
      </c>
      <c r="R93" s="91">
        <v>0</v>
      </c>
      <c r="S93" s="91">
        <v>0</v>
      </c>
      <c r="T93" s="91"/>
      <c r="U93" s="91"/>
      <c r="V93" s="91"/>
      <c r="W93" s="91"/>
      <c r="X93" s="91"/>
      <c r="Y93" s="91"/>
      <c r="Z93" s="91"/>
      <c r="AA93" s="91"/>
      <c r="AB93" s="91"/>
      <c r="AC93" s="91"/>
      <c r="AD93" s="91"/>
      <c r="AE93" s="91"/>
      <c r="AF93" s="91"/>
      <c r="AG93" s="91"/>
      <c r="AH93" s="91"/>
      <c r="AI93" s="91"/>
      <c r="AJ93" s="91"/>
      <c r="AK93" s="91"/>
      <c r="AL93" s="91"/>
      <c r="AM93" s="91"/>
    </row>
    <row r="94" spans="1:39" ht="20.25" hidden="1" customHeight="1">
      <c r="A94" s="91"/>
      <c r="B94" s="93" t="s">
        <v>260</v>
      </c>
      <c r="C94" s="91" t="s">
        <v>36</v>
      </c>
      <c r="D94" s="106" t="s">
        <v>331</v>
      </c>
      <c r="E94" s="106" t="s">
        <v>332</v>
      </c>
      <c r="F94" s="92" t="s">
        <v>333</v>
      </c>
      <c r="G94" s="103">
        <v>38788</v>
      </c>
      <c r="H94" s="97">
        <v>21701</v>
      </c>
      <c r="I94" s="100" t="s">
        <v>58</v>
      </c>
      <c r="J94" s="94" t="s">
        <v>334</v>
      </c>
      <c r="K94" s="92">
        <v>988368657</v>
      </c>
      <c r="L94" s="91" t="s">
        <v>72</v>
      </c>
      <c r="M94" s="98">
        <f ca="1">(TODAY()-H94)/365</f>
        <v>66.578082191780823</v>
      </c>
      <c r="N94" s="99">
        <f>(G94-H94)/365</f>
        <v>46.813698630136983</v>
      </c>
      <c r="O94" s="98">
        <f ca="1">(TODAY()-G94)/365</f>
        <v>19.764383561643836</v>
      </c>
      <c r="P94" s="91" t="s">
        <v>43</v>
      </c>
      <c r="Q94" s="91">
        <v>0</v>
      </c>
      <c r="R94" s="91">
        <v>0</v>
      </c>
      <c r="S94" s="91">
        <v>0</v>
      </c>
      <c r="T94" s="91"/>
      <c r="U94" s="91"/>
      <c r="V94" s="91"/>
      <c r="W94" s="91"/>
      <c r="X94" s="91"/>
      <c r="Y94" s="91"/>
      <c r="Z94" s="91"/>
      <c r="AA94" s="91"/>
      <c r="AB94" s="91"/>
      <c r="AC94" s="91"/>
      <c r="AD94" s="91"/>
      <c r="AE94" s="91"/>
      <c r="AF94" s="91"/>
      <c r="AG94" s="91"/>
      <c r="AH94" s="91"/>
      <c r="AI94" s="91"/>
      <c r="AJ94" s="91"/>
      <c r="AK94" s="91"/>
      <c r="AL94" s="91"/>
      <c r="AM94" s="91"/>
    </row>
    <row r="95" spans="1:39" ht="20.25" hidden="1" customHeight="1">
      <c r="A95" s="91"/>
      <c r="B95" s="93" t="s">
        <v>260</v>
      </c>
      <c r="C95" s="91" t="s">
        <v>36</v>
      </c>
      <c r="D95" s="106" t="s">
        <v>335</v>
      </c>
      <c r="E95" s="106" t="s">
        <v>336</v>
      </c>
      <c r="F95" s="92" t="s">
        <v>337</v>
      </c>
      <c r="G95" s="103">
        <v>37376</v>
      </c>
      <c r="H95" s="97">
        <v>19948</v>
      </c>
      <c r="I95" s="100" t="s">
        <v>58</v>
      </c>
      <c r="J95" s="94" t="s">
        <v>338</v>
      </c>
      <c r="K95" s="92">
        <v>981983282</v>
      </c>
      <c r="L95" s="91" t="s">
        <v>49</v>
      </c>
      <c r="M95" s="98">
        <f ca="1">(TODAY()-H95)/365</f>
        <v>71.38082191780822</v>
      </c>
      <c r="N95" s="99">
        <f>(G95-H95)/365</f>
        <v>47.747945205479454</v>
      </c>
      <c r="O95" s="98">
        <f ca="1">(TODAY()-G95)/365</f>
        <v>23.632876712328766</v>
      </c>
      <c r="P95" s="91" t="s">
        <v>43</v>
      </c>
      <c r="Q95" s="91">
        <v>0</v>
      </c>
      <c r="R95" s="91">
        <v>0</v>
      </c>
      <c r="S95" s="91">
        <v>0</v>
      </c>
      <c r="T95" s="91"/>
      <c r="U95" s="91"/>
      <c r="V95" s="91"/>
      <c r="W95" s="91"/>
      <c r="X95" s="91"/>
      <c r="Y95" s="91"/>
      <c r="Z95" s="91"/>
      <c r="AA95" s="91"/>
      <c r="AB95" s="91"/>
      <c r="AC95" s="91"/>
      <c r="AD95" s="91"/>
      <c r="AE95" s="91"/>
      <c r="AF95" s="91"/>
      <c r="AG95" s="91"/>
      <c r="AH95" s="91"/>
      <c r="AI95" s="91"/>
      <c r="AJ95" s="91"/>
      <c r="AK95" s="91"/>
      <c r="AL95" s="91"/>
      <c r="AM95" s="91"/>
    </row>
    <row r="96" spans="1:39" ht="20.25" hidden="1" customHeight="1">
      <c r="A96" s="91"/>
      <c r="B96" s="93" t="s">
        <v>260</v>
      </c>
      <c r="C96" s="91" t="s">
        <v>36</v>
      </c>
      <c r="D96" s="106" t="s">
        <v>339</v>
      </c>
      <c r="E96" s="106" t="s">
        <v>340</v>
      </c>
      <c r="F96" s="92" t="s">
        <v>341</v>
      </c>
      <c r="G96" s="103">
        <v>44351</v>
      </c>
      <c r="H96" s="97">
        <v>26911</v>
      </c>
      <c r="I96" s="100" t="s">
        <v>58</v>
      </c>
      <c r="J96" s="94" t="s">
        <v>342</v>
      </c>
      <c r="K96" s="92">
        <v>985570270</v>
      </c>
      <c r="L96" s="91" t="s">
        <v>60</v>
      </c>
      <c r="M96" s="98">
        <f ca="1">(TODAY()-H96)/365</f>
        <v>52.304109589041097</v>
      </c>
      <c r="N96" s="99">
        <f>(G96-H96)/365</f>
        <v>47.780821917808218</v>
      </c>
      <c r="O96" s="98">
        <f ca="1">(TODAY()-G96)/365</f>
        <v>4.5232876712328771</v>
      </c>
      <c r="P96" s="91" t="s">
        <v>43</v>
      </c>
      <c r="Q96" s="91">
        <v>0</v>
      </c>
      <c r="R96" s="91">
        <v>0</v>
      </c>
      <c r="S96" s="91">
        <v>0</v>
      </c>
      <c r="T96" s="91"/>
      <c r="U96" s="91"/>
      <c r="V96" s="91"/>
      <c r="W96" s="91"/>
      <c r="X96" s="91"/>
      <c r="Y96" s="91"/>
      <c r="Z96" s="91"/>
      <c r="AA96" s="91"/>
      <c r="AB96" s="91"/>
      <c r="AC96" s="91"/>
      <c r="AD96" s="91"/>
      <c r="AE96" s="91"/>
      <c r="AF96" s="91"/>
      <c r="AG96" s="91"/>
      <c r="AH96" s="91"/>
      <c r="AI96" s="91"/>
      <c r="AJ96" s="91"/>
      <c r="AK96" s="91"/>
      <c r="AL96" s="91"/>
      <c r="AM96" s="91"/>
    </row>
    <row r="97" spans="1:39" ht="20.25" hidden="1" customHeight="1">
      <c r="A97" s="91"/>
      <c r="B97" s="93" t="s">
        <v>260</v>
      </c>
      <c r="C97" s="91" t="s">
        <v>36</v>
      </c>
      <c r="D97" s="106" t="s">
        <v>343</v>
      </c>
      <c r="E97" s="106" t="s">
        <v>344</v>
      </c>
      <c r="F97" s="92" t="s">
        <v>345</v>
      </c>
      <c r="G97" s="103">
        <v>45458</v>
      </c>
      <c r="H97" s="97">
        <v>27991</v>
      </c>
      <c r="I97" s="100" t="s">
        <v>58</v>
      </c>
      <c r="J97" s="94" t="s">
        <v>316</v>
      </c>
      <c r="K97" s="92">
        <v>946963880</v>
      </c>
      <c r="L97" s="91" t="s">
        <v>60</v>
      </c>
      <c r="M97" s="98">
        <f ca="1">(TODAY()-H97)/365</f>
        <v>49.345205479452055</v>
      </c>
      <c r="N97" s="99">
        <f>(G97-H97)/365</f>
        <v>47.854794520547948</v>
      </c>
      <c r="O97" s="98">
        <f ca="1">(TODAY()-G97)/365</f>
        <v>1.4904109589041097</v>
      </c>
      <c r="P97" s="91" t="s">
        <v>43</v>
      </c>
      <c r="Q97" s="91">
        <v>0</v>
      </c>
      <c r="R97" s="91">
        <v>0</v>
      </c>
      <c r="S97" s="91">
        <v>0</v>
      </c>
      <c r="T97" s="91"/>
      <c r="U97" s="91"/>
      <c r="V97" s="91"/>
      <c r="W97" s="91"/>
      <c r="X97" s="91"/>
      <c r="Y97" s="91"/>
      <c r="Z97" s="91"/>
      <c r="AA97" s="91"/>
      <c r="AB97" s="91"/>
      <c r="AC97" s="91"/>
      <c r="AD97" s="91"/>
      <c r="AE97" s="91"/>
      <c r="AF97" s="91"/>
      <c r="AG97" s="91"/>
      <c r="AH97" s="91"/>
      <c r="AI97" s="91"/>
      <c r="AJ97" s="91"/>
      <c r="AK97" s="91"/>
      <c r="AL97" s="91"/>
      <c r="AM97" s="91"/>
    </row>
    <row r="98" spans="1:39" ht="20.25" hidden="1" customHeight="1">
      <c r="A98" s="91"/>
      <c r="B98" s="93" t="s">
        <v>260</v>
      </c>
      <c r="C98" s="91" t="s">
        <v>36</v>
      </c>
      <c r="D98" s="106" t="s">
        <v>346</v>
      </c>
      <c r="E98" s="106" t="s">
        <v>347</v>
      </c>
      <c r="F98" s="92" t="s">
        <v>348</v>
      </c>
      <c r="G98" s="103">
        <v>33686</v>
      </c>
      <c r="H98" s="97">
        <v>16009</v>
      </c>
      <c r="I98" s="100" t="s">
        <v>58</v>
      </c>
      <c r="J98" s="94" t="s">
        <v>349</v>
      </c>
      <c r="K98" s="92">
        <v>997409087</v>
      </c>
      <c r="L98" s="91" t="s">
        <v>60</v>
      </c>
      <c r="M98" s="98">
        <f ca="1">(TODAY()-H98)/365</f>
        <v>82.172602739726031</v>
      </c>
      <c r="N98" s="99">
        <f>(G98-H98)/365</f>
        <v>48.43013698630137</v>
      </c>
      <c r="O98" s="98">
        <f ca="1">(TODAY()-G98)/365</f>
        <v>33.742465753424661</v>
      </c>
      <c r="P98" s="91" t="s">
        <v>43</v>
      </c>
      <c r="Q98" s="91">
        <v>0</v>
      </c>
      <c r="R98" s="91">
        <v>0</v>
      </c>
      <c r="S98" s="91">
        <v>0</v>
      </c>
      <c r="T98" s="91"/>
      <c r="U98" s="91"/>
      <c r="V98" s="91"/>
      <c r="W98" s="91"/>
      <c r="X98" s="91"/>
      <c r="Y98" s="91"/>
      <c r="Z98" s="91"/>
      <c r="AA98" s="91"/>
      <c r="AB98" s="91"/>
      <c r="AC98" s="91"/>
      <c r="AD98" s="91"/>
      <c r="AE98" s="91"/>
      <c r="AF98" s="91"/>
      <c r="AG98" s="91"/>
      <c r="AH98" s="91"/>
      <c r="AI98" s="91"/>
      <c r="AJ98" s="91"/>
      <c r="AK98" s="91"/>
      <c r="AL98" s="91"/>
      <c r="AM98" s="91"/>
    </row>
    <row r="99" spans="1:39" ht="20.25" hidden="1" customHeight="1">
      <c r="A99" s="91"/>
      <c r="B99" s="93" t="s">
        <v>260</v>
      </c>
      <c r="C99" s="91" t="s">
        <v>36</v>
      </c>
      <c r="D99" s="106" t="s">
        <v>350</v>
      </c>
      <c r="E99" s="106" t="s">
        <v>351</v>
      </c>
      <c r="F99" s="92" t="s">
        <v>352</v>
      </c>
      <c r="G99" s="103">
        <v>44951</v>
      </c>
      <c r="H99" s="97">
        <v>25858</v>
      </c>
      <c r="I99" s="100" t="s">
        <v>58</v>
      </c>
      <c r="J99" s="94" t="s">
        <v>316</v>
      </c>
      <c r="K99" s="92">
        <v>957708413</v>
      </c>
      <c r="L99" s="91" t="s">
        <v>60</v>
      </c>
      <c r="M99" s="98">
        <f ca="1">(TODAY()-H99)/365</f>
        <v>55.18904109589041</v>
      </c>
      <c r="N99" s="99">
        <f>(G99-H99)/365</f>
        <v>52.30958904109589</v>
      </c>
      <c r="O99" s="98">
        <f ca="1">(TODAY()-G99)/365</f>
        <v>2.8794520547945206</v>
      </c>
      <c r="P99" s="91" t="s">
        <v>43</v>
      </c>
      <c r="Q99" s="91">
        <v>0</v>
      </c>
      <c r="R99" s="91">
        <v>0</v>
      </c>
      <c r="S99" s="91">
        <v>0</v>
      </c>
      <c r="T99" s="91"/>
      <c r="U99" s="91"/>
      <c r="V99" s="91"/>
      <c r="W99" s="91"/>
      <c r="X99" s="91"/>
      <c r="Y99" s="91"/>
      <c r="Z99" s="91"/>
      <c r="AA99" s="91"/>
      <c r="AB99" s="91"/>
      <c r="AC99" s="91"/>
      <c r="AD99" s="91"/>
      <c r="AE99" s="91"/>
      <c r="AF99" s="91"/>
      <c r="AG99" s="91"/>
      <c r="AH99" s="91"/>
      <c r="AI99" s="91"/>
      <c r="AJ99" s="91"/>
      <c r="AK99" s="91"/>
      <c r="AL99" s="91"/>
      <c r="AM99" s="91"/>
    </row>
    <row r="100" spans="1:39" ht="20.25" hidden="1" customHeight="1">
      <c r="A100" s="91"/>
      <c r="B100" s="93" t="s">
        <v>260</v>
      </c>
      <c r="C100" s="91" t="s">
        <v>36</v>
      </c>
      <c r="D100" s="106" t="s">
        <v>353</v>
      </c>
      <c r="E100" s="106" t="s">
        <v>354</v>
      </c>
      <c r="F100" s="92" t="s">
        <v>355</v>
      </c>
      <c r="G100" s="103">
        <v>37834</v>
      </c>
      <c r="H100" s="97">
        <v>18567</v>
      </c>
      <c r="I100" s="100" t="s">
        <v>58</v>
      </c>
      <c r="J100" s="94" t="s">
        <v>356</v>
      </c>
      <c r="K100" s="92">
        <v>963933500</v>
      </c>
      <c r="L100" s="91" t="s">
        <v>60</v>
      </c>
      <c r="M100" s="98">
        <f ca="1">(TODAY()-H100)/365</f>
        <v>75.164383561643831</v>
      </c>
      <c r="N100" s="99">
        <f>(G100-H100)/365</f>
        <v>52.786301369863011</v>
      </c>
      <c r="O100" s="98">
        <f ca="1">(TODAY()-G100)/365</f>
        <v>22.378082191780823</v>
      </c>
      <c r="P100" s="91" t="s">
        <v>272</v>
      </c>
      <c r="Q100" s="91">
        <v>0</v>
      </c>
      <c r="R100" s="91">
        <v>0</v>
      </c>
      <c r="S100" s="91">
        <v>0</v>
      </c>
      <c r="T100" s="91"/>
      <c r="U100" s="91"/>
      <c r="V100" s="91"/>
      <c r="W100" s="91"/>
      <c r="X100" s="91"/>
      <c r="Y100" s="91"/>
      <c r="Z100" s="91"/>
      <c r="AA100" s="91"/>
      <c r="AB100" s="91"/>
      <c r="AC100" s="91"/>
      <c r="AD100" s="91"/>
      <c r="AE100" s="91"/>
      <c r="AF100" s="91"/>
      <c r="AG100" s="91"/>
      <c r="AH100" s="91"/>
      <c r="AI100" s="91"/>
      <c r="AJ100" s="91"/>
      <c r="AK100" s="91"/>
      <c r="AL100" s="91"/>
      <c r="AM100" s="91"/>
    </row>
    <row r="101" spans="1:39" ht="20.25" hidden="1" customHeight="1">
      <c r="A101" s="91"/>
      <c r="B101" s="93" t="s">
        <v>260</v>
      </c>
      <c r="C101" s="91" t="s">
        <v>36</v>
      </c>
      <c r="D101" s="106" t="s">
        <v>357</v>
      </c>
      <c r="E101" s="106" t="s">
        <v>358</v>
      </c>
      <c r="F101" s="92" t="s">
        <v>359</v>
      </c>
      <c r="G101" s="103">
        <v>38453</v>
      </c>
      <c r="H101" s="97">
        <v>18706</v>
      </c>
      <c r="I101" s="100" t="s">
        <v>58</v>
      </c>
      <c r="J101" s="94" t="s">
        <v>360</v>
      </c>
      <c r="K101" s="92">
        <v>993149216</v>
      </c>
      <c r="L101" s="91" t="s">
        <v>60</v>
      </c>
      <c r="M101" s="98">
        <f ca="1">(TODAY()-H101)/365</f>
        <v>74.783561643835611</v>
      </c>
      <c r="N101" s="99">
        <f>(G101-H101)/365</f>
        <v>54.101369863013701</v>
      </c>
      <c r="O101" s="98">
        <f ca="1">(TODAY()-G101)/365</f>
        <v>20.682191780821917</v>
      </c>
      <c r="P101" s="91" t="s">
        <v>43</v>
      </c>
      <c r="Q101" s="91">
        <v>0</v>
      </c>
      <c r="R101" s="91">
        <v>0</v>
      </c>
      <c r="S101" s="91">
        <v>0</v>
      </c>
      <c r="T101" s="91"/>
      <c r="U101" s="91"/>
      <c r="V101" s="91"/>
      <c r="W101" s="91"/>
      <c r="X101" s="91"/>
      <c r="Y101" s="91"/>
      <c r="Z101" s="91"/>
      <c r="AA101" s="91"/>
      <c r="AB101" s="91"/>
      <c r="AC101" s="91"/>
      <c r="AD101" s="91"/>
      <c r="AE101" s="91"/>
      <c r="AF101" s="91"/>
      <c r="AG101" s="91"/>
      <c r="AH101" s="91"/>
      <c r="AI101" s="91"/>
      <c r="AJ101" s="91"/>
      <c r="AK101" s="91"/>
      <c r="AL101" s="91"/>
      <c r="AM101" s="91"/>
    </row>
    <row r="102" spans="1:39" ht="20.25" customHeight="1">
      <c r="A102" s="91"/>
      <c r="B102" s="93" t="s">
        <v>4648</v>
      </c>
      <c r="C102" s="91" t="s">
        <v>73</v>
      </c>
      <c r="D102" s="94" t="s">
        <v>392</v>
      </c>
      <c r="E102" s="94" t="s">
        <v>4680</v>
      </c>
      <c r="F102" s="95" t="s">
        <v>4681</v>
      </c>
      <c r="G102" s="96">
        <v>45078</v>
      </c>
      <c r="H102" s="97">
        <v>23682</v>
      </c>
      <c r="I102" s="94" t="s">
        <v>58</v>
      </c>
      <c r="J102" s="100" t="s">
        <v>58</v>
      </c>
      <c r="K102" s="91" t="s">
        <v>58</v>
      </c>
      <c r="L102" s="91" t="s">
        <v>60</v>
      </c>
      <c r="M102" s="98">
        <f ca="1">(TODAY()-H102)/365</f>
        <v>61.150684931506852</v>
      </c>
      <c r="N102" s="99">
        <f>(G102-H102)/365</f>
        <v>58.61917808219178</v>
      </c>
      <c r="O102" s="98">
        <f ca="1">(TODAY()-G102)/365</f>
        <v>2.5315068493150683</v>
      </c>
      <c r="P102" s="91" t="s">
        <v>43</v>
      </c>
      <c r="Q102" s="91">
        <v>0</v>
      </c>
      <c r="R102" s="91">
        <v>0</v>
      </c>
      <c r="S102" s="91">
        <v>0</v>
      </c>
      <c r="T102" s="91"/>
      <c r="U102" s="91"/>
      <c r="V102" s="91"/>
      <c r="W102" s="91"/>
      <c r="X102" s="91"/>
      <c r="Y102" s="91"/>
      <c r="Z102" s="91"/>
      <c r="AA102" s="91"/>
      <c r="AB102" s="91"/>
      <c r="AC102" s="91"/>
      <c r="AD102" s="91"/>
      <c r="AE102" s="91"/>
      <c r="AF102" s="91"/>
      <c r="AG102" s="91"/>
      <c r="AH102" s="91"/>
      <c r="AI102" s="91"/>
      <c r="AJ102" s="91"/>
      <c r="AK102" s="91"/>
      <c r="AL102" s="91"/>
      <c r="AM102" s="91"/>
    </row>
    <row r="103" spans="1:39" ht="20.25" hidden="1" customHeight="1">
      <c r="A103" s="91"/>
      <c r="B103" s="93" t="s">
        <v>260</v>
      </c>
      <c r="C103" s="91" t="s">
        <v>36</v>
      </c>
      <c r="D103" s="106" t="s">
        <v>291</v>
      </c>
      <c r="E103" s="106" t="s">
        <v>364</v>
      </c>
      <c r="F103" s="92" t="s">
        <v>365</v>
      </c>
      <c r="G103" s="103">
        <v>45444</v>
      </c>
      <c r="H103" s="97">
        <v>24315</v>
      </c>
      <c r="I103" s="100" t="s">
        <v>58</v>
      </c>
      <c r="J103" s="94" t="s">
        <v>366</v>
      </c>
      <c r="K103" s="92">
        <v>977253680</v>
      </c>
      <c r="L103" s="91" t="s">
        <v>60</v>
      </c>
      <c r="M103" s="98">
        <f ca="1">(TODAY()-H103)/365</f>
        <v>59.416438356164385</v>
      </c>
      <c r="N103" s="99">
        <f>(G103-H103)/365</f>
        <v>57.887671232876713</v>
      </c>
      <c r="O103" s="98">
        <f ca="1">(TODAY()-G103)/365</f>
        <v>1.5287671232876712</v>
      </c>
      <c r="P103" s="91" t="s">
        <v>43</v>
      </c>
      <c r="Q103" s="91">
        <v>0</v>
      </c>
      <c r="R103" s="91">
        <v>0</v>
      </c>
      <c r="S103" s="91">
        <v>0</v>
      </c>
      <c r="T103" s="91"/>
      <c r="U103" s="91"/>
      <c r="V103" s="91"/>
      <c r="W103" s="91"/>
      <c r="X103" s="91"/>
      <c r="Y103" s="91"/>
      <c r="Z103" s="91"/>
      <c r="AA103" s="91"/>
      <c r="AB103" s="91"/>
      <c r="AC103" s="91"/>
      <c r="AD103" s="91"/>
      <c r="AE103" s="91"/>
      <c r="AF103" s="91"/>
      <c r="AG103" s="91"/>
      <c r="AH103" s="91"/>
      <c r="AI103" s="91"/>
      <c r="AJ103" s="91"/>
      <c r="AK103" s="91"/>
      <c r="AL103" s="91"/>
      <c r="AM103" s="91"/>
    </row>
    <row r="104" spans="1:39" ht="20.25" hidden="1" customHeight="1">
      <c r="A104" s="91"/>
      <c r="B104" s="93" t="s">
        <v>260</v>
      </c>
      <c r="C104" s="91" t="s">
        <v>36</v>
      </c>
      <c r="D104" s="106" t="s">
        <v>367</v>
      </c>
      <c r="E104" s="106" t="s">
        <v>368</v>
      </c>
      <c r="F104" s="92" t="s">
        <v>369</v>
      </c>
      <c r="G104" s="103">
        <v>45458</v>
      </c>
      <c r="H104" s="97">
        <v>22116</v>
      </c>
      <c r="I104" s="100" t="s">
        <v>58</v>
      </c>
      <c r="J104" s="94" t="s">
        <v>370</v>
      </c>
      <c r="K104" s="92">
        <v>998017645</v>
      </c>
      <c r="L104" s="91" t="s">
        <v>60</v>
      </c>
      <c r="M104" s="98">
        <f ca="1">(TODAY()-H104)/365</f>
        <v>65.441095890410963</v>
      </c>
      <c r="N104" s="99">
        <f>(G104-H104)/365</f>
        <v>63.950684931506849</v>
      </c>
      <c r="O104" s="98">
        <f ca="1">(TODAY()-G104)/365</f>
        <v>1.4904109589041097</v>
      </c>
      <c r="P104" s="91" t="s">
        <v>43</v>
      </c>
      <c r="Q104" s="91">
        <v>0</v>
      </c>
      <c r="R104" s="91">
        <v>0</v>
      </c>
      <c r="S104" s="91">
        <v>0</v>
      </c>
      <c r="T104" s="91"/>
      <c r="U104" s="91"/>
      <c r="V104" s="91"/>
      <c r="W104" s="91"/>
      <c r="X104" s="91"/>
      <c r="Y104" s="91"/>
      <c r="Z104" s="91"/>
      <c r="AA104" s="91"/>
      <c r="AB104" s="91"/>
      <c r="AC104" s="91"/>
      <c r="AD104" s="91"/>
      <c r="AE104" s="91"/>
      <c r="AF104" s="91"/>
      <c r="AG104" s="91"/>
      <c r="AH104" s="91"/>
      <c r="AI104" s="91"/>
      <c r="AJ104" s="91"/>
      <c r="AK104" s="91"/>
      <c r="AL104" s="91"/>
      <c r="AM104" s="91"/>
    </row>
    <row r="105" spans="1:39" ht="20.25" customHeight="1">
      <c r="A105" s="91"/>
      <c r="B105" s="93" t="s">
        <v>3374</v>
      </c>
      <c r="C105" s="91" t="s">
        <v>73</v>
      </c>
      <c r="D105" s="107" t="s">
        <v>3439</v>
      </c>
      <c r="E105" s="107" t="s">
        <v>3440</v>
      </c>
      <c r="F105" s="91" t="s">
        <v>3441</v>
      </c>
      <c r="G105" s="96">
        <v>44369</v>
      </c>
      <c r="H105" s="96">
        <v>37686</v>
      </c>
      <c r="I105" s="94" t="s">
        <v>3442</v>
      </c>
      <c r="J105" s="94" t="s">
        <v>58</v>
      </c>
      <c r="K105" s="95" t="s">
        <v>58</v>
      </c>
      <c r="L105" s="91" t="s">
        <v>60</v>
      </c>
      <c r="M105" s="98">
        <f ca="1">(TODAY()-H105)/365</f>
        <v>22.783561643835615</v>
      </c>
      <c r="N105" s="99"/>
      <c r="O105" s="98">
        <f ca="1">(TODAY()-G105)/365</f>
        <v>4.4739726027397264</v>
      </c>
      <c r="P105" s="91" t="s">
        <v>43</v>
      </c>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row>
    <row r="106" spans="1:39" ht="20.25" customHeight="1">
      <c r="A106" s="91"/>
      <c r="B106" s="93" t="s">
        <v>5484</v>
      </c>
      <c r="C106" s="91" t="s">
        <v>73</v>
      </c>
      <c r="D106" s="107" t="s">
        <v>5663</v>
      </c>
      <c r="E106" s="107" t="s">
        <v>5664</v>
      </c>
      <c r="F106" s="91" t="s">
        <v>5506</v>
      </c>
      <c r="G106" s="97" t="s">
        <v>58</v>
      </c>
      <c r="H106" s="97" t="s">
        <v>58</v>
      </c>
      <c r="I106" s="100" t="s">
        <v>58</v>
      </c>
      <c r="J106" s="100" t="s">
        <v>58</v>
      </c>
      <c r="K106" s="91" t="s">
        <v>58</v>
      </c>
      <c r="L106" s="91" t="s">
        <v>60</v>
      </c>
      <c r="M106" s="98">
        <v>0</v>
      </c>
      <c r="N106" s="91"/>
      <c r="O106" s="98" t="e">
        <f ca="1">(TODAY()-G106)/365</f>
        <v>#VALUE!</v>
      </c>
      <c r="P106" s="91" t="s">
        <v>43</v>
      </c>
      <c r="Q106" s="91">
        <v>0</v>
      </c>
      <c r="R106" s="91">
        <v>0</v>
      </c>
      <c r="S106" s="91">
        <v>0</v>
      </c>
      <c r="T106" s="91"/>
      <c r="U106" s="91"/>
      <c r="V106" s="91"/>
      <c r="W106" s="91"/>
      <c r="X106" s="91"/>
      <c r="Y106" s="91"/>
      <c r="Z106" s="91"/>
      <c r="AA106" s="91"/>
      <c r="AB106" s="91"/>
      <c r="AC106" s="91"/>
      <c r="AD106" s="91"/>
      <c r="AE106" s="91"/>
      <c r="AF106" s="91"/>
      <c r="AG106" s="91"/>
      <c r="AH106" s="91"/>
      <c r="AI106" s="91"/>
      <c r="AJ106" s="91"/>
      <c r="AK106" s="91"/>
      <c r="AL106" s="91"/>
      <c r="AM106" s="91"/>
    </row>
    <row r="107" spans="1:39" ht="20.25" hidden="1" customHeight="1">
      <c r="A107" s="91"/>
      <c r="B107" s="93" t="s">
        <v>371</v>
      </c>
      <c r="C107" s="91" t="s">
        <v>36</v>
      </c>
      <c r="D107" s="94" t="s">
        <v>380</v>
      </c>
      <c r="E107" s="94" t="s">
        <v>381</v>
      </c>
      <c r="F107" s="95" t="s">
        <v>382</v>
      </c>
      <c r="G107" s="96">
        <v>39811</v>
      </c>
      <c r="H107" s="97">
        <v>34884</v>
      </c>
      <c r="I107" s="100" t="s">
        <v>58</v>
      </c>
      <c r="J107" s="94" t="s">
        <v>383</v>
      </c>
      <c r="K107" s="95">
        <v>934830465</v>
      </c>
      <c r="L107" s="91" t="s">
        <v>60</v>
      </c>
      <c r="M107" s="98">
        <f ca="1">(TODAY()-H107)/365</f>
        <v>30.460273972602739</v>
      </c>
      <c r="N107" s="99">
        <f>(G107-H107)/365</f>
        <v>13.498630136986302</v>
      </c>
      <c r="O107" s="98">
        <f ca="1">(TODAY()-G107)/365</f>
        <v>16.961643835616439</v>
      </c>
      <c r="P107" s="91" t="s">
        <v>272</v>
      </c>
      <c r="Q107" s="91">
        <v>0</v>
      </c>
      <c r="R107" s="91">
        <v>0</v>
      </c>
      <c r="S107" s="91">
        <v>0</v>
      </c>
      <c r="T107" s="91"/>
      <c r="U107" s="91"/>
      <c r="V107" s="91"/>
      <c r="W107" s="91"/>
      <c r="X107" s="91"/>
      <c r="Y107" s="91"/>
      <c r="Z107" s="91"/>
      <c r="AA107" s="91"/>
      <c r="AB107" s="91"/>
      <c r="AC107" s="91"/>
      <c r="AD107" s="91"/>
      <c r="AE107" s="91"/>
      <c r="AF107" s="91"/>
      <c r="AG107" s="91"/>
      <c r="AH107" s="91"/>
      <c r="AI107" s="91"/>
      <c r="AJ107" s="91"/>
      <c r="AK107" s="91"/>
      <c r="AL107" s="91"/>
      <c r="AM107" s="91"/>
    </row>
    <row r="108" spans="1:39" ht="20.25" customHeight="1">
      <c r="A108" s="91"/>
      <c r="B108" s="93" t="s">
        <v>3374</v>
      </c>
      <c r="C108" s="91" t="s">
        <v>73</v>
      </c>
      <c r="D108" s="107" t="s">
        <v>3457</v>
      </c>
      <c r="E108" s="107" t="s">
        <v>3458</v>
      </c>
      <c r="F108" s="91" t="s">
        <v>3459</v>
      </c>
      <c r="G108" s="96">
        <v>44890</v>
      </c>
      <c r="H108" s="97">
        <v>32198</v>
      </c>
      <c r="I108" s="94" t="s">
        <v>3460</v>
      </c>
      <c r="J108" s="94" t="s">
        <v>58</v>
      </c>
      <c r="K108" s="95" t="s">
        <v>58</v>
      </c>
      <c r="L108" s="91" t="s">
        <v>60</v>
      </c>
      <c r="M108" s="98">
        <f ca="1">(TODAY()-H108)/365</f>
        <v>37.819178082191783</v>
      </c>
      <c r="N108" s="99">
        <f>(G108-H108)/365</f>
        <v>34.772602739726025</v>
      </c>
      <c r="O108" s="98">
        <f ca="1">(TODAY()-G108)/365</f>
        <v>3.0465753424657533</v>
      </c>
      <c r="P108" s="91" t="s">
        <v>43</v>
      </c>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row>
    <row r="109" spans="1:39" ht="20.25" customHeight="1">
      <c r="A109" s="91"/>
      <c r="B109" s="93" t="s">
        <v>3610</v>
      </c>
      <c r="C109" s="91" t="s">
        <v>73</v>
      </c>
      <c r="D109" s="94" t="s">
        <v>3740</v>
      </c>
      <c r="E109" s="94" t="s">
        <v>3741</v>
      </c>
      <c r="F109" s="91" t="s">
        <v>58</v>
      </c>
      <c r="G109" s="116" t="s">
        <v>58</v>
      </c>
      <c r="H109" s="97">
        <v>38852</v>
      </c>
      <c r="I109" s="94" t="s">
        <v>3742</v>
      </c>
      <c r="J109" s="94" t="s">
        <v>58</v>
      </c>
      <c r="K109" s="91" t="s">
        <v>58</v>
      </c>
      <c r="L109" s="91" t="s">
        <v>60</v>
      </c>
      <c r="M109" s="98">
        <f ca="1">(TODAY()-H109)/365</f>
        <v>19.589041095890412</v>
      </c>
      <c r="N109" s="95" t="s">
        <v>58</v>
      </c>
      <c r="O109" s="98" t="e">
        <f ca="1">(TODAY()-G109)/365</f>
        <v>#VALUE!</v>
      </c>
      <c r="P109" s="91" t="s">
        <v>272</v>
      </c>
      <c r="Q109" s="91">
        <v>0</v>
      </c>
      <c r="R109" s="91">
        <v>0</v>
      </c>
      <c r="S109" s="91">
        <v>0</v>
      </c>
      <c r="T109" s="91"/>
      <c r="U109" s="91"/>
      <c r="V109" s="91"/>
      <c r="W109" s="91"/>
      <c r="X109" s="91"/>
      <c r="Y109" s="91"/>
      <c r="Z109" s="91"/>
      <c r="AA109" s="91"/>
      <c r="AB109" s="91"/>
      <c r="AC109" s="91"/>
      <c r="AD109" s="91"/>
      <c r="AE109" s="91"/>
      <c r="AF109" s="91"/>
      <c r="AG109" s="91"/>
      <c r="AH109" s="91"/>
      <c r="AI109" s="91"/>
      <c r="AJ109" s="91"/>
      <c r="AK109" s="91"/>
      <c r="AL109" s="91"/>
      <c r="AM109" s="91"/>
    </row>
    <row r="110" spans="1:39" ht="20.25" customHeight="1">
      <c r="A110" s="91"/>
      <c r="B110" s="93" t="s">
        <v>3610</v>
      </c>
      <c r="C110" s="91" t="s">
        <v>73</v>
      </c>
      <c r="D110" s="94" t="s">
        <v>3743</v>
      </c>
      <c r="E110" s="94" t="s">
        <v>3741</v>
      </c>
      <c r="F110" s="91" t="s">
        <v>58</v>
      </c>
      <c r="G110" s="116" t="s">
        <v>58</v>
      </c>
      <c r="H110" s="97">
        <v>39110</v>
      </c>
      <c r="I110" s="94" t="s">
        <v>3744</v>
      </c>
      <c r="J110" s="94" t="s">
        <v>58</v>
      </c>
      <c r="K110" s="91" t="s">
        <v>58</v>
      </c>
      <c r="L110" s="91" t="s">
        <v>60</v>
      </c>
      <c r="M110" s="98">
        <f ca="1">(TODAY()-H110)/365</f>
        <v>18.882191780821916</v>
      </c>
      <c r="N110" s="95" t="s">
        <v>58</v>
      </c>
      <c r="O110" s="98" t="e">
        <f ca="1">(TODAY()-G110)/365</f>
        <v>#VALUE!</v>
      </c>
      <c r="P110" s="91" t="s">
        <v>43</v>
      </c>
      <c r="Q110" s="91">
        <v>0</v>
      </c>
      <c r="R110" s="91">
        <v>0</v>
      </c>
      <c r="S110" s="91">
        <v>0</v>
      </c>
      <c r="T110" s="91"/>
      <c r="U110" s="91"/>
      <c r="V110" s="91"/>
      <c r="W110" s="91"/>
      <c r="X110" s="91"/>
      <c r="Y110" s="91"/>
      <c r="Z110" s="91"/>
      <c r="AA110" s="91"/>
      <c r="AB110" s="91"/>
      <c r="AC110" s="91"/>
      <c r="AD110" s="91"/>
      <c r="AE110" s="91"/>
      <c r="AF110" s="91"/>
      <c r="AG110" s="91"/>
      <c r="AH110" s="91"/>
      <c r="AI110" s="91"/>
      <c r="AJ110" s="91"/>
      <c r="AK110" s="91"/>
      <c r="AL110" s="91"/>
      <c r="AM110" s="91"/>
    </row>
    <row r="111" spans="1:39" ht="20.25" customHeight="1">
      <c r="A111" s="91"/>
      <c r="B111" s="93" t="s">
        <v>11879</v>
      </c>
      <c r="C111" s="91" t="s">
        <v>73</v>
      </c>
      <c r="D111" s="107" t="s">
        <v>1354</v>
      </c>
      <c r="E111" s="107" t="s">
        <v>6204</v>
      </c>
      <c r="F111" s="91" t="s">
        <v>6218</v>
      </c>
      <c r="G111" s="96">
        <v>38032</v>
      </c>
      <c r="H111" s="97">
        <v>27702</v>
      </c>
      <c r="I111" s="100" t="s">
        <v>6219</v>
      </c>
      <c r="J111" s="94" t="s">
        <v>58</v>
      </c>
      <c r="K111" s="95" t="s">
        <v>58</v>
      </c>
      <c r="L111" s="91" t="s">
        <v>60</v>
      </c>
      <c r="M111" s="98">
        <f ca="1">(TODAY()-H111)/365</f>
        <v>50.136986301369866</v>
      </c>
      <c r="N111" s="99">
        <f>(G111-H111)/365</f>
        <v>28.301369863013697</v>
      </c>
      <c r="O111" s="98">
        <f ca="1">(TODAY()-G111)/365</f>
        <v>21.835616438356166</v>
      </c>
      <c r="P111" s="91" t="s">
        <v>43</v>
      </c>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row>
    <row r="112" spans="1:39" ht="20.25" hidden="1" customHeight="1">
      <c r="A112" s="91"/>
      <c r="B112" s="93" t="s">
        <v>371</v>
      </c>
      <c r="C112" s="91" t="s">
        <v>36</v>
      </c>
      <c r="D112" s="94" t="s">
        <v>400</v>
      </c>
      <c r="E112" s="94" t="s">
        <v>401</v>
      </c>
      <c r="F112" s="95" t="s">
        <v>402</v>
      </c>
      <c r="G112" s="96">
        <v>44559</v>
      </c>
      <c r="H112" s="97">
        <v>37714</v>
      </c>
      <c r="I112" s="100" t="s">
        <v>58</v>
      </c>
      <c r="J112" s="94" t="s">
        <v>403</v>
      </c>
      <c r="K112" s="95">
        <v>944091356</v>
      </c>
      <c r="L112" s="91" t="s">
        <v>60</v>
      </c>
      <c r="M112" s="98">
        <f ca="1">(TODAY()-H112)/365</f>
        <v>22.706849315068492</v>
      </c>
      <c r="N112" s="99">
        <f>(G112-H112)/365</f>
        <v>18.753424657534246</v>
      </c>
      <c r="O112" s="98">
        <f ca="1">(TODAY()-G112)/365</f>
        <v>3.9534246575342467</v>
      </c>
      <c r="P112" s="91" t="s">
        <v>272</v>
      </c>
      <c r="Q112" s="91">
        <v>0</v>
      </c>
      <c r="R112" s="91">
        <v>0</v>
      </c>
      <c r="S112" s="91">
        <v>0</v>
      </c>
      <c r="T112" s="91"/>
      <c r="U112" s="91"/>
      <c r="V112" s="91"/>
      <c r="W112" s="91"/>
      <c r="X112" s="91"/>
      <c r="Y112" s="91"/>
      <c r="Z112" s="91"/>
      <c r="AA112" s="91"/>
      <c r="AB112" s="91"/>
      <c r="AC112" s="91"/>
      <c r="AD112" s="91"/>
      <c r="AE112" s="91"/>
      <c r="AF112" s="91"/>
      <c r="AG112" s="91"/>
      <c r="AH112" s="91"/>
      <c r="AI112" s="91"/>
      <c r="AJ112" s="91"/>
      <c r="AK112" s="91"/>
      <c r="AL112" s="91"/>
      <c r="AM112" s="91"/>
    </row>
    <row r="113" spans="1:39" ht="20.25" customHeight="1">
      <c r="A113" s="91"/>
      <c r="B113" s="93" t="s">
        <v>8406</v>
      </c>
      <c r="C113" s="91" t="s">
        <v>73</v>
      </c>
      <c r="D113" s="94" t="s">
        <v>1500</v>
      </c>
      <c r="E113" s="94" t="s">
        <v>8420</v>
      </c>
      <c r="F113" s="95" t="s">
        <v>8421</v>
      </c>
      <c r="G113" s="96">
        <v>44805</v>
      </c>
      <c r="H113" s="97">
        <v>26495</v>
      </c>
      <c r="I113" s="94" t="s">
        <v>8422</v>
      </c>
      <c r="J113" s="94" t="s">
        <v>58</v>
      </c>
      <c r="K113" s="95" t="s">
        <v>58</v>
      </c>
      <c r="L113" s="91" t="s">
        <v>60</v>
      </c>
      <c r="M113" s="98">
        <f ca="1">(TODAY()-H113)/365</f>
        <v>53.443835616438356</v>
      </c>
      <c r="N113" s="99">
        <f>(G113-H113)/365</f>
        <v>50.164383561643838</v>
      </c>
      <c r="O113" s="98">
        <f ca="1">(TODAY()-G113)/365</f>
        <v>3.2794520547945205</v>
      </c>
      <c r="P113" s="91" t="s">
        <v>272</v>
      </c>
      <c r="Q113" s="91">
        <v>0</v>
      </c>
      <c r="R113" s="91">
        <v>0</v>
      </c>
      <c r="S113" s="91">
        <v>0</v>
      </c>
      <c r="T113" s="91"/>
      <c r="U113" s="91"/>
      <c r="V113" s="91"/>
      <c r="W113" s="91"/>
      <c r="X113" s="91"/>
      <c r="Y113" s="91"/>
      <c r="Z113" s="91"/>
      <c r="AA113" s="91"/>
      <c r="AB113" s="91"/>
      <c r="AC113" s="91"/>
      <c r="AD113" s="91"/>
      <c r="AE113" s="91"/>
      <c r="AF113" s="91"/>
      <c r="AG113" s="91"/>
      <c r="AH113" s="91"/>
      <c r="AI113" s="91"/>
      <c r="AJ113" s="91"/>
      <c r="AK113" s="91"/>
      <c r="AL113" s="91"/>
      <c r="AM113" s="91"/>
    </row>
    <row r="114" spans="1:39" ht="20.25" customHeight="1">
      <c r="A114" s="91"/>
      <c r="B114" s="93" t="s">
        <v>11748</v>
      </c>
      <c r="C114" s="91" t="s">
        <v>73</v>
      </c>
      <c r="D114" s="107" t="s">
        <v>142</v>
      </c>
      <c r="E114" s="107" t="s">
        <v>2820</v>
      </c>
      <c r="F114" s="91" t="s">
        <v>2821</v>
      </c>
      <c r="G114" s="96">
        <v>44635</v>
      </c>
      <c r="H114" s="97">
        <v>30193</v>
      </c>
      <c r="I114" s="94" t="s">
        <v>58</v>
      </c>
      <c r="J114" s="94" t="s">
        <v>58</v>
      </c>
      <c r="K114" s="95" t="s">
        <v>58</v>
      </c>
      <c r="L114" s="91" t="s">
        <v>60</v>
      </c>
      <c r="M114" s="98">
        <f ca="1">(TODAY()-H114)/365</f>
        <v>43.31232876712329</v>
      </c>
      <c r="N114" s="99">
        <f>(G114-H114)/365</f>
        <v>39.56712328767123</v>
      </c>
      <c r="O114" s="98">
        <f ca="1">(TODAY()-G114)/365</f>
        <v>3.7452054794520548</v>
      </c>
      <c r="P114" s="91" t="s">
        <v>272</v>
      </c>
      <c r="Q114" s="91">
        <v>0</v>
      </c>
      <c r="R114" s="91">
        <v>0</v>
      </c>
      <c r="S114" s="91">
        <v>0</v>
      </c>
      <c r="T114" s="91"/>
      <c r="U114" s="91"/>
      <c r="V114" s="91"/>
      <c r="W114" s="91"/>
      <c r="X114" s="91"/>
      <c r="Y114" s="91"/>
      <c r="Z114" s="91"/>
      <c r="AA114" s="91"/>
      <c r="AB114" s="91"/>
      <c r="AC114" s="91"/>
      <c r="AD114" s="91"/>
      <c r="AE114" s="91"/>
      <c r="AF114" s="91"/>
      <c r="AG114" s="91"/>
      <c r="AH114" s="91"/>
      <c r="AI114" s="91"/>
      <c r="AJ114" s="91"/>
      <c r="AK114" s="91"/>
      <c r="AL114" s="91"/>
      <c r="AM114" s="91"/>
    </row>
    <row r="115" spans="1:39" ht="20.25" hidden="1" customHeight="1">
      <c r="A115" s="91"/>
      <c r="B115" s="93" t="s">
        <v>371</v>
      </c>
      <c r="C115" s="91" t="s">
        <v>36</v>
      </c>
      <c r="D115" s="94" t="s">
        <v>412</v>
      </c>
      <c r="E115" s="94" t="s">
        <v>413</v>
      </c>
      <c r="F115" s="95" t="s">
        <v>414</v>
      </c>
      <c r="G115" s="96">
        <v>41473</v>
      </c>
      <c r="H115" s="97">
        <v>34405</v>
      </c>
      <c r="I115" s="100" t="s">
        <v>58</v>
      </c>
      <c r="J115" s="94" t="s">
        <v>415</v>
      </c>
      <c r="K115" s="95">
        <v>997677334</v>
      </c>
      <c r="L115" s="91" t="s">
        <v>60</v>
      </c>
      <c r="M115" s="98">
        <f ca="1">(TODAY()-H115)/365</f>
        <v>31.772602739726029</v>
      </c>
      <c r="N115" s="99">
        <f>(G115-H115)/365</f>
        <v>19.364383561643837</v>
      </c>
      <c r="O115" s="98">
        <f ca="1">(TODAY()-G115)/365</f>
        <v>12.408219178082192</v>
      </c>
      <c r="P115" s="91" t="s">
        <v>272</v>
      </c>
      <c r="Q115" s="91">
        <v>0</v>
      </c>
      <c r="R115" s="91">
        <v>0</v>
      </c>
      <c r="S115" s="91">
        <v>0</v>
      </c>
      <c r="T115" s="91"/>
      <c r="U115" s="91"/>
      <c r="V115" s="91"/>
      <c r="W115" s="91"/>
      <c r="X115" s="91"/>
      <c r="Y115" s="91"/>
      <c r="Z115" s="91"/>
      <c r="AA115" s="91"/>
      <c r="AB115" s="91"/>
      <c r="AC115" s="91"/>
      <c r="AD115" s="91"/>
      <c r="AE115" s="91"/>
      <c r="AF115" s="91"/>
      <c r="AG115" s="91"/>
      <c r="AH115" s="91"/>
      <c r="AI115" s="91"/>
      <c r="AJ115" s="91"/>
      <c r="AK115" s="91"/>
      <c r="AL115" s="91"/>
      <c r="AM115" s="91"/>
    </row>
    <row r="116" spans="1:39" ht="20.25" hidden="1" customHeight="1">
      <c r="A116" s="91"/>
      <c r="B116" s="93" t="s">
        <v>371</v>
      </c>
      <c r="C116" s="91" t="s">
        <v>36</v>
      </c>
      <c r="D116" s="94" t="s">
        <v>416</v>
      </c>
      <c r="E116" s="94" t="s">
        <v>417</v>
      </c>
      <c r="F116" s="95" t="s">
        <v>418</v>
      </c>
      <c r="G116" s="96">
        <v>43528</v>
      </c>
      <c r="H116" s="97">
        <v>36365</v>
      </c>
      <c r="I116" s="100" t="s">
        <v>58</v>
      </c>
      <c r="J116" s="94" t="s">
        <v>419</v>
      </c>
      <c r="K116" s="95">
        <v>940979549</v>
      </c>
      <c r="L116" s="91" t="s">
        <v>60</v>
      </c>
      <c r="M116" s="98">
        <f ca="1">(TODAY()-H116)/365</f>
        <v>26.402739726027399</v>
      </c>
      <c r="N116" s="99">
        <f>(G116-H116)/365</f>
        <v>19.624657534246577</v>
      </c>
      <c r="O116" s="98">
        <f ca="1">(TODAY()-G116)/365</f>
        <v>6.7780821917808218</v>
      </c>
      <c r="P116" s="91" t="s">
        <v>43</v>
      </c>
      <c r="Q116" s="91">
        <v>0</v>
      </c>
      <c r="R116" s="91">
        <v>0</v>
      </c>
      <c r="S116" s="91">
        <v>0</v>
      </c>
      <c r="T116" s="91"/>
      <c r="U116" s="91"/>
      <c r="V116" s="91"/>
      <c r="W116" s="91"/>
      <c r="X116" s="91"/>
      <c r="Y116" s="91"/>
      <c r="Z116" s="91"/>
      <c r="AA116" s="91"/>
      <c r="AB116" s="91"/>
      <c r="AC116" s="91"/>
      <c r="AD116" s="91"/>
      <c r="AE116" s="91"/>
      <c r="AF116" s="91"/>
      <c r="AG116" s="91"/>
      <c r="AH116" s="91"/>
      <c r="AI116" s="91"/>
      <c r="AJ116" s="91"/>
      <c r="AK116" s="91"/>
      <c r="AL116" s="91"/>
      <c r="AM116" s="91"/>
    </row>
    <row r="117" spans="1:39" ht="20.25" hidden="1" customHeight="1">
      <c r="A117" s="91"/>
      <c r="B117" s="93" t="s">
        <v>371</v>
      </c>
      <c r="C117" s="91" t="s">
        <v>36</v>
      </c>
      <c r="D117" s="94" t="s">
        <v>420</v>
      </c>
      <c r="E117" s="94" t="s">
        <v>421</v>
      </c>
      <c r="F117" s="95" t="s">
        <v>422</v>
      </c>
      <c r="G117" s="96">
        <v>43822</v>
      </c>
      <c r="H117" s="97">
        <v>36614</v>
      </c>
      <c r="I117" s="100" t="s">
        <v>58</v>
      </c>
      <c r="J117" s="94" t="s">
        <v>423</v>
      </c>
      <c r="K117" s="95">
        <v>996476760</v>
      </c>
      <c r="L117" s="91" t="s">
        <v>60</v>
      </c>
      <c r="M117" s="98">
        <f ca="1">(TODAY()-H117)/365</f>
        <v>25.720547945205478</v>
      </c>
      <c r="N117" s="99">
        <f>(G117-H117)/365</f>
        <v>19.747945205479454</v>
      </c>
      <c r="O117" s="98">
        <f ca="1">(TODAY()-G117)/365</f>
        <v>5.9726027397260273</v>
      </c>
      <c r="P117" s="91" t="s">
        <v>272</v>
      </c>
      <c r="Q117" s="91">
        <v>0</v>
      </c>
      <c r="R117" s="91">
        <v>0</v>
      </c>
      <c r="S117" s="91">
        <v>0</v>
      </c>
      <c r="T117" s="91"/>
      <c r="U117" s="91"/>
      <c r="V117" s="91"/>
      <c r="W117" s="91"/>
      <c r="X117" s="91"/>
      <c r="Y117" s="91"/>
      <c r="Z117" s="91"/>
      <c r="AA117" s="91"/>
      <c r="AB117" s="91"/>
      <c r="AC117" s="91"/>
      <c r="AD117" s="91"/>
      <c r="AE117" s="91"/>
      <c r="AF117" s="91"/>
      <c r="AG117" s="91"/>
      <c r="AH117" s="91"/>
      <c r="AI117" s="91"/>
      <c r="AJ117" s="91"/>
      <c r="AK117" s="91"/>
      <c r="AL117" s="91"/>
      <c r="AM117" s="91"/>
    </row>
    <row r="118" spans="1:39" ht="20.25" customHeight="1">
      <c r="A118" s="91"/>
      <c r="B118" s="93" t="s">
        <v>4396</v>
      </c>
      <c r="C118" s="91" t="s">
        <v>73</v>
      </c>
      <c r="D118" s="106" t="s">
        <v>4448</v>
      </c>
      <c r="E118" s="106" t="s">
        <v>4449</v>
      </c>
      <c r="F118" s="92" t="s">
        <v>4450</v>
      </c>
      <c r="G118" s="96">
        <v>41395</v>
      </c>
      <c r="H118" s="97" t="s">
        <v>58</v>
      </c>
      <c r="I118" s="100" t="s">
        <v>58</v>
      </c>
      <c r="J118" s="100" t="s">
        <v>58</v>
      </c>
      <c r="K118" s="92" t="s">
        <v>4451</v>
      </c>
      <c r="L118" s="91" t="s">
        <v>60</v>
      </c>
      <c r="M118" s="98">
        <v>0</v>
      </c>
      <c r="N118" s="91"/>
      <c r="O118" s="98">
        <f ca="1">(TODAY()-G118)/365</f>
        <v>12.621917808219179</v>
      </c>
      <c r="P118" s="91" t="s">
        <v>272</v>
      </c>
      <c r="Q118" s="91">
        <v>0</v>
      </c>
      <c r="R118" s="91">
        <v>0</v>
      </c>
      <c r="S118" s="91">
        <v>0</v>
      </c>
      <c r="T118" s="91"/>
      <c r="U118" s="91"/>
      <c r="V118" s="91"/>
      <c r="W118" s="91"/>
      <c r="X118" s="91"/>
      <c r="Y118" s="91"/>
      <c r="Z118" s="91"/>
      <c r="AA118" s="91"/>
      <c r="AB118" s="91"/>
      <c r="AC118" s="91"/>
      <c r="AD118" s="91"/>
      <c r="AE118" s="91"/>
      <c r="AF118" s="91"/>
      <c r="AG118" s="91"/>
      <c r="AH118" s="91"/>
      <c r="AI118" s="91"/>
      <c r="AJ118" s="91"/>
      <c r="AK118" s="91"/>
      <c r="AL118" s="91"/>
      <c r="AM118" s="91"/>
    </row>
    <row r="119" spans="1:39" ht="20.25" hidden="1" customHeight="1">
      <c r="A119" s="91"/>
      <c r="B119" s="93" t="s">
        <v>371</v>
      </c>
      <c r="C119" s="91" t="s">
        <v>36</v>
      </c>
      <c r="D119" s="94" t="s">
        <v>142</v>
      </c>
      <c r="E119" s="94" t="s">
        <v>428</v>
      </c>
      <c r="F119" s="95" t="s">
        <v>429</v>
      </c>
      <c r="G119" s="96">
        <v>44559</v>
      </c>
      <c r="H119" s="97">
        <v>37290</v>
      </c>
      <c r="I119" s="100" t="s">
        <v>58</v>
      </c>
      <c r="J119" s="94" t="s">
        <v>430</v>
      </c>
      <c r="K119" s="95">
        <v>975600523</v>
      </c>
      <c r="L119" s="91" t="s">
        <v>121</v>
      </c>
      <c r="M119" s="98">
        <f ca="1">(TODAY()-H119)/365</f>
        <v>23.86849315068493</v>
      </c>
      <c r="N119" s="99">
        <f>(G119-H119)/365</f>
        <v>19.915068493150685</v>
      </c>
      <c r="O119" s="98">
        <f ca="1">(TODAY()-G119)/365</f>
        <v>3.9534246575342467</v>
      </c>
      <c r="P119" s="91" t="s">
        <v>272</v>
      </c>
      <c r="Q119" s="91">
        <v>0</v>
      </c>
      <c r="R119" s="91">
        <v>0</v>
      </c>
      <c r="S119" s="91">
        <v>0</v>
      </c>
      <c r="T119" s="91"/>
      <c r="U119" s="91"/>
      <c r="V119" s="91"/>
      <c r="W119" s="91"/>
      <c r="X119" s="91"/>
      <c r="Y119" s="91"/>
      <c r="Z119" s="91"/>
      <c r="AA119" s="91"/>
      <c r="AB119" s="91"/>
      <c r="AC119" s="91"/>
      <c r="AD119" s="91"/>
      <c r="AE119" s="91"/>
      <c r="AF119" s="91"/>
      <c r="AG119" s="91"/>
      <c r="AH119" s="91"/>
      <c r="AI119" s="91"/>
      <c r="AJ119" s="91"/>
      <c r="AK119" s="91"/>
      <c r="AL119" s="91"/>
      <c r="AM119" s="91"/>
    </row>
    <row r="120" spans="1:39" ht="20.25" hidden="1" customHeight="1">
      <c r="A120" s="91"/>
      <c r="B120" s="93" t="s">
        <v>371</v>
      </c>
      <c r="C120" s="91" t="s">
        <v>36</v>
      </c>
      <c r="D120" s="94" t="s">
        <v>431</v>
      </c>
      <c r="E120" s="94" t="s">
        <v>432</v>
      </c>
      <c r="F120" s="95" t="s">
        <v>433</v>
      </c>
      <c r="G120" s="96">
        <v>44207</v>
      </c>
      <c r="H120" s="97">
        <v>36920</v>
      </c>
      <c r="I120" s="100" t="s">
        <v>58</v>
      </c>
      <c r="J120" s="94" t="s">
        <v>434</v>
      </c>
      <c r="K120" s="95">
        <v>982898280</v>
      </c>
      <c r="L120" s="91" t="s">
        <v>60</v>
      </c>
      <c r="M120" s="98">
        <f ca="1">(TODAY()-H120)/365</f>
        <v>24.882191780821916</v>
      </c>
      <c r="N120" s="99">
        <f>(G120-H120)/365</f>
        <v>19.964383561643835</v>
      </c>
      <c r="O120" s="98">
        <f ca="1">(TODAY()-G120)/365</f>
        <v>4.9178082191780819</v>
      </c>
      <c r="P120" s="91" t="s">
        <v>272</v>
      </c>
      <c r="Q120" s="91">
        <v>0</v>
      </c>
      <c r="R120" s="91">
        <v>0</v>
      </c>
      <c r="S120" s="91">
        <v>0</v>
      </c>
      <c r="T120" s="91"/>
      <c r="U120" s="91"/>
      <c r="V120" s="91"/>
      <c r="W120" s="91"/>
      <c r="X120" s="91"/>
      <c r="Y120" s="91"/>
      <c r="Z120" s="91"/>
      <c r="AA120" s="91"/>
      <c r="AB120" s="91"/>
      <c r="AC120" s="91"/>
      <c r="AD120" s="91"/>
      <c r="AE120" s="91"/>
      <c r="AF120" s="91"/>
      <c r="AG120" s="91"/>
      <c r="AH120" s="91"/>
      <c r="AI120" s="91"/>
      <c r="AJ120" s="91"/>
      <c r="AK120" s="91"/>
      <c r="AL120" s="91"/>
      <c r="AM120" s="91"/>
    </row>
    <row r="121" spans="1:39" ht="20.25" customHeight="1">
      <c r="A121" s="91"/>
      <c r="B121" s="93" t="s">
        <v>7434</v>
      </c>
      <c r="C121" s="91" t="s">
        <v>73</v>
      </c>
      <c r="D121" s="94" t="s">
        <v>310</v>
      </c>
      <c r="E121" s="94" t="s">
        <v>7483</v>
      </c>
      <c r="F121" s="95" t="s">
        <v>7484</v>
      </c>
      <c r="G121" s="96">
        <v>45519</v>
      </c>
      <c r="H121" s="97">
        <v>22654</v>
      </c>
      <c r="I121" s="100" t="s">
        <v>58</v>
      </c>
      <c r="J121" s="100" t="s">
        <v>58</v>
      </c>
      <c r="K121" s="91" t="s">
        <v>58</v>
      </c>
      <c r="L121" s="91" t="s">
        <v>60</v>
      </c>
      <c r="M121" s="98">
        <f ca="1">(TODAY()-H121)/365</f>
        <v>63.967123287671235</v>
      </c>
      <c r="N121" s="99">
        <f>(G121-H121)/365</f>
        <v>62.643835616438359</v>
      </c>
      <c r="O121" s="98">
        <f ca="1">(TODAY()-G121)/365</f>
        <v>1.3232876712328767</v>
      </c>
      <c r="P121" s="91" t="s">
        <v>43</v>
      </c>
      <c r="Q121" s="91">
        <v>0</v>
      </c>
      <c r="R121" s="91">
        <v>0</v>
      </c>
      <c r="S121" s="91">
        <v>0</v>
      </c>
      <c r="T121" s="91"/>
      <c r="U121" s="91"/>
      <c r="V121" s="91"/>
      <c r="W121" s="91"/>
      <c r="X121" s="91"/>
      <c r="Y121" s="91"/>
      <c r="Z121" s="91"/>
      <c r="AA121" s="91"/>
      <c r="AB121" s="91"/>
      <c r="AC121" s="91"/>
      <c r="AD121" s="91"/>
      <c r="AE121" s="91"/>
      <c r="AF121" s="91"/>
      <c r="AG121" s="91"/>
      <c r="AH121" s="91"/>
      <c r="AI121" s="91"/>
      <c r="AJ121" s="91"/>
      <c r="AK121" s="91"/>
      <c r="AL121" s="91"/>
      <c r="AM121" s="91"/>
    </row>
    <row r="122" spans="1:39" ht="20.25" customHeight="1">
      <c r="A122" s="91"/>
      <c r="B122" s="93" t="s">
        <v>4396</v>
      </c>
      <c r="C122" s="91" t="s">
        <v>73</v>
      </c>
      <c r="D122" s="106" t="s">
        <v>1221</v>
      </c>
      <c r="E122" s="106" t="s">
        <v>4452</v>
      </c>
      <c r="F122" s="92" t="s">
        <v>4453</v>
      </c>
      <c r="G122" s="96">
        <v>44075</v>
      </c>
      <c r="H122" s="97" t="s">
        <v>58</v>
      </c>
      <c r="I122" s="100" t="s">
        <v>58</v>
      </c>
      <c r="J122" s="100" t="s">
        <v>58</v>
      </c>
      <c r="K122" s="92" t="s">
        <v>4454</v>
      </c>
      <c r="L122" s="91" t="s">
        <v>60</v>
      </c>
      <c r="M122" s="98">
        <v>0</v>
      </c>
      <c r="N122" s="91"/>
      <c r="O122" s="98">
        <f ca="1">(TODAY()-G122)/365</f>
        <v>5.279452054794521</v>
      </c>
      <c r="P122" s="91" t="s">
        <v>43</v>
      </c>
      <c r="Q122" s="91">
        <v>0</v>
      </c>
      <c r="R122" s="91">
        <v>0</v>
      </c>
      <c r="S122" s="91">
        <v>0</v>
      </c>
      <c r="T122" s="91"/>
      <c r="U122" s="91"/>
      <c r="V122" s="91"/>
      <c r="W122" s="91"/>
      <c r="X122" s="91"/>
      <c r="Y122" s="91"/>
      <c r="Z122" s="91"/>
      <c r="AA122" s="91"/>
      <c r="AB122" s="91"/>
      <c r="AC122" s="91"/>
      <c r="AD122" s="91"/>
      <c r="AE122" s="91"/>
      <c r="AF122" s="91"/>
      <c r="AG122" s="91"/>
      <c r="AH122" s="91"/>
      <c r="AI122" s="91"/>
      <c r="AJ122" s="91"/>
      <c r="AK122" s="91"/>
      <c r="AL122" s="91"/>
      <c r="AM122" s="91"/>
    </row>
    <row r="123" spans="1:39" ht="20.25" hidden="1" customHeight="1">
      <c r="A123" s="91"/>
      <c r="B123" s="93" t="s">
        <v>371</v>
      </c>
      <c r="C123" s="91" t="s">
        <v>36</v>
      </c>
      <c r="D123" s="94" t="s">
        <v>443</v>
      </c>
      <c r="E123" s="94" t="s">
        <v>444</v>
      </c>
      <c r="F123" s="95" t="s">
        <v>445</v>
      </c>
      <c r="G123" s="96">
        <v>39780</v>
      </c>
      <c r="H123" s="97">
        <v>32296</v>
      </c>
      <c r="I123" s="100" t="s">
        <v>58</v>
      </c>
      <c r="J123" s="94" t="s">
        <v>446</v>
      </c>
      <c r="K123" s="95">
        <v>95003965</v>
      </c>
      <c r="L123" s="91" t="s">
        <v>197</v>
      </c>
      <c r="M123" s="98">
        <f ca="1">(TODAY()-H123)/365</f>
        <v>37.550684931506851</v>
      </c>
      <c r="N123" s="99">
        <f>(G123-H123)/365</f>
        <v>20.504109589041096</v>
      </c>
      <c r="O123" s="98">
        <f ca="1">(TODAY()-G123)/365</f>
        <v>17.046575342465754</v>
      </c>
      <c r="P123" s="91" t="s">
        <v>272</v>
      </c>
      <c r="Q123" s="91">
        <v>0</v>
      </c>
      <c r="R123" s="91">
        <v>0</v>
      </c>
      <c r="S123" s="91">
        <v>0</v>
      </c>
      <c r="T123" s="91"/>
      <c r="U123" s="91"/>
      <c r="V123" s="91">
        <v>2012</v>
      </c>
      <c r="W123" s="91"/>
      <c r="X123" s="91"/>
      <c r="Y123" s="91"/>
      <c r="Z123" s="91"/>
      <c r="AA123" s="91"/>
      <c r="AB123" s="91"/>
      <c r="AC123" s="91"/>
      <c r="AD123" s="91"/>
      <c r="AE123" s="91"/>
      <c r="AF123" s="91"/>
      <c r="AG123" s="91"/>
      <c r="AH123" s="91"/>
      <c r="AI123" s="91"/>
      <c r="AJ123" s="91"/>
      <c r="AK123" s="91"/>
      <c r="AL123" s="91"/>
      <c r="AM123" s="91"/>
    </row>
    <row r="124" spans="1:39" ht="20.25" customHeight="1">
      <c r="A124" s="91"/>
      <c r="B124" s="93" t="s">
        <v>371</v>
      </c>
      <c r="C124" s="91" t="s">
        <v>73</v>
      </c>
      <c r="D124" s="94" t="s">
        <v>424</v>
      </c>
      <c r="E124" s="94" t="s">
        <v>425</v>
      </c>
      <c r="F124" s="95" t="s">
        <v>426</v>
      </c>
      <c r="G124" s="96">
        <v>45636</v>
      </c>
      <c r="H124" s="97">
        <v>38410</v>
      </c>
      <c r="I124" s="100" t="s">
        <v>427</v>
      </c>
      <c r="J124" s="100" t="s">
        <v>58</v>
      </c>
      <c r="K124" s="91" t="s">
        <v>58</v>
      </c>
      <c r="L124" s="91" t="s">
        <v>60</v>
      </c>
      <c r="M124" s="98">
        <f ca="1">(TODAY()-H124)/365</f>
        <v>20.8</v>
      </c>
      <c r="N124" s="99">
        <f>(G124-H124)/365</f>
        <v>19.797260273972604</v>
      </c>
      <c r="O124" s="98">
        <f ca="1">(TODAY()-G124)/365</f>
        <v>1.0027397260273974</v>
      </c>
      <c r="P124" s="91" t="s">
        <v>272</v>
      </c>
      <c r="Q124" s="91">
        <v>0</v>
      </c>
      <c r="R124" s="91">
        <v>0</v>
      </c>
      <c r="S124" s="91">
        <v>0</v>
      </c>
      <c r="T124" s="91"/>
      <c r="U124" s="91"/>
      <c r="V124" s="91"/>
      <c r="W124" s="91"/>
      <c r="X124" s="91"/>
      <c r="Y124" s="91"/>
      <c r="Z124" s="91"/>
      <c r="AA124" s="91"/>
      <c r="AB124" s="91"/>
      <c r="AC124" s="91"/>
      <c r="AD124" s="91"/>
      <c r="AE124" s="91"/>
      <c r="AF124" s="91"/>
      <c r="AG124" s="91"/>
      <c r="AH124" s="91"/>
      <c r="AI124" s="91"/>
      <c r="AJ124" s="91"/>
      <c r="AK124" s="91"/>
      <c r="AL124" s="91"/>
      <c r="AM124" s="91"/>
    </row>
    <row r="125" spans="1:39" ht="20.25" customHeight="1">
      <c r="A125" s="91"/>
      <c r="B125" s="93" t="s">
        <v>11884</v>
      </c>
      <c r="C125" s="91" t="s">
        <v>73</v>
      </c>
      <c r="D125" s="106" t="s">
        <v>6407</v>
      </c>
      <c r="E125" s="106" t="s">
        <v>6408</v>
      </c>
      <c r="F125" s="92" t="s">
        <v>6409</v>
      </c>
      <c r="G125" s="96">
        <v>45108</v>
      </c>
      <c r="H125" s="97">
        <v>35364</v>
      </c>
      <c r="I125" s="102" t="s">
        <v>6410</v>
      </c>
      <c r="J125" s="94" t="s">
        <v>58</v>
      </c>
      <c r="K125" s="95" t="s">
        <v>58</v>
      </c>
      <c r="L125" s="91" t="s">
        <v>60</v>
      </c>
      <c r="M125" s="98">
        <f ca="1">(TODAY()-H125)/365</f>
        <v>29.145205479452056</v>
      </c>
      <c r="N125" s="99">
        <f>(G125-H125)/365</f>
        <v>26.695890410958903</v>
      </c>
      <c r="O125" s="98">
        <f ca="1">(TODAY()-G125)/365</f>
        <v>2.4493150684931506</v>
      </c>
      <c r="P125" s="91" t="s">
        <v>272</v>
      </c>
      <c r="Q125" s="91">
        <v>0</v>
      </c>
      <c r="R125" s="91">
        <v>0</v>
      </c>
      <c r="S125" s="91">
        <v>0</v>
      </c>
      <c r="T125" s="91"/>
      <c r="U125" s="91"/>
      <c r="V125" s="91"/>
      <c r="W125" s="91"/>
      <c r="X125" s="91"/>
      <c r="Y125" s="91"/>
      <c r="Z125" s="91"/>
      <c r="AA125" s="91"/>
      <c r="AB125" s="91"/>
      <c r="AC125" s="91"/>
      <c r="AD125" s="91"/>
      <c r="AE125" s="91"/>
      <c r="AF125" s="91"/>
      <c r="AG125" s="91"/>
      <c r="AH125" s="91"/>
      <c r="AI125" s="91"/>
      <c r="AJ125" s="91"/>
      <c r="AK125" s="91"/>
      <c r="AL125" s="91"/>
      <c r="AM125" s="91"/>
    </row>
    <row r="126" spans="1:39" ht="20.25" customHeight="1">
      <c r="A126" s="91"/>
      <c r="B126" s="93" t="s">
        <v>4396</v>
      </c>
      <c r="C126" s="91" t="s">
        <v>73</v>
      </c>
      <c r="D126" s="106" t="s">
        <v>4432</v>
      </c>
      <c r="E126" s="106" t="s">
        <v>4433</v>
      </c>
      <c r="F126" s="92" t="s">
        <v>4434</v>
      </c>
      <c r="G126" s="96">
        <v>43891</v>
      </c>
      <c r="H126" s="97" t="s">
        <v>58</v>
      </c>
      <c r="I126" s="100" t="s">
        <v>58</v>
      </c>
      <c r="J126" s="100" t="s">
        <v>58</v>
      </c>
      <c r="K126" s="92" t="s">
        <v>4435</v>
      </c>
      <c r="L126" s="91" t="s">
        <v>60</v>
      </c>
      <c r="M126" s="98">
        <v>0</v>
      </c>
      <c r="N126" s="91"/>
      <c r="O126" s="98">
        <f ca="1">(TODAY()-G126)/365</f>
        <v>5.7835616438356166</v>
      </c>
      <c r="P126" s="91" t="s">
        <v>43</v>
      </c>
      <c r="Q126" s="91">
        <v>0</v>
      </c>
      <c r="R126" s="91">
        <v>0</v>
      </c>
      <c r="S126" s="91">
        <v>0</v>
      </c>
      <c r="T126" s="91"/>
      <c r="U126" s="91"/>
      <c r="V126" s="91"/>
      <c r="W126" s="91"/>
      <c r="X126" s="91"/>
      <c r="Y126" s="91"/>
      <c r="Z126" s="91"/>
      <c r="AA126" s="91"/>
      <c r="AB126" s="91"/>
      <c r="AC126" s="91"/>
      <c r="AD126" s="91"/>
      <c r="AE126" s="91"/>
      <c r="AF126" s="91"/>
      <c r="AG126" s="91"/>
      <c r="AH126" s="91"/>
      <c r="AI126" s="91"/>
      <c r="AJ126" s="91"/>
      <c r="AK126" s="91"/>
      <c r="AL126" s="91"/>
      <c r="AM126" s="91"/>
    </row>
    <row r="127" spans="1:39" ht="20.25" customHeight="1">
      <c r="A127" s="91"/>
      <c r="B127" s="93" t="s">
        <v>260</v>
      </c>
      <c r="C127" s="91" t="s">
        <v>73</v>
      </c>
      <c r="D127" s="106" t="s">
        <v>361</v>
      </c>
      <c r="E127" s="106" t="s">
        <v>362</v>
      </c>
      <c r="F127" s="92" t="s">
        <v>363</v>
      </c>
      <c r="G127" s="103">
        <v>42114</v>
      </c>
      <c r="H127" s="97">
        <v>22065</v>
      </c>
      <c r="I127" s="100" t="s">
        <v>58</v>
      </c>
      <c r="J127" s="100" t="s">
        <v>58</v>
      </c>
      <c r="K127" s="91" t="s">
        <v>58</v>
      </c>
      <c r="L127" s="91" t="s">
        <v>60</v>
      </c>
      <c r="M127" s="98">
        <f ca="1">(TODAY()-H127)/365</f>
        <v>65.580821917808223</v>
      </c>
      <c r="N127" s="99">
        <f>(G127-H127)/365</f>
        <v>54.92876712328767</v>
      </c>
      <c r="O127" s="98">
        <f ca="1">(TODAY()-G127)/365</f>
        <v>10.652054794520549</v>
      </c>
      <c r="P127" s="91" t="s">
        <v>43</v>
      </c>
      <c r="Q127" s="91">
        <v>0</v>
      </c>
      <c r="R127" s="91">
        <v>0</v>
      </c>
      <c r="S127" s="91">
        <v>0</v>
      </c>
      <c r="T127" s="91"/>
      <c r="U127" s="91"/>
      <c r="V127" s="91"/>
      <c r="W127" s="91"/>
      <c r="X127" s="91"/>
      <c r="Y127" s="91"/>
      <c r="Z127" s="91"/>
      <c r="AA127" s="91"/>
      <c r="AB127" s="91"/>
      <c r="AC127" s="91"/>
      <c r="AD127" s="91"/>
      <c r="AE127" s="91"/>
      <c r="AF127" s="91"/>
      <c r="AG127" s="91"/>
      <c r="AH127" s="91"/>
      <c r="AI127" s="91"/>
      <c r="AJ127" s="91"/>
      <c r="AK127" s="91"/>
      <c r="AL127" s="91"/>
      <c r="AM127" s="91"/>
    </row>
    <row r="128" spans="1:39" ht="20.25" hidden="1" customHeight="1">
      <c r="A128" s="91"/>
      <c r="B128" s="93" t="s">
        <v>371</v>
      </c>
      <c r="C128" s="91" t="s">
        <v>36</v>
      </c>
      <c r="D128" s="94" t="s">
        <v>463</v>
      </c>
      <c r="E128" s="94" t="s">
        <v>464</v>
      </c>
      <c r="F128" s="95" t="s">
        <v>465</v>
      </c>
      <c r="G128" s="96">
        <v>42882</v>
      </c>
      <c r="H128" s="97">
        <v>34449</v>
      </c>
      <c r="I128" s="100" t="s">
        <v>58</v>
      </c>
      <c r="J128" s="94" t="s">
        <v>466</v>
      </c>
      <c r="K128" s="95">
        <v>957403460</v>
      </c>
      <c r="L128" s="91" t="s">
        <v>66</v>
      </c>
      <c r="M128" s="98">
        <f ca="1">(TODAY()-H128)/365</f>
        <v>31.652054794520549</v>
      </c>
      <c r="N128" s="99">
        <f>(G128-H128)/365</f>
        <v>23.104109589041094</v>
      </c>
      <c r="O128" s="98">
        <f ca="1">(TODAY()-G128)/365</f>
        <v>8.5479452054794525</v>
      </c>
      <c r="P128" s="91" t="s">
        <v>43</v>
      </c>
      <c r="Q128" s="91">
        <v>0</v>
      </c>
      <c r="R128" s="91">
        <v>0</v>
      </c>
      <c r="S128" s="91">
        <v>0</v>
      </c>
      <c r="T128" s="91"/>
      <c r="U128" s="91"/>
      <c r="V128" s="91"/>
      <c r="W128" s="91"/>
      <c r="X128" s="91"/>
      <c r="Y128" s="91"/>
      <c r="Z128" s="91"/>
      <c r="AA128" s="91"/>
      <c r="AB128" s="91"/>
      <c r="AC128" s="91"/>
      <c r="AD128" s="91"/>
      <c r="AE128" s="91"/>
      <c r="AF128" s="91"/>
      <c r="AG128" s="91"/>
      <c r="AH128" s="91"/>
      <c r="AI128" s="91"/>
      <c r="AJ128" s="91"/>
      <c r="AK128" s="91"/>
      <c r="AL128" s="91"/>
      <c r="AM128" s="91"/>
    </row>
    <row r="129" spans="1:39" ht="20.25" hidden="1" customHeight="1">
      <c r="A129" s="91"/>
      <c r="B129" s="93" t="s">
        <v>371</v>
      </c>
      <c r="C129" s="91" t="s">
        <v>36</v>
      </c>
      <c r="D129" s="94" t="s">
        <v>447</v>
      </c>
      <c r="E129" s="94" t="s">
        <v>467</v>
      </c>
      <c r="F129" s="95" t="s">
        <v>468</v>
      </c>
      <c r="G129" s="96">
        <v>42882</v>
      </c>
      <c r="H129" s="97">
        <v>34308</v>
      </c>
      <c r="I129" s="100" t="s">
        <v>58</v>
      </c>
      <c r="J129" s="94" t="s">
        <v>469</v>
      </c>
      <c r="K129" s="95">
        <v>996476760</v>
      </c>
      <c r="L129" s="91" t="s">
        <v>60</v>
      </c>
      <c r="M129" s="98">
        <f ca="1">(TODAY()-H129)/365</f>
        <v>32.038356164383565</v>
      </c>
      <c r="N129" s="99">
        <f>(G129-H129)/365</f>
        <v>23.490410958904111</v>
      </c>
      <c r="O129" s="98">
        <f ca="1">(TODAY()-G129)/365</f>
        <v>8.5479452054794525</v>
      </c>
      <c r="P129" s="91" t="s">
        <v>43</v>
      </c>
      <c r="Q129" s="91">
        <v>0</v>
      </c>
      <c r="R129" s="91">
        <v>0</v>
      </c>
      <c r="S129" s="91">
        <v>0</v>
      </c>
      <c r="T129" s="91"/>
      <c r="U129" s="91"/>
      <c r="V129" s="91"/>
      <c r="W129" s="91"/>
      <c r="X129" s="91"/>
      <c r="Y129" s="91"/>
      <c r="Z129" s="91"/>
      <c r="AA129" s="91"/>
      <c r="AB129" s="91"/>
      <c r="AC129" s="91"/>
      <c r="AD129" s="91"/>
      <c r="AE129" s="91"/>
      <c r="AF129" s="91"/>
      <c r="AG129" s="91"/>
      <c r="AH129" s="91"/>
      <c r="AI129" s="91"/>
      <c r="AJ129" s="91"/>
      <c r="AK129" s="91"/>
      <c r="AL129" s="91"/>
      <c r="AM129" s="91"/>
    </row>
    <row r="130" spans="1:39" ht="20.25" hidden="1" customHeight="1">
      <c r="A130" s="91"/>
      <c r="B130" s="93" t="s">
        <v>371</v>
      </c>
      <c r="C130" s="91" t="s">
        <v>36</v>
      </c>
      <c r="D130" s="94" t="s">
        <v>470</v>
      </c>
      <c r="E130" s="94" t="s">
        <v>471</v>
      </c>
      <c r="F130" s="95" t="s">
        <v>472</v>
      </c>
      <c r="G130" s="96">
        <v>43822</v>
      </c>
      <c r="H130" s="97">
        <v>34570</v>
      </c>
      <c r="I130" s="100" t="s">
        <v>58</v>
      </c>
      <c r="J130" s="94" t="s">
        <v>473</v>
      </c>
      <c r="K130" s="95">
        <v>981626340</v>
      </c>
      <c r="L130" s="91" t="s">
        <v>60</v>
      </c>
      <c r="M130" s="98">
        <f ca="1">(TODAY()-H130)/365</f>
        <v>31.32054794520548</v>
      </c>
      <c r="N130" s="99">
        <f>(G130-H130)/365</f>
        <v>25.347945205479451</v>
      </c>
      <c r="O130" s="98">
        <f ca="1">(TODAY()-G130)/365</f>
        <v>5.9726027397260273</v>
      </c>
      <c r="P130" s="91" t="s">
        <v>43</v>
      </c>
      <c r="Q130" s="91">
        <v>0</v>
      </c>
      <c r="R130" s="91">
        <v>0</v>
      </c>
      <c r="S130" s="91">
        <v>0</v>
      </c>
      <c r="T130" s="91"/>
      <c r="U130" s="91"/>
      <c r="V130" s="91"/>
      <c r="W130" s="91"/>
      <c r="X130" s="91"/>
      <c r="Y130" s="91"/>
      <c r="Z130" s="91"/>
      <c r="AA130" s="91"/>
      <c r="AB130" s="91"/>
      <c r="AC130" s="91"/>
      <c r="AD130" s="91"/>
      <c r="AE130" s="91"/>
      <c r="AF130" s="91"/>
      <c r="AG130" s="91"/>
      <c r="AH130" s="91"/>
      <c r="AI130" s="91"/>
      <c r="AJ130" s="91"/>
      <c r="AK130" s="91"/>
      <c r="AL130" s="91"/>
      <c r="AM130" s="91"/>
    </row>
    <row r="131" spans="1:39" ht="20.25" customHeight="1">
      <c r="A131" s="91"/>
      <c r="B131" s="93" t="s">
        <v>4896</v>
      </c>
      <c r="C131" s="91" t="s">
        <v>73</v>
      </c>
      <c r="D131" s="107" t="s">
        <v>4950</v>
      </c>
      <c r="E131" s="107" t="s">
        <v>4951</v>
      </c>
      <c r="F131" s="91" t="s">
        <v>4952</v>
      </c>
      <c r="G131" s="96">
        <v>44364</v>
      </c>
      <c r="H131" s="97">
        <v>36558</v>
      </c>
      <c r="I131" s="94" t="s">
        <v>58</v>
      </c>
      <c r="J131" s="94" t="s">
        <v>58</v>
      </c>
      <c r="K131" s="91">
        <v>962676953</v>
      </c>
      <c r="L131" s="91" t="s">
        <v>60</v>
      </c>
      <c r="M131" s="98">
        <f ca="1">(TODAY()-H131)/365</f>
        <v>25.873972602739727</v>
      </c>
      <c r="N131" s="99">
        <f>(G131-H131)/365</f>
        <v>21.386301369863013</v>
      </c>
      <c r="O131" s="98">
        <f ca="1">(TODAY()-G131)/365</f>
        <v>4.4876712328767123</v>
      </c>
      <c r="P131" s="91" t="s">
        <v>43</v>
      </c>
      <c r="Q131" s="91">
        <v>0</v>
      </c>
      <c r="R131" s="91">
        <v>0</v>
      </c>
      <c r="S131" s="91">
        <v>0</v>
      </c>
      <c r="T131" s="91"/>
      <c r="U131" s="91"/>
      <c r="V131" s="91"/>
      <c r="W131" s="91"/>
      <c r="X131" s="91"/>
      <c r="Y131" s="91"/>
      <c r="Z131" s="91"/>
      <c r="AA131" s="91"/>
      <c r="AB131" s="91"/>
      <c r="AC131" s="91"/>
      <c r="AD131" s="91"/>
      <c r="AE131" s="91"/>
      <c r="AF131" s="91"/>
      <c r="AG131" s="91"/>
      <c r="AH131" s="91"/>
      <c r="AI131" s="91"/>
      <c r="AJ131" s="91"/>
      <c r="AK131" s="91"/>
      <c r="AL131" s="91"/>
      <c r="AM131" s="91"/>
    </row>
    <row r="132" spans="1:39" ht="20.25" customHeight="1">
      <c r="A132" s="91"/>
      <c r="B132" s="93" t="s">
        <v>11884</v>
      </c>
      <c r="C132" s="91" t="s">
        <v>73</v>
      </c>
      <c r="D132" s="106" t="s">
        <v>455</v>
      </c>
      <c r="E132" s="106" t="s">
        <v>6460</v>
      </c>
      <c r="F132" s="92" t="s">
        <v>6461</v>
      </c>
      <c r="G132" s="96">
        <v>44743</v>
      </c>
      <c r="H132" s="97">
        <v>31797</v>
      </c>
      <c r="I132" s="102" t="s">
        <v>6462</v>
      </c>
      <c r="J132" s="94" t="s">
        <v>58</v>
      </c>
      <c r="K132" s="95" t="s">
        <v>58</v>
      </c>
      <c r="L132" s="91" t="s">
        <v>60</v>
      </c>
      <c r="M132" s="98">
        <f ca="1">(TODAY()-H132)/365</f>
        <v>38.917808219178085</v>
      </c>
      <c r="N132" s="99">
        <f>(G132-H132)/365</f>
        <v>35.468493150684928</v>
      </c>
      <c r="O132" s="98">
        <f ca="1">(TODAY()-G132)/365</f>
        <v>3.4493150684931506</v>
      </c>
      <c r="P132" s="91" t="s">
        <v>43</v>
      </c>
      <c r="Q132" s="91">
        <v>0</v>
      </c>
      <c r="R132" s="91">
        <v>0</v>
      </c>
      <c r="S132" s="91">
        <v>0</v>
      </c>
      <c r="T132" s="91"/>
      <c r="U132" s="91"/>
      <c r="V132" s="91"/>
      <c r="W132" s="91"/>
      <c r="X132" s="91"/>
      <c r="Y132" s="91"/>
      <c r="Z132" s="91"/>
      <c r="AA132" s="91"/>
      <c r="AB132" s="91"/>
      <c r="AC132" s="91"/>
      <c r="AD132" s="91"/>
      <c r="AE132" s="91"/>
      <c r="AF132" s="91"/>
      <c r="AG132" s="91"/>
      <c r="AH132" s="91"/>
      <c r="AI132" s="91"/>
      <c r="AJ132" s="91"/>
      <c r="AK132" s="91"/>
      <c r="AL132" s="91"/>
      <c r="AM132" s="91"/>
    </row>
    <row r="133" spans="1:39" ht="20.25" hidden="1" customHeight="1">
      <c r="A133" s="91"/>
      <c r="B133" s="93" t="s">
        <v>371</v>
      </c>
      <c r="C133" s="91" t="s">
        <v>36</v>
      </c>
      <c r="D133" s="94" t="s">
        <v>482</v>
      </c>
      <c r="E133" s="94" t="s">
        <v>483</v>
      </c>
      <c r="F133" s="95" t="s">
        <v>484</v>
      </c>
      <c r="G133" s="96">
        <v>27682</v>
      </c>
      <c r="H133" s="97">
        <v>15690</v>
      </c>
      <c r="I133" s="100" t="s">
        <v>58</v>
      </c>
      <c r="J133" s="94" t="s">
        <v>485</v>
      </c>
      <c r="K133" s="95">
        <v>989847654</v>
      </c>
      <c r="L133" s="91" t="s">
        <v>60</v>
      </c>
      <c r="M133" s="98">
        <f ca="1">(TODAY()-H133)/365</f>
        <v>83.046575342465758</v>
      </c>
      <c r="N133" s="99">
        <f>(G133-H133)/365</f>
        <v>32.854794520547948</v>
      </c>
      <c r="O133" s="98">
        <f ca="1">(TODAY()-G133)/365</f>
        <v>50.19178082191781</v>
      </c>
      <c r="P133" s="91" t="s">
        <v>43</v>
      </c>
      <c r="Q133" s="91">
        <v>0</v>
      </c>
      <c r="R133" s="91">
        <v>1</v>
      </c>
      <c r="S133" s="91">
        <v>0</v>
      </c>
      <c r="T133" s="91"/>
      <c r="U133" s="91"/>
      <c r="V133" s="91"/>
      <c r="W133" s="91"/>
      <c r="X133" s="91"/>
      <c r="Y133" s="91"/>
      <c r="Z133" s="91"/>
      <c r="AA133" s="91"/>
      <c r="AB133" s="91"/>
      <c r="AC133" s="91"/>
      <c r="AD133" s="91"/>
      <c r="AE133" s="91"/>
      <c r="AF133" s="91"/>
      <c r="AG133" s="91"/>
      <c r="AH133" s="91"/>
      <c r="AI133" s="91"/>
      <c r="AJ133" s="91"/>
      <c r="AK133" s="91"/>
      <c r="AL133" s="91"/>
      <c r="AM133" s="91"/>
    </row>
    <row r="134" spans="1:39" ht="20.25" hidden="1" customHeight="1">
      <c r="A134" s="91"/>
      <c r="B134" s="93" t="s">
        <v>371</v>
      </c>
      <c r="C134" s="91" t="s">
        <v>36</v>
      </c>
      <c r="D134" s="94" t="s">
        <v>486</v>
      </c>
      <c r="E134" s="94" t="s">
        <v>487</v>
      </c>
      <c r="F134" s="95" t="s">
        <v>488</v>
      </c>
      <c r="G134" s="96">
        <v>42794</v>
      </c>
      <c r="H134" s="97">
        <v>30746</v>
      </c>
      <c r="I134" s="100" t="s">
        <v>58</v>
      </c>
      <c r="J134" s="94" t="s">
        <v>489</v>
      </c>
      <c r="K134" s="95">
        <v>954102524</v>
      </c>
      <c r="L134" s="91" t="s">
        <v>60</v>
      </c>
      <c r="M134" s="98">
        <f ca="1">(TODAY()-H134)/365</f>
        <v>41.797260273972604</v>
      </c>
      <c r="N134" s="99">
        <f>(G134-H134)/365</f>
        <v>33.008219178082193</v>
      </c>
      <c r="O134" s="98">
        <f ca="1">(TODAY()-G134)/365</f>
        <v>8.7890410958904113</v>
      </c>
      <c r="P134" s="91" t="s">
        <v>43</v>
      </c>
      <c r="Q134" s="91">
        <v>0</v>
      </c>
      <c r="R134" s="91">
        <v>1</v>
      </c>
      <c r="S134" s="91">
        <v>0</v>
      </c>
      <c r="T134" s="91"/>
      <c r="U134" s="91"/>
      <c r="V134" s="91"/>
      <c r="W134" s="91"/>
      <c r="X134" s="91"/>
      <c r="Y134" s="91"/>
      <c r="Z134" s="91"/>
      <c r="AA134" s="91"/>
      <c r="AB134" s="91"/>
      <c r="AC134" s="91"/>
      <c r="AD134" s="91"/>
      <c r="AE134" s="91"/>
      <c r="AF134" s="91"/>
      <c r="AG134" s="91"/>
      <c r="AH134" s="91"/>
      <c r="AI134" s="91"/>
      <c r="AJ134" s="91"/>
      <c r="AK134" s="91"/>
      <c r="AL134" s="91"/>
      <c r="AM134" s="91"/>
    </row>
    <row r="135" spans="1:39" ht="20.25" customHeight="1">
      <c r="A135" s="91"/>
      <c r="B135" s="93" t="s">
        <v>2663</v>
      </c>
      <c r="C135" s="91" t="s">
        <v>73</v>
      </c>
      <c r="D135" s="94" t="s">
        <v>2683</v>
      </c>
      <c r="E135" s="94" t="s">
        <v>2684</v>
      </c>
      <c r="F135" s="95" t="s">
        <v>2685</v>
      </c>
      <c r="G135" s="96">
        <v>44306</v>
      </c>
      <c r="H135" s="97">
        <v>37131</v>
      </c>
      <c r="I135" s="94" t="s">
        <v>2686</v>
      </c>
      <c r="J135" s="94" t="s">
        <v>58</v>
      </c>
      <c r="K135" s="95" t="s">
        <v>58</v>
      </c>
      <c r="L135" s="91" t="s">
        <v>60</v>
      </c>
      <c r="M135" s="98">
        <f ca="1">(TODAY()-H135)/365</f>
        <v>24.304109589041097</v>
      </c>
      <c r="N135" s="99">
        <f>(G135-H135)/365</f>
        <v>19.657534246575342</v>
      </c>
      <c r="O135" s="98">
        <f ca="1">(TODAY()-G135)/365</f>
        <v>4.646575342465753</v>
      </c>
      <c r="P135" s="91" t="s">
        <v>43</v>
      </c>
      <c r="Q135" s="91">
        <v>0</v>
      </c>
      <c r="R135" s="91">
        <v>0</v>
      </c>
      <c r="S135" s="91">
        <v>0</v>
      </c>
      <c r="T135" s="91"/>
      <c r="U135" s="91"/>
      <c r="V135" s="91"/>
      <c r="W135" s="91"/>
      <c r="X135" s="91"/>
      <c r="Y135" s="91"/>
      <c r="Z135" s="91"/>
      <c r="AA135" s="91"/>
      <c r="AB135" s="91"/>
      <c r="AC135" s="91"/>
      <c r="AD135" s="91"/>
      <c r="AE135" s="91"/>
      <c r="AF135" s="91"/>
      <c r="AG135" s="91"/>
      <c r="AH135" s="91"/>
      <c r="AI135" s="91"/>
      <c r="AJ135" s="91"/>
      <c r="AK135" s="91"/>
      <c r="AL135" s="91"/>
      <c r="AM135" s="91"/>
    </row>
    <row r="136" spans="1:39" ht="20.25" customHeight="1">
      <c r="A136" s="91"/>
      <c r="B136" s="93" t="s">
        <v>1811</v>
      </c>
      <c r="C136" s="91" t="s">
        <v>73</v>
      </c>
      <c r="D136" s="94" t="s">
        <v>2090</v>
      </c>
      <c r="E136" s="94" t="s">
        <v>2091</v>
      </c>
      <c r="F136" s="95" t="s">
        <v>2092</v>
      </c>
      <c r="G136" s="96">
        <v>42737</v>
      </c>
      <c r="H136" s="97">
        <v>28888</v>
      </c>
      <c r="I136" s="94" t="s">
        <v>2095</v>
      </c>
      <c r="J136" s="100" t="s">
        <v>58</v>
      </c>
      <c r="K136" s="91" t="s">
        <v>58</v>
      </c>
      <c r="L136" s="91" t="s">
        <v>60</v>
      </c>
      <c r="M136" s="98">
        <f ca="1">(TODAY()-H136)/365</f>
        <v>46.887671232876713</v>
      </c>
      <c r="N136" s="99">
        <f>(G136-H136)/365</f>
        <v>37.942465753424656</v>
      </c>
      <c r="O136" s="98">
        <f ca="1">(TODAY()-G136)/365</f>
        <v>8.9452054794520546</v>
      </c>
      <c r="P136" s="91" t="s">
        <v>272</v>
      </c>
      <c r="Q136" s="91">
        <v>0</v>
      </c>
      <c r="R136" s="91">
        <v>0</v>
      </c>
      <c r="S136" s="91">
        <v>0</v>
      </c>
      <c r="T136" s="91"/>
      <c r="U136" s="91"/>
      <c r="V136" s="91"/>
      <c r="W136" s="91"/>
      <c r="X136" s="91"/>
      <c r="Y136" s="91"/>
      <c r="Z136" s="91"/>
      <c r="AA136" s="91"/>
      <c r="AB136" s="91"/>
      <c r="AC136" s="91"/>
      <c r="AD136" s="91"/>
      <c r="AE136" s="91"/>
      <c r="AF136" s="91"/>
      <c r="AG136" s="91"/>
      <c r="AH136" s="91"/>
      <c r="AI136" s="91"/>
      <c r="AJ136" s="91"/>
      <c r="AK136" s="91"/>
      <c r="AL136" s="91"/>
      <c r="AM136" s="91"/>
    </row>
    <row r="137" spans="1:39" ht="20.25" hidden="1" customHeight="1">
      <c r="A137" s="91"/>
      <c r="B137" s="93" t="s">
        <v>371</v>
      </c>
      <c r="C137" s="91" t="s">
        <v>36</v>
      </c>
      <c r="D137" s="94" t="s">
        <v>498</v>
      </c>
      <c r="E137" s="94" t="s">
        <v>499</v>
      </c>
      <c r="F137" s="95" t="s">
        <v>500</v>
      </c>
      <c r="G137" s="96">
        <v>32288</v>
      </c>
      <c r="H137" s="97">
        <v>18050</v>
      </c>
      <c r="I137" s="100" t="s">
        <v>58</v>
      </c>
      <c r="J137" s="94" t="s">
        <v>489</v>
      </c>
      <c r="K137" s="95">
        <v>975855192</v>
      </c>
      <c r="L137" s="91" t="s">
        <v>42</v>
      </c>
      <c r="M137" s="98">
        <f ca="1">(TODAY()-H137)/365</f>
        <v>76.580821917808223</v>
      </c>
      <c r="N137" s="99">
        <f>(G137-H137)/365</f>
        <v>39.008219178082193</v>
      </c>
      <c r="O137" s="98">
        <f ca="1">(TODAY()-G137)/365</f>
        <v>37.57260273972603</v>
      </c>
      <c r="P137" s="91" t="s">
        <v>43</v>
      </c>
      <c r="Q137" s="91">
        <v>0</v>
      </c>
      <c r="R137" s="91">
        <v>1</v>
      </c>
      <c r="S137" s="91">
        <v>1</v>
      </c>
      <c r="T137" s="91"/>
      <c r="U137" s="91"/>
      <c r="V137" s="91"/>
      <c r="W137" s="91"/>
      <c r="X137" s="91"/>
      <c r="Y137" s="91"/>
      <c r="Z137" s="91"/>
      <c r="AA137" s="91"/>
      <c r="AB137" s="91"/>
      <c r="AC137" s="91"/>
      <c r="AD137" s="91"/>
      <c r="AE137" s="91"/>
      <c r="AF137" s="91"/>
      <c r="AG137" s="91"/>
      <c r="AH137" s="91"/>
      <c r="AI137" s="91"/>
      <c r="AJ137" s="91"/>
      <c r="AK137" s="91"/>
      <c r="AL137" s="91"/>
      <c r="AM137" s="91"/>
    </row>
    <row r="138" spans="1:39" ht="20.25" hidden="1" customHeight="1">
      <c r="A138" s="91"/>
      <c r="B138" s="93" t="s">
        <v>371</v>
      </c>
      <c r="C138" s="91" t="s">
        <v>36</v>
      </c>
      <c r="D138" s="94" t="s">
        <v>501</v>
      </c>
      <c r="E138" s="94" t="s">
        <v>502</v>
      </c>
      <c r="F138" s="95" t="s">
        <v>503</v>
      </c>
      <c r="G138" s="96">
        <v>27892</v>
      </c>
      <c r="H138" s="97">
        <v>12548</v>
      </c>
      <c r="I138" s="100" t="s">
        <v>58</v>
      </c>
      <c r="J138" s="94" t="s">
        <v>504</v>
      </c>
      <c r="K138" s="95">
        <v>985285552</v>
      </c>
      <c r="L138" s="91" t="s">
        <v>60</v>
      </c>
      <c r="M138" s="98">
        <f ca="1">(TODAY()-H138)/365</f>
        <v>91.654794520547952</v>
      </c>
      <c r="N138" s="99">
        <f>(G138-H138)/365</f>
        <v>42.038356164383565</v>
      </c>
      <c r="O138" s="98">
        <f ca="1">(TODAY()-G138)/365</f>
        <v>49.61643835616438</v>
      </c>
      <c r="P138" s="91" t="s">
        <v>43</v>
      </c>
      <c r="Q138" s="91">
        <v>0</v>
      </c>
      <c r="R138" s="91">
        <v>0</v>
      </c>
      <c r="S138" s="91">
        <v>0</v>
      </c>
      <c r="T138" s="91"/>
      <c r="U138" s="91"/>
      <c r="V138" s="91"/>
      <c r="W138" s="91"/>
      <c r="X138" s="91"/>
      <c r="Y138" s="91"/>
      <c r="Z138" s="91"/>
      <c r="AA138" s="91"/>
      <c r="AB138" s="91"/>
      <c r="AC138" s="91"/>
      <c r="AD138" s="91"/>
      <c r="AE138" s="91"/>
      <c r="AF138" s="91"/>
      <c r="AG138" s="91"/>
      <c r="AH138" s="91"/>
      <c r="AI138" s="91"/>
      <c r="AJ138" s="91"/>
      <c r="AK138" s="91"/>
      <c r="AL138" s="91"/>
      <c r="AM138" s="91"/>
    </row>
    <row r="139" spans="1:39" ht="20.25" hidden="1" customHeight="1">
      <c r="A139" s="91"/>
      <c r="B139" s="93" t="s">
        <v>371</v>
      </c>
      <c r="C139" s="91" t="s">
        <v>36</v>
      </c>
      <c r="D139" s="94" t="s">
        <v>505</v>
      </c>
      <c r="E139" s="94" t="s">
        <v>506</v>
      </c>
      <c r="F139" s="95" t="s">
        <v>507</v>
      </c>
      <c r="G139" s="96">
        <v>32955</v>
      </c>
      <c r="H139" s="97">
        <v>17450</v>
      </c>
      <c r="I139" s="100" t="s">
        <v>58</v>
      </c>
      <c r="J139" s="94" t="s">
        <v>508</v>
      </c>
      <c r="K139" s="95">
        <v>990207215</v>
      </c>
      <c r="L139" s="91" t="s">
        <v>54</v>
      </c>
      <c r="M139" s="98">
        <f ca="1">(TODAY()-H139)/365</f>
        <v>78.224657534246575</v>
      </c>
      <c r="N139" s="99">
        <f>(G139-H139)/365</f>
        <v>42.479452054794521</v>
      </c>
      <c r="O139" s="98">
        <f ca="1">(TODAY()-G139)/365</f>
        <v>35.745205479452054</v>
      </c>
      <c r="P139" s="91" t="s">
        <v>43</v>
      </c>
      <c r="Q139" s="91">
        <v>0</v>
      </c>
      <c r="R139" s="91">
        <v>0</v>
      </c>
      <c r="S139" s="91">
        <v>0</v>
      </c>
      <c r="T139" s="91"/>
      <c r="U139" s="91"/>
      <c r="V139" s="91"/>
      <c r="W139" s="91"/>
      <c r="X139" s="91"/>
      <c r="Y139" s="91"/>
      <c r="Z139" s="91"/>
      <c r="AA139" s="91"/>
      <c r="AB139" s="91"/>
      <c r="AC139" s="91"/>
      <c r="AD139" s="91"/>
      <c r="AE139" s="91"/>
      <c r="AF139" s="91"/>
      <c r="AG139" s="91"/>
      <c r="AH139" s="91"/>
      <c r="AI139" s="91"/>
      <c r="AJ139" s="91"/>
      <c r="AK139" s="91"/>
      <c r="AL139" s="91"/>
      <c r="AM139" s="91"/>
    </row>
    <row r="140" spans="1:39" ht="20.25" hidden="1" customHeight="1">
      <c r="A140" s="91"/>
      <c r="B140" s="93" t="s">
        <v>371</v>
      </c>
      <c r="C140" s="91" t="s">
        <v>36</v>
      </c>
      <c r="D140" s="94" t="s">
        <v>509</v>
      </c>
      <c r="E140" s="94" t="s">
        <v>510</v>
      </c>
      <c r="F140" s="95" t="s">
        <v>511</v>
      </c>
      <c r="G140" s="96">
        <v>33345</v>
      </c>
      <c r="H140" s="97">
        <v>15320</v>
      </c>
      <c r="I140" s="100" t="s">
        <v>58</v>
      </c>
      <c r="J140" s="94" t="s">
        <v>512</v>
      </c>
      <c r="K140" s="95">
        <v>987599118</v>
      </c>
      <c r="L140" s="91" t="s">
        <v>60</v>
      </c>
      <c r="M140" s="98">
        <f ca="1">(TODAY()-H140)/365</f>
        <v>84.060273972602744</v>
      </c>
      <c r="N140" s="99">
        <f>(G140-H140)/365</f>
        <v>49.38356164383562</v>
      </c>
      <c r="O140" s="98">
        <f ca="1">(TODAY()-G140)/365</f>
        <v>34.676712328767124</v>
      </c>
      <c r="P140" s="91" t="s">
        <v>43</v>
      </c>
      <c r="Q140" s="91">
        <v>0</v>
      </c>
      <c r="R140" s="91">
        <v>0</v>
      </c>
      <c r="S140" s="91">
        <v>0</v>
      </c>
      <c r="T140" s="91"/>
      <c r="U140" s="91"/>
      <c r="V140" s="91"/>
      <c r="W140" s="91"/>
      <c r="X140" s="91"/>
      <c r="Y140" s="91"/>
      <c r="Z140" s="91"/>
      <c r="AA140" s="91"/>
      <c r="AB140" s="91"/>
      <c r="AC140" s="91"/>
      <c r="AD140" s="91"/>
      <c r="AE140" s="91"/>
      <c r="AF140" s="91"/>
      <c r="AG140" s="91"/>
      <c r="AH140" s="91"/>
      <c r="AI140" s="91"/>
      <c r="AJ140" s="91"/>
      <c r="AK140" s="91"/>
      <c r="AL140" s="91"/>
      <c r="AM140" s="91"/>
    </row>
    <row r="141" spans="1:39" ht="20.25" hidden="1" customHeight="1">
      <c r="A141" s="91"/>
      <c r="B141" s="93" t="s">
        <v>371</v>
      </c>
      <c r="C141" s="91" t="s">
        <v>36</v>
      </c>
      <c r="D141" s="94" t="s">
        <v>513</v>
      </c>
      <c r="E141" s="94" t="s">
        <v>514</v>
      </c>
      <c r="F141" s="95" t="s">
        <v>515</v>
      </c>
      <c r="G141" s="96">
        <v>35859</v>
      </c>
      <c r="H141" s="97">
        <v>16989</v>
      </c>
      <c r="I141" s="100" t="s">
        <v>58</v>
      </c>
      <c r="J141" s="94" t="s">
        <v>516</v>
      </c>
      <c r="K141" s="95">
        <v>994417912</v>
      </c>
      <c r="L141" s="91" t="s">
        <v>60</v>
      </c>
      <c r="M141" s="98">
        <f ca="1">(TODAY()-H141)/365</f>
        <v>79.487671232876707</v>
      </c>
      <c r="N141" s="99">
        <f>(G141-H141)/365</f>
        <v>51.698630136986303</v>
      </c>
      <c r="O141" s="98">
        <f ca="1">(TODAY()-G141)/365</f>
        <v>27.789041095890411</v>
      </c>
      <c r="P141" s="91" t="s">
        <v>43</v>
      </c>
      <c r="Q141" s="91">
        <v>0</v>
      </c>
      <c r="R141" s="91">
        <v>0</v>
      </c>
      <c r="S141" s="91">
        <v>0</v>
      </c>
      <c r="T141" s="91"/>
      <c r="U141" s="91"/>
      <c r="V141" s="91"/>
      <c r="W141" s="91"/>
      <c r="X141" s="91"/>
      <c r="Y141" s="91"/>
      <c r="Z141" s="91"/>
      <c r="AA141" s="91"/>
      <c r="AB141" s="91"/>
      <c r="AC141" s="91"/>
      <c r="AD141" s="91"/>
      <c r="AE141" s="91"/>
      <c r="AF141" s="91"/>
      <c r="AG141" s="91"/>
      <c r="AH141" s="91"/>
      <c r="AI141" s="91"/>
      <c r="AJ141" s="91"/>
      <c r="AK141" s="91"/>
      <c r="AL141" s="91"/>
      <c r="AM141" s="91"/>
    </row>
    <row r="142" spans="1:39" ht="20.25" hidden="1" customHeight="1">
      <c r="A142" s="91"/>
      <c r="B142" s="93" t="s">
        <v>371</v>
      </c>
      <c r="C142" s="91" t="s">
        <v>36</v>
      </c>
      <c r="D142" s="94" t="s">
        <v>517</v>
      </c>
      <c r="E142" s="94" t="s">
        <v>518</v>
      </c>
      <c r="F142" s="95" t="s">
        <v>519</v>
      </c>
      <c r="G142" s="96">
        <v>35495</v>
      </c>
      <c r="H142" s="97">
        <v>13038</v>
      </c>
      <c r="I142" s="100" t="s">
        <v>58</v>
      </c>
      <c r="J142" s="94" t="s">
        <v>520</v>
      </c>
      <c r="K142" s="95">
        <v>966591816</v>
      </c>
      <c r="L142" s="91" t="s">
        <v>60</v>
      </c>
      <c r="M142" s="98">
        <f ca="1">(TODAY()-H142)/365</f>
        <v>90.31232876712329</v>
      </c>
      <c r="N142" s="99">
        <f>(G142-H142)/365</f>
        <v>61.526027397260272</v>
      </c>
      <c r="O142" s="98">
        <f ca="1">(TODAY()-G142)/365</f>
        <v>28.786301369863015</v>
      </c>
      <c r="P142" s="91" t="s">
        <v>43</v>
      </c>
      <c r="Q142" s="91">
        <v>0</v>
      </c>
      <c r="R142" s="91">
        <v>0</v>
      </c>
      <c r="S142" s="91">
        <v>0</v>
      </c>
      <c r="T142" s="91"/>
      <c r="U142" s="91"/>
      <c r="V142" s="91"/>
      <c r="W142" s="91"/>
      <c r="X142" s="91"/>
      <c r="Y142" s="91"/>
      <c r="Z142" s="91"/>
      <c r="AA142" s="91"/>
      <c r="AB142" s="91"/>
      <c r="AC142" s="91"/>
      <c r="AD142" s="91"/>
      <c r="AE142" s="91"/>
      <c r="AF142" s="91"/>
      <c r="AG142" s="91"/>
      <c r="AH142" s="91"/>
      <c r="AI142" s="91"/>
      <c r="AJ142" s="91"/>
      <c r="AK142" s="91"/>
      <c r="AL142" s="91"/>
      <c r="AM142" s="91"/>
    </row>
    <row r="143" spans="1:39" ht="20.25" hidden="1" customHeight="1">
      <c r="A143" s="91"/>
      <c r="B143" s="93" t="s">
        <v>371</v>
      </c>
      <c r="C143" s="91" t="s">
        <v>36</v>
      </c>
      <c r="D143" s="94" t="s">
        <v>521</v>
      </c>
      <c r="E143" s="94" t="s">
        <v>522</v>
      </c>
      <c r="F143" s="95" t="s">
        <v>523</v>
      </c>
      <c r="G143" s="96">
        <v>39926</v>
      </c>
      <c r="H143" s="97">
        <v>17423</v>
      </c>
      <c r="I143" s="100" t="s">
        <v>58</v>
      </c>
      <c r="J143" s="94" t="s">
        <v>524</v>
      </c>
      <c r="K143" s="95">
        <v>95003965</v>
      </c>
      <c r="L143" s="91" t="s">
        <v>72</v>
      </c>
      <c r="M143" s="98">
        <f ca="1">(TODAY()-H143)/365</f>
        <v>78.298630136986304</v>
      </c>
      <c r="N143" s="99">
        <f>(G143-H143)/365</f>
        <v>61.652054794520545</v>
      </c>
      <c r="O143" s="98">
        <f ca="1">(TODAY()-G143)/365</f>
        <v>16.646575342465752</v>
      </c>
      <c r="P143" s="91" t="s">
        <v>43</v>
      </c>
      <c r="Q143" s="91">
        <v>0</v>
      </c>
      <c r="R143" s="91">
        <v>0</v>
      </c>
      <c r="S143" s="91">
        <v>0</v>
      </c>
      <c r="T143" s="91"/>
      <c r="U143" s="91"/>
      <c r="V143" s="91"/>
      <c r="W143" s="91"/>
      <c r="X143" s="91"/>
      <c r="Y143" s="91"/>
      <c r="Z143" s="91"/>
      <c r="AA143" s="91"/>
      <c r="AB143" s="91"/>
      <c r="AC143" s="91"/>
      <c r="AD143" s="91"/>
      <c r="AE143" s="91"/>
      <c r="AF143" s="91"/>
      <c r="AG143" s="91"/>
      <c r="AH143" s="91"/>
      <c r="AI143" s="91"/>
      <c r="AJ143" s="91"/>
      <c r="AK143" s="91"/>
      <c r="AL143" s="91"/>
      <c r="AM143" s="91"/>
    </row>
    <row r="144" spans="1:39" ht="20.25" customHeight="1">
      <c r="A144" s="91"/>
      <c r="B144" s="93" t="s">
        <v>3992</v>
      </c>
      <c r="C144" s="91" t="s">
        <v>73</v>
      </c>
      <c r="D144" s="94" t="s">
        <v>4016</v>
      </c>
      <c r="E144" s="94" t="s">
        <v>621</v>
      </c>
      <c r="F144" s="95" t="s">
        <v>4017</v>
      </c>
      <c r="G144" s="96">
        <v>45177</v>
      </c>
      <c r="H144" s="97">
        <v>33036</v>
      </c>
      <c r="I144" s="94" t="s">
        <v>58</v>
      </c>
      <c r="J144" s="94" t="s">
        <v>58</v>
      </c>
      <c r="K144" s="95" t="s">
        <v>58</v>
      </c>
      <c r="L144" s="91" t="s">
        <v>60</v>
      </c>
      <c r="M144" s="98">
        <f ca="1">(TODAY()-H144)/365</f>
        <v>35.523287671232879</v>
      </c>
      <c r="N144" s="99">
        <f>(G144-H144)/365</f>
        <v>33.263013698630139</v>
      </c>
      <c r="O144" s="98">
        <f ca="1">(TODAY()-G144)/365</f>
        <v>2.2602739726027399</v>
      </c>
      <c r="P144" s="91" t="s">
        <v>272</v>
      </c>
      <c r="Q144" s="91">
        <v>0</v>
      </c>
      <c r="R144" s="91">
        <v>0</v>
      </c>
      <c r="S144" s="91">
        <v>0</v>
      </c>
      <c r="T144" s="91"/>
      <c r="U144" s="91"/>
      <c r="V144" s="91"/>
      <c r="W144" s="91"/>
      <c r="X144" s="91"/>
      <c r="Y144" s="91"/>
      <c r="Z144" s="91"/>
      <c r="AA144" s="91"/>
      <c r="AB144" s="91"/>
      <c r="AC144" s="91"/>
      <c r="AD144" s="91"/>
      <c r="AE144" s="91"/>
      <c r="AF144" s="91"/>
      <c r="AG144" s="91"/>
      <c r="AH144" s="91"/>
      <c r="AI144" s="91"/>
      <c r="AJ144" s="91"/>
      <c r="AK144" s="91"/>
      <c r="AL144" s="91"/>
      <c r="AM144" s="91"/>
    </row>
    <row r="145" spans="1:39" ht="20.25" customHeight="1">
      <c r="A145" s="91"/>
      <c r="B145" s="93" t="s">
        <v>3374</v>
      </c>
      <c r="C145" s="91" t="s">
        <v>73</v>
      </c>
      <c r="D145" s="107" t="s">
        <v>249</v>
      </c>
      <c r="E145" s="107" t="s">
        <v>3541</v>
      </c>
      <c r="F145" s="91" t="s">
        <v>3542</v>
      </c>
      <c r="G145" s="96">
        <v>45510</v>
      </c>
      <c r="H145" s="97">
        <v>16136</v>
      </c>
      <c r="I145" s="100" t="s">
        <v>3543</v>
      </c>
      <c r="J145" s="94" t="s">
        <v>58</v>
      </c>
      <c r="K145" s="95" t="s">
        <v>58</v>
      </c>
      <c r="L145" s="91" t="s">
        <v>60</v>
      </c>
      <c r="M145" s="98">
        <f ca="1">(TODAY()-H145)/365</f>
        <v>81.824657534246569</v>
      </c>
      <c r="N145" s="99">
        <f>(G145-H145)/365</f>
        <v>80.476712328767121</v>
      </c>
      <c r="O145" s="98">
        <f ca="1">(TODAY()-G145)/365</f>
        <v>1.3479452054794521</v>
      </c>
      <c r="P145" s="91" t="s">
        <v>272</v>
      </c>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row>
    <row r="146" spans="1:39" ht="20.25" hidden="1" customHeight="1">
      <c r="A146" s="91"/>
      <c r="B146" s="93" t="s">
        <v>371</v>
      </c>
      <c r="C146" s="91" t="s">
        <v>36</v>
      </c>
      <c r="D146" s="107" t="s">
        <v>533</v>
      </c>
      <c r="E146" s="107" t="s">
        <v>534</v>
      </c>
      <c r="F146" s="91" t="s">
        <v>58</v>
      </c>
      <c r="G146" s="97" t="s">
        <v>58</v>
      </c>
      <c r="H146" s="97" t="s">
        <v>58</v>
      </c>
      <c r="I146" s="100" t="s">
        <v>58</v>
      </c>
      <c r="J146" s="100" t="s">
        <v>58</v>
      </c>
      <c r="K146" s="91" t="s">
        <v>58</v>
      </c>
      <c r="L146" s="91" t="s">
        <v>49</v>
      </c>
      <c r="M146" s="98">
        <v>0</v>
      </c>
      <c r="N146" s="91"/>
      <c r="O146" s="98" t="e">
        <f ca="1">(TODAY()-G146)/365</f>
        <v>#VALUE!</v>
      </c>
      <c r="P146" s="91" t="s">
        <v>272</v>
      </c>
      <c r="Q146" s="91">
        <v>0</v>
      </c>
      <c r="R146" s="91">
        <v>0</v>
      </c>
      <c r="S146" s="91">
        <v>0</v>
      </c>
      <c r="T146" s="91"/>
      <c r="U146" s="91"/>
      <c r="V146" s="91"/>
      <c r="W146" s="91"/>
      <c r="X146" s="91"/>
      <c r="Y146" s="91"/>
      <c r="Z146" s="91"/>
      <c r="AA146" s="91"/>
      <c r="AB146" s="91"/>
      <c r="AC146" s="91"/>
      <c r="AD146" s="91"/>
      <c r="AE146" s="91"/>
      <c r="AF146" s="91"/>
      <c r="AG146" s="91"/>
      <c r="AH146" s="91"/>
      <c r="AI146" s="91"/>
      <c r="AJ146" s="91"/>
      <c r="AK146" s="91"/>
      <c r="AL146" s="91"/>
      <c r="AM146" s="91"/>
    </row>
    <row r="147" spans="1:39" ht="20.25" customHeight="1">
      <c r="A147" s="91"/>
      <c r="B147" s="93" t="s">
        <v>3374</v>
      </c>
      <c r="C147" s="91" t="s">
        <v>73</v>
      </c>
      <c r="D147" s="107" t="s">
        <v>3513</v>
      </c>
      <c r="E147" s="107" t="s">
        <v>3514</v>
      </c>
      <c r="F147" s="91" t="s">
        <v>3515</v>
      </c>
      <c r="G147" s="96">
        <v>44852</v>
      </c>
      <c r="H147" s="97">
        <v>27005</v>
      </c>
      <c r="I147" s="94" t="s">
        <v>3516</v>
      </c>
      <c r="J147" s="94" t="s">
        <v>58</v>
      </c>
      <c r="K147" s="95" t="s">
        <v>58</v>
      </c>
      <c r="L147" s="91" t="s">
        <v>60</v>
      </c>
      <c r="M147" s="98">
        <f ca="1">(TODAY()-H147)/365</f>
        <v>52.046575342465751</v>
      </c>
      <c r="N147" s="99">
        <f>(G147-H147)/365</f>
        <v>48.895890410958906</v>
      </c>
      <c r="O147" s="98">
        <f ca="1">(TODAY()-G147)/365</f>
        <v>3.1506849315068495</v>
      </c>
      <c r="P147" s="91" t="s">
        <v>43</v>
      </c>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row>
    <row r="148" spans="1:39" ht="20.25" hidden="1" customHeight="1">
      <c r="A148" s="91"/>
      <c r="B148" s="93" t="s">
        <v>538</v>
      </c>
      <c r="C148" s="91" t="s">
        <v>36</v>
      </c>
      <c r="D148" s="94" t="s">
        <v>539</v>
      </c>
      <c r="E148" s="94" t="s">
        <v>540</v>
      </c>
      <c r="F148" s="95" t="s">
        <v>541</v>
      </c>
      <c r="G148" s="96">
        <v>30572</v>
      </c>
      <c r="H148" s="97">
        <v>23665</v>
      </c>
      <c r="I148" s="94" t="s">
        <v>542</v>
      </c>
      <c r="J148" s="94" t="s">
        <v>543</v>
      </c>
      <c r="K148" s="91">
        <v>87822350</v>
      </c>
      <c r="L148" s="91" t="s">
        <v>60</v>
      </c>
      <c r="M148" s="98">
        <f ca="1">(TODAY()-H148)/365</f>
        <v>61.197260273972603</v>
      </c>
      <c r="N148" s="99">
        <f>(G148-H148)/365</f>
        <v>18.923287671232877</v>
      </c>
      <c r="O148" s="98">
        <f ca="1">(TODAY()-G148)/365</f>
        <v>42.273972602739725</v>
      </c>
      <c r="P148" s="91" t="s">
        <v>43</v>
      </c>
      <c r="Q148" s="91">
        <v>0</v>
      </c>
      <c r="R148" s="91">
        <v>0</v>
      </c>
      <c r="S148" s="91">
        <v>0</v>
      </c>
      <c r="T148" s="91"/>
      <c r="U148" s="91"/>
      <c r="V148" s="91"/>
      <c r="W148" s="91"/>
      <c r="X148" s="91"/>
      <c r="Y148" s="91"/>
      <c r="Z148" s="91"/>
      <c r="AA148" s="91"/>
      <c r="AB148" s="91"/>
      <c r="AC148" s="91"/>
      <c r="AD148" s="91"/>
      <c r="AE148" s="91"/>
      <c r="AF148" s="91"/>
      <c r="AG148" s="91"/>
      <c r="AH148" s="91"/>
      <c r="AI148" s="91"/>
      <c r="AJ148" s="91"/>
      <c r="AK148" s="91"/>
      <c r="AL148" s="91"/>
      <c r="AM148" s="91"/>
    </row>
    <row r="149" spans="1:39" ht="20.25" hidden="1" customHeight="1">
      <c r="A149" s="91"/>
      <c r="B149" s="93" t="s">
        <v>538</v>
      </c>
      <c r="C149" s="91" t="s">
        <v>36</v>
      </c>
      <c r="D149" s="94" t="s">
        <v>544</v>
      </c>
      <c r="E149" s="94" t="s">
        <v>545</v>
      </c>
      <c r="F149" s="95" t="s">
        <v>546</v>
      </c>
      <c r="G149" s="96">
        <v>29708</v>
      </c>
      <c r="H149" s="97">
        <v>21417</v>
      </c>
      <c r="I149" s="94" t="s">
        <v>547</v>
      </c>
      <c r="J149" s="94" t="s">
        <v>548</v>
      </c>
      <c r="K149" s="91">
        <v>93748874</v>
      </c>
      <c r="L149" s="91" t="s">
        <v>60</v>
      </c>
      <c r="M149" s="98">
        <f ca="1">(TODAY()-H149)/365</f>
        <v>67.356164383561648</v>
      </c>
      <c r="N149" s="99">
        <f>(G149-H149)/365</f>
        <v>22.715068493150685</v>
      </c>
      <c r="O149" s="98">
        <f ca="1">(TODAY()-G149)/365</f>
        <v>44.641095890410959</v>
      </c>
      <c r="P149" s="91" t="s">
        <v>43</v>
      </c>
      <c r="Q149" s="91">
        <v>0</v>
      </c>
      <c r="R149" s="91">
        <v>0</v>
      </c>
      <c r="S149" s="91">
        <v>0</v>
      </c>
      <c r="T149" s="91"/>
      <c r="U149" s="91"/>
      <c r="V149" s="91"/>
      <c r="W149" s="91"/>
      <c r="X149" s="91"/>
      <c r="Y149" s="91"/>
      <c r="Z149" s="91"/>
      <c r="AA149" s="91"/>
      <c r="AB149" s="91"/>
      <c r="AC149" s="91"/>
      <c r="AD149" s="91"/>
      <c r="AE149" s="91"/>
      <c r="AF149" s="91"/>
      <c r="AG149" s="91"/>
      <c r="AH149" s="91"/>
      <c r="AI149" s="91"/>
      <c r="AJ149" s="91"/>
      <c r="AK149" s="91"/>
      <c r="AL149" s="91"/>
      <c r="AM149" s="91"/>
    </row>
    <row r="150" spans="1:39" ht="20.25" customHeight="1">
      <c r="A150" s="91"/>
      <c r="B150" s="93" t="s">
        <v>2419</v>
      </c>
      <c r="C150" s="91" t="s">
        <v>73</v>
      </c>
      <c r="D150" s="94" t="s">
        <v>2439</v>
      </c>
      <c r="E150" s="94" t="s">
        <v>2440</v>
      </c>
      <c r="F150" s="95" t="s">
        <v>2441</v>
      </c>
      <c r="G150" s="96">
        <v>45292</v>
      </c>
      <c r="H150" s="97">
        <v>38283</v>
      </c>
      <c r="I150" s="108" t="s">
        <v>12335</v>
      </c>
      <c r="J150" s="94" t="s">
        <v>58</v>
      </c>
      <c r="K150" s="95" t="s">
        <v>58</v>
      </c>
      <c r="L150" s="91" t="s">
        <v>60</v>
      </c>
      <c r="M150" s="98">
        <f ca="1">(TODAY()-H150)/365</f>
        <v>21.147945205479452</v>
      </c>
      <c r="N150" s="99">
        <f>(G150-H150)/365</f>
        <v>19.202739726027396</v>
      </c>
      <c r="O150" s="98">
        <f ca="1">(TODAY()-G150)/365</f>
        <v>1.9452054794520548</v>
      </c>
      <c r="P150" s="91" t="s">
        <v>43</v>
      </c>
      <c r="Q150" s="91">
        <v>0</v>
      </c>
      <c r="R150" s="91">
        <v>0</v>
      </c>
      <c r="S150" s="91">
        <v>0</v>
      </c>
      <c r="T150" s="91"/>
      <c r="U150" s="91"/>
      <c r="V150" s="91"/>
      <c r="W150" s="91"/>
      <c r="X150" s="91"/>
      <c r="Y150" s="91"/>
      <c r="Z150" s="91"/>
      <c r="AA150" s="91"/>
      <c r="AB150" s="91"/>
      <c r="AC150" s="91"/>
      <c r="AD150" s="91"/>
      <c r="AE150" s="91"/>
      <c r="AF150" s="91"/>
      <c r="AG150" s="91"/>
      <c r="AH150" s="91"/>
      <c r="AI150" s="91"/>
      <c r="AJ150" s="91"/>
      <c r="AK150" s="91"/>
      <c r="AL150" s="91"/>
      <c r="AM150" s="91"/>
    </row>
    <row r="151" spans="1:39" ht="20.25" hidden="1" customHeight="1">
      <c r="A151" s="91"/>
      <c r="B151" s="93" t="s">
        <v>538</v>
      </c>
      <c r="C151" s="91" t="s">
        <v>36</v>
      </c>
      <c r="D151" s="94" t="s">
        <v>549</v>
      </c>
      <c r="E151" s="94" t="s">
        <v>550</v>
      </c>
      <c r="F151" s="95" t="s">
        <v>551</v>
      </c>
      <c r="G151" s="96">
        <v>30119</v>
      </c>
      <c r="H151" s="97">
        <v>20571</v>
      </c>
      <c r="I151" s="94" t="s">
        <v>552</v>
      </c>
      <c r="J151" s="94" t="s">
        <v>553</v>
      </c>
      <c r="K151" s="91">
        <v>86959640</v>
      </c>
      <c r="L151" s="91" t="s">
        <v>49</v>
      </c>
      <c r="M151" s="98">
        <f ca="1">(TODAY()-H151)/365</f>
        <v>69.673972602739724</v>
      </c>
      <c r="N151" s="99">
        <f>(G151-H151)/365</f>
        <v>26.158904109589042</v>
      </c>
      <c r="O151" s="98">
        <f ca="1">(TODAY()-G151)/365</f>
        <v>43.515068493150686</v>
      </c>
      <c r="P151" s="91" t="s">
        <v>43</v>
      </c>
      <c r="Q151" s="91">
        <v>0</v>
      </c>
      <c r="R151" s="91">
        <v>0</v>
      </c>
      <c r="S151" s="91">
        <v>1</v>
      </c>
      <c r="T151" s="91"/>
      <c r="U151" s="91"/>
      <c r="V151" s="91"/>
      <c r="W151" s="91"/>
      <c r="X151" s="91"/>
      <c r="Y151" s="91"/>
      <c r="Z151" s="91"/>
      <c r="AA151" s="91"/>
      <c r="AB151" s="91"/>
      <c r="AC151" s="91"/>
      <c r="AD151" s="91"/>
      <c r="AE151" s="91"/>
      <c r="AF151" s="91"/>
      <c r="AG151" s="91"/>
      <c r="AH151" s="91"/>
      <c r="AI151" s="91"/>
      <c r="AJ151" s="91"/>
      <c r="AK151" s="91"/>
      <c r="AL151" s="91"/>
      <c r="AM151" s="91"/>
    </row>
    <row r="152" spans="1:39" ht="20.25" hidden="1" customHeight="1">
      <c r="A152" s="91"/>
      <c r="B152" s="93" t="s">
        <v>538</v>
      </c>
      <c r="C152" s="91" t="s">
        <v>36</v>
      </c>
      <c r="D152" s="94" t="s">
        <v>67</v>
      </c>
      <c r="E152" s="94" t="s">
        <v>554</v>
      </c>
      <c r="F152" s="95" t="s">
        <v>555</v>
      </c>
      <c r="G152" s="96">
        <v>33317</v>
      </c>
      <c r="H152" s="97">
        <v>21701</v>
      </c>
      <c r="I152" s="94" t="s">
        <v>556</v>
      </c>
      <c r="J152" s="94" t="s">
        <v>557</v>
      </c>
      <c r="K152" s="91">
        <v>84227644</v>
      </c>
      <c r="L152" s="91" t="s">
        <v>54</v>
      </c>
      <c r="M152" s="98">
        <f ca="1">(TODAY()-H152)/365</f>
        <v>66.578082191780823</v>
      </c>
      <c r="N152" s="99">
        <f>(G152-H152)/365</f>
        <v>31.824657534246576</v>
      </c>
      <c r="O152" s="98">
        <f ca="1">(TODAY()-G152)/365</f>
        <v>34.753424657534246</v>
      </c>
      <c r="P152" s="91" t="s">
        <v>43</v>
      </c>
      <c r="Q152" s="91">
        <v>0</v>
      </c>
      <c r="R152" s="91">
        <v>0</v>
      </c>
      <c r="S152" s="91">
        <v>0</v>
      </c>
      <c r="T152" s="91"/>
      <c r="U152" s="91"/>
      <c r="V152" s="91"/>
      <c r="W152" s="91"/>
      <c r="X152" s="91"/>
      <c r="Y152" s="91"/>
      <c r="Z152" s="91"/>
      <c r="AA152" s="91"/>
      <c r="AB152" s="91"/>
      <c r="AC152" s="91"/>
      <c r="AD152" s="91"/>
      <c r="AE152" s="91"/>
      <c r="AF152" s="91"/>
      <c r="AG152" s="91"/>
      <c r="AH152" s="91"/>
      <c r="AI152" s="91"/>
      <c r="AJ152" s="91"/>
      <c r="AK152" s="91"/>
      <c r="AL152" s="91"/>
      <c r="AM152" s="91"/>
    </row>
    <row r="153" spans="1:39" ht="20.25" hidden="1" customHeight="1">
      <c r="A153" s="91"/>
      <c r="B153" s="93" t="s">
        <v>538</v>
      </c>
      <c r="C153" s="91" t="s">
        <v>36</v>
      </c>
      <c r="D153" s="94" t="s">
        <v>558</v>
      </c>
      <c r="E153" s="94" t="s">
        <v>559</v>
      </c>
      <c r="F153" s="95" t="s">
        <v>560</v>
      </c>
      <c r="G153" s="96">
        <v>26897</v>
      </c>
      <c r="H153" s="97">
        <v>11227</v>
      </c>
      <c r="I153" s="94" t="s">
        <v>58</v>
      </c>
      <c r="J153" s="94" t="s">
        <v>561</v>
      </c>
      <c r="K153" s="91">
        <v>87439643</v>
      </c>
      <c r="L153" s="91" t="s">
        <v>60</v>
      </c>
      <c r="M153" s="98">
        <f ca="1">(TODAY()-H153)/365</f>
        <v>95.273972602739732</v>
      </c>
      <c r="N153" s="99">
        <f>(G153-H153)/365</f>
        <v>42.93150684931507</v>
      </c>
      <c r="O153" s="98">
        <f ca="1">(TODAY()-G153)/365</f>
        <v>52.342465753424655</v>
      </c>
      <c r="P153" s="91" t="s">
        <v>43</v>
      </c>
      <c r="Q153" s="91">
        <v>0</v>
      </c>
      <c r="R153" s="91">
        <v>0</v>
      </c>
      <c r="S153" s="91">
        <v>0</v>
      </c>
      <c r="T153" s="91"/>
      <c r="U153" s="91"/>
      <c r="V153" s="91"/>
      <c r="W153" s="91"/>
      <c r="X153" s="91"/>
      <c r="Y153" s="91"/>
      <c r="Z153" s="91"/>
      <c r="AA153" s="91"/>
      <c r="AB153" s="91"/>
      <c r="AC153" s="91"/>
      <c r="AD153" s="91"/>
      <c r="AE153" s="91"/>
      <c r="AF153" s="91"/>
      <c r="AG153" s="91"/>
      <c r="AH153" s="91"/>
      <c r="AI153" s="91"/>
      <c r="AJ153" s="91"/>
      <c r="AK153" s="91"/>
      <c r="AL153" s="91"/>
      <c r="AM153" s="91"/>
    </row>
    <row r="154" spans="1:39" ht="20.25" hidden="1" customHeight="1">
      <c r="A154" s="91"/>
      <c r="B154" s="93" t="s">
        <v>538</v>
      </c>
      <c r="C154" s="91" t="s">
        <v>36</v>
      </c>
      <c r="D154" s="94" t="s">
        <v>562</v>
      </c>
      <c r="E154" s="94" t="s">
        <v>554</v>
      </c>
      <c r="F154" s="95" t="s">
        <v>563</v>
      </c>
      <c r="G154" s="96">
        <v>35190</v>
      </c>
      <c r="H154" s="97">
        <v>18258</v>
      </c>
      <c r="I154" s="94" t="s">
        <v>564</v>
      </c>
      <c r="J154" s="94" t="s">
        <v>565</v>
      </c>
      <c r="K154" s="91">
        <v>93425053</v>
      </c>
      <c r="L154" s="91" t="s">
        <v>72</v>
      </c>
      <c r="M154" s="98">
        <f ca="1">(TODAY()-H154)/365</f>
        <v>76.010958904109586</v>
      </c>
      <c r="N154" s="99">
        <f>(G154-H154)/365</f>
        <v>46.389041095890413</v>
      </c>
      <c r="O154" s="98">
        <f ca="1">(TODAY()-G154)/365</f>
        <v>29.621917808219177</v>
      </c>
      <c r="P154" s="91" t="s">
        <v>43</v>
      </c>
      <c r="Q154" s="91">
        <v>0</v>
      </c>
      <c r="R154" s="91">
        <v>0</v>
      </c>
      <c r="S154" s="91">
        <v>0</v>
      </c>
      <c r="T154" s="91"/>
      <c r="U154" s="91"/>
      <c r="V154" s="91"/>
      <c r="W154" s="91"/>
      <c r="X154" s="91"/>
      <c r="Y154" s="91"/>
      <c r="Z154" s="91"/>
      <c r="AA154" s="91"/>
      <c r="AB154" s="91"/>
      <c r="AC154" s="91"/>
      <c r="AD154" s="91"/>
      <c r="AE154" s="91"/>
      <c r="AF154" s="91"/>
      <c r="AG154" s="91"/>
      <c r="AH154" s="91"/>
      <c r="AI154" s="91"/>
      <c r="AJ154" s="91"/>
      <c r="AK154" s="91"/>
      <c r="AL154" s="91"/>
      <c r="AM154" s="91"/>
    </row>
    <row r="155" spans="1:39" ht="20.25" hidden="1" customHeight="1">
      <c r="A155" s="91"/>
      <c r="B155" s="93" t="s">
        <v>538</v>
      </c>
      <c r="C155" s="91" t="s">
        <v>36</v>
      </c>
      <c r="D155" s="107" t="s">
        <v>566</v>
      </c>
      <c r="E155" s="107" t="s">
        <v>567</v>
      </c>
      <c r="F155" s="95" t="s">
        <v>568</v>
      </c>
      <c r="G155" s="96">
        <v>35991</v>
      </c>
      <c r="H155" s="97">
        <v>18543</v>
      </c>
      <c r="I155" s="94" t="s">
        <v>569</v>
      </c>
      <c r="J155" s="94" t="s">
        <v>570</v>
      </c>
      <c r="K155" s="92">
        <v>796611917</v>
      </c>
      <c r="L155" s="91" t="s">
        <v>42</v>
      </c>
      <c r="M155" s="98">
        <f ca="1">(TODAY()-H155)/365</f>
        <v>75.230136986301375</v>
      </c>
      <c r="N155" s="99">
        <f>(G155-H155)/365</f>
        <v>47.802739726027397</v>
      </c>
      <c r="O155" s="98">
        <f ca="1">(TODAY()-G155)/365</f>
        <v>27.427397260273974</v>
      </c>
      <c r="P155" s="91" t="s">
        <v>43</v>
      </c>
      <c r="Q155" s="91">
        <v>0</v>
      </c>
      <c r="R155" s="91">
        <v>0</v>
      </c>
      <c r="S155" s="91">
        <v>0</v>
      </c>
      <c r="T155" s="91"/>
      <c r="U155" s="91"/>
      <c r="V155" s="91"/>
      <c r="W155" s="91"/>
      <c r="X155" s="91"/>
      <c r="Y155" s="91"/>
      <c r="Z155" s="91"/>
      <c r="AA155" s="91"/>
      <c r="AB155" s="91"/>
      <c r="AC155" s="91"/>
      <c r="AD155" s="91"/>
      <c r="AE155" s="91"/>
      <c r="AF155" s="91"/>
      <c r="AG155" s="91"/>
      <c r="AH155" s="91"/>
      <c r="AI155" s="91"/>
      <c r="AJ155" s="91"/>
      <c r="AK155" s="91"/>
      <c r="AL155" s="91"/>
      <c r="AM155" s="91"/>
    </row>
    <row r="156" spans="1:39" ht="20.25" hidden="1" customHeight="1">
      <c r="A156" s="91"/>
      <c r="B156" s="93" t="s">
        <v>538</v>
      </c>
      <c r="C156" s="91" t="s">
        <v>36</v>
      </c>
      <c r="D156" s="94" t="s">
        <v>571</v>
      </c>
      <c r="E156" s="94" t="s">
        <v>572</v>
      </c>
      <c r="F156" s="95" t="s">
        <v>573</v>
      </c>
      <c r="G156" s="96">
        <v>37751</v>
      </c>
      <c r="H156" s="97">
        <v>19508</v>
      </c>
      <c r="I156" s="94" t="s">
        <v>574</v>
      </c>
      <c r="J156" s="94" t="s">
        <v>575</v>
      </c>
      <c r="K156" s="91">
        <v>34993271</v>
      </c>
      <c r="L156" s="91" t="s">
        <v>197</v>
      </c>
      <c r="M156" s="98">
        <f ca="1">(TODAY()-H156)/365</f>
        <v>72.586301369863008</v>
      </c>
      <c r="N156" s="99">
        <f>(G156-H156)/365</f>
        <v>49.980821917808221</v>
      </c>
      <c r="O156" s="98">
        <f ca="1">(TODAY()-G156)/365</f>
        <v>22.605479452054794</v>
      </c>
      <c r="P156" s="91" t="s">
        <v>43</v>
      </c>
      <c r="Q156" s="91">
        <v>0</v>
      </c>
      <c r="R156" s="91">
        <v>0</v>
      </c>
      <c r="S156" s="91">
        <v>0</v>
      </c>
      <c r="T156" s="91"/>
      <c r="U156" s="91"/>
      <c r="V156" s="91"/>
      <c r="W156" s="91"/>
      <c r="X156" s="91"/>
      <c r="Y156" s="91"/>
      <c r="Z156" s="91"/>
      <c r="AA156" s="91"/>
      <c r="AB156" s="91"/>
      <c r="AC156" s="91"/>
      <c r="AD156" s="91"/>
      <c r="AE156" s="91"/>
      <c r="AF156" s="91"/>
      <c r="AG156" s="91"/>
      <c r="AH156" s="91"/>
      <c r="AI156" s="91"/>
      <c r="AJ156" s="91"/>
      <c r="AK156" s="91"/>
      <c r="AL156" s="91"/>
      <c r="AM156" s="91"/>
    </row>
    <row r="157" spans="1:39" ht="20.25" hidden="1" customHeight="1">
      <c r="A157" s="91"/>
      <c r="B157" s="93" t="s">
        <v>538</v>
      </c>
      <c r="C157" s="91" t="s">
        <v>36</v>
      </c>
      <c r="D157" s="94" t="s">
        <v>576</v>
      </c>
      <c r="E157" s="94" t="s">
        <v>577</v>
      </c>
      <c r="F157" s="95" t="s">
        <v>578</v>
      </c>
      <c r="G157" s="96">
        <v>39609</v>
      </c>
      <c r="H157" s="97">
        <v>21309</v>
      </c>
      <c r="I157" s="94" t="s">
        <v>58</v>
      </c>
      <c r="J157" s="94" t="s">
        <v>579</v>
      </c>
      <c r="K157" s="91">
        <v>81723168</v>
      </c>
      <c r="L157" s="91" t="s">
        <v>60</v>
      </c>
      <c r="M157" s="98">
        <f ca="1">(TODAY()-H157)/365</f>
        <v>67.652054794520552</v>
      </c>
      <c r="N157" s="99">
        <f>(G157-H157)/365</f>
        <v>50.136986301369866</v>
      </c>
      <c r="O157" s="98">
        <f ca="1">(TODAY()-G157)/365</f>
        <v>17.515068493150686</v>
      </c>
      <c r="P157" s="91" t="s">
        <v>43</v>
      </c>
      <c r="Q157" s="91">
        <v>0</v>
      </c>
      <c r="R157" s="91">
        <v>0</v>
      </c>
      <c r="S157" s="91">
        <v>0</v>
      </c>
      <c r="T157" s="91"/>
      <c r="U157" s="91"/>
      <c r="V157" s="91"/>
      <c r="W157" s="91"/>
      <c r="X157" s="91"/>
      <c r="Y157" s="91"/>
      <c r="Z157" s="91"/>
      <c r="AA157" s="91"/>
      <c r="AB157" s="91"/>
      <c r="AC157" s="91"/>
      <c r="AD157" s="91"/>
      <c r="AE157" s="91"/>
      <c r="AF157" s="91"/>
      <c r="AG157" s="91"/>
      <c r="AH157" s="91"/>
      <c r="AI157" s="91"/>
      <c r="AJ157" s="91"/>
      <c r="AK157" s="91"/>
      <c r="AL157" s="91"/>
      <c r="AM157" s="91"/>
    </row>
    <row r="158" spans="1:39" ht="20.25" hidden="1" customHeight="1">
      <c r="A158" s="91"/>
      <c r="B158" s="93" t="s">
        <v>580</v>
      </c>
      <c r="C158" s="91" t="s">
        <v>36</v>
      </c>
      <c r="D158" s="94" t="s">
        <v>581</v>
      </c>
      <c r="E158" s="94" t="s">
        <v>582</v>
      </c>
      <c r="F158" s="95" t="s">
        <v>583</v>
      </c>
      <c r="G158" s="96" t="s">
        <v>58</v>
      </c>
      <c r="H158" s="97">
        <v>37881</v>
      </c>
      <c r="I158" s="108" t="s">
        <v>12309</v>
      </c>
      <c r="J158" s="94" t="s">
        <v>584</v>
      </c>
      <c r="K158" s="95">
        <v>977785574</v>
      </c>
      <c r="L158" s="91" t="s">
        <v>60</v>
      </c>
      <c r="M158" s="98">
        <f ca="1">(TODAY()-H158)/365</f>
        <v>22.24931506849315</v>
      </c>
      <c r="N158" s="95" t="s">
        <v>58</v>
      </c>
      <c r="O158" s="98" t="e">
        <f ca="1">(TODAY()-G158)/365</f>
        <v>#VALUE!</v>
      </c>
      <c r="P158" s="91" t="s">
        <v>43</v>
      </c>
      <c r="Q158" s="91">
        <v>0</v>
      </c>
      <c r="R158" s="91">
        <v>0</v>
      </c>
      <c r="S158" s="91">
        <v>0</v>
      </c>
      <c r="T158" s="91"/>
      <c r="U158" s="91"/>
      <c r="V158" s="91"/>
      <c r="W158" s="91"/>
      <c r="X158" s="91"/>
      <c r="Y158" s="91"/>
      <c r="Z158" s="91"/>
      <c r="AA158" s="91"/>
      <c r="AB158" s="91"/>
      <c r="AC158" s="91"/>
      <c r="AD158" s="91"/>
      <c r="AE158" s="91"/>
      <c r="AF158" s="91"/>
      <c r="AG158" s="91"/>
      <c r="AH158" s="91"/>
      <c r="AI158" s="91"/>
      <c r="AJ158" s="91"/>
      <c r="AK158" s="91"/>
      <c r="AL158" s="91"/>
      <c r="AM158" s="91"/>
    </row>
    <row r="159" spans="1:39" ht="20.25" customHeight="1">
      <c r="A159" s="128"/>
      <c r="B159" s="93" t="s">
        <v>11558</v>
      </c>
      <c r="C159" s="91" t="s">
        <v>73</v>
      </c>
      <c r="D159" s="106" t="s">
        <v>11507</v>
      </c>
      <c r="E159" s="106" t="s">
        <v>11606</v>
      </c>
      <c r="F159" s="92" t="s">
        <v>11607</v>
      </c>
      <c r="G159" s="103">
        <v>45352</v>
      </c>
      <c r="H159" s="103">
        <v>38688</v>
      </c>
      <c r="I159" s="94" t="s">
        <v>11608</v>
      </c>
      <c r="J159" s="100" t="s">
        <v>58</v>
      </c>
      <c r="K159" s="95" t="s">
        <v>58</v>
      </c>
      <c r="L159" s="91"/>
      <c r="M159" s="98">
        <f ca="1">(TODAY()-H159)/365</f>
        <v>20.038356164383561</v>
      </c>
      <c r="N159" s="99">
        <f>(G159-H159)/365</f>
        <v>18.257534246575343</v>
      </c>
      <c r="O159" s="98">
        <f ca="1">(TODAY()-G159)/365</f>
        <v>1.7808219178082192</v>
      </c>
      <c r="P159" s="91" t="s">
        <v>272</v>
      </c>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row>
    <row r="160" spans="1:39" ht="20.25" hidden="1" customHeight="1">
      <c r="A160" s="91"/>
      <c r="B160" s="93" t="s">
        <v>580</v>
      </c>
      <c r="C160" s="91" t="s">
        <v>36</v>
      </c>
      <c r="D160" s="94" t="s">
        <v>588</v>
      </c>
      <c r="E160" s="94" t="s">
        <v>589</v>
      </c>
      <c r="F160" s="95" t="s">
        <v>590</v>
      </c>
      <c r="G160" s="96">
        <v>45485</v>
      </c>
      <c r="H160" s="97">
        <v>38628</v>
      </c>
      <c r="I160" s="108" t="s">
        <v>12311</v>
      </c>
      <c r="J160" s="94" t="s">
        <v>591</v>
      </c>
      <c r="K160" s="95">
        <v>949372682</v>
      </c>
      <c r="L160" s="91" t="s">
        <v>121</v>
      </c>
      <c r="M160" s="98">
        <f ca="1">(TODAY()-H160)/365</f>
        <v>20.202739726027396</v>
      </c>
      <c r="N160" s="99">
        <f>(G160-H160)/365</f>
        <v>18.786301369863015</v>
      </c>
      <c r="O160" s="98">
        <f ca="1">(TODAY()-G160)/365</f>
        <v>1.4164383561643836</v>
      </c>
      <c r="P160" s="91" t="s">
        <v>43</v>
      </c>
      <c r="Q160" s="91">
        <v>0</v>
      </c>
      <c r="R160" s="91">
        <v>0</v>
      </c>
      <c r="S160" s="91">
        <v>0</v>
      </c>
      <c r="T160" s="91"/>
      <c r="U160" s="91"/>
      <c r="V160" s="91"/>
      <c r="W160" s="91"/>
      <c r="X160" s="91"/>
      <c r="Y160" s="91"/>
      <c r="Z160" s="91"/>
      <c r="AA160" s="91"/>
      <c r="AB160" s="91"/>
      <c r="AC160" s="91"/>
      <c r="AD160" s="91"/>
      <c r="AE160" s="91"/>
      <c r="AF160" s="91"/>
      <c r="AG160" s="91"/>
      <c r="AH160" s="91"/>
      <c r="AI160" s="91"/>
      <c r="AJ160" s="91"/>
      <c r="AK160" s="91"/>
      <c r="AL160" s="91"/>
      <c r="AM160" s="91"/>
    </row>
    <row r="161" spans="1:39" ht="20.25" hidden="1" customHeight="1">
      <c r="A161" s="91"/>
      <c r="B161" s="93" t="s">
        <v>580</v>
      </c>
      <c r="C161" s="91" t="s">
        <v>36</v>
      </c>
      <c r="D161" s="94" t="s">
        <v>592</v>
      </c>
      <c r="E161" s="94" t="s">
        <v>593</v>
      </c>
      <c r="F161" s="95" t="s">
        <v>594</v>
      </c>
      <c r="G161" s="96">
        <v>42370</v>
      </c>
      <c r="H161" s="97">
        <v>34097</v>
      </c>
      <c r="I161" s="108" t="s">
        <v>12312</v>
      </c>
      <c r="J161" s="94" t="s">
        <v>595</v>
      </c>
      <c r="K161" s="95">
        <v>982686346</v>
      </c>
      <c r="L161" s="91" t="s">
        <v>197</v>
      </c>
      <c r="M161" s="98">
        <f ca="1">(TODAY()-H161)/365</f>
        <v>32.61643835616438</v>
      </c>
      <c r="N161" s="99">
        <f>(G161-H161)/365</f>
        <v>22.665753424657535</v>
      </c>
      <c r="O161" s="98">
        <f ca="1">(TODAY()-G161)/365</f>
        <v>9.9506849315068493</v>
      </c>
      <c r="P161" s="91" t="s">
        <v>272</v>
      </c>
      <c r="Q161" s="91">
        <v>0</v>
      </c>
      <c r="R161" s="91">
        <v>0</v>
      </c>
      <c r="S161" s="91">
        <v>1</v>
      </c>
      <c r="T161" s="91"/>
      <c r="U161" s="91"/>
      <c r="V161" s="91"/>
      <c r="W161" s="91"/>
      <c r="X161" s="91"/>
      <c r="Y161" s="91"/>
      <c r="Z161" s="91"/>
      <c r="AA161" s="91"/>
      <c r="AB161" s="91"/>
      <c r="AC161" s="91"/>
      <c r="AD161" s="91"/>
      <c r="AE161" s="91"/>
      <c r="AF161" s="91"/>
      <c r="AG161" s="91"/>
      <c r="AH161" s="91"/>
      <c r="AI161" s="91"/>
      <c r="AJ161" s="91"/>
      <c r="AK161" s="91"/>
      <c r="AL161" s="91"/>
      <c r="AM161" s="91"/>
    </row>
    <row r="162" spans="1:39" ht="20.25" hidden="1" customHeight="1">
      <c r="A162" s="91"/>
      <c r="B162" s="93" t="s">
        <v>580</v>
      </c>
      <c r="C162" s="91" t="s">
        <v>36</v>
      </c>
      <c r="D162" s="94" t="s">
        <v>596</v>
      </c>
      <c r="E162" s="94" t="s">
        <v>597</v>
      </c>
      <c r="F162" s="95" t="s">
        <v>598</v>
      </c>
      <c r="G162" s="96">
        <v>33604</v>
      </c>
      <c r="H162" s="97">
        <v>24818</v>
      </c>
      <c r="I162" s="108" t="s">
        <v>12313</v>
      </c>
      <c r="J162" s="94" t="s">
        <v>599</v>
      </c>
      <c r="K162" s="95">
        <v>990223075</v>
      </c>
      <c r="L162" s="91" t="s">
        <v>66</v>
      </c>
      <c r="M162" s="98">
        <f ca="1">(TODAY()-H162)/365</f>
        <v>58.038356164383565</v>
      </c>
      <c r="N162" s="99">
        <f>(G162-H162)/365</f>
        <v>24.07123287671233</v>
      </c>
      <c r="O162" s="98">
        <f ca="1">(TODAY()-G162)/365</f>
        <v>33.967123287671235</v>
      </c>
      <c r="P162" s="91" t="s">
        <v>43</v>
      </c>
      <c r="Q162" s="91">
        <v>0</v>
      </c>
      <c r="R162" s="91">
        <v>0</v>
      </c>
      <c r="S162" s="91">
        <v>0</v>
      </c>
      <c r="T162" s="91"/>
      <c r="U162" s="91"/>
      <c r="V162" s="91"/>
      <c r="W162" s="91"/>
      <c r="X162" s="91"/>
      <c r="Y162" s="91"/>
      <c r="Z162" s="91"/>
      <c r="AA162" s="91"/>
      <c r="AB162" s="91"/>
      <c r="AC162" s="91"/>
      <c r="AD162" s="91"/>
      <c r="AE162" s="91"/>
      <c r="AF162" s="91"/>
      <c r="AG162" s="91"/>
      <c r="AH162" s="91"/>
      <c r="AI162" s="91"/>
      <c r="AJ162" s="91"/>
      <c r="AK162" s="91"/>
      <c r="AL162" s="91"/>
      <c r="AM162" s="91"/>
    </row>
    <row r="163" spans="1:39" ht="20.25" hidden="1" customHeight="1">
      <c r="A163" s="91"/>
      <c r="B163" s="93" t="s">
        <v>580</v>
      </c>
      <c r="C163" s="91" t="s">
        <v>36</v>
      </c>
      <c r="D163" s="107" t="s">
        <v>600</v>
      </c>
      <c r="E163" s="94" t="s">
        <v>601</v>
      </c>
      <c r="F163" s="92" t="s">
        <v>602</v>
      </c>
      <c r="G163" s="96">
        <v>42370</v>
      </c>
      <c r="H163" s="97">
        <v>31791</v>
      </c>
      <c r="I163" s="108" t="s">
        <v>12314</v>
      </c>
      <c r="J163" s="94" t="s">
        <v>603</v>
      </c>
      <c r="K163" s="95">
        <v>999698836</v>
      </c>
      <c r="L163" s="91" t="s">
        <v>42</v>
      </c>
      <c r="M163" s="98">
        <f ca="1">(TODAY()-H163)/365</f>
        <v>38.934246575342463</v>
      </c>
      <c r="N163" s="99">
        <f>(G163-H163)/365</f>
        <v>28.983561643835618</v>
      </c>
      <c r="O163" s="98">
        <f ca="1">(TODAY()-G163)/365</f>
        <v>9.9506849315068493</v>
      </c>
      <c r="P163" s="91" t="s">
        <v>43</v>
      </c>
      <c r="Q163" s="91">
        <v>0</v>
      </c>
      <c r="R163" s="91">
        <v>0</v>
      </c>
      <c r="S163" s="91">
        <v>1</v>
      </c>
      <c r="T163" s="91"/>
      <c r="U163" s="91"/>
      <c r="V163" s="91"/>
      <c r="W163" s="91"/>
      <c r="X163" s="91"/>
      <c r="Y163" s="91"/>
      <c r="Z163" s="91"/>
      <c r="AA163" s="91"/>
      <c r="AB163" s="91"/>
      <c r="AC163" s="91"/>
      <c r="AD163" s="91"/>
      <c r="AE163" s="91"/>
      <c r="AF163" s="91"/>
      <c r="AG163" s="91"/>
      <c r="AH163" s="91"/>
      <c r="AI163" s="91"/>
      <c r="AJ163" s="91"/>
      <c r="AK163" s="91"/>
      <c r="AL163" s="91"/>
      <c r="AM163" s="91"/>
    </row>
    <row r="164" spans="1:39" ht="20.25" hidden="1" customHeight="1">
      <c r="A164" s="91"/>
      <c r="B164" s="93" t="s">
        <v>580</v>
      </c>
      <c r="C164" s="91" t="s">
        <v>36</v>
      </c>
      <c r="D164" s="94" t="s">
        <v>604</v>
      </c>
      <c r="E164" s="94" t="s">
        <v>605</v>
      </c>
      <c r="F164" s="95" t="s">
        <v>606</v>
      </c>
      <c r="G164" s="96">
        <v>33604</v>
      </c>
      <c r="H164" s="97">
        <v>22905</v>
      </c>
      <c r="I164" s="108" t="s">
        <v>12315</v>
      </c>
      <c r="J164" s="94" t="s">
        <v>607</v>
      </c>
      <c r="K164" s="95">
        <v>982686346</v>
      </c>
      <c r="L164" s="91" t="s">
        <v>54</v>
      </c>
      <c r="M164" s="98">
        <f ca="1">(TODAY()-H164)/365</f>
        <v>63.279452054794518</v>
      </c>
      <c r="N164" s="99">
        <f>(G164-H164)/365</f>
        <v>29.312328767123287</v>
      </c>
      <c r="O164" s="98">
        <f ca="1">(TODAY()-G164)/365</f>
        <v>33.967123287671235</v>
      </c>
      <c r="P164" s="91" t="s">
        <v>43</v>
      </c>
      <c r="Q164" s="91">
        <v>0</v>
      </c>
      <c r="R164" s="91">
        <v>0</v>
      </c>
      <c r="S164" s="91">
        <v>0</v>
      </c>
      <c r="T164" s="91"/>
      <c r="U164" s="91"/>
      <c r="V164" s="91"/>
      <c r="W164" s="91"/>
      <c r="X164" s="91"/>
      <c r="Y164" s="91"/>
      <c r="Z164" s="91"/>
      <c r="AA164" s="91"/>
      <c r="AB164" s="91"/>
      <c r="AC164" s="91"/>
      <c r="AD164" s="91"/>
      <c r="AE164" s="91"/>
      <c r="AF164" s="91"/>
      <c r="AG164" s="91"/>
      <c r="AH164" s="91"/>
      <c r="AI164" s="91"/>
      <c r="AJ164" s="91"/>
      <c r="AK164" s="91"/>
      <c r="AL164" s="91"/>
      <c r="AM164" s="91"/>
    </row>
    <row r="165" spans="1:39" ht="20.25" hidden="1" customHeight="1">
      <c r="A165" s="91"/>
      <c r="B165" s="93" t="s">
        <v>580</v>
      </c>
      <c r="C165" s="91" t="s">
        <v>36</v>
      </c>
      <c r="D165" s="94" t="s">
        <v>608</v>
      </c>
      <c r="E165" s="94" t="s">
        <v>609</v>
      </c>
      <c r="F165" s="95" t="s">
        <v>610</v>
      </c>
      <c r="G165" s="96">
        <v>45276</v>
      </c>
      <c r="H165" s="97">
        <v>34002</v>
      </c>
      <c r="I165" s="108" t="s">
        <v>12316</v>
      </c>
      <c r="J165" s="94" t="s">
        <v>611</v>
      </c>
      <c r="K165" s="95">
        <v>956602982</v>
      </c>
      <c r="L165" s="91" t="s">
        <v>60</v>
      </c>
      <c r="M165" s="98">
        <f ca="1">(TODAY()-H165)/365</f>
        <v>32.876712328767127</v>
      </c>
      <c r="N165" s="99">
        <f>(G165-H165)/365</f>
        <v>30.887671232876713</v>
      </c>
      <c r="O165" s="98">
        <f ca="1">(TODAY()-G165)/365</f>
        <v>1.989041095890411</v>
      </c>
      <c r="P165" s="91" t="s">
        <v>43</v>
      </c>
      <c r="Q165" s="91">
        <v>0</v>
      </c>
      <c r="R165" s="91">
        <v>0</v>
      </c>
      <c r="S165" s="91">
        <v>0</v>
      </c>
      <c r="T165" s="91"/>
      <c r="U165" s="91"/>
      <c r="V165" s="91"/>
      <c r="W165" s="91"/>
      <c r="X165" s="91"/>
      <c r="Y165" s="91"/>
      <c r="Z165" s="91"/>
      <c r="AA165" s="91"/>
      <c r="AB165" s="91"/>
      <c r="AC165" s="91"/>
      <c r="AD165" s="91"/>
      <c r="AE165" s="91"/>
      <c r="AF165" s="91"/>
      <c r="AG165" s="91"/>
      <c r="AH165" s="91"/>
      <c r="AI165" s="91"/>
      <c r="AJ165" s="91"/>
      <c r="AK165" s="91"/>
      <c r="AL165" s="91"/>
      <c r="AM165" s="91"/>
    </row>
    <row r="166" spans="1:39" ht="20.25" hidden="1" customHeight="1">
      <c r="A166" s="91"/>
      <c r="B166" s="93" t="s">
        <v>580</v>
      </c>
      <c r="C166" s="91" t="s">
        <v>36</v>
      </c>
      <c r="D166" s="94" t="s">
        <v>612</v>
      </c>
      <c r="E166" s="94" t="s">
        <v>613</v>
      </c>
      <c r="F166" s="95" t="s">
        <v>614</v>
      </c>
      <c r="G166" s="96">
        <v>36526</v>
      </c>
      <c r="H166" s="97">
        <v>24411</v>
      </c>
      <c r="I166" s="108" t="s">
        <v>12317</v>
      </c>
      <c r="J166" s="94" t="s">
        <v>615</v>
      </c>
      <c r="K166" s="95">
        <f>99642161</f>
        <v>99642161</v>
      </c>
      <c r="L166" s="91" t="s">
        <v>49</v>
      </c>
      <c r="M166" s="98">
        <f ca="1">(TODAY()-H166)/365</f>
        <v>59.153424657534245</v>
      </c>
      <c r="N166" s="99">
        <f>(G166-H166)/365</f>
        <v>33.19178082191781</v>
      </c>
      <c r="O166" s="98">
        <f ca="1">(TODAY()-G166)/365</f>
        <v>25.961643835616439</v>
      </c>
      <c r="P166" s="91" t="s">
        <v>43</v>
      </c>
      <c r="Q166" s="91">
        <v>0</v>
      </c>
      <c r="R166" s="91">
        <v>0</v>
      </c>
      <c r="S166" s="91">
        <v>0</v>
      </c>
      <c r="T166" s="91"/>
      <c r="U166" s="91"/>
      <c r="V166" s="91"/>
      <c r="W166" s="91"/>
      <c r="X166" s="91"/>
      <c r="Y166" s="91"/>
      <c r="Z166" s="91"/>
      <c r="AA166" s="91"/>
      <c r="AB166" s="91"/>
      <c r="AC166" s="91"/>
      <c r="AD166" s="91"/>
      <c r="AE166" s="91"/>
      <c r="AF166" s="91"/>
      <c r="AG166" s="91"/>
      <c r="AH166" s="91"/>
      <c r="AI166" s="91"/>
      <c r="AJ166" s="91"/>
      <c r="AK166" s="91"/>
      <c r="AL166" s="91"/>
      <c r="AM166" s="91"/>
    </row>
    <row r="167" spans="1:39" ht="20.25" hidden="1" customHeight="1">
      <c r="A167" s="91"/>
      <c r="B167" s="93" t="s">
        <v>580</v>
      </c>
      <c r="C167" s="91" t="s">
        <v>36</v>
      </c>
      <c r="D167" s="94" t="s">
        <v>616</v>
      </c>
      <c r="E167" s="94" t="s">
        <v>617</v>
      </c>
      <c r="F167" s="95" t="s">
        <v>618</v>
      </c>
      <c r="G167" s="96">
        <v>39814</v>
      </c>
      <c r="H167" s="97">
        <v>25558</v>
      </c>
      <c r="I167" s="108" t="s">
        <v>12318</v>
      </c>
      <c r="J167" s="94" t="s">
        <v>619</v>
      </c>
      <c r="K167" s="95">
        <v>956804043</v>
      </c>
      <c r="L167" s="91" t="s">
        <v>72</v>
      </c>
      <c r="M167" s="98">
        <f ca="1">(TODAY()-H167)/365</f>
        <v>56.010958904109586</v>
      </c>
      <c r="N167" s="99">
        <f>(G167-H167)/365</f>
        <v>39.057534246575344</v>
      </c>
      <c r="O167" s="98">
        <f ca="1">(TODAY()-G167)/365</f>
        <v>16.953424657534246</v>
      </c>
      <c r="P167" s="91" t="s">
        <v>43</v>
      </c>
      <c r="Q167" s="91">
        <v>0</v>
      </c>
      <c r="R167" s="91">
        <v>0</v>
      </c>
      <c r="S167" s="91">
        <v>0</v>
      </c>
      <c r="T167" s="91"/>
      <c r="U167" s="91"/>
      <c r="V167" s="91"/>
      <c r="W167" s="91"/>
      <c r="X167" s="91"/>
      <c r="Y167" s="91"/>
      <c r="Z167" s="91"/>
      <c r="AA167" s="91"/>
      <c r="AB167" s="91"/>
      <c r="AC167" s="91"/>
      <c r="AD167" s="91"/>
      <c r="AE167" s="91"/>
      <c r="AF167" s="91"/>
      <c r="AG167" s="91"/>
      <c r="AH167" s="91"/>
      <c r="AI167" s="91"/>
      <c r="AJ167" s="91"/>
      <c r="AK167" s="91"/>
      <c r="AL167" s="91"/>
      <c r="AM167" s="91"/>
    </row>
    <row r="168" spans="1:39" ht="20.25" hidden="1" customHeight="1">
      <c r="A168" s="91"/>
      <c r="B168" s="93" t="s">
        <v>580</v>
      </c>
      <c r="C168" s="91" t="s">
        <v>36</v>
      </c>
      <c r="D168" s="94" t="s">
        <v>620</v>
      </c>
      <c r="E168" s="94" t="s">
        <v>621</v>
      </c>
      <c r="F168" s="95" t="s">
        <v>622</v>
      </c>
      <c r="G168" s="96">
        <v>45497</v>
      </c>
      <c r="H168" s="97">
        <v>29709</v>
      </c>
      <c r="I168" s="108" t="s">
        <v>12319</v>
      </c>
      <c r="J168" s="94" t="s">
        <v>591</v>
      </c>
      <c r="K168" s="95">
        <v>99880755</v>
      </c>
      <c r="L168" s="91" t="s">
        <v>60</v>
      </c>
      <c r="M168" s="98">
        <f ca="1">(TODAY()-H168)/365</f>
        <v>44.638356164383559</v>
      </c>
      <c r="N168" s="99">
        <f>(G168-H168)/365</f>
        <v>43.254794520547946</v>
      </c>
      <c r="O168" s="98">
        <f ca="1">(TODAY()-G168)/365</f>
        <v>1.3835616438356164</v>
      </c>
      <c r="P168" s="91" t="s">
        <v>43</v>
      </c>
      <c r="Q168" s="91">
        <v>0</v>
      </c>
      <c r="R168" s="91">
        <v>0</v>
      </c>
      <c r="S168" s="91">
        <v>0</v>
      </c>
      <c r="T168" s="91"/>
      <c r="U168" s="91"/>
      <c r="V168" s="91"/>
      <c r="W168" s="91"/>
      <c r="X168" s="91"/>
      <c r="Y168" s="91"/>
      <c r="Z168" s="91"/>
      <c r="AA168" s="91"/>
      <c r="AB168" s="91"/>
      <c r="AC168" s="91"/>
      <c r="AD168" s="91"/>
      <c r="AE168" s="91"/>
      <c r="AF168" s="91"/>
      <c r="AG168" s="91"/>
      <c r="AH168" s="91"/>
      <c r="AI168" s="91"/>
      <c r="AJ168" s="91"/>
      <c r="AK168" s="91"/>
      <c r="AL168" s="91"/>
      <c r="AM168" s="91"/>
    </row>
    <row r="169" spans="1:39" ht="20.25" customHeight="1">
      <c r="A169" s="91"/>
      <c r="B169" s="93" t="s">
        <v>4396</v>
      </c>
      <c r="C169" s="91" t="s">
        <v>73</v>
      </c>
      <c r="D169" s="106" t="s">
        <v>2812</v>
      </c>
      <c r="E169" s="106" t="s">
        <v>4445</v>
      </c>
      <c r="F169" s="92" t="s">
        <v>4446</v>
      </c>
      <c r="G169" s="96">
        <v>44986</v>
      </c>
      <c r="H169" s="97" t="s">
        <v>58</v>
      </c>
      <c r="I169" s="100" t="s">
        <v>58</v>
      </c>
      <c r="J169" s="100" t="s">
        <v>58</v>
      </c>
      <c r="K169" s="92" t="s">
        <v>4447</v>
      </c>
      <c r="L169" s="91" t="s">
        <v>60</v>
      </c>
      <c r="M169" s="98">
        <v>0</v>
      </c>
      <c r="N169" s="91"/>
      <c r="O169" s="98">
        <f ca="1">(TODAY()-G169)/365</f>
        <v>2.7835616438356166</v>
      </c>
      <c r="P169" s="91" t="s">
        <v>43</v>
      </c>
      <c r="Q169" s="91">
        <v>0</v>
      </c>
      <c r="R169" s="91">
        <v>0</v>
      </c>
      <c r="S169" s="91">
        <v>0</v>
      </c>
      <c r="T169" s="91"/>
      <c r="U169" s="91"/>
      <c r="V169" s="91"/>
      <c r="W169" s="91"/>
      <c r="X169" s="91"/>
      <c r="Y169" s="91"/>
      <c r="Z169" s="91"/>
      <c r="AA169" s="91"/>
      <c r="AB169" s="91"/>
      <c r="AC169" s="91"/>
      <c r="AD169" s="91"/>
      <c r="AE169" s="91"/>
      <c r="AF169" s="91"/>
      <c r="AG169" s="91"/>
      <c r="AH169" s="91"/>
      <c r="AI169" s="91"/>
      <c r="AJ169" s="91"/>
      <c r="AK169" s="91"/>
      <c r="AL169" s="91"/>
      <c r="AM169" s="91"/>
    </row>
    <row r="170" spans="1:39" ht="20.25" customHeight="1">
      <c r="A170" s="91"/>
      <c r="B170" s="93" t="s">
        <v>1245</v>
      </c>
      <c r="C170" s="91" t="s">
        <v>73</v>
      </c>
      <c r="D170" s="107" t="s">
        <v>1400</v>
      </c>
      <c r="E170" s="107" t="s">
        <v>1401</v>
      </c>
      <c r="F170" s="91" t="s">
        <v>1402</v>
      </c>
      <c r="G170" s="96">
        <v>45573</v>
      </c>
      <c r="H170" s="97">
        <v>27906</v>
      </c>
      <c r="I170" s="100" t="s">
        <v>1403</v>
      </c>
      <c r="J170" s="100" t="s">
        <v>1404</v>
      </c>
      <c r="K170" s="91">
        <v>996881514</v>
      </c>
      <c r="L170" s="91" t="s">
        <v>60</v>
      </c>
      <c r="M170" s="98">
        <f ca="1">(TODAY()-H170)/365</f>
        <v>49.578082191780823</v>
      </c>
      <c r="N170" s="99">
        <f>(G170-H170)/365</f>
        <v>48.402739726027399</v>
      </c>
      <c r="O170" s="98">
        <f ca="1">(TODAY()-G170)/365</f>
        <v>1.1753424657534246</v>
      </c>
      <c r="P170" s="91" t="s">
        <v>43</v>
      </c>
      <c r="Q170" s="91">
        <v>0</v>
      </c>
      <c r="R170" s="91">
        <v>0</v>
      </c>
      <c r="S170" s="91">
        <v>0</v>
      </c>
      <c r="T170" s="91"/>
      <c r="U170" s="91"/>
      <c r="V170" s="91"/>
      <c r="W170" s="91"/>
      <c r="X170" s="91"/>
      <c r="Y170" s="91"/>
      <c r="Z170" s="91"/>
      <c r="AA170" s="91"/>
      <c r="AB170" s="91"/>
      <c r="AC170" s="91"/>
      <c r="AD170" s="91"/>
      <c r="AE170" s="91"/>
      <c r="AF170" s="91"/>
      <c r="AG170" s="91"/>
      <c r="AH170" s="91"/>
      <c r="AI170" s="91"/>
      <c r="AJ170" s="91"/>
      <c r="AK170" s="91"/>
      <c r="AL170" s="91"/>
      <c r="AM170" s="91"/>
    </row>
    <row r="171" spans="1:39" ht="20.25" hidden="1" customHeight="1">
      <c r="A171" s="91"/>
      <c r="B171" s="93" t="s">
        <v>580</v>
      </c>
      <c r="C171" s="91" t="s">
        <v>36</v>
      </c>
      <c r="D171" s="94" t="s">
        <v>629</v>
      </c>
      <c r="E171" s="94" t="s">
        <v>630</v>
      </c>
      <c r="F171" s="95" t="s">
        <v>631</v>
      </c>
      <c r="G171" s="96">
        <v>40179</v>
      </c>
      <c r="H171" s="97">
        <v>21986</v>
      </c>
      <c r="I171" s="108" t="s">
        <v>12322</v>
      </c>
      <c r="J171" s="94" t="s">
        <v>632</v>
      </c>
      <c r="K171" s="95">
        <v>931339769</v>
      </c>
      <c r="L171" s="91" t="s">
        <v>60</v>
      </c>
      <c r="M171" s="98">
        <f ca="1">(TODAY()-H171)/365</f>
        <v>65.797260273972597</v>
      </c>
      <c r="N171" s="99">
        <f>(G171-H171)/365</f>
        <v>49.843835616438355</v>
      </c>
      <c r="O171" s="98">
        <f ca="1">(TODAY()-G171)/365</f>
        <v>15.953424657534246</v>
      </c>
      <c r="P171" s="91" t="s">
        <v>43</v>
      </c>
      <c r="Q171" s="91">
        <v>0</v>
      </c>
      <c r="R171" s="91">
        <v>0</v>
      </c>
      <c r="S171" s="91">
        <v>0</v>
      </c>
      <c r="T171" s="91"/>
      <c r="U171" s="91"/>
      <c r="V171" s="91"/>
      <c r="W171" s="91"/>
      <c r="X171" s="91"/>
      <c r="Y171" s="91"/>
      <c r="Z171" s="91"/>
      <c r="AA171" s="91"/>
      <c r="AB171" s="91"/>
      <c r="AC171" s="91"/>
      <c r="AD171" s="91"/>
      <c r="AE171" s="91"/>
      <c r="AF171" s="91"/>
      <c r="AG171" s="91"/>
      <c r="AH171" s="91"/>
      <c r="AI171" s="91"/>
      <c r="AJ171" s="91"/>
      <c r="AK171" s="91"/>
      <c r="AL171" s="91"/>
      <c r="AM171" s="91"/>
    </row>
    <row r="172" spans="1:39" ht="20.25" hidden="1" customHeight="1">
      <c r="A172" s="91"/>
      <c r="B172" s="93" t="s">
        <v>580</v>
      </c>
      <c r="C172" s="91" t="s">
        <v>36</v>
      </c>
      <c r="D172" s="94" t="s">
        <v>633</v>
      </c>
      <c r="E172" s="94" t="s">
        <v>634</v>
      </c>
      <c r="F172" s="95" t="s">
        <v>635</v>
      </c>
      <c r="G172" s="96">
        <v>43101</v>
      </c>
      <c r="H172" s="97">
        <v>18906</v>
      </c>
      <c r="I172" s="108" t="s">
        <v>12323</v>
      </c>
      <c r="J172" s="94" t="s">
        <v>636</v>
      </c>
      <c r="K172" s="95">
        <v>985435769</v>
      </c>
      <c r="L172" s="91" t="s">
        <v>60</v>
      </c>
      <c r="M172" s="98">
        <f ca="1">(TODAY()-H172)/365</f>
        <v>74.235616438356161</v>
      </c>
      <c r="N172" s="99">
        <f>(G172-H172)/365</f>
        <v>66.287671232876718</v>
      </c>
      <c r="O172" s="98">
        <f ca="1">(TODAY()-G172)/365</f>
        <v>7.9479452054794519</v>
      </c>
      <c r="P172" s="91" t="s">
        <v>43</v>
      </c>
      <c r="Q172" s="91">
        <v>0</v>
      </c>
      <c r="R172" s="91">
        <v>0</v>
      </c>
      <c r="S172" s="91">
        <v>0</v>
      </c>
      <c r="T172" s="91"/>
      <c r="U172" s="91"/>
      <c r="V172" s="91"/>
      <c r="W172" s="91"/>
      <c r="X172" s="91"/>
      <c r="Y172" s="91"/>
      <c r="Z172" s="91"/>
      <c r="AA172" s="91"/>
      <c r="AB172" s="91"/>
      <c r="AC172" s="91"/>
      <c r="AD172" s="91"/>
      <c r="AE172" s="91"/>
      <c r="AF172" s="91"/>
      <c r="AG172" s="91"/>
      <c r="AH172" s="91"/>
      <c r="AI172" s="91"/>
      <c r="AJ172" s="91"/>
      <c r="AK172" s="91"/>
      <c r="AL172" s="91"/>
      <c r="AM172" s="91"/>
    </row>
    <row r="173" spans="1:39" ht="20.25" hidden="1" customHeight="1">
      <c r="A173" s="91"/>
      <c r="B173" s="93" t="s">
        <v>637</v>
      </c>
      <c r="C173" s="91" t="s">
        <v>36</v>
      </c>
      <c r="D173" s="94" t="s">
        <v>638</v>
      </c>
      <c r="E173" s="94" t="s">
        <v>639</v>
      </c>
      <c r="F173" s="95" t="s">
        <v>640</v>
      </c>
      <c r="G173" s="96">
        <v>43682</v>
      </c>
      <c r="H173" s="97">
        <v>38482</v>
      </c>
      <c r="I173" s="94" t="s">
        <v>641</v>
      </c>
      <c r="J173" s="94" t="s">
        <v>58</v>
      </c>
      <c r="K173" s="95" t="s">
        <v>58</v>
      </c>
      <c r="L173" s="91" t="s">
        <v>60</v>
      </c>
      <c r="M173" s="98">
        <f ca="1">(TODAY()-H173)/365</f>
        <v>20.602739726027398</v>
      </c>
      <c r="N173" s="99">
        <f>(G173-H173)/365</f>
        <v>14.246575342465754</v>
      </c>
      <c r="O173" s="98">
        <f ca="1">(TODAY()-G173)/365</f>
        <v>6.3561643835616435</v>
      </c>
      <c r="P173" s="91" t="s">
        <v>272</v>
      </c>
      <c r="Q173" s="91">
        <v>0</v>
      </c>
      <c r="R173" s="91">
        <v>0</v>
      </c>
      <c r="S173" s="91">
        <v>0</v>
      </c>
      <c r="T173" s="91"/>
      <c r="U173" s="91"/>
      <c r="V173" s="91"/>
      <c r="W173" s="91"/>
      <c r="X173" s="91"/>
      <c r="Y173" s="91"/>
      <c r="Z173" s="91"/>
      <c r="AA173" s="91"/>
      <c r="AB173" s="91"/>
      <c r="AC173" s="91"/>
      <c r="AD173" s="91"/>
      <c r="AE173" s="91"/>
      <c r="AF173" s="91"/>
      <c r="AG173" s="91"/>
      <c r="AH173" s="91"/>
      <c r="AI173" s="91"/>
      <c r="AJ173" s="91"/>
      <c r="AK173" s="91"/>
      <c r="AL173" s="91"/>
      <c r="AM173" s="91"/>
    </row>
    <row r="174" spans="1:39" ht="20.25" hidden="1" customHeight="1">
      <c r="A174" s="91"/>
      <c r="B174" s="93" t="s">
        <v>637</v>
      </c>
      <c r="C174" s="91" t="s">
        <v>36</v>
      </c>
      <c r="D174" s="94" t="s">
        <v>642</v>
      </c>
      <c r="E174" s="94" t="s">
        <v>643</v>
      </c>
      <c r="F174" s="95" t="s">
        <v>644</v>
      </c>
      <c r="G174" s="96">
        <v>43682</v>
      </c>
      <c r="H174" s="97">
        <v>37349</v>
      </c>
      <c r="I174" s="94" t="s">
        <v>645</v>
      </c>
      <c r="J174" s="94" t="s">
        <v>58</v>
      </c>
      <c r="K174" s="95" t="s">
        <v>58</v>
      </c>
      <c r="L174" s="91" t="s">
        <v>60</v>
      </c>
      <c r="M174" s="98">
        <f ca="1">(TODAY()-H174)/365</f>
        <v>23.706849315068492</v>
      </c>
      <c r="N174" s="99">
        <f>(G174-H174)/365</f>
        <v>17.350684931506848</v>
      </c>
      <c r="O174" s="98">
        <f ca="1">(TODAY()-G174)/365</f>
        <v>6.3561643835616435</v>
      </c>
      <c r="P174" s="91" t="s">
        <v>272</v>
      </c>
      <c r="Q174" s="91">
        <v>0</v>
      </c>
      <c r="R174" s="91">
        <v>0</v>
      </c>
      <c r="S174" s="91">
        <v>0</v>
      </c>
      <c r="T174" s="91"/>
      <c r="U174" s="91"/>
      <c r="V174" s="91"/>
      <c r="W174" s="91"/>
      <c r="X174" s="91"/>
      <c r="Y174" s="91"/>
      <c r="Z174" s="91"/>
      <c r="AA174" s="91"/>
      <c r="AB174" s="91"/>
      <c r="AC174" s="91"/>
      <c r="AD174" s="91"/>
      <c r="AE174" s="91"/>
      <c r="AF174" s="91"/>
      <c r="AG174" s="91"/>
      <c r="AH174" s="91"/>
      <c r="AI174" s="91"/>
      <c r="AJ174" s="91"/>
      <c r="AK174" s="91"/>
      <c r="AL174" s="91"/>
      <c r="AM174" s="91"/>
    </row>
    <row r="175" spans="1:39" ht="20.25" hidden="1" customHeight="1">
      <c r="A175" s="91"/>
      <c r="B175" s="93" t="s">
        <v>637</v>
      </c>
      <c r="C175" s="91" t="s">
        <v>36</v>
      </c>
      <c r="D175" s="94" t="s">
        <v>646</v>
      </c>
      <c r="E175" s="94" t="s">
        <v>647</v>
      </c>
      <c r="F175" s="95" t="s">
        <v>648</v>
      </c>
      <c r="G175" s="96">
        <v>30804</v>
      </c>
      <c r="H175" s="97">
        <v>23628</v>
      </c>
      <c r="I175" s="94" t="s">
        <v>649</v>
      </c>
      <c r="J175" s="94" t="s">
        <v>58</v>
      </c>
      <c r="K175" s="95">
        <v>976364750</v>
      </c>
      <c r="L175" s="91" t="s">
        <v>151</v>
      </c>
      <c r="M175" s="98">
        <f ca="1">(TODAY()-H175)/365</f>
        <v>61.298630136986304</v>
      </c>
      <c r="N175" s="99">
        <f>(G175-H175)/365</f>
        <v>19.660273972602738</v>
      </c>
      <c r="O175" s="98">
        <f ca="1">(TODAY()-G175)/365</f>
        <v>41.638356164383559</v>
      </c>
      <c r="P175" s="91" t="s">
        <v>43</v>
      </c>
      <c r="Q175" s="91">
        <v>0</v>
      </c>
      <c r="R175" s="91">
        <v>0</v>
      </c>
      <c r="S175" s="91">
        <v>0</v>
      </c>
      <c r="T175" s="91"/>
      <c r="U175" s="91"/>
      <c r="V175" s="91"/>
      <c r="W175" s="91"/>
      <c r="X175" s="91"/>
      <c r="Y175" s="91"/>
      <c r="Z175" s="91"/>
      <c r="AA175" s="91"/>
      <c r="AB175" s="91"/>
      <c r="AC175" s="91"/>
      <c r="AD175" s="91"/>
      <c r="AE175" s="91"/>
      <c r="AF175" s="91"/>
      <c r="AG175" s="91"/>
      <c r="AH175" s="91"/>
      <c r="AI175" s="91"/>
      <c r="AJ175" s="91"/>
      <c r="AK175" s="91"/>
      <c r="AL175" s="91"/>
      <c r="AM175" s="91"/>
    </row>
    <row r="176" spans="1:39" ht="20.25" hidden="1" customHeight="1">
      <c r="A176" s="91"/>
      <c r="B176" s="93" t="s">
        <v>637</v>
      </c>
      <c r="C176" s="91" t="s">
        <v>36</v>
      </c>
      <c r="D176" s="94" t="s">
        <v>650</v>
      </c>
      <c r="E176" s="94" t="s">
        <v>651</v>
      </c>
      <c r="F176" s="95" t="s">
        <v>652</v>
      </c>
      <c r="G176" s="96">
        <v>43682</v>
      </c>
      <c r="H176" s="97">
        <v>36449</v>
      </c>
      <c r="I176" s="94" t="s">
        <v>653</v>
      </c>
      <c r="J176" s="94" t="s">
        <v>58</v>
      </c>
      <c r="K176" s="95">
        <v>95925651</v>
      </c>
      <c r="L176" s="91" t="s">
        <v>60</v>
      </c>
      <c r="M176" s="98">
        <f ca="1">(TODAY()-H176)/365</f>
        <v>26.172602739726027</v>
      </c>
      <c r="N176" s="99">
        <f>(G176-H176)/365</f>
        <v>19.816438356164383</v>
      </c>
      <c r="O176" s="98">
        <f ca="1">(TODAY()-G176)/365</f>
        <v>6.3561643835616435</v>
      </c>
      <c r="P176" s="91" t="s">
        <v>43</v>
      </c>
      <c r="Q176" s="91">
        <v>0</v>
      </c>
      <c r="R176" s="91">
        <v>0</v>
      </c>
      <c r="S176" s="91">
        <v>0</v>
      </c>
      <c r="T176" s="91"/>
      <c r="U176" s="91"/>
      <c r="V176" s="91"/>
      <c r="W176" s="91"/>
      <c r="X176" s="91"/>
      <c r="Y176" s="91"/>
      <c r="Z176" s="91"/>
      <c r="AA176" s="91"/>
      <c r="AB176" s="91"/>
      <c r="AC176" s="91"/>
      <c r="AD176" s="91"/>
      <c r="AE176" s="91"/>
      <c r="AF176" s="91"/>
      <c r="AG176" s="91"/>
      <c r="AH176" s="91"/>
      <c r="AI176" s="91"/>
      <c r="AJ176" s="91"/>
      <c r="AK176" s="91"/>
      <c r="AL176" s="91"/>
      <c r="AM176" s="91"/>
    </row>
    <row r="177" spans="1:39" ht="20.25" hidden="1" customHeight="1">
      <c r="A177" s="91"/>
      <c r="B177" s="93" t="s">
        <v>637</v>
      </c>
      <c r="C177" s="91" t="s">
        <v>36</v>
      </c>
      <c r="D177" s="94" t="s">
        <v>654</v>
      </c>
      <c r="E177" s="94" t="s">
        <v>655</v>
      </c>
      <c r="F177" s="95" t="s">
        <v>656</v>
      </c>
      <c r="G177" s="96">
        <v>43682</v>
      </c>
      <c r="H177" s="97">
        <v>36382</v>
      </c>
      <c r="I177" s="94" t="s">
        <v>657</v>
      </c>
      <c r="J177" s="94" t="s">
        <v>58</v>
      </c>
      <c r="K177" s="95" t="s">
        <v>58</v>
      </c>
      <c r="L177" s="91" t="s">
        <v>60</v>
      </c>
      <c r="M177" s="98">
        <f ca="1">(TODAY()-H177)/365</f>
        <v>26.356164383561644</v>
      </c>
      <c r="N177" s="99">
        <f>(G177-H177)/365</f>
        <v>20</v>
      </c>
      <c r="O177" s="98">
        <f ca="1">(TODAY()-G177)/365</f>
        <v>6.3561643835616435</v>
      </c>
      <c r="P177" s="91" t="s">
        <v>272</v>
      </c>
      <c r="Q177" s="91">
        <v>0</v>
      </c>
      <c r="R177" s="91">
        <v>0</v>
      </c>
      <c r="S177" s="91">
        <v>0</v>
      </c>
      <c r="T177" s="91"/>
      <c r="U177" s="91"/>
      <c r="V177" s="91"/>
      <c r="W177" s="91"/>
      <c r="X177" s="91"/>
      <c r="Y177" s="91"/>
      <c r="Z177" s="91"/>
      <c r="AA177" s="91"/>
      <c r="AB177" s="91"/>
      <c r="AC177" s="91"/>
      <c r="AD177" s="91"/>
      <c r="AE177" s="91"/>
      <c r="AF177" s="91"/>
      <c r="AG177" s="91"/>
      <c r="AH177" s="91"/>
      <c r="AI177" s="91"/>
      <c r="AJ177" s="91"/>
      <c r="AK177" s="91"/>
      <c r="AL177" s="91"/>
      <c r="AM177" s="91"/>
    </row>
    <row r="178" spans="1:39" ht="20.25" hidden="1" customHeight="1">
      <c r="A178" s="91"/>
      <c r="B178" s="93" t="s">
        <v>637</v>
      </c>
      <c r="C178" s="91" t="s">
        <v>36</v>
      </c>
      <c r="D178" s="94" t="s">
        <v>658</v>
      </c>
      <c r="E178" s="94" t="s">
        <v>659</v>
      </c>
      <c r="F178" s="95" t="s">
        <v>660</v>
      </c>
      <c r="G178" s="96">
        <v>31181</v>
      </c>
      <c r="H178" s="97">
        <v>22673</v>
      </c>
      <c r="I178" s="94" t="s">
        <v>661</v>
      </c>
      <c r="J178" s="94" t="s">
        <v>58</v>
      </c>
      <c r="K178" s="95">
        <v>996633636</v>
      </c>
      <c r="L178" s="91" t="s">
        <v>72</v>
      </c>
      <c r="M178" s="98">
        <f ca="1">(TODAY()-H178)/365</f>
        <v>63.915068493150685</v>
      </c>
      <c r="N178" s="99">
        <f>(G178-H178)/365</f>
        <v>23.30958904109589</v>
      </c>
      <c r="O178" s="98">
        <f ca="1">(TODAY()-G178)/365</f>
        <v>40.605479452054794</v>
      </c>
      <c r="P178" s="91" t="s">
        <v>43</v>
      </c>
      <c r="Q178" s="91">
        <v>0</v>
      </c>
      <c r="R178" s="91">
        <v>0</v>
      </c>
      <c r="S178" s="91">
        <v>0</v>
      </c>
      <c r="T178" s="91"/>
      <c r="U178" s="91"/>
      <c r="V178" s="91"/>
      <c r="W178" s="91"/>
      <c r="X178" s="91"/>
      <c r="Y178" s="91"/>
      <c r="Z178" s="91"/>
      <c r="AA178" s="91"/>
      <c r="AB178" s="91"/>
      <c r="AC178" s="91"/>
      <c r="AD178" s="91"/>
      <c r="AE178" s="91"/>
      <c r="AF178" s="91"/>
      <c r="AG178" s="91"/>
      <c r="AH178" s="91"/>
      <c r="AI178" s="91"/>
      <c r="AJ178" s="91"/>
      <c r="AK178" s="91"/>
      <c r="AL178" s="91"/>
      <c r="AM178" s="91"/>
    </row>
    <row r="179" spans="1:39" ht="20.25" hidden="1" customHeight="1">
      <c r="A179" s="91"/>
      <c r="B179" s="93" t="s">
        <v>637</v>
      </c>
      <c r="C179" s="91" t="s">
        <v>36</v>
      </c>
      <c r="D179" s="94" t="s">
        <v>662</v>
      </c>
      <c r="E179" s="94" t="s">
        <v>663</v>
      </c>
      <c r="F179" s="95" t="s">
        <v>664</v>
      </c>
      <c r="G179" s="96">
        <v>28319</v>
      </c>
      <c r="H179" s="97">
        <v>17755</v>
      </c>
      <c r="I179" s="94" t="s">
        <v>665</v>
      </c>
      <c r="J179" s="94" t="s">
        <v>58</v>
      </c>
      <c r="K179" s="95">
        <v>981300322</v>
      </c>
      <c r="L179" s="91" t="s">
        <v>60</v>
      </c>
      <c r="M179" s="98">
        <f ca="1">(TODAY()-H179)/365</f>
        <v>77.389041095890406</v>
      </c>
      <c r="N179" s="99">
        <f>(G179-H179)/365</f>
        <v>28.942465753424656</v>
      </c>
      <c r="O179" s="98">
        <f ca="1">(TODAY()-G179)/365</f>
        <v>48.446575342465756</v>
      </c>
      <c r="P179" s="91" t="s">
        <v>43</v>
      </c>
      <c r="Q179" s="91">
        <v>0</v>
      </c>
      <c r="R179" s="91">
        <v>0</v>
      </c>
      <c r="S179" s="91">
        <v>0</v>
      </c>
      <c r="T179" s="91"/>
      <c r="U179" s="91"/>
      <c r="V179" s="91"/>
      <c r="W179" s="91"/>
      <c r="X179" s="91"/>
      <c r="Y179" s="91"/>
      <c r="Z179" s="91"/>
      <c r="AA179" s="91"/>
      <c r="AB179" s="91"/>
      <c r="AC179" s="91"/>
      <c r="AD179" s="91"/>
      <c r="AE179" s="91"/>
      <c r="AF179" s="91"/>
      <c r="AG179" s="91"/>
      <c r="AH179" s="91"/>
      <c r="AI179" s="91"/>
      <c r="AJ179" s="91"/>
      <c r="AK179" s="91"/>
      <c r="AL179" s="91"/>
      <c r="AM179" s="91"/>
    </row>
    <row r="180" spans="1:39" ht="20.25" hidden="1" customHeight="1">
      <c r="A180" s="91"/>
      <c r="B180" s="93" t="s">
        <v>637</v>
      </c>
      <c r="C180" s="91" t="s">
        <v>36</v>
      </c>
      <c r="D180" s="94" t="s">
        <v>666</v>
      </c>
      <c r="E180" s="94" t="s">
        <v>667</v>
      </c>
      <c r="F180" s="95" t="s">
        <v>668</v>
      </c>
      <c r="G180" s="96">
        <v>36660</v>
      </c>
      <c r="H180" s="97">
        <v>25702</v>
      </c>
      <c r="I180" s="94" t="s">
        <v>58</v>
      </c>
      <c r="J180" s="94" t="s">
        <v>58</v>
      </c>
      <c r="K180" s="95">
        <v>953530236</v>
      </c>
      <c r="L180" s="91" t="s">
        <v>60</v>
      </c>
      <c r="M180" s="98">
        <f ca="1">(TODAY()-H180)/365</f>
        <v>55.61643835616438</v>
      </c>
      <c r="N180" s="99">
        <f>(G180-H180)/365</f>
        <v>30.021917808219179</v>
      </c>
      <c r="O180" s="98">
        <f ca="1">(TODAY()-G180)/365</f>
        <v>25.594520547945205</v>
      </c>
      <c r="P180" s="91" t="s">
        <v>43</v>
      </c>
      <c r="Q180" s="91">
        <v>0</v>
      </c>
      <c r="R180" s="91">
        <v>0</v>
      </c>
      <c r="S180" s="91">
        <v>0</v>
      </c>
      <c r="T180" s="91"/>
      <c r="U180" s="91"/>
      <c r="V180" s="91"/>
      <c r="W180" s="91"/>
      <c r="X180" s="91"/>
      <c r="Y180" s="91"/>
      <c r="Z180" s="91"/>
      <c r="AA180" s="91"/>
      <c r="AB180" s="91"/>
      <c r="AC180" s="91"/>
      <c r="AD180" s="91"/>
      <c r="AE180" s="91"/>
      <c r="AF180" s="91"/>
      <c r="AG180" s="91"/>
      <c r="AH180" s="91"/>
      <c r="AI180" s="91"/>
      <c r="AJ180" s="91"/>
      <c r="AK180" s="91"/>
      <c r="AL180" s="91"/>
      <c r="AM180" s="91"/>
    </row>
    <row r="181" spans="1:39" ht="20.25" hidden="1" customHeight="1">
      <c r="A181" s="91"/>
      <c r="B181" s="93" t="s">
        <v>637</v>
      </c>
      <c r="C181" s="91" t="s">
        <v>36</v>
      </c>
      <c r="D181" s="94" t="s">
        <v>669</v>
      </c>
      <c r="E181" s="94" t="s">
        <v>670</v>
      </c>
      <c r="F181" s="95" t="s">
        <v>671</v>
      </c>
      <c r="G181" s="96">
        <v>43682</v>
      </c>
      <c r="H181" s="97">
        <v>32720</v>
      </c>
      <c r="I181" s="94" t="s">
        <v>672</v>
      </c>
      <c r="J181" s="94" t="s">
        <v>58</v>
      </c>
      <c r="K181" s="95">
        <v>983026425</v>
      </c>
      <c r="L181" s="91" t="s">
        <v>60</v>
      </c>
      <c r="M181" s="98">
        <f ca="1">(TODAY()-H181)/365</f>
        <v>36.389041095890413</v>
      </c>
      <c r="N181" s="99">
        <f>(G181-H181)/365</f>
        <v>30.032876712328768</v>
      </c>
      <c r="O181" s="98">
        <f ca="1">(TODAY()-G181)/365</f>
        <v>6.3561643835616435</v>
      </c>
      <c r="P181" s="91" t="s">
        <v>272</v>
      </c>
      <c r="Q181" s="91">
        <v>0</v>
      </c>
      <c r="R181" s="91">
        <v>0</v>
      </c>
      <c r="S181" s="91">
        <v>0</v>
      </c>
      <c r="T181" s="91"/>
      <c r="U181" s="91"/>
      <c r="V181" s="91"/>
      <c r="W181" s="91"/>
      <c r="X181" s="91"/>
      <c r="Y181" s="91"/>
      <c r="Z181" s="91"/>
      <c r="AA181" s="91"/>
      <c r="AB181" s="91"/>
      <c r="AC181" s="91"/>
      <c r="AD181" s="91"/>
      <c r="AE181" s="91"/>
      <c r="AF181" s="91"/>
      <c r="AG181" s="91"/>
      <c r="AH181" s="91"/>
      <c r="AI181" s="91"/>
      <c r="AJ181" s="91"/>
      <c r="AK181" s="91"/>
      <c r="AL181" s="91"/>
      <c r="AM181" s="91"/>
    </row>
    <row r="182" spans="1:39" ht="20.25" hidden="1" customHeight="1">
      <c r="A182" s="91"/>
      <c r="B182" s="93" t="s">
        <v>637</v>
      </c>
      <c r="C182" s="91" t="s">
        <v>36</v>
      </c>
      <c r="D182" s="94" t="s">
        <v>361</v>
      </c>
      <c r="E182" s="94" t="s">
        <v>673</v>
      </c>
      <c r="F182" s="95" t="s">
        <v>674</v>
      </c>
      <c r="G182" s="96">
        <v>27519</v>
      </c>
      <c r="H182" s="97">
        <v>15802</v>
      </c>
      <c r="I182" s="94" t="s">
        <v>58</v>
      </c>
      <c r="J182" s="94" t="s">
        <v>58</v>
      </c>
      <c r="K182" s="95">
        <v>9523822004</v>
      </c>
      <c r="L182" s="91" t="s">
        <v>60</v>
      </c>
      <c r="M182" s="98">
        <f ca="1">(TODAY()-H182)/365</f>
        <v>82.739726027397253</v>
      </c>
      <c r="N182" s="99">
        <f>(G182-H182)/365</f>
        <v>32.101369863013701</v>
      </c>
      <c r="O182" s="98">
        <f ca="1">(TODAY()-G182)/365</f>
        <v>50.638356164383559</v>
      </c>
      <c r="P182" s="91" t="s">
        <v>43</v>
      </c>
      <c r="Q182" s="91">
        <v>0</v>
      </c>
      <c r="R182" s="91">
        <v>0</v>
      </c>
      <c r="S182" s="91">
        <v>0</v>
      </c>
      <c r="T182" s="91"/>
      <c r="U182" s="91"/>
      <c r="V182" s="91"/>
      <c r="W182" s="91"/>
      <c r="X182" s="91"/>
      <c r="Y182" s="91"/>
      <c r="Z182" s="91"/>
      <c r="AA182" s="91"/>
      <c r="AB182" s="91"/>
      <c r="AC182" s="91"/>
      <c r="AD182" s="91"/>
      <c r="AE182" s="91"/>
      <c r="AF182" s="91"/>
      <c r="AG182" s="91"/>
      <c r="AH182" s="91"/>
      <c r="AI182" s="91"/>
      <c r="AJ182" s="91"/>
      <c r="AK182" s="91"/>
      <c r="AL182" s="91"/>
      <c r="AM182" s="91"/>
    </row>
    <row r="183" spans="1:39" ht="20.25" hidden="1" customHeight="1">
      <c r="A183" s="91"/>
      <c r="B183" s="93" t="s">
        <v>637</v>
      </c>
      <c r="C183" s="91" t="s">
        <v>36</v>
      </c>
      <c r="D183" s="94" t="s">
        <v>675</v>
      </c>
      <c r="E183" s="94" t="s">
        <v>676</v>
      </c>
      <c r="F183" s="95" t="s">
        <v>677</v>
      </c>
      <c r="G183" s="96">
        <v>39285</v>
      </c>
      <c r="H183" s="97">
        <v>27371</v>
      </c>
      <c r="I183" s="94" t="s">
        <v>678</v>
      </c>
      <c r="J183" s="94" t="s">
        <v>58</v>
      </c>
      <c r="K183" s="95">
        <v>994066125</v>
      </c>
      <c r="L183" s="91" t="s">
        <v>60</v>
      </c>
      <c r="M183" s="98">
        <f ca="1">(TODAY()-H183)/365</f>
        <v>51.043835616438358</v>
      </c>
      <c r="N183" s="99">
        <f>(G183-H183)/365</f>
        <v>32.641095890410959</v>
      </c>
      <c r="O183" s="98">
        <f ca="1">(TODAY()-G183)/365</f>
        <v>18.402739726027399</v>
      </c>
      <c r="P183" s="91" t="s">
        <v>43</v>
      </c>
      <c r="Q183" s="91">
        <v>0</v>
      </c>
      <c r="R183" s="91">
        <v>0</v>
      </c>
      <c r="S183" s="91">
        <v>0</v>
      </c>
      <c r="T183" s="91"/>
      <c r="U183" s="91"/>
      <c r="V183" s="91"/>
      <c r="W183" s="91"/>
      <c r="X183" s="91"/>
      <c r="Y183" s="91"/>
      <c r="Z183" s="91"/>
      <c r="AA183" s="91"/>
      <c r="AB183" s="91"/>
      <c r="AC183" s="91"/>
      <c r="AD183" s="91"/>
      <c r="AE183" s="91"/>
      <c r="AF183" s="91"/>
      <c r="AG183" s="91"/>
      <c r="AH183" s="91"/>
      <c r="AI183" s="91"/>
      <c r="AJ183" s="91"/>
      <c r="AK183" s="91"/>
      <c r="AL183" s="91"/>
      <c r="AM183" s="91"/>
    </row>
    <row r="184" spans="1:39" ht="20.25" hidden="1" customHeight="1">
      <c r="A184" s="91"/>
      <c r="B184" s="93" t="s">
        <v>637</v>
      </c>
      <c r="C184" s="91" t="s">
        <v>36</v>
      </c>
      <c r="D184" s="94" t="s">
        <v>679</v>
      </c>
      <c r="E184" s="94" t="s">
        <v>680</v>
      </c>
      <c r="F184" s="95" t="s">
        <v>681</v>
      </c>
      <c r="G184" s="96">
        <v>35869</v>
      </c>
      <c r="H184" s="97">
        <v>23714</v>
      </c>
      <c r="I184" s="94" t="s">
        <v>682</v>
      </c>
      <c r="J184" s="94" t="s">
        <v>58</v>
      </c>
      <c r="K184" s="95">
        <v>968410182</v>
      </c>
      <c r="L184" s="91" t="s">
        <v>66</v>
      </c>
      <c r="M184" s="98">
        <f ca="1">(TODAY()-H184)/365</f>
        <v>61.063013698630137</v>
      </c>
      <c r="N184" s="99">
        <f>(G184-H184)/365</f>
        <v>33.301369863013697</v>
      </c>
      <c r="O184" s="98">
        <f ca="1">(TODAY()-G184)/365</f>
        <v>27.761643835616439</v>
      </c>
      <c r="P184" s="91" t="s">
        <v>43</v>
      </c>
      <c r="Q184" s="91">
        <v>0</v>
      </c>
      <c r="R184" s="91">
        <v>0</v>
      </c>
      <c r="S184" s="91">
        <v>0</v>
      </c>
      <c r="T184" s="91"/>
      <c r="U184" s="91"/>
      <c r="V184" s="91"/>
      <c r="W184" s="91"/>
      <c r="X184" s="91"/>
      <c r="Y184" s="91"/>
      <c r="Z184" s="91"/>
      <c r="AA184" s="91"/>
      <c r="AB184" s="91"/>
      <c r="AC184" s="91"/>
      <c r="AD184" s="91"/>
      <c r="AE184" s="91"/>
      <c r="AF184" s="91"/>
      <c r="AG184" s="91"/>
      <c r="AH184" s="91"/>
      <c r="AI184" s="91"/>
      <c r="AJ184" s="91"/>
      <c r="AK184" s="91"/>
      <c r="AL184" s="91"/>
      <c r="AM184" s="91"/>
    </row>
    <row r="185" spans="1:39" ht="20.25" hidden="1" customHeight="1">
      <c r="A185" s="91"/>
      <c r="B185" s="93" t="s">
        <v>637</v>
      </c>
      <c r="C185" s="91" t="s">
        <v>36</v>
      </c>
      <c r="D185" s="94" t="s">
        <v>361</v>
      </c>
      <c r="E185" s="94" t="s">
        <v>683</v>
      </c>
      <c r="F185" s="95" t="s">
        <v>684</v>
      </c>
      <c r="G185" s="96">
        <v>34798</v>
      </c>
      <c r="H185" s="97">
        <v>20256</v>
      </c>
      <c r="I185" s="94" t="s">
        <v>685</v>
      </c>
      <c r="J185" s="94" t="s">
        <v>58</v>
      </c>
      <c r="K185" s="95">
        <v>993202907</v>
      </c>
      <c r="L185" s="91" t="s">
        <v>42</v>
      </c>
      <c r="M185" s="98">
        <f ca="1">(TODAY()-H185)/365</f>
        <v>70.536986301369865</v>
      </c>
      <c r="N185" s="99">
        <f>(G185-H185)/365</f>
        <v>39.841095890410962</v>
      </c>
      <c r="O185" s="98">
        <f ca="1">(TODAY()-G185)/365</f>
        <v>30.695890410958903</v>
      </c>
      <c r="P185" s="91" t="s">
        <v>43</v>
      </c>
      <c r="Q185" s="91">
        <v>0</v>
      </c>
      <c r="R185" s="91">
        <v>0</v>
      </c>
      <c r="S185" s="91">
        <v>0</v>
      </c>
      <c r="T185" s="91"/>
      <c r="U185" s="91"/>
      <c r="V185" s="91">
        <v>2011</v>
      </c>
      <c r="W185" s="91"/>
      <c r="X185" s="91"/>
      <c r="Y185" s="91"/>
      <c r="Z185" s="91"/>
      <c r="AA185" s="91"/>
      <c r="AB185" s="91"/>
      <c r="AC185" s="91"/>
      <c r="AD185" s="91"/>
      <c r="AE185" s="91"/>
      <c r="AF185" s="91"/>
      <c r="AG185" s="91"/>
      <c r="AH185" s="91"/>
      <c r="AI185" s="91"/>
      <c r="AJ185" s="91"/>
      <c r="AK185" s="91"/>
      <c r="AL185" s="91"/>
      <c r="AM185" s="91"/>
    </row>
    <row r="186" spans="1:39" ht="20.25" customHeight="1">
      <c r="A186" s="91"/>
      <c r="B186" s="93" t="s">
        <v>5912</v>
      </c>
      <c r="C186" s="91" t="s">
        <v>73</v>
      </c>
      <c r="D186" s="94" t="s">
        <v>5968</v>
      </c>
      <c r="E186" s="94" t="s">
        <v>5969</v>
      </c>
      <c r="F186" s="95" t="s">
        <v>5970</v>
      </c>
      <c r="G186" s="96">
        <v>45292</v>
      </c>
      <c r="H186" s="97">
        <v>32237</v>
      </c>
      <c r="I186" s="94" t="s">
        <v>5971</v>
      </c>
      <c r="J186" s="100" t="s">
        <v>58</v>
      </c>
      <c r="K186" s="91" t="s">
        <v>58</v>
      </c>
      <c r="L186" s="91" t="s">
        <v>60</v>
      </c>
      <c r="M186" s="98">
        <f ca="1">(TODAY()-H186)/365</f>
        <v>37.712328767123289</v>
      </c>
      <c r="N186" s="99">
        <f>(G186-H186)/365</f>
        <v>35.767123287671232</v>
      </c>
      <c r="O186" s="98">
        <f ca="1">(TODAY()-G186)/365</f>
        <v>1.9452054794520548</v>
      </c>
      <c r="P186" s="91" t="s">
        <v>272</v>
      </c>
      <c r="Q186" s="91">
        <v>0</v>
      </c>
      <c r="R186" s="91">
        <v>0</v>
      </c>
      <c r="S186" s="91">
        <v>0</v>
      </c>
      <c r="T186" s="91"/>
      <c r="U186" s="91"/>
      <c r="V186" s="91"/>
      <c r="W186" s="91"/>
      <c r="X186" s="91"/>
      <c r="Y186" s="91"/>
      <c r="Z186" s="91"/>
      <c r="AA186" s="91"/>
      <c r="AB186" s="91"/>
      <c r="AC186" s="91"/>
      <c r="AD186" s="91"/>
      <c r="AE186" s="91"/>
      <c r="AF186" s="91"/>
      <c r="AG186" s="91"/>
      <c r="AH186" s="91"/>
      <c r="AI186" s="91"/>
      <c r="AJ186" s="91"/>
      <c r="AK186" s="91"/>
      <c r="AL186" s="91"/>
      <c r="AM186" s="91"/>
    </row>
    <row r="187" spans="1:39" ht="20.25" customHeight="1">
      <c r="A187" s="91"/>
      <c r="B187" s="93" t="s">
        <v>8990</v>
      </c>
      <c r="C187" s="91" t="s">
        <v>73</v>
      </c>
      <c r="D187" s="94" t="s">
        <v>1344</v>
      </c>
      <c r="E187" s="94" t="s">
        <v>9063</v>
      </c>
      <c r="F187" s="95" t="s">
        <v>9064</v>
      </c>
      <c r="G187" s="96">
        <v>45006</v>
      </c>
      <c r="H187" s="97">
        <v>24706</v>
      </c>
      <c r="I187" s="94" t="s">
        <v>58</v>
      </c>
      <c r="J187" s="94" t="s">
        <v>58</v>
      </c>
      <c r="K187" s="95" t="s">
        <v>58</v>
      </c>
      <c r="L187" s="91" t="s">
        <v>60</v>
      </c>
      <c r="M187" s="98">
        <f ca="1">(TODAY()-H187)/365</f>
        <v>58.345205479452055</v>
      </c>
      <c r="N187" s="99">
        <f>(G187-H187)/365</f>
        <v>55.61643835616438</v>
      </c>
      <c r="O187" s="98">
        <f ca="1">(TODAY()-G187)/365</f>
        <v>2.7287671232876711</v>
      </c>
      <c r="P187" s="91" t="s">
        <v>43</v>
      </c>
      <c r="Q187" s="91">
        <v>0</v>
      </c>
      <c r="R187" s="91">
        <v>0</v>
      </c>
      <c r="S187" s="91">
        <v>0</v>
      </c>
      <c r="T187" s="91"/>
      <c r="U187" s="91"/>
      <c r="V187" s="91"/>
      <c r="W187" s="91"/>
      <c r="X187" s="91"/>
      <c r="Y187" s="91"/>
      <c r="Z187" s="91"/>
      <c r="AA187" s="91"/>
      <c r="AB187" s="91"/>
      <c r="AC187" s="91"/>
      <c r="AD187" s="91"/>
      <c r="AE187" s="91"/>
      <c r="AF187" s="91"/>
      <c r="AG187" s="91"/>
      <c r="AH187" s="91"/>
      <c r="AI187" s="91"/>
      <c r="AJ187" s="91"/>
      <c r="AK187" s="91"/>
      <c r="AL187" s="91"/>
      <c r="AM187" s="91"/>
    </row>
    <row r="188" spans="1:39" ht="20.25" customHeight="1">
      <c r="A188" s="91"/>
      <c r="B188" s="93" t="s">
        <v>3610</v>
      </c>
      <c r="C188" s="91" t="s">
        <v>73</v>
      </c>
      <c r="D188" s="94" t="s">
        <v>3745</v>
      </c>
      <c r="E188" s="94" t="s">
        <v>3746</v>
      </c>
      <c r="F188" s="95" t="s">
        <v>3747</v>
      </c>
      <c r="G188" s="116" t="s">
        <v>58</v>
      </c>
      <c r="H188" s="97">
        <v>36127</v>
      </c>
      <c r="I188" s="94" t="s">
        <v>3748</v>
      </c>
      <c r="J188" s="94" t="s">
        <v>58</v>
      </c>
      <c r="K188" s="91" t="s">
        <v>58</v>
      </c>
      <c r="L188" s="91" t="s">
        <v>60</v>
      </c>
      <c r="M188" s="98">
        <f ca="1">(TODAY()-H188)/365</f>
        <v>27.054794520547944</v>
      </c>
      <c r="N188" s="95" t="s">
        <v>58</v>
      </c>
      <c r="O188" s="98" t="e">
        <f ca="1">(TODAY()-G188)/365</f>
        <v>#VALUE!</v>
      </c>
      <c r="P188" s="91" t="s">
        <v>272</v>
      </c>
      <c r="Q188" s="91">
        <v>0</v>
      </c>
      <c r="R188" s="91">
        <v>0</v>
      </c>
      <c r="S188" s="91">
        <v>0</v>
      </c>
      <c r="T188" s="91"/>
      <c r="U188" s="91"/>
      <c r="V188" s="91"/>
      <c r="W188" s="91"/>
      <c r="X188" s="91"/>
      <c r="Y188" s="91"/>
      <c r="Z188" s="91"/>
      <c r="AA188" s="91"/>
      <c r="AB188" s="91"/>
      <c r="AC188" s="91"/>
      <c r="AD188" s="91"/>
      <c r="AE188" s="91"/>
      <c r="AF188" s="91"/>
      <c r="AG188" s="91"/>
      <c r="AH188" s="91"/>
      <c r="AI188" s="91"/>
      <c r="AJ188" s="91"/>
      <c r="AK188" s="91"/>
      <c r="AL188" s="91"/>
      <c r="AM188" s="91"/>
    </row>
    <row r="189" spans="1:39" ht="20.25" customHeight="1">
      <c r="A189" s="91"/>
      <c r="B189" s="93" t="s">
        <v>8930</v>
      </c>
      <c r="C189" s="91" t="s">
        <v>73</v>
      </c>
      <c r="D189" s="107" t="s">
        <v>8937</v>
      </c>
      <c r="E189" s="107" t="s">
        <v>8938</v>
      </c>
      <c r="F189" s="91" t="s">
        <v>8939</v>
      </c>
      <c r="G189" s="96">
        <v>44689</v>
      </c>
      <c r="H189" s="97">
        <v>37348</v>
      </c>
      <c r="I189" s="100" t="s">
        <v>8940</v>
      </c>
      <c r="J189" s="94" t="s">
        <v>58</v>
      </c>
      <c r="K189" s="91">
        <v>993330428</v>
      </c>
      <c r="L189" s="91" t="s">
        <v>60</v>
      </c>
      <c r="M189" s="98">
        <f ca="1">(TODAY()-H189)/365</f>
        <v>23.709589041095889</v>
      </c>
      <c r="N189" s="99">
        <f>(G189-H189)/365</f>
        <v>20.112328767123287</v>
      </c>
      <c r="O189" s="98">
        <f ca="1">(TODAY()-G189)/365</f>
        <v>3.5972602739726027</v>
      </c>
      <c r="P189" s="91" t="s">
        <v>43</v>
      </c>
      <c r="Q189" s="91">
        <v>0</v>
      </c>
      <c r="R189" s="91">
        <v>0</v>
      </c>
      <c r="S189" s="91">
        <v>0</v>
      </c>
      <c r="T189" s="91"/>
      <c r="U189" s="91"/>
      <c r="V189" s="91"/>
      <c r="W189" s="91"/>
      <c r="X189" s="91"/>
      <c r="Y189" s="91"/>
      <c r="Z189" s="91"/>
      <c r="AA189" s="91"/>
      <c r="AB189" s="91"/>
      <c r="AC189" s="91"/>
      <c r="AD189" s="91"/>
      <c r="AE189" s="91"/>
      <c r="AF189" s="91"/>
      <c r="AG189" s="91"/>
      <c r="AH189" s="91"/>
      <c r="AI189" s="91"/>
      <c r="AJ189" s="91"/>
      <c r="AK189" s="91"/>
      <c r="AL189" s="91"/>
      <c r="AM189" s="91"/>
    </row>
    <row r="190" spans="1:39" ht="20.25" hidden="1" customHeight="1">
      <c r="A190" s="91"/>
      <c r="B190" s="93" t="s">
        <v>637</v>
      </c>
      <c r="C190" s="91" t="s">
        <v>36</v>
      </c>
      <c r="D190" s="94" t="s">
        <v>694</v>
      </c>
      <c r="E190" s="94" t="s">
        <v>695</v>
      </c>
      <c r="F190" s="95" t="s">
        <v>696</v>
      </c>
      <c r="G190" s="96">
        <v>35869</v>
      </c>
      <c r="H190" s="97">
        <v>20186</v>
      </c>
      <c r="I190" s="94" t="s">
        <v>697</v>
      </c>
      <c r="J190" s="94" t="s">
        <v>58</v>
      </c>
      <c r="K190" s="95">
        <v>995109109</v>
      </c>
      <c r="L190" s="91" t="s">
        <v>54</v>
      </c>
      <c r="M190" s="98">
        <f ca="1">(TODAY()-H190)/365</f>
        <v>70.728767123287668</v>
      </c>
      <c r="N190" s="99">
        <f>(G190-H190)/365</f>
        <v>42.967123287671235</v>
      </c>
      <c r="O190" s="98">
        <f ca="1">(TODAY()-G190)/365</f>
        <v>27.761643835616439</v>
      </c>
      <c r="P190" s="91" t="s">
        <v>43</v>
      </c>
      <c r="Q190" s="91">
        <v>0</v>
      </c>
      <c r="R190" s="91">
        <v>0</v>
      </c>
      <c r="S190" s="91">
        <v>0</v>
      </c>
      <c r="T190" s="91"/>
      <c r="U190" s="91"/>
      <c r="V190" s="91"/>
      <c r="W190" s="91"/>
      <c r="X190" s="91"/>
      <c r="Y190" s="91"/>
      <c r="Z190" s="91"/>
      <c r="AA190" s="91"/>
      <c r="AB190" s="91"/>
      <c r="AC190" s="91"/>
      <c r="AD190" s="91"/>
      <c r="AE190" s="91"/>
      <c r="AF190" s="91"/>
      <c r="AG190" s="91"/>
      <c r="AH190" s="91"/>
      <c r="AI190" s="91"/>
      <c r="AJ190" s="91"/>
      <c r="AK190" s="91"/>
      <c r="AL190" s="91"/>
      <c r="AM190" s="91"/>
    </row>
    <row r="191" spans="1:39" ht="20.25" hidden="1" customHeight="1">
      <c r="A191" s="91"/>
      <c r="B191" s="93" t="s">
        <v>637</v>
      </c>
      <c r="C191" s="91" t="s">
        <v>36</v>
      </c>
      <c r="D191" s="94" t="s">
        <v>698</v>
      </c>
      <c r="E191" s="94" t="s">
        <v>699</v>
      </c>
      <c r="F191" s="95" t="s">
        <v>700</v>
      </c>
      <c r="G191" s="96">
        <v>43682</v>
      </c>
      <c r="H191" s="97">
        <v>27785</v>
      </c>
      <c r="I191" s="94" t="s">
        <v>701</v>
      </c>
      <c r="J191" s="94" t="s">
        <v>58</v>
      </c>
      <c r="K191" s="95">
        <v>98533133</v>
      </c>
      <c r="L191" s="91" t="s">
        <v>60</v>
      </c>
      <c r="M191" s="98">
        <f ca="1">(TODAY()-H191)/365</f>
        <v>49.909589041095892</v>
      </c>
      <c r="N191" s="99">
        <f>(G191-H191)/365</f>
        <v>43.553424657534244</v>
      </c>
      <c r="O191" s="98">
        <f ca="1">(TODAY()-G191)/365</f>
        <v>6.3561643835616435</v>
      </c>
      <c r="P191" s="91" t="s">
        <v>43</v>
      </c>
      <c r="Q191" s="91">
        <v>0</v>
      </c>
      <c r="R191" s="91">
        <v>0</v>
      </c>
      <c r="S191" s="91">
        <v>0</v>
      </c>
      <c r="T191" s="91"/>
      <c r="U191" s="91"/>
      <c r="V191" s="91"/>
      <c r="W191" s="91"/>
      <c r="X191" s="91"/>
      <c r="Y191" s="91"/>
      <c r="Z191" s="91"/>
      <c r="AA191" s="91"/>
      <c r="AB191" s="91"/>
      <c r="AC191" s="91"/>
      <c r="AD191" s="91"/>
      <c r="AE191" s="91"/>
      <c r="AF191" s="91"/>
      <c r="AG191" s="91"/>
      <c r="AH191" s="91"/>
      <c r="AI191" s="91"/>
      <c r="AJ191" s="91"/>
      <c r="AK191" s="91"/>
      <c r="AL191" s="91"/>
      <c r="AM191" s="91"/>
    </row>
    <row r="192" spans="1:39" ht="20.25" hidden="1" customHeight="1">
      <c r="A192" s="91"/>
      <c r="B192" s="93" t="s">
        <v>637</v>
      </c>
      <c r="C192" s="91" t="s">
        <v>36</v>
      </c>
      <c r="D192" s="94" t="s">
        <v>692</v>
      </c>
      <c r="E192" s="94" t="s">
        <v>702</v>
      </c>
      <c r="F192" s="95" t="s">
        <v>703</v>
      </c>
      <c r="G192" s="96">
        <v>43682</v>
      </c>
      <c r="H192" s="97">
        <v>24958</v>
      </c>
      <c r="I192" s="94" t="s">
        <v>704</v>
      </c>
      <c r="J192" s="94" t="s">
        <v>58</v>
      </c>
      <c r="K192" s="95">
        <v>968118399</v>
      </c>
      <c r="L192" s="91" t="s">
        <v>167</v>
      </c>
      <c r="M192" s="98">
        <f ca="1">(TODAY()-H192)/365</f>
        <v>57.654794520547945</v>
      </c>
      <c r="N192" s="99">
        <f>(G192-H192)/365</f>
        <v>51.298630136986304</v>
      </c>
      <c r="O192" s="98">
        <f ca="1">(TODAY()-G192)/365</f>
        <v>6.3561643835616435</v>
      </c>
      <c r="P192" s="91" t="s">
        <v>272</v>
      </c>
      <c r="Q192" s="91">
        <v>0</v>
      </c>
      <c r="R192" s="91">
        <v>0</v>
      </c>
      <c r="S192" s="91">
        <v>0</v>
      </c>
      <c r="T192" s="91"/>
      <c r="U192" s="91"/>
      <c r="V192" s="91"/>
      <c r="W192" s="91"/>
      <c r="X192" s="91"/>
      <c r="Y192" s="91"/>
      <c r="Z192" s="91"/>
      <c r="AA192" s="91"/>
      <c r="AB192" s="91"/>
      <c r="AC192" s="91"/>
      <c r="AD192" s="91"/>
      <c r="AE192" s="91"/>
      <c r="AF192" s="91"/>
      <c r="AG192" s="91"/>
      <c r="AH192" s="91"/>
      <c r="AI192" s="91"/>
      <c r="AJ192" s="91"/>
      <c r="AK192" s="91"/>
      <c r="AL192" s="91"/>
      <c r="AM192" s="91"/>
    </row>
    <row r="193" spans="1:39" ht="20.25" hidden="1" customHeight="1">
      <c r="A193" s="91"/>
      <c r="B193" s="93" t="s">
        <v>637</v>
      </c>
      <c r="C193" s="91" t="s">
        <v>36</v>
      </c>
      <c r="D193" s="94" t="s">
        <v>705</v>
      </c>
      <c r="E193" s="94" t="s">
        <v>706</v>
      </c>
      <c r="F193" s="95" t="s">
        <v>707</v>
      </c>
      <c r="G193" s="96">
        <v>45383</v>
      </c>
      <c r="H193" s="97">
        <v>25993</v>
      </c>
      <c r="I193" s="94" t="s">
        <v>708</v>
      </c>
      <c r="J193" s="94" t="s">
        <v>58</v>
      </c>
      <c r="K193" s="95">
        <v>962609941</v>
      </c>
      <c r="L193" s="91" t="s">
        <v>121</v>
      </c>
      <c r="M193" s="98">
        <f ca="1">(TODAY()-H193)/365</f>
        <v>54.819178082191783</v>
      </c>
      <c r="N193" s="99">
        <f>(G193-H193)/365</f>
        <v>53.123287671232873</v>
      </c>
      <c r="O193" s="98">
        <f ca="1">(TODAY()-G193)/365</f>
        <v>1.6958904109589041</v>
      </c>
      <c r="P193" s="91" t="s">
        <v>272</v>
      </c>
      <c r="Q193" s="91">
        <v>0</v>
      </c>
      <c r="R193" s="91">
        <v>0</v>
      </c>
      <c r="S193" s="91">
        <v>0</v>
      </c>
      <c r="T193" s="91"/>
      <c r="U193" s="91"/>
      <c r="V193" s="91"/>
      <c r="W193" s="91"/>
      <c r="X193" s="91"/>
      <c r="Y193" s="91"/>
      <c r="Z193" s="91"/>
      <c r="AA193" s="91"/>
      <c r="AB193" s="91"/>
      <c r="AC193" s="91"/>
      <c r="AD193" s="91"/>
      <c r="AE193" s="91"/>
      <c r="AF193" s="91"/>
      <c r="AG193" s="91"/>
      <c r="AH193" s="91"/>
      <c r="AI193" s="91"/>
      <c r="AJ193" s="91"/>
      <c r="AK193" s="91"/>
      <c r="AL193" s="91"/>
      <c r="AM193" s="91"/>
    </row>
    <row r="194" spans="1:39" ht="20.25" hidden="1" customHeight="1">
      <c r="A194" s="91"/>
      <c r="B194" s="93" t="s">
        <v>637</v>
      </c>
      <c r="C194" s="91" t="s">
        <v>36</v>
      </c>
      <c r="D194" s="94" t="s">
        <v>416</v>
      </c>
      <c r="E194" s="94" t="s">
        <v>709</v>
      </c>
      <c r="F194" s="95" t="s">
        <v>710</v>
      </c>
      <c r="G194" s="96">
        <v>40671</v>
      </c>
      <c r="H194" s="97">
        <v>20610</v>
      </c>
      <c r="I194" s="94" t="s">
        <v>711</v>
      </c>
      <c r="J194" s="94" t="s">
        <v>58</v>
      </c>
      <c r="K194" s="95">
        <v>966425947</v>
      </c>
      <c r="L194" s="91" t="s">
        <v>60</v>
      </c>
      <c r="M194" s="98">
        <f ca="1">(TODAY()-H194)/365</f>
        <v>69.567123287671237</v>
      </c>
      <c r="N194" s="99">
        <f>(G194-H194)/365</f>
        <v>54.961643835616435</v>
      </c>
      <c r="O194" s="98">
        <f ca="1">(TODAY()-G194)/365</f>
        <v>14.605479452054794</v>
      </c>
      <c r="P194" s="91" t="s">
        <v>43</v>
      </c>
      <c r="Q194" s="91">
        <v>0</v>
      </c>
      <c r="R194" s="91">
        <v>0</v>
      </c>
      <c r="S194" s="91">
        <v>0</v>
      </c>
      <c r="T194" s="91"/>
      <c r="U194" s="91"/>
      <c r="V194" s="91"/>
      <c r="W194" s="91"/>
      <c r="X194" s="91"/>
      <c r="Y194" s="91"/>
      <c r="Z194" s="91"/>
      <c r="AA194" s="91"/>
      <c r="AB194" s="91"/>
      <c r="AC194" s="91"/>
      <c r="AD194" s="91"/>
      <c r="AE194" s="91"/>
      <c r="AF194" s="91"/>
      <c r="AG194" s="91"/>
      <c r="AH194" s="91"/>
      <c r="AI194" s="91"/>
      <c r="AJ194" s="91"/>
      <c r="AK194" s="91"/>
      <c r="AL194" s="91"/>
      <c r="AM194" s="91"/>
    </row>
    <row r="195" spans="1:39" ht="20.25" hidden="1" customHeight="1">
      <c r="A195" s="91"/>
      <c r="B195" s="93" t="s">
        <v>637</v>
      </c>
      <c r="C195" s="91" t="s">
        <v>36</v>
      </c>
      <c r="D195" s="94" t="s">
        <v>712</v>
      </c>
      <c r="E195" s="94" t="s">
        <v>713</v>
      </c>
      <c r="F195" s="95" t="s">
        <v>714</v>
      </c>
      <c r="G195" s="96">
        <v>40401</v>
      </c>
      <c r="H195" s="97">
        <v>19884</v>
      </c>
      <c r="I195" s="94" t="s">
        <v>715</v>
      </c>
      <c r="J195" s="94" t="s">
        <v>58</v>
      </c>
      <c r="K195" s="95">
        <v>522317152</v>
      </c>
      <c r="L195" s="91" t="s">
        <v>197</v>
      </c>
      <c r="M195" s="98">
        <f ca="1">(TODAY()-H195)/365</f>
        <v>71.556164383561651</v>
      </c>
      <c r="N195" s="99">
        <f>(G195-H195)/365</f>
        <v>56.210958904109589</v>
      </c>
      <c r="O195" s="98">
        <f ca="1">(TODAY()-G195)/365</f>
        <v>15.345205479452055</v>
      </c>
      <c r="P195" s="91" t="s">
        <v>43</v>
      </c>
      <c r="Q195" s="91">
        <v>0</v>
      </c>
      <c r="R195" s="91">
        <v>0</v>
      </c>
      <c r="S195" s="91">
        <v>0</v>
      </c>
      <c r="T195" s="91"/>
      <c r="U195" s="91"/>
      <c r="V195" s="91"/>
      <c r="W195" s="91"/>
      <c r="X195" s="91"/>
      <c r="Y195" s="91"/>
      <c r="Z195" s="91"/>
      <c r="AA195" s="91"/>
      <c r="AB195" s="91"/>
      <c r="AC195" s="91"/>
      <c r="AD195" s="91"/>
      <c r="AE195" s="91"/>
      <c r="AF195" s="91"/>
      <c r="AG195" s="91"/>
      <c r="AH195" s="91"/>
      <c r="AI195" s="91"/>
      <c r="AJ195" s="91"/>
      <c r="AK195" s="91"/>
      <c r="AL195" s="91"/>
      <c r="AM195" s="91"/>
    </row>
    <row r="196" spans="1:39" ht="20.25" hidden="1" customHeight="1">
      <c r="A196" s="91"/>
      <c r="B196" s="93" t="s">
        <v>637</v>
      </c>
      <c r="C196" s="91" t="s">
        <v>36</v>
      </c>
      <c r="D196" s="94" t="s">
        <v>716</v>
      </c>
      <c r="E196" s="94" t="s">
        <v>717</v>
      </c>
      <c r="F196" s="95" t="s">
        <v>718</v>
      </c>
      <c r="G196" s="96">
        <v>43796</v>
      </c>
      <c r="H196" s="97">
        <v>21706</v>
      </c>
      <c r="I196" s="94" t="s">
        <v>719</v>
      </c>
      <c r="J196" s="94" t="s">
        <v>58</v>
      </c>
      <c r="K196" s="95">
        <v>990583517</v>
      </c>
      <c r="L196" s="91" t="s">
        <v>60</v>
      </c>
      <c r="M196" s="98">
        <f ca="1">(TODAY()-H196)/365</f>
        <v>66.564383561643837</v>
      </c>
      <c r="N196" s="99">
        <f>(G196-H196)/365</f>
        <v>60.520547945205479</v>
      </c>
      <c r="O196" s="98">
        <f ca="1">(TODAY()-G196)/365</f>
        <v>6.043835616438356</v>
      </c>
      <c r="P196" s="91" t="s">
        <v>43</v>
      </c>
      <c r="Q196" s="91">
        <v>0</v>
      </c>
      <c r="R196" s="91">
        <v>0</v>
      </c>
      <c r="S196" s="91">
        <v>0</v>
      </c>
      <c r="T196" s="91"/>
      <c r="U196" s="91"/>
      <c r="V196" s="91"/>
      <c r="W196" s="91"/>
      <c r="X196" s="91"/>
      <c r="Y196" s="91"/>
      <c r="Z196" s="91"/>
      <c r="AA196" s="91"/>
      <c r="AB196" s="91"/>
      <c r="AC196" s="91"/>
      <c r="AD196" s="91"/>
      <c r="AE196" s="91"/>
      <c r="AF196" s="91"/>
      <c r="AG196" s="91"/>
      <c r="AH196" s="91"/>
      <c r="AI196" s="91"/>
      <c r="AJ196" s="91"/>
      <c r="AK196" s="91"/>
      <c r="AL196" s="91"/>
      <c r="AM196" s="91"/>
    </row>
    <row r="197" spans="1:39" ht="20.25" hidden="1" customHeight="1">
      <c r="A197" s="91"/>
      <c r="B197" s="93" t="s">
        <v>637</v>
      </c>
      <c r="C197" s="91" t="s">
        <v>36</v>
      </c>
      <c r="D197" s="94" t="s">
        <v>320</v>
      </c>
      <c r="E197" s="94" t="s">
        <v>720</v>
      </c>
      <c r="F197" s="95" t="s">
        <v>721</v>
      </c>
      <c r="G197" s="96">
        <v>41009</v>
      </c>
      <c r="H197" s="97">
        <v>15169</v>
      </c>
      <c r="I197" s="94" t="s">
        <v>58</v>
      </c>
      <c r="J197" s="94" t="s">
        <v>58</v>
      </c>
      <c r="K197" s="95">
        <v>9458285775</v>
      </c>
      <c r="L197" s="91" t="s">
        <v>60</v>
      </c>
      <c r="M197" s="98">
        <f ca="1">(TODAY()-H197)/365</f>
        <v>84.473972602739721</v>
      </c>
      <c r="N197" s="99">
        <f>(G197-H197)/365</f>
        <v>70.794520547945211</v>
      </c>
      <c r="O197" s="98">
        <f ca="1">(TODAY()-G197)/365</f>
        <v>13.67945205479452</v>
      </c>
      <c r="P197" s="91" t="s">
        <v>272</v>
      </c>
      <c r="Q197" s="91">
        <v>0</v>
      </c>
      <c r="R197" s="91">
        <v>0</v>
      </c>
      <c r="S197" s="91">
        <v>0</v>
      </c>
      <c r="T197" s="91"/>
      <c r="U197" s="91"/>
      <c r="V197" s="91"/>
      <c r="W197" s="91"/>
      <c r="X197" s="91"/>
      <c r="Y197" s="91"/>
      <c r="Z197" s="91"/>
      <c r="AA197" s="91"/>
      <c r="AB197" s="91"/>
      <c r="AC197" s="91"/>
      <c r="AD197" s="91"/>
      <c r="AE197" s="91"/>
      <c r="AF197" s="91"/>
      <c r="AG197" s="91"/>
      <c r="AH197" s="91"/>
      <c r="AI197" s="91"/>
      <c r="AJ197" s="91"/>
      <c r="AK197" s="91"/>
      <c r="AL197" s="91"/>
      <c r="AM197" s="91"/>
    </row>
    <row r="198" spans="1:39" ht="20.25" hidden="1" customHeight="1">
      <c r="A198" s="91"/>
      <c r="B198" s="93" t="s">
        <v>637</v>
      </c>
      <c r="C198" s="91" t="s">
        <v>36</v>
      </c>
      <c r="D198" s="94" t="s">
        <v>416</v>
      </c>
      <c r="E198" s="94" t="s">
        <v>722</v>
      </c>
      <c r="F198" s="95" t="s">
        <v>723</v>
      </c>
      <c r="G198" s="96">
        <v>41794</v>
      </c>
      <c r="H198" s="97">
        <v>15712</v>
      </c>
      <c r="I198" s="94" t="s">
        <v>58</v>
      </c>
      <c r="J198" s="94" t="s">
        <v>58</v>
      </c>
      <c r="K198" s="95">
        <v>96248243</v>
      </c>
      <c r="L198" s="91" t="s">
        <v>60</v>
      </c>
      <c r="M198" s="98">
        <f ca="1">(TODAY()-H198)/365</f>
        <v>82.986301369863014</v>
      </c>
      <c r="N198" s="99">
        <f>(G198-H198)/365</f>
        <v>71.457534246575349</v>
      </c>
      <c r="O198" s="98">
        <f ca="1">(TODAY()-G198)/365</f>
        <v>11.528767123287672</v>
      </c>
      <c r="P198" s="91" t="s">
        <v>43</v>
      </c>
      <c r="Q198" s="91">
        <v>0</v>
      </c>
      <c r="R198" s="91">
        <v>0</v>
      </c>
      <c r="S198" s="91">
        <v>0</v>
      </c>
      <c r="T198" s="91"/>
      <c r="U198" s="91"/>
      <c r="V198" s="91"/>
      <c r="W198" s="91"/>
      <c r="X198" s="91"/>
      <c r="Y198" s="91"/>
      <c r="Z198" s="91"/>
      <c r="AA198" s="91"/>
      <c r="AB198" s="91"/>
      <c r="AC198" s="91"/>
      <c r="AD198" s="91"/>
      <c r="AE198" s="91"/>
      <c r="AF198" s="91"/>
      <c r="AG198" s="91"/>
      <c r="AH198" s="91"/>
      <c r="AI198" s="91"/>
      <c r="AJ198" s="91"/>
      <c r="AK198" s="91"/>
      <c r="AL198" s="91"/>
      <c r="AM198" s="91"/>
    </row>
    <row r="199" spans="1:39" ht="20.25" hidden="1" customHeight="1">
      <c r="A199" s="91"/>
      <c r="B199" s="93" t="s">
        <v>637</v>
      </c>
      <c r="C199" s="91" t="s">
        <v>36</v>
      </c>
      <c r="D199" s="94" t="s">
        <v>724</v>
      </c>
      <c r="E199" s="94" t="s">
        <v>725</v>
      </c>
      <c r="F199" s="95" t="s">
        <v>726</v>
      </c>
      <c r="G199" s="96">
        <v>42406</v>
      </c>
      <c r="H199" s="97">
        <v>16142</v>
      </c>
      <c r="I199" s="94" t="s">
        <v>727</v>
      </c>
      <c r="J199" s="94" t="s">
        <v>58</v>
      </c>
      <c r="K199" s="95">
        <v>934662975</v>
      </c>
      <c r="L199" s="91" t="s">
        <v>60</v>
      </c>
      <c r="M199" s="98">
        <f ca="1">(TODAY()-H199)/365</f>
        <v>81.808219178082197</v>
      </c>
      <c r="N199" s="99">
        <f>(G199-H199)/365</f>
        <v>71.956164383561642</v>
      </c>
      <c r="O199" s="98">
        <f ca="1">(TODAY()-G199)/365</f>
        <v>9.8520547945205479</v>
      </c>
      <c r="P199" s="91" t="s">
        <v>43</v>
      </c>
      <c r="Q199" s="91">
        <v>0</v>
      </c>
      <c r="R199" s="91">
        <v>0</v>
      </c>
      <c r="S199" s="91">
        <v>0</v>
      </c>
      <c r="T199" s="91"/>
      <c r="U199" s="91"/>
      <c r="V199" s="91"/>
      <c r="W199" s="91"/>
      <c r="X199" s="91"/>
      <c r="Y199" s="91"/>
      <c r="Z199" s="91"/>
      <c r="AA199" s="91"/>
      <c r="AB199" s="91"/>
      <c r="AC199" s="91"/>
      <c r="AD199" s="91"/>
      <c r="AE199" s="91"/>
      <c r="AF199" s="91"/>
      <c r="AG199" s="91"/>
      <c r="AH199" s="91"/>
      <c r="AI199" s="91"/>
      <c r="AJ199" s="91"/>
      <c r="AK199" s="91"/>
      <c r="AL199" s="91"/>
      <c r="AM199" s="91"/>
    </row>
    <row r="200" spans="1:39" ht="20.25" hidden="1" customHeight="1">
      <c r="A200" s="91"/>
      <c r="B200" s="93" t="s">
        <v>637</v>
      </c>
      <c r="C200" s="91" t="s">
        <v>36</v>
      </c>
      <c r="D200" s="94" t="s">
        <v>728</v>
      </c>
      <c r="E200" s="94" t="s">
        <v>729</v>
      </c>
      <c r="F200" s="95" t="s">
        <v>730</v>
      </c>
      <c r="G200" s="96" t="s">
        <v>58</v>
      </c>
      <c r="H200" s="97">
        <v>25955</v>
      </c>
      <c r="I200" s="94" t="s">
        <v>731</v>
      </c>
      <c r="J200" s="94" t="s">
        <v>58</v>
      </c>
      <c r="K200" s="95">
        <v>985463964</v>
      </c>
      <c r="L200" s="91" t="s">
        <v>49</v>
      </c>
      <c r="M200" s="98">
        <f ca="1">(TODAY()-H200)/365</f>
        <v>54.923287671232877</v>
      </c>
      <c r="N200" s="95" t="s">
        <v>58</v>
      </c>
      <c r="O200" s="98" t="e">
        <f ca="1">(TODAY()-G200)/365</f>
        <v>#VALUE!</v>
      </c>
      <c r="P200" s="91" t="s">
        <v>43</v>
      </c>
      <c r="Q200" s="91">
        <v>1</v>
      </c>
      <c r="R200" s="91">
        <v>0</v>
      </c>
      <c r="S200" s="91">
        <v>0</v>
      </c>
      <c r="T200" s="91"/>
      <c r="U200" s="91"/>
      <c r="V200" s="91"/>
      <c r="W200" s="91"/>
      <c r="X200" s="91"/>
      <c r="Y200" s="91"/>
      <c r="Z200" s="91"/>
      <c r="AA200" s="91"/>
      <c r="AB200" s="91"/>
      <c r="AC200" s="91"/>
      <c r="AD200" s="91"/>
      <c r="AE200" s="91"/>
      <c r="AF200" s="91"/>
      <c r="AG200" s="91"/>
      <c r="AH200" s="91"/>
      <c r="AI200" s="91"/>
      <c r="AJ200" s="91"/>
      <c r="AK200" s="91"/>
      <c r="AL200" s="91"/>
      <c r="AM200" s="91"/>
    </row>
    <row r="201" spans="1:39" ht="20.25" hidden="1" customHeight="1">
      <c r="A201" s="91"/>
      <c r="B201" s="93" t="s">
        <v>637</v>
      </c>
      <c r="C201" s="91" t="s">
        <v>36</v>
      </c>
      <c r="D201" s="94" t="s">
        <v>732</v>
      </c>
      <c r="E201" s="94" t="s">
        <v>733</v>
      </c>
      <c r="F201" s="95" t="s">
        <v>734</v>
      </c>
      <c r="G201" s="97" t="s">
        <v>58</v>
      </c>
      <c r="H201" s="97">
        <v>36167</v>
      </c>
      <c r="I201" s="94" t="s">
        <v>735</v>
      </c>
      <c r="J201" s="94" t="s">
        <v>58</v>
      </c>
      <c r="K201" s="95" t="s">
        <v>58</v>
      </c>
      <c r="L201" s="91" t="s">
        <v>60</v>
      </c>
      <c r="M201" s="98">
        <f ca="1">(TODAY()-H201)/365</f>
        <v>26.945205479452056</v>
      </c>
      <c r="N201" s="95" t="s">
        <v>58</v>
      </c>
      <c r="O201" s="98" t="e">
        <f ca="1">(TODAY()-G201)/365</f>
        <v>#VALUE!</v>
      </c>
      <c r="P201" s="91" t="s">
        <v>272</v>
      </c>
      <c r="Q201" s="91">
        <v>0</v>
      </c>
      <c r="R201" s="91">
        <v>0</v>
      </c>
      <c r="S201" s="91">
        <v>0</v>
      </c>
      <c r="T201" s="91"/>
      <c r="U201" s="91"/>
      <c r="V201" s="91"/>
      <c r="W201" s="91"/>
      <c r="X201" s="91"/>
      <c r="Y201" s="91"/>
      <c r="Z201" s="91"/>
      <c r="AA201" s="91"/>
      <c r="AB201" s="91"/>
      <c r="AC201" s="91"/>
      <c r="AD201" s="91"/>
      <c r="AE201" s="91"/>
      <c r="AF201" s="91"/>
      <c r="AG201" s="91"/>
      <c r="AH201" s="91"/>
      <c r="AI201" s="91"/>
      <c r="AJ201" s="91"/>
      <c r="AK201" s="91"/>
      <c r="AL201" s="91"/>
      <c r="AM201" s="91"/>
    </row>
    <row r="202" spans="1:39" ht="20.25" customHeight="1">
      <c r="A202" s="91"/>
      <c r="B202" s="93" t="s">
        <v>10722</v>
      </c>
      <c r="C202" s="91" t="s">
        <v>73</v>
      </c>
      <c r="D202" s="106" t="s">
        <v>10817</v>
      </c>
      <c r="E202" s="106" t="s">
        <v>10818</v>
      </c>
      <c r="F202" s="92" t="s">
        <v>10819</v>
      </c>
      <c r="G202" s="103">
        <v>45328</v>
      </c>
      <c r="H202" s="103">
        <v>27925</v>
      </c>
      <c r="I202" s="108" t="s">
        <v>12623</v>
      </c>
      <c r="J202" s="100" t="s">
        <v>58</v>
      </c>
      <c r="K202" s="95" t="s">
        <v>58</v>
      </c>
      <c r="L202" s="91"/>
      <c r="M202" s="98">
        <f ca="1">(TODAY()-H202)/365</f>
        <v>49.526027397260272</v>
      </c>
      <c r="N202" s="99">
        <f>(G202-H202)/365</f>
        <v>47.679452054794524</v>
      </c>
      <c r="O202" s="98">
        <f ca="1">(TODAY()-G202)/365</f>
        <v>1.8465753424657534</v>
      </c>
      <c r="P202" s="91" t="s">
        <v>43</v>
      </c>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row>
    <row r="203" spans="1:39" ht="20.25" hidden="1" customHeight="1">
      <c r="A203" s="91"/>
      <c r="B203" s="93" t="s">
        <v>738</v>
      </c>
      <c r="C203" s="91" t="s">
        <v>36</v>
      </c>
      <c r="D203" s="94" t="s">
        <v>739</v>
      </c>
      <c r="E203" s="94" t="s">
        <v>740</v>
      </c>
      <c r="F203" s="95" t="s">
        <v>741</v>
      </c>
      <c r="G203" s="96">
        <v>44436</v>
      </c>
      <c r="H203" s="97">
        <v>37635</v>
      </c>
      <c r="I203" s="94" t="s">
        <v>742</v>
      </c>
      <c r="J203" s="94" t="s">
        <v>743</v>
      </c>
      <c r="K203" s="95">
        <v>995007641</v>
      </c>
      <c r="L203" s="91" t="s">
        <v>60</v>
      </c>
      <c r="M203" s="98">
        <f ca="1">(TODAY()-H203)/365</f>
        <v>22.923287671232877</v>
      </c>
      <c r="N203" s="99">
        <f>(G203-H203)/365</f>
        <v>18.632876712328766</v>
      </c>
      <c r="O203" s="98">
        <f ca="1">(TODAY()-G203)/365</f>
        <v>4.2904109589041095</v>
      </c>
      <c r="P203" s="91" t="s">
        <v>272</v>
      </c>
      <c r="Q203" s="91">
        <v>0</v>
      </c>
      <c r="R203" s="91">
        <v>0</v>
      </c>
      <c r="S203" s="91">
        <v>0</v>
      </c>
      <c r="T203" s="91"/>
      <c r="U203" s="91"/>
      <c r="V203" s="91"/>
      <c r="W203" s="91"/>
      <c r="X203" s="91"/>
      <c r="Y203" s="91"/>
      <c r="Z203" s="91"/>
      <c r="AA203" s="91"/>
      <c r="AB203" s="91"/>
      <c r="AC203" s="91"/>
      <c r="AD203" s="91"/>
      <c r="AE203" s="91"/>
      <c r="AF203" s="91"/>
      <c r="AG203" s="91"/>
      <c r="AH203" s="91"/>
      <c r="AI203" s="91"/>
      <c r="AJ203" s="91"/>
      <c r="AK203" s="91"/>
      <c r="AL203" s="91"/>
      <c r="AM203" s="91"/>
    </row>
    <row r="204" spans="1:39" ht="20.25" hidden="1" customHeight="1">
      <c r="A204" s="91"/>
      <c r="B204" s="93" t="s">
        <v>738</v>
      </c>
      <c r="C204" s="91" t="s">
        <v>36</v>
      </c>
      <c r="D204" s="94" t="s">
        <v>744</v>
      </c>
      <c r="E204" s="94" t="s">
        <v>745</v>
      </c>
      <c r="F204" s="95" t="s">
        <v>746</v>
      </c>
      <c r="G204" s="96">
        <v>44393</v>
      </c>
      <c r="H204" s="97">
        <v>37569</v>
      </c>
      <c r="I204" s="94" t="s">
        <v>747</v>
      </c>
      <c r="J204" s="94" t="s">
        <v>748</v>
      </c>
      <c r="K204" s="95">
        <v>947370182</v>
      </c>
      <c r="L204" s="91" t="s">
        <v>60</v>
      </c>
      <c r="M204" s="98">
        <f ca="1">(TODAY()-H204)/365</f>
        <v>23.104109589041094</v>
      </c>
      <c r="N204" s="99">
        <f>(G204-H204)/365</f>
        <v>18.695890410958903</v>
      </c>
      <c r="O204" s="98">
        <f ca="1">(TODAY()-G204)/365</f>
        <v>4.4082191780821915</v>
      </c>
      <c r="P204" s="91" t="s">
        <v>43</v>
      </c>
      <c r="Q204" s="91">
        <v>0</v>
      </c>
      <c r="R204" s="91">
        <v>0</v>
      </c>
      <c r="S204" s="91">
        <v>0</v>
      </c>
      <c r="T204" s="91"/>
      <c r="U204" s="91"/>
      <c r="V204" s="91"/>
      <c r="W204" s="91"/>
      <c r="X204" s="91"/>
      <c r="Y204" s="91"/>
      <c r="Z204" s="91"/>
      <c r="AA204" s="91"/>
      <c r="AB204" s="91"/>
      <c r="AC204" s="91"/>
      <c r="AD204" s="91"/>
      <c r="AE204" s="91"/>
      <c r="AF204" s="91"/>
      <c r="AG204" s="91"/>
      <c r="AH204" s="91"/>
      <c r="AI204" s="91"/>
      <c r="AJ204" s="91"/>
      <c r="AK204" s="91"/>
      <c r="AL204" s="91"/>
      <c r="AM204" s="91"/>
    </row>
    <row r="205" spans="1:39" ht="20.25" hidden="1" customHeight="1">
      <c r="A205" s="91"/>
      <c r="B205" s="93" t="s">
        <v>738</v>
      </c>
      <c r="C205" s="91" t="s">
        <v>36</v>
      </c>
      <c r="D205" s="94" t="s">
        <v>749</v>
      </c>
      <c r="E205" s="94" t="s">
        <v>750</v>
      </c>
      <c r="F205" s="95" t="s">
        <v>751</v>
      </c>
      <c r="G205" s="96">
        <v>45470</v>
      </c>
      <c r="H205" s="97">
        <v>38522</v>
      </c>
      <c r="I205" s="94" t="s">
        <v>752</v>
      </c>
      <c r="J205" s="94" t="s">
        <v>753</v>
      </c>
      <c r="K205" s="95">
        <v>943490612</v>
      </c>
      <c r="L205" s="91" t="s">
        <v>60</v>
      </c>
      <c r="M205" s="98">
        <f ca="1">(TODAY()-H205)/365</f>
        <v>20.493150684931507</v>
      </c>
      <c r="N205" s="99">
        <f>(G205-H205)/365</f>
        <v>19.035616438356165</v>
      </c>
      <c r="O205" s="98">
        <f ca="1">(TODAY()-G205)/365</f>
        <v>1.4575342465753425</v>
      </c>
      <c r="P205" s="91" t="s">
        <v>272</v>
      </c>
      <c r="Q205" s="91">
        <v>0</v>
      </c>
      <c r="R205" s="91">
        <v>0</v>
      </c>
      <c r="S205" s="91">
        <v>0</v>
      </c>
      <c r="T205" s="91"/>
      <c r="U205" s="91"/>
      <c r="V205" s="91"/>
      <c r="W205" s="91"/>
      <c r="X205" s="91"/>
      <c r="Y205" s="91"/>
      <c r="Z205" s="91"/>
      <c r="AA205" s="91"/>
      <c r="AB205" s="91"/>
      <c r="AC205" s="91"/>
      <c r="AD205" s="91"/>
      <c r="AE205" s="91"/>
      <c r="AF205" s="91"/>
      <c r="AG205" s="91"/>
      <c r="AH205" s="91"/>
      <c r="AI205" s="91"/>
      <c r="AJ205" s="91"/>
      <c r="AK205" s="91"/>
      <c r="AL205" s="91"/>
      <c r="AM205" s="91"/>
    </row>
    <row r="206" spans="1:39" ht="20.25" hidden="1" customHeight="1">
      <c r="A206" s="91"/>
      <c r="B206" s="93" t="s">
        <v>738</v>
      </c>
      <c r="C206" s="91" t="s">
        <v>36</v>
      </c>
      <c r="D206" s="94" t="s">
        <v>754</v>
      </c>
      <c r="E206" s="94" t="s">
        <v>755</v>
      </c>
      <c r="F206" s="95" t="s">
        <v>756</v>
      </c>
      <c r="G206" s="96">
        <v>39322</v>
      </c>
      <c r="H206" s="97">
        <v>29879</v>
      </c>
      <c r="I206" s="94" t="s">
        <v>757</v>
      </c>
      <c r="J206" s="94" t="s">
        <v>758</v>
      </c>
      <c r="K206" s="95">
        <v>998932867</v>
      </c>
      <c r="L206" s="91" t="s">
        <v>197</v>
      </c>
      <c r="M206" s="98">
        <f ca="1">(TODAY()-H206)/365</f>
        <v>44.172602739726024</v>
      </c>
      <c r="N206" s="99">
        <f>(G206-H206)/365</f>
        <v>25.87123287671233</v>
      </c>
      <c r="O206" s="98">
        <f ca="1">(TODAY()-G206)/365</f>
        <v>18.301369863013697</v>
      </c>
      <c r="P206" s="91" t="s">
        <v>272</v>
      </c>
      <c r="Q206" s="91">
        <v>1</v>
      </c>
      <c r="R206" s="91">
        <v>0</v>
      </c>
      <c r="S206" s="91">
        <v>0</v>
      </c>
      <c r="T206" s="91">
        <v>2023</v>
      </c>
      <c r="U206" s="91"/>
      <c r="V206" s="91"/>
      <c r="W206" s="91"/>
      <c r="X206" s="91"/>
      <c r="Y206" s="91"/>
      <c r="Z206" s="91"/>
      <c r="AA206" s="91"/>
      <c r="AB206" s="91"/>
      <c r="AC206" s="91"/>
      <c r="AD206" s="91"/>
      <c r="AE206" s="91"/>
      <c r="AF206" s="91"/>
      <c r="AG206" s="91"/>
      <c r="AH206" s="91"/>
      <c r="AI206" s="91"/>
      <c r="AJ206" s="91"/>
      <c r="AK206" s="91"/>
      <c r="AL206" s="91"/>
      <c r="AM206" s="91"/>
    </row>
    <row r="207" spans="1:39" ht="20.25" customHeight="1">
      <c r="A207" s="91"/>
      <c r="B207" s="93" t="s">
        <v>3374</v>
      </c>
      <c r="C207" s="91" t="s">
        <v>73</v>
      </c>
      <c r="D207" s="107" t="s">
        <v>3391</v>
      </c>
      <c r="E207" s="107" t="s">
        <v>3392</v>
      </c>
      <c r="F207" s="91" t="s">
        <v>3393</v>
      </c>
      <c r="G207" s="96">
        <v>44401</v>
      </c>
      <c r="H207" s="97">
        <v>37533</v>
      </c>
      <c r="I207" s="94" t="s">
        <v>3394</v>
      </c>
      <c r="J207" s="94" t="s">
        <v>58</v>
      </c>
      <c r="K207" s="95" t="s">
        <v>58</v>
      </c>
      <c r="L207" s="91" t="s">
        <v>60</v>
      </c>
      <c r="M207" s="98">
        <f ca="1">(TODAY()-H207)/365</f>
        <v>23.202739726027396</v>
      </c>
      <c r="N207" s="99">
        <f>(G207-H207)/365</f>
        <v>18.816438356164383</v>
      </c>
      <c r="O207" s="98">
        <f ca="1">(TODAY()-G207)/365</f>
        <v>4.3863013698630136</v>
      </c>
      <c r="P207" s="91" t="s">
        <v>43</v>
      </c>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row>
    <row r="208" spans="1:39" ht="20.25" customHeight="1">
      <c r="A208" s="128"/>
      <c r="B208" s="93" t="s">
        <v>11273</v>
      </c>
      <c r="C208" s="91" t="s">
        <v>73</v>
      </c>
      <c r="D208" s="106" t="s">
        <v>11418</v>
      </c>
      <c r="E208" s="106" t="s">
        <v>11419</v>
      </c>
      <c r="F208" s="92" t="s">
        <v>11420</v>
      </c>
      <c r="G208" s="103">
        <v>44081</v>
      </c>
      <c r="H208" s="103">
        <v>38156</v>
      </c>
      <c r="I208" s="100" t="s">
        <v>11421</v>
      </c>
      <c r="J208" s="100" t="s">
        <v>58</v>
      </c>
      <c r="K208" s="95" t="s">
        <v>58</v>
      </c>
      <c r="L208" s="91"/>
      <c r="M208" s="98">
        <f ca="1">(TODAY()-H208)/365</f>
        <v>21.495890410958904</v>
      </c>
      <c r="N208" s="99">
        <f>(G208-H208)/365</f>
        <v>16.232876712328768</v>
      </c>
      <c r="O208" s="98">
        <f ca="1">(TODAY()-G208)/365</f>
        <v>5.2630136986301368</v>
      </c>
      <c r="P208" s="91" t="s">
        <v>43</v>
      </c>
      <c r="Q208" s="91">
        <v>1</v>
      </c>
      <c r="R208" s="91">
        <v>1</v>
      </c>
      <c r="S208" s="91"/>
      <c r="T208" s="91"/>
      <c r="U208" s="91"/>
      <c r="V208" s="91"/>
      <c r="W208" s="91"/>
      <c r="X208" s="91"/>
      <c r="Y208" s="91"/>
      <c r="Z208" s="91"/>
      <c r="AA208" s="91"/>
      <c r="AB208" s="91"/>
      <c r="AC208" s="91"/>
      <c r="AD208" s="91"/>
      <c r="AE208" s="91"/>
      <c r="AF208" s="91"/>
      <c r="AG208" s="91"/>
      <c r="AH208" s="91"/>
      <c r="AI208" s="91"/>
      <c r="AJ208" s="91"/>
      <c r="AK208" s="91"/>
      <c r="AL208" s="91"/>
      <c r="AM208" s="91"/>
    </row>
    <row r="209" spans="1:39" ht="20.25" hidden="1" customHeight="1">
      <c r="A209" s="91"/>
      <c r="B209" s="93" t="s">
        <v>738</v>
      </c>
      <c r="C209" s="91" t="s">
        <v>36</v>
      </c>
      <c r="D209" s="94" t="s">
        <v>766</v>
      </c>
      <c r="E209" s="94" t="s">
        <v>767</v>
      </c>
      <c r="F209" s="95" t="s">
        <v>768</v>
      </c>
      <c r="G209" s="96">
        <v>27945</v>
      </c>
      <c r="H209" s="97">
        <v>17478</v>
      </c>
      <c r="I209" s="94" t="s">
        <v>769</v>
      </c>
      <c r="J209" s="94" t="s">
        <v>770</v>
      </c>
      <c r="K209" s="95">
        <v>991339258</v>
      </c>
      <c r="L209" s="91" t="s">
        <v>54</v>
      </c>
      <c r="M209" s="98">
        <f ca="1">(TODAY()-H209)/365</f>
        <v>78.147945205479445</v>
      </c>
      <c r="N209" s="99">
        <f>(G209-H209)/365</f>
        <v>28.676712328767124</v>
      </c>
      <c r="O209" s="98">
        <f ca="1">(TODAY()-G209)/365</f>
        <v>49.471232876712328</v>
      </c>
      <c r="P209" s="91" t="s">
        <v>43</v>
      </c>
      <c r="Q209" s="91">
        <v>0</v>
      </c>
      <c r="R209" s="91">
        <v>0</v>
      </c>
      <c r="S209" s="91">
        <v>0</v>
      </c>
      <c r="T209" s="91"/>
      <c r="U209" s="91"/>
      <c r="V209" s="91"/>
      <c r="W209" s="91"/>
      <c r="X209" s="91"/>
      <c r="Y209" s="91"/>
      <c r="Z209" s="91"/>
      <c r="AA209" s="91"/>
      <c r="AB209" s="91"/>
      <c r="AC209" s="91"/>
      <c r="AD209" s="91"/>
      <c r="AE209" s="91"/>
      <c r="AF209" s="91"/>
      <c r="AG209" s="91"/>
      <c r="AH209" s="91"/>
      <c r="AI209" s="91"/>
      <c r="AJ209" s="91"/>
      <c r="AK209" s="91"/>
      <c r="AL209" s="91"/>
      <c r="AM209" s="91"/>
    </row>
    <row r="210" spans="1:39" ht="20.25" hidden="1" customHeight="1">
      <c r="A210" s="91"/>
      <c r="B210" s="93" t="s">
        <v>738</v>
      </c>
      <c r="C210" s="91" t="s">
        <v>36</v>
      </c>
      <c r="D210" s="94" t="s">
        <v>771</v>
      </c>
      <c r="E210" s="94" t="s">
        <v>772</v>
      </c>
      <c r="F210" s="95" t="s">
        <v>773</v>
      </c>
      <c r="G210" s="96">
        <v>31645</v>
      </c>
      <c r="H210" s="97">
        <v>20644</v>
      </c>
      <c r="I210" s="94" t="s">
        <v>774</v>
      </c>
      <c r="J210" s="94" t="s">
        <v>775</v>
      </c>
      <c r="K210" s="95">
        <v>995919295</v>
      </c>
      <c r="L210" s="91" t="s">
        <v>60</v>
      </c>
      <c r="M210" s="98">
        <f ca="1">(TODAY()-H210)/365</f>
        <v>69.473972602739721</v>
      </c>
      <c r="N210" s="99">
        <f>(G210-H210)/365</f>
        <v>30.139726027397259</v>
      </c>
      <c r="O210" s="98">
        <f ca="1">(TODAY()-G210)/365</f>
        <v>39.334246575342469</v>
      </c>
      <c r="P210" s="91" t="s">
        <v>43</v>
      </c>
      <c r="Q210" s="91">
        <v>0</v>
      </c>
      <c r="R210" s="91">
        <v>0</v>
      </c>
      <c r="S210" s="91">
        <v>0</v>
      </c>
      <c r="T210" s="91"/>
      <c r="U210" s="91"/>
      <c r="V210" s="91"/>
      <c r="W210" s="91"/>
      <c r="X210" s="91"/>
      <c r="Y210" s="91"/>
      <c r="Z210" s="91"/>
      <c r="AA210" s="91"/>
      <c r="AB210" s="91"/>
      <c r="AC210" s="91"/>
      <c r="AD210" s="91"/>
      <c r="AE210" s="91"/>
      <c r="AF210" s="91"/>
      <c r="AG210" s="91"/>
      <c r="AH210" s="91"/>
      <c r="AI210" s="91"/>
      <c r="AJ210" s="91"/>
      <c r="AK210" s="91"/>
      <c r="AL210" s="91"/>
      <c r="AM210" s="91"/>
    </row>
    <row r="211" spans="1:39" ht="20.25" hidden="1" customHeight="1">
      <c r="A211" s="91"/>
      <c r="B211" s="93" t="s">
        <v>738</v>
      </c>
      <c r="C211" s="91" t="s">
        <v>36</v>
      </c>
      <c r="D211" s="94" t="s">
        <v>112</v>
      </c>
      <c r="E211" s="94" t="s">
        <v>776</v>
      </c>
      <c r="F211" s="95" t="s">
        <v>777</v>
      </c>
      <c r="G211" s="96">
        <v>31659</v>
      </c>
      <c r="H211" s="97">
        <v>20425</v>
      </c>
      <c r="I211" s="94" t="s">
        <v>778</v>
      </c>
      <c r="J211" s="94" t="s">
        <v>779</v>
      </c>
      <c r="K211" s="95">
        <v>976026562</v>
      </c>
      <c r="L211" s="91" t="s">
        <v>42</v>
      </c>
      <c r="M211" s="98">
        <f ca="1">(TODAY()-H211)/365</f>
        <v>70.07397260273973</v>
      </c>
      <c r="N211" s="99">
        <f>(G211-H211)/365</f>
        <v>30.778082191780822</v>
      </c>
      <c r="O211" s="98">
        <f ca="1">(TODAY()-G211)/365</f>
        <v>39.295890410958904</v>
      </c>
      <c r="P211" s="91" t="s">
        <v>43</v>
      </c>
      <c r="Q211" s="91">
        <v>0</v>
      </c>
      <c r="R211" s="91">
        <v>0</v>
      </c>
      <c r="S211" s="91">
        <v>0</v>
      </c>
      <c r="T211" s="91"/>
      <c r="U211" s="91"/>
      <c r="V211" s="91"/>
      <c r="W211" s="91"/>
      <c r="X211" s="91"/>
      <c r="Y211" s="91"/>
      <c r="Z211" s="91"/>
      <c r="AA211" s="91"/>
      <c r="AB211" s="91"/>
      <c r="AC211" s="91"/>
      <c r="AD211" s="91"/>
      <c r="AE211" s="91"/>
      <c r="AF211" s="91"/>
      <c r="AG211" s="91"/>
      <c r="AH211" s="91"/>
      <c r="AI211" s="91"/>
      <c r="AJ211" s="91"/>
      <c r="AK211" s="91"/>
      <c r="AL211" s="91"/>
      <c r="AM211" s="91"/>
    </row>
    <row r="212" spans="1:39" ht="20.25" customHeight="1">
      <c r="A212" s="91"/>
      <c r="B212" s="93" t="s">
        <v>3374</v>
      </c>
      <c r="C212" s="91" t="s">
        <v>73</v>
      </c>
      <c r="D212" s="107" t="s">
        <v>3466</v>
      </c>
      <c r="E212" s="107" t="s">
        <v>3467</v>
      </c>
      <c r="F212" s="91" t="s">
        <v>3468</v>
      </c>
      <c r="G212" s="96">
        <v>44808</v>
      </c>
      <c r="H212" s="97">
        <v>31549</v>
      </c>
      <c r="I212" s="100" t="s">
        <v>3469</v>
      </c>
      <c r="J212" s="94" t="s">
        <v>58</v>
      </c>
      <c r="K212" s="95" t="s">
        <v>58</v>
      </c>
      <c r="L212" s="91" t="s">
        <v>60</v>
      </c>
      <c r="M212" s="98">
        <f ca="1">(TODAY()-H212)/365</f>
        <v>39.597260273972601</v>
      </c>
      <c r="N212" s="99">
        <f>(G212-H212)/365</f>
        <v>36.326027397260276</v>
      </c>
      <c r="O212" s="98">
        <f ca="1">(TODAY()-G212)/365</f>
        <v>3.2712328767123289</v>
      </c>
      <c r="P212" s="91" t="s">
        <v>43</v>
      </c>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row>
    <row r="213" spans="1:39" ht="20.25" hidden="1" customHeight="1">
      <c r="A213" s="91"/>
      <c r="B213" s="93" t="s">
        <v>738</v>
      </c>
      <c r="C213" s="91" t="s">
        <v>36</v>
      </c>
      <c r="D213" s="94" t="s">
        <v>783</v>
      </c>
      <c r="E213" s="94" t="s">
        <v>784</v>
      </c>
      <c r="F213" s="95" t="s">
        <v>785</v>
      </c>
      <c r="G213" s="96">
        <v>40530</v>
      </c>
      <c r="H213" s="97">
        <v>28446</v>
      </c>
      <c r="I213" s="94" t="s">
        <v>786</v>
      </c>
      <c r="J213" s="94" t="s">
        <v>787</v>
      </c>
      <c r="K213" s="95">
        <v>930807403</v>
      </c>
      <c r="L213" s="91" t="s">
        <v>60</v>
      </c>
      <c r="M213" s="98">
        <f ca="1">(TODAY()-H213)/365</f>
        <v>48.098630136986301</v>
      </c>
      <c r="N213" s="99">
        <f>(G213-H213)/365</f>
        <v>33.106849315068494</v>
      </c>
      <c r="O213" s="98">
        <f ca="1">(TODAY()-G213)/365</f>
        <v>14.991780821917809</v>
      </c>
      <c r="P213" s="91" t="s">
        <v>43</v>
      </c>
      <c r="Q213" s="91">
        <v>0</v>
      </c>
      <c r="R213" s="91">
        <v>0</v>
      </c>
      <c r="S213" s="91">
        <v>0</v>
      </c>
      <c r="T213" s="91"/>
      <c r="U213" s="91"/>
      <c r="V213" s="91"/>
      <c r="W213" s="91"/>
      <c r="X213" s="91"/>
      <c r="Y213" s="91"/>
      <c r="Z213" s="91"/>
      <c r="AA213" s="91"/>
      <c r="AB213" s="91"/>
      <c r="AC213" s="91"/>
      <c r="AD213" s="91"/>
      <c r="AE213" s="91"/>
      <c r="AF213" s="91"/>
      <c r="AG213" s="91"/>
      <c r="AH213" s="91"/>
      <c r="AI213" s="91"/>
      <c r="AJ213" s="91"/>
      <c r="AK213" s="91"/>
      <c r="AL213" s="91"/>
      <c r="AM213" s="91"/>
    </row>
    <row r="214" spans="1:39" ht="20.25" hidden="1" customHeight="1">
      <c r="A214" s="91"/>
      <c r="B214" s="93" t="s">
        <v>738</v>
      </c>
      <c r="C214" s="91" t="s">
        <v>36</v>
      </c>
      <c r="D214" s="94" t="s">
        <v>788</v>
      </c>
      <c r="E214" s="94" t="s">
        <v>789</v>
      </c>
      <c r="F214" s="95" t="s">
        <v>790</v>
      </c>
      <c r="G214" s="96">
        <v>33112</v>
      </c>
      <c r="H214" s="97">
        <v>20647</v>
      </c>
      <c r="I214" s="94" t="s">
        <v>791</v>
      </c>
      <c r="J214" s="94" t="s">
        <v>792</v>
      </c>
      <c r="K214" s="95">
        <v>997149133</v>
      </c>
      <c r="L214" s="91" t="s">
        <v>60</v>
      </c>
      <c r="M214" s="98">
        <f ca="1">(TODAY()-H214)/365</f>
        <v>69.465753424657535</v>
      </c>
      <c r="N214" s="99">
        <f>(G214-H214)/365</f>
        <v>34.150684931506852</v>
      </c>
      <c r="O214" s="98">
        <f ca="1">(TODAY()-G214)/365</f>
        <v>35.315068493150683</v>
      </c>
      <c r="P214" s="91" t="s">
        <v>43</v>
      </c>
      <c r="Q214" s="91">
        <v>0</v>
      </c>
      <c r="R214" s="91">
        <v>0</v>
      </c>
      <c r="S214" s="91">
        <v>0</v>
      </c>
      <c r="T214" s="91"/>
      <c r="U214" s="91"/>
      <c r="V214" s="91"/>
      <c r="W214" s="91"/>
      <c r="X214" s="91"/>
      <c r="Y214" s="91"/>
      <c r="Z214" s="91"/>
      <c r="AA214" s="91"/>
      <c r="AB214" s="91"/>
      <c r="AC214" s="91"/>
      <c r="AD214" s="91"/>
      <c r="AE214" s="91"/>
      <c r="AF214" s="91"/>
      <c r="AG214" s="91"/>
      <c r="AH214" s="91"/>
      <c r="AI214" s="91"/>
      <c r="AJ214" s="91"/>
      <c r="AK214" s="91"/>
      <c r="AL214" s="91"/>
      <c r="AM214" s="91"/>
    </row>
    <row r="215" spans="1:39" ht="20.25" hidden="1" customHeight="1">
      <c r="A215" s="91"/>
      <c r="B215" s="93" t="s">
        <v>738</v>
      </c>
      <c r="C215" s="91" t="s">
        <v>36</v>
      </c>
      <c r="D215" s="94" t="s">
        <v>666</v>
      </c>
      <c r="E215" s="94" t="s">
        <v>793</v>
      </c>
      <c r="F215" s="95" t="s">
        <v>794</v>
      </c>
      <c r="G215" s="96">
        <v>29680</v>
      </c>
      <c r="H215" s="97">
        <v>16763</v>
      </c>
      <c r="I215" s="94" t="s">
        <v>58</v>
      </c>
      <c r="J215" s="94" t="s">
        <v>795</v>
      </c>
      <c r="K215" s="95">
        <v>982210014</v>
      </c>
      <c r="L215" s="91" t="s">
        <v>60</v>
      </c>
      <c r="M215" s="98">
        <f ca="1">(TODAY()-H215)/365</f>
        <v>80.106849315068487</v>
      </c>
      <c r="N215" s="99">
        <f>(G215-H215)/365</f>
        <v>35.389041095890413</v>
      </c>
      <c r="O215" s="98">
        <f ca="1">(TODAY()-G215)/365</f>
        <v>44.717808219178082</v>
      </c>
      <c r="P215" s="91" t="s">
        <v>43</v>
      </c>
      <c r="Q215" s="91">
        <v>0</v>
      </c>
      <c r="R215" s="91">
        <v>0</v>
      </c>
      <c r="S215" s="91">
        <v>0</v>
      </c>
      <c r="T215" s="91"/>
      <c r="U215" s="91"/>
      <c r="V215" s="91"/>
      <c r="W215" s="91"/>
      <c r="X215" s="91"/>
      <c r="Y215" s="91"/>
      <c r="Z215" s="91"/>
      <c r="AA215" s="91"/>
      <c r="AB215" s="91"/>
      <c r="AC215" s="91"/>
      <c r="AD215" s="91"/>
      <c r="AE215" s="91"/>
      <c r="AF215" s="91"/>
      <c r="AG215" s="91"/>
      <c r="AH215" s="91"/>
      <c r="AI215" s="91"/>
      <c r="AJ215" s="91"/>
      <c r="AK215" s="91"/>
      <c r="AL215" s="91"/>
      <c r="AM215" s="91"/>
    </row>
    <row r="216" spans="1:39" ht="20.25" hidden="1" customHeight="1">
      <c r="A216" s="91"/>
      <c r="B216" s="93" t="s">
        <v>738</v>
      </c>
      <c r="C216" s="91" t="s">
        <v>36</v>
      </c>
      <c r="D216" s="94" t="s">
        <v>796</v>
      </c>
      <c r="E216" s="94" t="s">
        <v>797</v>
      </c>
      <c r="F216" s="95" t="s">
        <v>798</v>
      </c>
      <c r="G216" s="96">
        <v>42951</v>
      </c>
      <c r="H216" s="97">
        <v>29739</v>
      </c>
      <c r="I216" s="94" t="s">
        <v>799</v>
      </c>
      <c r="J216" s="94" t="s">
        <v>800</v>
      </c>
      <c r="K216" s="95">
        <v>975760341</v>
      </c>
      <c r="L216" s="91" t="s">
        <v>60</v>
      </c>
      <c r="M216" s="98">
        <f ca="1">(TODAY()-H216)/365</f>
        <v>44.556164383561644</v>
      </c>
      <c r="N216" s="99">
        <f>(G216-H216)/365</f>
        <v>36.197260273972603</v>
      </c>
      <c r="O216" s="98">
        <f ca="1">(TODAY()-G216)/365</f>
        <v>8.3589041095890408</v>
      </c>
      <c r="P216" s="91" t="s">
        <v>43</v>
      </c>
      <c r="Q216" s="91">
        <v>0</v>
      </c>
      <c r="R216" s="91">
        <v>0</v>
      </c>
      <c r="S216" s="91">
        <v>0</v>
      </c>
      <c r="T216" s="91"/>
      <c r="U216" s="91"/>
      <c r="V216" s="91"/>
      <c r="W216" s="91"/>
      <c r="X216" s="91"/>
      <c r="Y216" s="91"/>
      <c r="Z216" s="91"/>
      <c r="AA216" s="91"/>
      <c r="AB216" s="91"/>
      <c r="AC216" s="91"/>
      <c r="AD216" s="91"/>
      <c r="AE216" s="91"/>
      <c r="AF216" s="91"/>
      <c r="AG216" s="91"/>
      <c r="AH216" s="91"/>
      <c r="AI216" s="91"/>
      <c r="AJ216" s="91"/>
      <c r="AK216" s="91"/>
      <c r="AL216" s="91"/>
      <c r="AM216" s="91"/>
    </row>
    <row r="217" spans="1:39" ht="20.25" hidden="1" customHeight="1">
      <c r="A217" s="91"/>
      <c r="B217" s="93" t="s">
        <v>738</v>
      </c>
      <c r="C217" s="91" t="s">
        <v>36</v>
      </c>
      <c r="D217" s="94" t="s">
        <v>675</v>
      </c>
      <c r="E217" s="94" t="s">
        <v>801</v>
      </c>
      <c r="F217" s="95" t="s">
        <v>802</v>
      </c>
      <c r="G217" s="96">
        <v>34939</v>
      </c>
      <c r="H217" s="97">
        <v>21688</v>
      </c>
      <c r="I217" s="94" t="s">
        <v>803</v>
      </c>
      <c r="J217" s="94" t="s">
        <v>804</v>
      </c>
      <c r="K217" s="95">
        <v>982404018</v>
      </c>
      <c r="L217" s="91" t="s">
        <v>60</v>
      </c>
      <c r="M217" s="98">
        <f ca="1">(TODAY()-H217)/365</f>
        <v>66.61369863013698</v>
      </c>
      <c r="N217" s="99">
        <f>(G217-H217)/365</f>
        <v>36.304109589041097</v>
      </c>
      <c r="O217" s="98">
        <f ca="1">(TODAY()-G217)/365</f>
        <v>30.30958904109589</v>
      </c>
      <c r="P217" s="91" t="s">
        <v>43</v>
      </c>
      <c r="Q217" s="91">
        <v>0</v>
      </c>
      <c r="R217" s="91">
        <v>0</v>
      </c>
      <c r="S217" s="91">
        <v>0</v>
      </c>
      <c r="T217" s="91"/>
      <c r="U217" s="91"/>
      <c r="V217" s="91"/>
      <c r="W217" s="91"/>
      <c r="X217" s="91"/>
      <c r="Y217" s="91"/>
      <c r="Z217" s="91"/>
      <c r="AA217" s="91"/>
      <c r="AB217" s="91"/>
      <c r="AC217" s="91"/>
      <c r="AD217" s="91"/>
      <c r="AE217" s="91"/>
      <c r="AF217" s="91"/>
      <c r="AG217" s="91"/>
      <c r="AH217" s="91"/>
      <c r="AI217" s="91"/>
      <c r="AJ217" s="91"/>
      <c r="AK217" s="91"/>
      <c r="AL217" s="91"/>
      <c r="AM217" s="91"/>
    </row>
    <row r="218" spans="1:39" ht="20.25" hidden="1" customHeight="1">
      <c r="A218" s="91"/>
      <c r="B218" s="93" t="s">
        <v>738</v>
      </c>
      <c r="C218" s="91" t="s">
        <v>36</v>
      </c>
      <c r="D218" s="94" t="s">
        <v>805</v>
      </c>
      <c r="E218" s="94" t="s">
        <v>806</v>
      </c>
      <c r="F218" s="95" t="s">
        <v>807</v>
      </c>
      <c r="G218" s="96">
        <v>41593</v>
      </c>
      <c r="H218" s="97">
        <v>28143</v>
      </c>
      <c r="I218" s="94" t="s">
        <v>808</v>
      </c>
      <c r="J218" s="94" t="s">
        <v>809</v>
      </c>
      <c r="K218" s="95">
        <v>950518625</v>
      </c>
      <c r="L218" s="91" t="s">
        <v>66</v>
      </c>
      <c r="M218" s="98">
        <f ca="1">(TODAY()-H218)/365</f>
        <v>48.92876712328767</v>
      </c>
      <c r="N218" s="99">
        <f>(G218-H218)/365</f>
        <v>36.849315068493148</v>
      </c>
      <c r="O218" s="98">
        <f ca="1">(TODAY()-G218)/365</f>
        <v>12.079452054794521</v>
      </c>
      <c r="P218" s="91" t="s">
        <v>43</v>
      </c>
      <c r="Q218" s="91">
        <v>0</v>
      </c>
      <c r="R218" s="91">
        <v>0</v>
      </c>
      <c r="S218" s="91">
        <v>0</v>
      </c>
      <c r="T218" s="91"/>
      <c r="U218" s="91"/>
      <c r="V218" s="91"/>
      <c r="W218" s="91"/>
      <c r="X218" s="91"/>
      <c r="Y218" s="91"/>
      <c r="Z218" s="91"/>
      <c r="AA218" s="91"/>
      <c r="AB218" s="91"/>
      <c r="AC218" s="91"/>
      <c r="AD218" s="91"/>
      <c r="AE218" s="91"/>
      <c r="AF218" s="91"/>
      <c r="AG218" s="91"/>
      <c r="AH218" s="91"/>
      <c r="AI218" s="91"/>
      <c r="AJ218" s="91"/>
      <c r="AK218" s="91"/>
      <c r="AL218" s="91"/>
      <c r="AM218" s="91"/>
    </row>
    <row r="219" spans="1:39" ht="20.25" customHeight="1">
      <c r="A219" s="91"/>
      <c r="B219" s="93" t="s">
        <v>371</v>
      </c>
      <c r="C219" s="91" t="s">
        <v>73</v>
      </c>
      <c r="D219" s="94" t="s">
        <v>447</v>
      </c>
      <c r="E219" s="94" t="s">
        <v>448</v>
      </c>
      <c r="F219" s="95" t="s">
        <v>449</v>
      </c>
      <c r="G219" s="96">
        <v>45636</v>
      </c>
      <c r="H219" s="97">
        <v>38111</v>
      </c>
      <c r="I219" s="100" t="s">
        <v>450</v>
      </c>
      <c r="J219" s="100" t="s">
        <v>58</v>
      </c>
      <c r="K219" s="91" t="s">
        <v>58</v>
      </c>
      <c r="L219" s="91" t="s">
        <v>60</v>
      </c>
      <c r="M219" s="98">
        <f ca="1">(TODAY()-H219)/365</f>
        <v>21.61917808219178</v>
      </c>
      <c r="N219" s="99">
        <f>(G219-H219)/365</f>
        <v>20.616438356164384</v>
      </c>
      <c r="O219" s="98">
        <f ca="1">(TODAY()-G219)/365</f>
        <v>1.0027397260273974</v>
      </c>
      <c r="P219" s="91" t="s">
        <v>43</v>
      </c>
      <c r="Q219" s="91">
        <v>0</v>
      </c>
      <c r="R219" s="91">
        <v>0</v>
      </c>
      <c r="S219" s="91">
        <v>0</v>
      </c>
      <c r="T219" s="91"/>
      <c r="U219" s="91"/>
      <c r="V219" s="91"/>
      <c r="W219" s="91"/>
      <c r="X219" s="91"/>
      <c r="Y219" s="91"/>
      <c r="Z219" s="91"/>
      <c r="AA219" s="91"/>
      <c r="AB219" s="91"/>
      <c r="AC219" s="91"/>
      <c r="AD219" s="91"/>
      <c r="AE219" s="91"/>
      <c r="AF219" s="91"/>
      <c r="AG219" s="91"/>
      <c r="AH219" s="91"/>
      <c r="AI219" s="91"/>
      <c r="AJ219" s="91"/>
      <c r="AK219" s="91"/>
      <c r="AL219" s="91"/>
      <c r="AM219" s="91"/>
    </row>
    <row r="220" spans="1:39" ht="20.25" hidden="1" customHeight="1">
      <c r="A220" s="91"/>
      <c r="B220" s="93" t="s">
        <v>738</v>
      </c>
      <c r="C220" s="91" t="s">
        <v>36</v>
      </c>
      <c r="D220" s="94" t="s">
        <v>813</v>
      </c>
      <c r="E220" s="94" t="s">
        <v>814</v>
      </c>
      <c r="F220" s="95" t="s">
        <v>815</v>
      </c>
      <c r="G220" s="96">
        <v>44488</v>
      </c>
      <c r="H220" s="97">
        <v>30626</v>
      </c>
      <c r="I220" s="94" t="s">
        <v>816</v>
      </c>
      <c r="J220" s="94" t="s">
        <v>817</v>
      </c>
      <c r="K220" s="95">
        <v>936238929</v>
      </c>
      <c r="L220" s="91" t="s">
        <v>60</v>
      </c>
      <c r="M220" s="98">
        <f ca="1">(TODAY()-H220)/365</f>
        <v>42.126027397260273</v>
      </c>
      <c r="N220" s="99">
        <f>(G220-H220)/365</f>
        <v>37.978082191780821</v>
      </c>
      <c r="O220" s="98">
        <f ca="1">(TODAY()-G220)/365</f>
        <v>4.1479452054794521</v>
      </c>
      <c r="P220" s="91" t="s">
        <v>272</v>
      </c>
      <c r="Q220" s="91">
        <v>0</v>
      </c>
      <c r="R220" s="91">
        <v>0</v>
      </c>
      <c r="S220" s="91">
        <v>0</v>
      </c>
      <c r="T220" s="91"/>
      <c r="U220" s="91"/>
      <c r="V220" s="91"/>
      <c r="W220" s="91"/>
      <c r="X220" s="91"/>
      <c r="Y220" s="91"/>
      <c r="Z220" s="91"/>
      <c r="AA220" s="91"/>
      <c r="AB220" s="91"/>
      <c r="AC220" s="91"/>
      <c r="AD220" s="91"/>
      <c r="AE220" s="91"/>
      <c r="AF220" s="91"/>
      <c r="AG220" s="91"/>
      <c r="AH220" s="91"/>
      <c r="AI220" s="91"/>
      <c r="AJ220" s="91"/>
      <c r="AK220" s="91"/>
      <c r="AL220" s="91"/>
      <c r="AM220" s="91"/>
    </row>
    <row r="221" spans="1:39" ht="20.25" hidden="1" customHeight="1">
      <c r="A221" s="91"/>
      <c r="B221" s="93" t="s">
        <v>738</v>
      </c>
      <c r="C221" s="91" t="s">
        <v>36</v>
      </c>
      <c r="D221" s="94" t="s">
        <v>818</v>
      </c>
      <c r="E221" s="94" t="s">
        <v>819</v>
      </c>
      <c r="F221" s="95" t="s">
        <v>820</v>
      </c>
      <c r="G221" s="96">
        <v>40528</v>
      </c>
      <c r="H221" s="97">
        <v>26214</v>
      </c>
      <c r="I221" s="94" t="s">
        <v>821</v>
      </c>
      <c r="J221" s="94" t="s">
        <v>822</v>
      </c>
      <c r="K221" s="95">
        <v>973734577</v>
      </c>
      <c r="L221" s="91" t="s">
        <v>60</v>
      </c>
      <c r="M221" s="98">
        <f ca="1">(TODAY()-H221)/365</f>
        <v>54.213698630136989</v>
      </c>
      <c r="N221" s="99">
        <f>(G221-H221)/365</f>
        <v>39.216438356164382</v>
      </c>
      <c r="O221" s="98">
        <f ca="1">(TODAY()-G221)/365</f>
        <v>14.997260273972604</v>
      </c>
      <c r="P221" s="91" t="s">
        <v>43</v>
      </c>
      <c r="Q221" s="91">
        <v>0</v>
      </c>
      <c r="R221" s="91">
        <v>0</v>
      </c>
      <c r="S221" s="91">
        <v>0</v>
      </c>
      <c r="T221" s="91"/>
      <c r="U221" s="91"/>
      <c r="V221" s="91"/>
      <c r="W221" s="91"/>
      <c r="X221" s="91"/>
      <c r="Y221" s="91"/>
      <c r="Z221" s="91"/>
      <c r="AA221" s="91"/>
      <c r="AB221" s="91"/>
      <c r="AC221" s="91"/>
      <c r="AD221" s="91"/>
      <c r="AE221" s="91"/>
      <c r="AF221" s="91"/>
      <c r="AG221" s="91"/>
      <c r="AH221" s="91"/>
      <c r="AI221" s="91"/>
      <c r="AJ221" s="91"/>
      <c r="AK221" s="91"/>
      <c r="AL221" s="91"/>
      <c r="AM221" s="91"/>
    </row>
    <row r="222" spans="1:39" ht="20.25" customHeight="1">
      <c r="A222" s="91"/>
      <c r="B222" s="93" t="s">
        <v>3610</v>
      </c>
      <c r="C222" s="91" t="s">
        <v>73</v>
      </c>
      <c r="D222" s="94" t="s">
        <v>3685</v>
      </c>
      <c r="E222" s="94" t="s">
        <v>3686</v>
      </c>
      <c r="F222" s="91" t="s">
        <v>58</v>
      </c>
      <c r="G222" s="116" t="s">
        <v>58</v>
      </c>
      <c r="H222" s="96" t="s">
        <v>58</v>
      </c>
      <c r="I222" s="100" t="s">
        <v>58</v>
      </c>
      <c r="J222" s="100" t="s">
        <v>58</v>
      </c>
      <c r="K222" s="91" t="s">
        <v>58</v>
      </c>
      <c r="L222" s="91" t="s">
        <v>60</v>
      </c>
      <c r="M222" s="98">
        <v>0</v>
      </c>
      <c r="N222" s="109"/>
      <c r="O222" s="98" t="e">
        <f ca="1">(TODAY()-G222)/365</f>
        <v>#VALUE!</v>
      </c>
      <c r="P222" s="91" t="s">
        <v>43</v>
      </c>
      <c r="Q222" s="91">
        <v>0</v>
      </c>
      <c r="R222" s="91">
        <v>0</v>
      </c>
      <c r="S222" s="91">
        <v>0</v>
      </c>
      <c r="T222" s="91"/>
      <c r="U222" s="91"/>
      <c r="V222" s="91"/>
      <c r="W222" s="91"/>
      <c r="X222" s="91"/>
      <c r="Y222" s="91"/>
      <c r="Z222" s="91"/>
      <c r="AA222" s="91"/>
      <c r="AB222" s="91"/>
      <c r="AC222" s="91"/>
      <c r="AD222" s="91"/>
      <c r="AE222" s="91"/>
      <c r="AF222" s="91"/>
      <c r="AG222" s="91"/>
      <c r="AH222" s="91"/>
      <c r="AI222" s="91"/>
      <c r="AJ222" s="91"/>
      <c r="AK222" s="91"/>
      <c r="AL222" s="91"/>
      <c r="AM222" s="91"/>
    </row>
    <row r="223" spans="1:39" ht="20.25" hidden="1" customHeight="1">
      <c r="A223" s="91"/>
      <c r="B223" s="93" t="s">
        <v>738</v>
      </c>
      <c r="C223" s="91" t="s">
        <v>36</v>
      </c>
      <c r="D223" s="94" t="s">
        <v>805</v>
      </c>
      <c r="E223" s="94" t="s">
        <v>827</v>
      </c>
      <c r="F223" s="95" t="s">
        <v>828</v>
      </c>
      <c r="G223" s="96">
        <v>37469</v>
      </c>
      <c r="H223" s="97">
        <v>20934</v>
      </c>
      <c r="I223" s="94" t="s">
        <v>829</v>
      </c>
      <c r="J223" s="94" t="s">
        <v>830</v>
      </c>
      <c r="K223" s="95">
        <v>993004231</v>
      </c>
      <c r="L223" s="91" t="s">
        <v>49</v>
      </c>
      <c r="M223" s="98">
        <f ca="1">(TODAY()-H223)/365</f>
        <v>68.679452054794524</v>
      </c>
      <c r="N223" s="99">
        <f>(G223-H223)/365</f>
        <v>45.301369863013697</v>
      </c>
      <c r="O223" s="98">
        <f ca="1">(TODAY()-G223)/365</f>
        <v>23.378082191780823</v>
      </c>
      <c r="P223" s="91" t="s">
        <v>43</v>
      </c>
      <c r="Q223" s="91">
        <v>0</v>
      </c>
      <c r="R223" s="91">
        <v>0</v>
      </c>
      <c r="S223" s="91">
        <v>0</v>
      </c>
      <c r="T223" s="91"/>
      <c r="U223" s="91"/>
      <c r="V223" s="91"/>
      <c r="W223" s="91"/>
      <c r="X223" s="91"/>
      <c r="Y223" s="91"/>
      <c r="Z223" s="91"/>
      <c r="AA223" s="91"/>
      <c r="AB223" s="91"/>
      <c r="AC223" s="91"/>
      <c r="AD223" s="91"/>
      <c r="AE223" s="91"/>
      <c r="AF223" s="91"/>
      <c r="AG223" s="91"/>
      <c r="AH223" s="91"/>
      <c r="AI223" s="91"/>
      <c r="AJ223" s="91"/>
      <c r="AK223" s="91"/>
      <c r="AL223" s="91"/>
      <c r="AM223" s="91"/>
    </row>
    <row r="224" spans="1:39" ht="20.25" hidden="1" customHeight="1">
      <c r="A224" s="91"/>
      <c r="B224" s="93" t="s">
        <v>738</v>
      </c>
      <c r="C224" s="91" t="s">
        <v>36</v>
      </c>
      <c r="D224" s="94" t="s">
        <v>666</v>
      </c>
      <c r="E224" s="94" t="s">
        <v>831</v>
      </c>
      <c r="F224" s="95" t="s">
        <v>832</v>
      </c>
      <c r="G224" s="96">
        <v>40147</v>
      </c>
      <c r="H224" s="97">
        <v>23390</v>
      </c>
      <c r="I224" s="94" t="s">
        <v>833</v>
      </c>
      <c r="J224" s="94" t="s">
        <v>834</v>
      </c>
      <c r="K224" s="95">
        <v>962215961</v>
      </c>
      <c r="L224" s="91" t="s">
        <v>60</v>
      </c>
      <c r="M224" s="98">
        <f ca="1">(TODAY()-H224)/365</f>
        <v>61.950684931506849</v>
      </c>
      <c r="N224" s="99">
        <f>(G224-H224)/365</f>
        <v>45.909589041095892</v>
      </c>
      <c r="O224" s="98">
        <f ca="1">(TODAY()-G224)/365</f>
        <v>16.041095890410958</v>
      </c>
      <c r="P224" s="91" t="s">
        <v>43</v>
      </c>
      <c r="Q224" s="91">
        <v>0</v>
      </c>
      <c r="R224" s="91">
        <v>0</v>
      </c>
      <c r="S224" s="91">
        <v>0</v>
      </c>
      <c r="T224" s="91"/>
      <c r="U224" s="91"/>
      <c r="V224" s="91"/>
      <c r="W224" s="91"/>
      <c r="X224" s="91"/>
      <c r="Y224" s="91"/>
      <c r="Z224" s="91"/>
      <c r="AA224" s="91"/>
      <c r="AB224" s="91"/>
      <c r="AC224" s="91"/>
      <c r="AD224" s="91"/>
      <c r="AE224" s="91"/>
      <c r="AF224" s="91"/>
      <c r="AG224" s="91"/>
      <c r="AH224" s="91"/>
      <c r="AI224" s="91"/>
      <c r="AJ224" s="91"/>
      <c r="AK224" s="91"/>
      <c r="AL224" s="91"/>
      <c r="AM224" s="91"/>
    </row>
    <row r="225" spans="1:39" ht="20.25" hidden="1" customHeight="1">
      <c r="A225" s="91"/>
      <c r="B225" s="93" t="s">
        <v>738</v>
      </c>
      <c r="C225" s="91" t="s">
        <v>36</v>
      </c>
      <c r="D225" s="94" t="s">
        <v>835</v>
      </c>
      <c r="E225" s="94" t="s">
        <v>836</v>
      </c>
      <c r="F225" s="95" t="s">
        <v>837</v>
      </c>
      <c r="G225" s="96">
        <v>41003</v>
      </c>
      <c r="H225" s="97">
        <v>23921</v>
      </c>
      <c r="I225" s="94" t="s">
        <v>838</v>
      </c>
      <c r="J225" s="94" t="s">
        <v>839</v>
      </c>
      <c r="K225" s="95">
        <v>995702076</v>
      </c>
      <c r="L225" s="91" t="s">
        <v>60</v>
      </c>
      <c r="M225" s="98">
        <f ca="1">(TODAY()-H225)/365</f>
        <v>60.495890410958907</v>
      </c>
      <c r="N225" s="99">
        <f>(G225-H225)/365</f>
        <v>46.8</v>
      </c>
      <c r="O225" s="98">
        <f ca="1">(TODAY()-G225)/365</f>
        <v>13.695890410958905</v>
      </c>
      <c r="P225" s="91" t="s">
        <v>43</v>
      </c>
      <c r="Q225" s="91">
        <v>0</v>
      </c>
      <c r="R225" s="91">
        <v>0</v>
      </c>
      <c r="S225" s="91">
        <v>0</v>
      </c>
      <c r="T225" s="91"/>
      <c r="U225" s="91"/>
      <c r="V225" s="91"/>
      <c r="W225" s="91"/>
      <c r="X225" s="91"/>
      <c r="Y225" s="91"/>
      <c r="Z225" s="91"/>
      <c r="AA225" s="91"/>
      <c r="AB225" s="91"/>
      <c r="AC225" s="91"/>
      <c r="AD225" s="91"/>
      <c r="AE225" s="91"/>
      <c r="AF225" s="91"/>
      <c r="AG225" s="91"/>
      <c r="AH225" s="91"/>
      <c r="AI225" s="91"/>
      <c r="AJ225" s="91"/>
      <c r="AK225" s="91"/>
      <c r="AL225" s="91"/>
      <c r="AM225" s="91"/>
    </row>
    <row r="226" spans="1:39" ht="20.25" hidden="1" customHeight="1">
      <c r="A226" s="91"/>
      <c r="B226" s="93" t="s">
        <v>738</v>
      </c>
      <c r="C226" s="91" t="s">
        <v>36</v>
      </c>
      <c r="D226" s="94" t="s">
        <v>840</v>
      </c>
      <c r="E226" s="94" t="s">
        <v>841</v>
      </c>
      <c r="F226" s="95" t="s">
        <v>842</v>
      </c>
      <c r="G226" s="96">
        <v>36658</v>
      </c>
      <c r="H226" s="97">
        <v>19502</v>
      </c>
      <c r="I226" s="94" t="s">
        <v>843</v>
      </c>
      <c r="J226" s="94" t="s">
        <v>844</v>
      </c>
      <c r="K226" s="95">
        <v>991206927</v>
      </c>
      <c r="L226" s="91" t="s">
        <v>60</v>
      </c>
      <c r="M226" s="98">
        <f ca="1">(TODAY()-H226)/365</f>
        <v>72.602739726027394</v>
      </c>
      <c r="N226" s="99">
        <f>(G226-H226)/365</f>
        <v>47.0027397260274</v>
      </c>
      <c r="O226" s="98">
        <f ca="1">(TODAY()-G226)/365</f>
        <v>25.6</v>
      </c>
      <c r="P226" s="91" t="s">
        <v>43</v>
      </c>
      <c r="Q226" s="91">
        <v>0</v>
      </c>
      <c r="R226" s="91">
        <v>0</v>
      </c>
      <c r="S226" s="91">
        <v>0</v>
      </c>
      <c r="T226" s="91"/>
      <c r="U226" s="91"/>
      <c r="V226" s="91"/>
      <c r="W226" s="91"/>
      <c r="X226" s="91"/>
      <c r="Y226" s="91"/>
      <c r="Z226" s="91"/>
      <c r="AA226" s="91"/>
      <c r="AB226" s="91"/>
      <c r="AC226" s="91"/>
      <c r="AD226" s="91"/>
      <c r="AE226" s="91"/>
      <c r="AF226" s="91"/>
      <c r="AG226" s="91"/>
      <c r="AH226" s="91"/>
      <c r="AI226" s="91"/>
      <c r="AJ226" s="91"/>
      <c r="AK226" s="91"/>
      <c r="AL226" s="91"/>
      <c r="AM226" s="91"/>
    </row>
    <row r="227" spans="1:39" ht="20.25" hidden="1" customHeight="1">
      <c r="A227" s="91"/>
      <c r="B227" s="93" t="s">
        <v>738</v>
      </c>
      <c r="C227" s="91" t="s">
        <v>36</v>
      </c>
      <c r="D227" s="94" t="s">
        <v>845</v>
      </c>
      <c r="E227" s="94" t="s">
        <v>846</v>
      </c>
      <c r="F227" s="95" t="s">
        <v>847</v>
      </c>
      <c r="G227" s="96">
        <v>45112</v>
      </c>
      <c r="H227" s="97">
        <v>27534</v>
      </c>
      <c r="I227" s="94" t="s">
        <v>848</v>
      </c>
      <c r="J227" s="94" t="s">
        <v>849</v>
      </c>
      <c r="K227" s="95">
        <v>998915146</v>
      </c>
      <c r="L227" s="91" t="s">
        <v>60</v>
      </c>
      <c r="M227" s="98">
        <f ca="1">(TODAY()-H227)/365</f>
        <v>50.597260273972601</v>
      </c>
      <c r="N227" s="99">
        <f>(G227-H227)/365</f>
        <v>48.158904109589038</v>
      </c>
      <c r="O227" s="98">
        <f ca="1">(TODAY()-G227)/365</f>
        <v>2.4383561643835616</v>
      </c>
      <c r="P227" s="91" t="s">
        <v>43</v>
      </c>
      <c r="Q227" s="91">
        <v>0</v>
      </c>
      <c r="R227" s="91">
        <v>0</v>
      </c>
      <c r="S227" s="91">
        <v>0</v>
      </c>
      <c r="T227" s="91"/>
      <c r="U227" s="91"/>
      <c r="V227" s="91"/>
      <c r="W227" s="91"/>
      <c r="X227" s="91"/>
      <c r="Y227" s="91"/>
      <c r="Z227" s="91"/>
      <c r="AA227" s="91"/>
      <c r="AB227" s="91"/>
      <c r="AC227" s="91"/>
      <c r="AD227" s="91"/>
      <c r="AE227" s="91"/>
      <c r="AF227" s="91"/>
      <c r="AG227" s="91"/>
      <c r="AH227" s="91"/>
      <c r="AI227" s="91"/>
      <c r="AJ227" s="91"/>
      <c r="AK227" s="91"/>
      <c r="AL227" s="91"/>
      <c r="AM227" s="91"/>
    </row>
    <row r="228" spans="1:39" ht="20.25" hidden="1" customHeight="1">
      <c r="A228" s="91"/>
      <c r="B228" s="93" t="s">
        <v>738</v>
      </c>
      <c r="C228" s="91" t="s">
        <v>36</v>
      </c>
      <c r="D228" s="94" t="s">
        <v>346</v>
      </c>
      <c r="E228" s="94" t="s">
        <v>850</v>
      </c>
      <c r="F228" s="95" t="s">
        <v>851</v>
      </c>
      <c r="G228" s="96">
        <v>43010</v>
      </c>
      <c r="H228" s="97">
        <v>24001</v>
      </c>
      <c r="I228" s="94" t="s">
        <v>852</v>
      </c>
      <c r="J228" s="94" t="s">
        <v>853</v>
      </c>
      <c r="K228" s="95">
        <v>950853526</v>
      </c>
      <c r="L228" s="91" t="s">
        <v>60</v>
      </c>
      <c r="M228" s="98">
        <f ca="1">(TODAY()-H228)/365</f>
        <v>60.276712328767125</v>
      </c>
      <c r="N228" s="99">
        <f>(G228-H228)/365</f>
        <v>52.079452054794523</v>
      </c>
      <c r="O228" s="98">
        <f ca="1">(TODAY()-G228)/365</f>
        <v>8.1972602739726028</v>
      </c>
      <c r="P228" s="91" t="s">
        <v>43</v>
      </c>
      <c r="Q228" s="91">
        <v>0</v>
      </c>
      <c r="R228" s="91">
        <v>0</v>
      </c>
      <c r="S228" s="91">
        <v>0</v>
      </c>
      <c r="T228" s="91"/>
      <c r="U228" s="91"/>
      <c r="V228" s="91"/>
      <c r="W228" s="91"/>
      <c r="X228" s="91"/>
      <c r="Y228" s="91"/>
      <c r="Z228" s="91"/>
      <c r="AA228" s="91"/>
      <c r="AB228" s="91"/>
      <c r="AC228" s="91"/>
      <c r="AD228" s="91"/>
      <c r="AE228" s="91"/>
      <c r="AF228" s="91"/>
      <c r="AG228" s="91"/>
      <c r="AH228" s="91"/>
      <c r="AI228" s="91"/>
      <c r="AJ228" s="91"/>
      <c r="AK228" s="91"/>
      <c r="AL228" s="91"/>
      <c r="AM228" s="91"/>
    </row>
    <row r="229" spans="1:39" ht="20.25" customHeight="1">
      <c r="A229" s="91"/>
      <c r="B229" s="93" t="s">
        <v>1698</v>
      </c>
      <c r="C229" s="91" t="s">
        <v>73</v>
      </c>
      <c r="D229" s="94" t="s">
        <v>1744</v>
      </c>
      <c r="E229" s="94" t="s">
        <v>1798</v>
      </c>
      <c r="F229" s="95" t="s">
        <v>1799</v>
      </c>
      <c r="G229" s="96">
        <v>44627</v>
      </c>
      <c r="H229" s="97">
        <v>18870</v>
      </c>
      <c r="I229" s="94" t="s">
        <v>58</v>
      </c>
      <c r="J229" s="94" t="s">
        <v>58</v>
      </c>
      <c r="K229" s="95" t="s">
        <v>58</v>
      </c>
      <c r="L229" s="91" t="s">
        <v>60</v>
      </c>
      <c r="M229" s="98">
        <f ca="1">(TODAY()-H229)/365</f>
        <v>74.334246575342462</v>
      </c>
      <c r="N229" s="99">
        <f>(G229-H229)/365</f>
        <v>70.567123287671237</v>
      </c>
      <c r="O229" s="98">
        <f ca="1">(TODAY()-G229)/365</f>
        <v>3.7671232876712328</v>
      </c>
      <c r="P229" s="91" t="s">
        <v>272</v>
      </c>
      <c r="Q229" s="91">
        <v>0</v>
      </c>
      <c r="R229" s="91">
        <v>0</v>
      </c>
      <c r="S229" s="91">
        <v>0</v>
      </c>
      <c r="T229" s="91"/>
      <c r="U229" s="91"/>
      <c r="V229" s="91"/>
      <c r="W229" s="91"/>
      <c r="X229" s="91"/>
      <c r="Y229" s="91"/>
      <c r="Z229" s="91"/>
      <c r="AA229" s="91"/>
      <c r="AB229" s="91"/>
      <c r="AC229" s="91"/>
      <c r="AD229" s="91"/>
      <c r="AE229" s="91"/>
      <c r="AF229" s="91"/>
      <c r="AG229" s="91"/>
      <c r="AH229" s="91"/>
      <c r="AI229" s="91"/>
      <c r="AJ229" s="91"/>
      <c r="AK229" s="91"/>
      <c r="AL229" s="91"/>
      <c r="AM229" s="91"/>
    </row>
    <row r="230" spans="1:39" ht="20.25" hidden="1" customHeight="1">
      <c r="A230" s="91"/>
      <c r="B230" s="93" t="s">
        <v>738</v>
      </c>
      <c r="C230" s="91" t="s">
        <v>36</v>
      </c>
      <c r="D230" s="94" t="s">
        <v>857</v>
      </c>
      <c r="E230" s="94" t="s">
        <v>858</v>
      </c>
      <c r="F230" s="95" t="s">
        <v>859</v>
      </c>
      <c r="G230" s="96">
        <v>43041</v>
      </c>
      <c r="H230" s="97">
        <v>23410</v>
      </c>
      <c r="I230" s="94" t="s">
        <v>860</v>
      </c>
      <c r="J230" s="94" t="s">
        <v>861</v>
      </c>
      <c r="K230" s="95">
        <v>961748488</v>
      </c>
      <c r="L230" s="91" t="s">
        <v>72</v>
      </c>
      <c r="M230" s="98">
        <f ca="1">(TODAY()-H230)/365</f>
        <v>61.895890410958906</v>
      </c>
      <c r="N230" s="99">
        <f>(G230-H230)/365</f>
        <v>53.783561643835618</v>
      </c>
      <c r="O230" s="98">
        <f ca="1">(TODAY()-G230)/365</f>
        <v>8.1123287671232873</v>
      </c>
      <c r="P230" s="91" t="s">
        <v>43</v>
      </c>
      <c r="Q230" s="91">
        <v>0</v>
      </c>
      <c r="R230" s="91">
        <v>0</v>
      </c>
      <c r="S230" s="91">
        <v>0</v>
      </c>
      <c r="T230" s="91"/>
      <c r="U230" s="91"/>
      <c r="V230" s="91"/>
      <c r="W230" s="91"/>
      <c r="X230" s="91"/>
      <c r="Y230" s="91"/>
      <c r="Z230" s="91"/>
      <c r="AA230" s="91"/>
      <c r="AB230" s="91"/>
      <c r="AC230" s="91"/>
      <c r="AD230" s="91"/>
      <c r="AE230" s="91"/>
      <c r="AF230" s="91"/>
      <c r="AG230" s="91"/>
      <c r="AH230" s="91"/>
      <c r="AI230" s="91"/>
      <c r="AJ230" s="91"/>
      <c r="AK230" s="91"/>
      <c r="AL230" s="91"/>
      <c r="AM230" s="91"/>
    </row>
    <row r="231" spans="1:39" ht="20.25" hidden="1" customHeight="1">
      <c r="A231" s="91"/>
      <c r="B231" s="93" t="s">
        <v>738</v>
      </c>
      <c r="C231" s="91" t="s">
        <v>36</v>
      </c>
      <c r="D231" s="94" t="s">
        <v>840</v>
      </c>
      <c r="E231" s="94" t="s">
        <v>862</v>
      </c>
      <c r="F231" s="95" t="s">
        <v>863</v>
      </c>
      <c r="G231" s="96">
        <v>43614</v>
      </c>
      <c r="H231" s="97">
        <v>23575</v>
      </c>
      <c r="I231" s="94" t="s">
        <v>864</v>
      </c>
      <c r="J231" s="94" t="s">
        <v>865</v>
      </c>
      <c r="K231" s="95">
        <v>999282349</v>
      </c>
      <c r="L231" s="91" t="s">
        <v>121</v>
      </c>
      <c r="M231" s="98">
        <f ca="1">(TODAY()-H231)/365</f>
        <v>61.443835616438356</v>
      </c>
      <c r="N231" s="99">
        <f>(G231-H231)/365</f>
        <v>54.901369863013699</v>
      </c>
      <c r="O231" s="98">
        <f ca="1">(TODAY()-G231)/365</f>
        <v>6.5424657534246577</v>
      </c>
      <c r="P231" s="91" t="s">
        <v>43</v>
      </c>
      <c r="Q231" s="91">
        <v>0</v>
      </c>
      <c r="R231" s="91">
        <v>0</v>
      </c>
      <c r="S231" s="91">
        <v>0</v>
      </c>
      <c r="T231" s="91"/>
      <c r="U231" s="91"/>
      <c r="V231" s="91"/>
      <c r="W231" s="91"/>
      <c r="X231" s="91"/>
      <c r="Y231" s="91"/>
      <c r="Z231" s="91"/>
      <c r="AA231" s="91"/>
      <c r="AB231" s="91"/>
      <c r="AC231" s="91"/>
      <c r="AD231" s="91"/>
      <c r="AE231" s="91"/>
      <c r="AF231" s="91"/>
      <c r="AG231" s="91"/>
      <c r="AH231" s="91"/>
      <c r="AI231" s="91"/>
      <c r="AJ231" s="91"/>
      <c r="AK231" s="91"/>
      <c r="AL231" s="91"/>
      <c r="AM231" s="91"/>
    </row>
    <row r="232" spans="1:39" ht="20.25" hidden="1" customHeight="1">
      <c r="A232" s="91"/>
      <c r="B232" s="93" t="s">
        <v>738</v>
      </c>
      <c r="C232" s="91" t="s">
        <v>36</v>
      </c>
      <c r="D232" s="94" t="s">
        <v>866</v>
      </c>
      <c r="E232" s="94" t="s">
        <v>867</v>
      </c>
      <c r="F232" s="95" t="s">
        <v>868</v>
      </c>
      <c r="G232" s="96">
        <v>43178</v>
      </c>
      <c r="H232" s="97">
        <v>21963</v>
      </c>
      <c r="I232" s="94" t="s">
        <v>869</v>
      </c>
      <c r="J232" s="94" t="s">
        <v>870</v>
      </c>
      <c r="K232" s="95">
        <v>997923586</v>
      </c>
      <c r="L232" s="91" t="s">
        <v>60</v>
      </c>
      <c r="M232" s="98">
        <f ca="1">(TODAY()-H232)/365</f>
        <v>65.860273972602741</v>
      </c>
      <c r="N232" s="99">
        <f>(G232-H232)/365</f>
        <v>58.123287671232873</v>
      </c>
      <c r="O232" s="98">
        <f ca="1">(TODAY()-G232)/365</f>
        <v>7.7369863013698632</v>
      </c>
      <c r="P232" s="91" t="s">
        <v>43</v>
      </c>
      <c r="Q232" s="91">
        <v>0</v>
      </c>
      <c r="R232" s="91">
        <v>0</v>
      </c>
      <c r="S232" s="91">
        <v>0</v>
      </c>
      <c r="T232" s="91"/>
      <c r="U232" s="91"/>
      <c r="V232" s="91"/>
      <c r="W232" s="91"/>
      <c r="X232" s="91"/>
      <c r="Y232" s="91"/>
      <c r="Z232" s="91"/>
      <c r="AA232" s="91"/>
      <c r="AB232" s="91"/>
      <c r="AC232" s="91"/>
      <c r="AD232" s="91"/>
      <c r="AE232" s="91"/>
      <c r="AF232" s="91"/>
      <c r="AG232" s="91"/>
      <c r="AH232" s="91"/>
      <c r="AI232" s="91"/>
      <c r="AJ232" s="91"/>
      <c r="AK232" s="91"/>
      <c r="AL232" s="91"/>
      <c r="AM232" s="91"/>
    </row>
    <row r="233" spans="1:39" ht="20.25" customHeight="1">
      <c r="A233" s="91"/>
      <c r="B233" s="93" t="s">
        <v>2235</v>
      </c>
      <c r="C233" s="91" t="s">
        <v>73</v>
      </c>
      <c r="D233" s="94" t="s">
        <v>2266</v>
      </c>
      <c r="E233" s="94" t="s">
        <v>2267</v>
      </c>
      <c r="F233" s="95" t="s">
        <v>2268</v>
      </c>
      <c r="G233" s="96">
        <v>44117</v>
      </c>
      <c r="H233" s="97">
        <v>35247</v>
      </c>
      <c r="I233" s="94" t="s">
        <v>2269</v>
      </c>
      <c r="J233" s="100" t="s">
        <v>58</v>
      </c>
      <c r="K233" s="91" t="s">
        <v>58</v>
      </c>
      <c r="L233" s="91" t="s">
        <v>54</v>
      </c>
      <c r="M233" s="98">
        <f ca="1">(TODAY()-H233)/365</f>
        <v>29.465753424657535</v>
      </c>
      <c r="N233" s="99">
        <f>(G233-H233)/365</f>
        <v>24.301369863013697</v>
      </c>
      <c r="O233" s="98">
        <f ca="1">(TODAY()-G233)/365</f>
        <v>5.1643835616438354</v>
      </c>
      <c r="P233" s="91" t="s">
        <v>43</v>
      </c>
      <c r="Q233" s="91">
        <v>0</v>
      </c>
      <c r="R233" s="91">
        <v>0</v>
      </c>
      <c r="S233" s="91">
        <v>0</v>
      </c>
      <c r="T233" s="91"/>
      <c r="U233" s="91"/>
      <c r="V233" s="91"/>
      <c r="W233" s="91"/>
      <c r="X233" s="91"/>
      <c r="Y233" s="91"/>
      <c r="Z233" s="91"/>
      <c r="AA233" s="91"/>
      <c r="AB233" s="91"/>
      <c r="AC233" s="91"/>
      <c r="AD233" s="91"/>
      <c r="AE233" s="91"/>
      <c r="AF233" s="91"/>
      <c r="AG233" s="91"/>
      <c r="AH233" s="91"/>
      <c r="AI233" s="91"/>
      <c r="AJ233" s="91"/>
      <c r="AK233" s="91"/>
      <c r="AL233" s="91"/>
      <c r="AM233" s="91"/>
    </row>
    <row r="234" spans="1:39" ht="20.25" customHeight="1">
      <c r="A234" s="91"/>
      <c r="B234" s="93" t="s">
        <v>1698</v>
      </c>
      <c r="C234" s="91" t="s">
        <v>73</v>
      </c>
      <c r="D234" s="94" t="s">
        <v>1800</v>
      </c>
      <c r="E234" s="94" t="s">
        <v>1801</v>
      </c>
      <c r="F234" s="95" t="s">
        <v>1802</v>
      </c>
      <c r="G234" s="96">
        <v>45480</v>
      </c>
      <c r="H234" s="97">
        <v>18709</v>
      </c>
      <c r="I234" s="94" t="s">
        <v>58</v>
      </c>
      <c r="J234" s="94" t="s">
        <v>58</v>
      </c>
      <c r="K234" s="95" t="s">
        <v>58</v>
      </c>
      <c r="L234" s="91" t="s">
        <v>60</v>
      </c>
      <c r="M234" s="98">
        <f ca="1">(TODAY()-H234)/365</f>
        <v>74.775342465753425</v>
      </c>
      <c r="N234" s="99">
        <f>(G234-H234)/365</f>
        <v>73.345205479452048</v>
      </c>
      <c r="O234" s="98">
        <f ca="1">(TODAY()-G234)/365</f>
        <v>1.4301369863013698</v>
      </c>
      <c r="P234" s="91" t="s">
        <v>272</v>
      </c>
      <c r="Q234" s="91">
        <v>0</v>
      </c>
      <c r="R234" s="91">
        <v>0</v>
      </c>
      <c r="S234" s="91">
        <v>0</v>
      </c>
      <c r="T234" s="91"/>
      <c r="U234" s="91"/>
      <c r="V234" s="91"/>
      <c r="W234" s="91"/>
      <c r="X234" s="91"/>
      <c r="Y234" s="91"/>
      <c r="Z234" s="91"/>
      <c r="AA234" s="91"/>
      <c r="AB234" s="91"/>
      <c r="AC234" s="91"/>
      <c r="AD234" s="91"/>
      <c r="AE234" s="91"/>
      <c r="AF234" s="91"/>
      <c r="AG234" s="91"/>
      <c r="AH234" s="91"/>
      <c r="AI234" s="91"/>
      <c r="AJ234" s="91"/>
      <c r="AK234" s="91"/>
      <c r="AL234" s="91"/>
      <c r="AM234" s="91"/>
    </row>
    <row r="235" spans="1:39" ht="20.25" hidden="1" customHeight="1">
      <c r="A235" s="91"/>
      <c r="B235" s="93" t="s">
        <v>879</v>
      </c>
      <c r="C235" s="91" t="s">
        <v>36</v>
      </c>
      <c r="D235" s="94" t="s">
        <v>880</v>
      </c>
      <c r="E235" s="94" t="s">
        <v>881</v>
      </c>
      <c r="F235" s="130" t="s">
        <v>882</v>
      </c>
      <c r="G235" s="96" t="s">
        <v>58</v>
      </c>
      <c r="H235" s="97">
        <v>19772</v>
      </c>
      <c r="I235" s="94" t="s">
        <v>883</v>
      </c>
      <c r="J235" s="94" t="s">
        <v>884</v>
      </c>
      <c r="K235" s="95">
        <v>99836158</v>
      </c>
      <c r="L235" s="91" t="s">
        <v>42</v>
      </c>
      <c r="M235" s="98">
        <f ca="1">(TODAY()-H235)/365</f>
        <v>71.863013698630141</v>
      </c>
      <c r="N235" s="95" t="s">
        <v>58</v>
      </c>
      <c r="O235" s="98" t="e">
        <f ca="1">(TODAY()-G235)/365</f>
        <v>#VALUE!</v>
      </c>
      <c r="P235" s="91" t="s">
        <v>43</v>
      </c>
      <c r="Q235" s="91">
        <v>0</v>
      </c>
      <c r="R235" s="91">
        <v>0</v>
      </c>
      <c r="S235" s="91">
        <v>0</v>
      </c>
      <c r="T235" s="91"/>
      <c r="U235" s="91"/>
      <c r="V235" s="91"/>
      <c r="W235" s="91"/>
      <c r="X235" s="91"/>
      <c r="Y235" s="91"/>
      <c r="Z235" s="91"/>
      <c r="AA235" s="91"/>
      <c r="AB235" s="91"/>
      <c r="AC235" s="91"/>
      <c r="AD235" s="91"/>
      <c r="AE235" s="91"/>
      <c r="AF235" s="91"/>
      <c r="AG235" s="91"/>
      <c r="AH235" s="91"/>
      <c r="AI235" s="91"/>
      <c r="AJ235" s="91"/>
      <c r="AK235" s="91"/>
      <c r="AL235" s="91"/>
      <c r="AM235" s="91"/>
    </row>
    <row r="236" spans="1:39" ht="20.25" hidden="1" customHeight="1">
      <c r="A236" s="91"/>
      <c r="B236" s="93" t="s">
        <v>879</v>
      </c>
      <c r="C236" s="91" t="s">
        <v>36</v>
      </c>
      <c r="D236" s="94" t="s">
        <v>885</v>
      </c>
      <c r="E236" s="94" t="s">
        <v>886</v>
      </c>
      <c r="F236" s="130" t="s">
        <v>887</v>
      </c>
      <c r="G236" s="96" t="s">
        <v>58</v>
      </c>
      <c r="H236" s="97">
        <v>21245</v>
      </c>
      <c r="I236" s="94" t="s">
        <v>58</v>
      </c>
      <c r="J236" s="94" t="s">
        <v>888</v>
      </c>
      <c r="K236" s="91">
        <v>99816686</v>
      </c>
      <c r="L236" s="91" t="s">
        <v>72</v>
      </c>
      <c r="M236" s="98">
        <f ca="1">(TODAY()-H236)/365</f>
        <v>67.827397260273969</v>
      </c>
      <c r="N236" s="95" t="s">
        <v>58</v>
      </c>
      <c r="O236" s="98" t="e">
        <f ca="1">(TODAY()-G236)/365</f>
        <v>#VALUE!</v>
      </c>
      <c r="P236" s="91" t="s">
        <v>43</v>
      </c>
      <c r="Q236" s="91">
        <v>0</v>
      </c>
      <c r="R236" s="91">
        <v>0</v>
      </c>
      <c r="S236" s="91">
        <v>0</v>
      </c>
      <c r="T236" s="91"/>
      <c r="U236" s="91"/>
      <c r="V236" s="91"/>
      <c r="W236" s="91"/>
      <c r="X236" s="91"/>
      <c r="Y236" s="91"/>
      <c r="Z236" s="91"/>
      <c r="AA236" s="91"/>
      <c r="AB236" s="91"/>
      <c r="AC236" s="91"/>
      <c r="AD236" s="91"/>
      <c r="AE236" s="91"/>
      <c r="AF236" s="91"/>
      <c r="AG236" s="91"/>
      <c r="AH236" s="91"/>
      <c r="AI236" s="91"/>
      <c r="AJ236" s="91"/>
      <c r="AK236" s="91"/>
      <c r="AL236" s="91"/>
      <c r="AM236" s="91"/>
    </row>
    <row r="237" spans="1:39" ht="20.25" hidden="1" customHeight="1">
      <c r="A237" s="91"/>
      <c r="B237" s="93" t="s">
        <v>879</v>
      </c>
      <c r="C237" s="91" t="s">
        <v>36</v>
      </c>
      <c r="D237" s="94" t="s">
        <v>889</v>
      </c>
      <c r="E237" s="94" t="s">
        <v>890</v>
      </c>
      <c r="F237" s="130" t="s">
        <v>891</v>
      </c>
      <c r="G237" s="96" t="s">
        <v>58</v>
      </c>
      <c r="H237" s="97">
        <v>16622</v>
      </c>
      <c r="I237" s="94" t="s">
        <v>58</v>
      </c>
      <c r="J237" s="94" t="s">
        <v>892</v>
      </c>
      <c r="K237" s="91">
        <v>96328397</v>
      </c>
      <c r="L237" s="91" t="s">
        <v>60</v>
      </c>
      <c r="M237" s="98">
        <f ca="1">(TODAY()-H237)/365</f>
        <v>80.493150684931507</v>
      </c>
      <c r="N237" s="95" t="s">
        <v>58</v>
      </c>
      <c r="O237" s="98" t="e">
        <f ca="1">(TODAY()-G237)/365</f>
        <v>#VALUE!</v>
      </c>
      <c r="P237" s="91" t="s">
        <v>43</v>
      </c>
      <c r="Q237" s="91">
        <v>0</v>
      </c>
      <c r="R237" s="91">
        <v>0</v>
      </c>
      <c r="S237" s="91">
        <v>0</v>
      </c>
      <c r="T237" s="91"/>
      <c r="U237" s="91"/>
      <c r="V237" s="91"/>
      <c r="W237" s="91"/>
      <c r="X237" s="91"/>
      <c r="Y237" s="91"/>
      <c r="Z237" s="91"/>
      <c r="AA237" s="91"/>
      <c r="AB237" s="91"/>
      <c r="AC237" s="91"/>
      <c r="AD237" s="91"/>
      <c r="AE237" s="91"/>
      <c r="AF237" s="91"/>
      <c r="AG237" s="91"/>
      <c r="AH237" s="91"/>
      <c r="AI237" s="91"/>
      <c r="AJ237" s="91"/>
      <c r="AK237" s="91"/>
      <c r="AL237" s="91"/>
      <c r="AM237" s="91"/>
    </row>
    <row r="238" spans="1:39" ht="20.25" hidden="1" customHeight="1">
      <c r="A238" s="91"/>
      <c r="B238" s="93" t="s">
        <v>879</v>
      </c>
      <c r="C238" s="91" t="s">
        <v>36</v>
      </c>
      <c r="D238" s="94" t="s">
        <v>893</v>
      </c>
      <c r="E238" s="94" t="s">
        <v>894</v>
      </c>
      <c r="F238" s="130" t="s">
        <v>895</v>
      </c>
      <c r="G238" s="96" t="s">
        <v>58</v>
      </c>
      <c r="H238" s="97">
        <v>20153</v>
      </c>
      <c r="I238" s="94" t="s">
        <v>58</v>
      </c>
      <c r="J238" s="94" t="s">
        <v>896</v>
      </c>
      <c r="K238" s="91">
        <v>9821675</v>
      </c>
      <c r="L238" s="91" t="s">
        <v>60</v>
      </c>
      <c r="M238" s="98">
        <f ca="1">(TODAY()-H238)/365</f>
        <v>70.819178082191783</v>
      </c>
      <c r="N238" s="95" t="s">
        <v>58</v>
      </c>
      <c r="O238" s="98" t="e">
        <f ca="1">(TODAY()-G238)/365</f>
        <v>#VALUE!</v>
      </c>
      <c r="P238" s="91" t="s">
        <v>43</v>
      </c>
      <c r="Q238" s="91">
        <v>0</v>
      </c>
      <c r="R238" s="91">
        <v>0</v>
      </c>
      <c r="S238" s="91">
        <v>0</v>
      </c>
      <c r="T238" s="91"/>
      <c r="U238" s="91"/>
      <c r="V238" s="91"/>
      <c r="W238" s="91"/>
      <c r="X238" s="91"/>
      <c r="Y238" s="91"/>
      <c r="Z238" s="91"/>
      <c r="AA238" s="91"/>
      <c r="AB238" s="91"/>
      <c r="AC238" s="91"/>
      <c r="AD238" s="91"/>
      <c r="AE238" s="91"/>
      <c r="AF238" s="91"/>
      <c r="AG238" s="91"/>
      <c r="AH238" s="91"/>
      <c r="AI238" s="91"/>
      <c r="AJ238" s="91"/>
      <c r="AK238" s="91"/>
      <c r="AL238" s="91"/>
      <c r="AM238" s="91"/>
    </row>
    <row r="239" spans="1:39" ht="20.25" hidden="1" customHeight="1">
      <c r="A239" s="91"/>
      <c r="B239" s="93" t="s">
        <v>879</v>
      </c>
      <c r="C239" s="91" t="s">
        <v>36</v>
      </c>
      <c r="D239" s="94" t="s">
        <v>897</v>
      </c>
      <c r="E239" s="94" t="s">
        <v>898</v>
      </c>
      <c r="F239" s="130" t="s">
        <v>899</v>
      </c>
      <c r="G239" s="96" t="s">
        <v>58</v>
      </c>
      <c r="H239" s="97">
        <v>27366</v>
      </c>
      <c r="I239" s="94" t="s">
        <v>58</v>
      </c>
      <c r="J239" s="94" t="s">
        <v>900</v>
      </c>
      <c r="K239" s="91">
        <v>99412407</v>
      </c>
      <c r="L239" s="91" t="s">
        <v>60</v>
      </c>
      <c r="M239" s="98">
        <f ca="1">(TODAY()-H239)/365</f>
        <v>51.057534246575344</v>
      </c>
      <c r="N239" s="95" t="s">
        <v>58</v>
      </c>
      <c r="O239" s="98" t="e">
        <f ca="1">(TODAY()-G239)/365</f>
        <v>#VALUE!</v>
      </c>
      <c r="P239" s="91" t="s">
        <v>43</v>
      </c>
      <c r="Q239" s="91">
        <v>0</v>
      </c>
      <c r="R239" s="91">
        <v>0</v>
      </c>
      <c r="S239" s="91">
        <v>0</v>
      </c>
      <c r="T239" s="91"/>
      <c r="U239" s="91"/>
      <c r="V239" s="91"/>
      <c r="W239" s="91"/>
      <c r="X239" s="91"/>
      <c r="Y239" s="91"/>
      <c r="Z239" s="91"/>
      <c r="AA239" s="91"/>
      <c r="AB239" s="91"/>
      <c r="AC239" s="91"/>
      <c r="AD239" s="91"/>
      <c r="AE239" s="91"/>
      <c r="AF239" s="91"/>
      <c r="AG239" s="91"/>
      <c r="AH239" s="91"/>
      <c r="AI239" s="91"/>
      <c r="AJ239" s="91"/>
      <c r="AK239" s="91"/>
      <c r="AL239" s="91"/>
      <c r="AM239" s="91"/>
    </row>
    <row r="240" spans="1:39" ht="20.25" hidden="1" customHeight="1">
      <c r="A240" s="91"/>
      <c r="B240" s="93" t="s">
        <v>879</v>
      </c>
      <c r="C240" s="91" t="s">
        <v>36</v>
      </c>
      <c r="D240" s="94" t="s">
        <v>901</v>
      </c>
      <c r="E240" s="94" t="s">
        <v>902</v>
      </c>
      <c r="F240" s="130" t="s">
        <v>903</v>
      </c>
      <c r="G240" s="96" t="s">
        <v>58</v>
      </c>
      <c r="H240" s="97">
        <v>18033</v>
      </c>
      <c r="I240" s="94" t="s">
        <v>904</v>
      </c>
      <c r="J240" s="94" t="s">
        <v>905</v>
      </c>
      <c r="K240" s="91">
        <v>99513433</v>
      </c>
      <c r="L240" s="91" t="s">
        <v>54</v>
      </c>
      <c r="M240" s="98">
        <f ca="1">(TODAY()-H240)/365</f>
        <v>76.627397260273966</v>
      </c>
      <c r="N240" s="95" t="s">
        <v>58</v>
      </c>
      <c r="O240" s="98" t="e">
        <f ca="1">(TODAY()-G240)/365</f>
        <v>#VALUE!</v>
      </c>
      <c r="P240" s="91" t="s">
        <v>43</v>
      </c>
      <c r="Q240" s="91">
        <v>0</v>
      </c>
      <c r="R240" s="91">
        <v>0</v>
      </c>
      <c r="S240" s="91">
        <v>0</v>
      </c>
      <c r="T240" s="91"/>
      <c r="U240" s="91"/>
      <c r="V240" s="91"/>
      <c r="W240" s="91"/>
      <c r="X240" s="91"/>
      <c r="Y240" s="91"/>
      <c r="Z240" s="91"/>
      <c r="AA240" s="91"/>
      <c r="AB240" s="91"/>
      <c r="AC240" s="91"/>
      <c r="AD240" s="91"/>
      <c r="AE240" s="91"/>
      <c r="AF240" s="91"/>
      <c r="AG240" s="91"/>
      <c r="AH240" s="91"/>
      <c r="AI240" s="91"/>
      <c r="AJ240" s="91"/>
      <c r="AK240" s="91"/>
      <c r="AL240" s="91"/>
      <c r="AM240" s="91"/>
    </row>
    <row r="241" spans="1:39" ht="20.25" hidden="1" customHeight="1">
      <c r="A241" s="91"/>
      <c r="B241" s="93" t="s">
        <v>879</v>
      </c>
      <c r="C241" s="91" t="s">
        <v>36</v>
      </c>
      <c r="D241" s="94" t="s">
        <v>906</v>
      </c>
      <c r="E241" s="94" t="s">
        <v>907</v>
      </c>
      <c r="F241" s="130" t="s">
        <v>908</v>
      </c>
      <c r="G241" s="96" t="s">
        <v>58</v>
      </c>
      <c r="H241" s="97">
        <v>18745</v>
      </c>
      <c r="I241" s="94" t="s">
        <v>58</v>
      </c>
      <c r="J241" s="94" t="s">
        <v>909</v>
      </c>
      <c r="K241" s="91" t="s">
        <v>910</v>
      </c>
      <c r="L241" s="91" t="s">
        <v>49</v>
      </c>
      <c r="M241" s="98">
        <f ca="1">(TODAY()-H241)/365</f>
        <v>74.676712328767124</v>
      </c>
      <c r="N241" s="95" t="s">
        <v>58</v>
      </c>
      <c r="O241" s="98" t="e">
        <f ca="1">(TODAY()-G241)/365</f>
        <v>#VALUE!</v>
      </c>
      <c r="P241" s="91" t="s">
        <v>43</v>
      </c>
      <c r="Q241" s="91">
        <v>0</v>
      </c>
      <c r="R241" s="91">
        <v>0</v>
      </c>
      <c r="S241" s="91">
        <v>0</v>
      </c>
      <c r="T241" s="91"/>
      <c r="U241" s="91"/>
      <c r="V241" s="91"/>
      <c r="W241" s="91"/>
      <c r="X241" s="91"/>
      <c r="Y241" s="91"/>
      <c r="Z241" s="91"/>
      <c r="AA241" s="91"/>
      <c r="AB241" s="91"/>
      <c r="AC241" s="91"/>
      <c r="AD241" s="91"/>
      <c r="AE241" s="91"/>
      <c r="AF241" s="91"/>
      <c r="AG241" s="91"/>
      <c r="AH241" s="91"/>
      <c r="AI241" s="91"/>
      <c r="AJ241" s="91"/>
      <c r="AK241" s="91"/>
      <c r="AL241" s="91"/>
      <c r="AM241" s="91"/>
    </row>
    <row r="242" spans="1:39" ht="20.25" hidden="1" customHeight="1">
      <c r="A242" s="91"/>
      <c r="B242" s="93" t="s">
        <v>879</v>
      </c>
      <c r="C242" s="91" t="s">
        <v>36</v>
      </c>
      <c r="D242" s="94" t="s">
        <v>911</v>
      </c>
      <c r="E242" s="94" t="s">
        <v>912</v>
      </c>
      <c r="F242" s="130" t="s">
        <v>913</v>
      </c>
      <c r="G242" s="96" t="s">
        <v>58</v>
      </c>
      <c r="H242" s="97">
        <v>23212</v>
      </c>
      <c r="I242" s="94" t="s">
        <v>58</v>
      </c>
      <c r="J242" s="94" t="s">
        <v>914</v>
      </c>
      <c r="K242" s="91">
        <v>948792422</v>
      </c>
      <c r="L242" s="91" t="s">
        <v>60</v>
      </c>
      <c r="M242" s="98">
        <f ca="1">(TODAY()-H242)/365</f>
        <v>62.438356164383563</v>
      </c>
      <c r="N242" s="95" t="s">
        <v>58</v>
      </c>
      <c r="O242" s="98" t="e">
        <f ca="1">(TODAY()-G242)/365</f>
        <v>#VALUE!</v>
      </c>
      <c r="P242" s="91" t="s">
        <v>43</v>
      </c>
      <c r="Q242" s="91">
        <v>0</v>
      </c>
      <c r="R242" s="91">
        <v>0</v>
      </c>
      <c r="S242" s="91">
        <v>0</v>
      </c>
      <c r="T242" s="91"/>
      <c r="U242" s="91"/>
      <c r="V242" s="91"/>
      <c r="W242" s="91"/>
      <c r="X242" s="91"/>
      <c r="Y242" s="91"/>
      <c r="Z242" s="91"/>
      <c r="AA242" s="91"/>
      <c r="AB242" s="91"/>
      <c r="AC242" s="91"/>
      <c r="AD242" s="91"/>
      <c r="AE242" s="91"/>
      <c r="AF242" s="91"/>
      <c r="AG242" s="91"/>
      <c r="AH242" s="91"/>
      <c r="AI242" s="91"/>
      <c r="AJ242" s="91"/>
      <c r="AK242" s="91"/>
      <c r="AL242" s="91"/>
      <c r="AM242" s="91"/>
    </row>
    <row r="243" spans="1:39" ht="20.25" hidden="1" customHeight="1">
      <c r="A243" s="91"/>
      <c r="B243" s="93" t="s">
        <v>879</v>
      </c>
      <c r="C243" s="91" t="s">
        <v>36</v>
      </c>
      <c r="D243" s="94" t="s">
        <v>915</v>
      </c>
      <c r="E243" s="94" t="s">
        <v>916</v>
      </c>
      <c r="F243" s="130" t="s">
        <v>917</v>
      </c>
      <c r="G243" s="96" t="s">
        <v>58</v>
      </c>
      <c r="H243" s="97">
        <v>36275</v>
      </c>
      <c r="I243" s="94" t="s">
        <v>58</v>
      </c>
      <c r="J243" s="94" t="s">
        <v>888</v>
      </c>
      <c r="K243" s="91">
        <v>958600876</v>
      </c>
      <c r="L243" s="91" t="s">
        <v>60</v>
      </c>
      <c r="M243" s="98">
        <f ca="1">(TODAY()-H243)/365</f>
        <v>26.649315068493152</v>
      </c>
      <c r="N243" s="95" t="s">
        <v>58</v>
      </c>
      <c r="O243" s="98" t="e">
        <f ca="1">(TODAY()-G243)/365</f>
        <v>#VALUE!</v>
      </c>
      <c r="P243" s="91" t="s">
        <v>43</v>
      </c>
      <c r="Q243" s="91">
        <v>0</v>
      </c>
      <c r="R243" s="91">
        <v>0</v>
      </c>
      <c r="S243" s="91">
        <v>0</v>
      </c>
      <c r="T243" s="91"/>
      <c r="U243" s="91"/>
      <c r="V243" s="91"/>
      <c r="W243" s="91"/>
      <c r="X243" s="91"/>
      <c r="Y243" s="91"/>
      <c r="Z243" s="91"/>
      <c r="AA243" s="91"/>
      <c r="AB243" s="91"/>
      <c r="AC243" s="91"/>
      <c r="AD243" s="91"/>
      <c r="AE243" s="91"/>
      <c r="AF243" s="91"/>
      <c r="AG243" s="91"/>
      <c r="AH243" s="91"/>
      <c r="AI243" s="91"/>
      <c r="AJ243" s="91"/>
      <c r="AK243" s="91"/>
      <c r="AL243" s="91"/>
      <c r="AM243" s="91"/>
    </row>
    <row r="244" spans="1:39" ht="20.25" hidden="1" customHeight="1">
      <c r="A244" s="91"/>
      <c r="B244" s="93" t="s">
        <v>879</v>
      </c>
      <c r="C244" s="91" t="s">
        <v>36</v>
      </c>
      <c r="D244" s="94" t="s">
        <v>918</v>
      </c>
      <c r="E244" s="94" t="s">
        <v>919</v>
      </c>
      <c r="F244" s="130" t="s">
        <v>920</v>
      </c>
      <c r="G244" s="96" t="s">
        <v>58</v>
      </c>
      <c r="H244" s="97">
        <v>24170</v>
      </c>
      <c r="I244" s="94" t="s">
        <v>58</v>
      </c>
      <c r="J244" s="94" t="s">
        <v>921</v>
      </c>
      <c r="K244" s="91">
        <v>956274052</v>
      </c>
      <c r="L244" s="91" t="s">
        <v>60</v>
      </c>
      <c r="M244" s="98">
        <f ca="1">(TODAY()-H244)/365</f>
        <v>59.813698630136983</v>
      </c>
      <c r="N244" s="95" t="s">
        <v>58</v>
      </c>
      <c r="O244" s="98" t="e">
        <f ca="1">(TODAY()-G244)/365</f>
        <v>#VALUE!</v>
      </c>
      <c r="P244" s="91" t="s">
        <v>272</v>
      </c>
      <c r="Q244" s="91">
        <v>0</v>
      </c>
      <c r="R244" s="91">
        <v>0</v>
      </c>
      <c r="S244" s="91">
        <v>0</v>
      </c>
      <c r="T244" s="91"/>
      <c r="U244" s="91"/>
      <c r="V244" s="91"/>
      <c r="W244" s="91"/>
      <c r="X244" s="91"/>
      <c r="Y244" s="91"/>
      <c r="Z244" s="91"/>
      <c r="AA244" s="91"/>
      <c r="AB244" s="91"/>
      <c r="AC244" s="91"/>
      <c r="AD244" s="91"/>
      <c r="AE244" s="91"/>
      <c r="AF244" s="91"/>
      <c r="AG244" s="91"/>
      <c r="AH244" s="91"/>
      <c r="AI244" s="91"/>
      <c r="AJ244" s="91"/>
      <c r="AK244" s="91"/>
      <c r="AL244" s="91"/>
      <c r="AM244" s="91"/>
    </row>
    <row r="245" spans="1:39" ht="20.25" hidden="1" customHeight="1">
      <c r="A245" s="91"/>
      <c r="B245" s="93" t="s">
        <v>879</v>
      </c>
      <c r="C245" s="91" t="s">
        <v>36</v>
      </c>
      <c r="D245" s="94" t="s">
        <v>922</v>
      </c>
      <c r="E245" s="94" t="s">
        <v>923</v>
      </c>
      <c r="F245" s="130" t="s">
        <v>924</v>
      </c>
      <c r="G245" s="96" t="s">
        <v>58</v>
      </c>
      <c r="H245" s="97">
        <v>22890</v>
      </c>
      <c r="I245" s="94" t="s">
        <v>58</v>
      </c>
      <c r="J245" s="94" t="s">
        <v>925</v>
      </c>
      <c r="K245" s="91">
        <v>976553882</v>
      </c>
      <c r="L245" s="91" t="s">
        <v>60</v>
      </c>
      <c r="M245" s="98">
        <f ca="1">(TODAY()-H245)/365</f>
        <v>63.320547945205476</v>
      </c>
      <c r="N245" s="95" t="s">
        <v>58</v>
      </c>
      <c r="O245" s="98" t="e">
        <f ca="1">(TODAY()-G245)/365</f>
        <v>#VALUE!</v>
      </c>
      <c r="P245" s="91" t="s">
        <v>43</v>
      </c>
      <c r="Q245" s="91">
        <v>0</v>
      </c>
      <c r="R245" s="91">
        <v>0</v>
      </c>
      <c r="S245" s="91">
        <v>0</v>
      </c>
      <c r="T245" s="91"/>
      <c r="U245" s="91"/>
      <c r="V245" s="91"/>
      <c r="W245" s="91"/>
      <c r="X245" s="91"/>
      <c r="Y245" s="91"/>
      <c r="Z245" s="91"/>
      <c r="AA245" s="91"/>
      <c r="AB245" s="91"/>
      <c r="AC245" s="91"/>
      <c r="AD245" s="91"/>
      <c r="AE245" s="91"/>
      <c r="AF245" s="91"/>
      <c r="AG245" s="91"/>
      <c r="AH245" s="91"/>
      <c r="AI245" s="91"/>
      <c r="AJ245" s="91"/>
      <c r="AK245" s="91"/>
      <c r="AL245" s="91"/>
      <c r="AM245" s="91"/>
    </row>
    <row r="246" spans="1:39" ht="20.25" hidden="1" customHeight="1">
      <c r="A246" s="91"/>
      <c r="B246" s="93" t="s">
        <v>879</v>
      </c>
      <c r="C246" s="91" t="s">
        <v>36</v>
      </c>
      <c r="D246" s="94" t="s">
        <v>926</v>
      </c>
      <c r="E246" s="94" t="s">
        <v>927</v>
      </c>
      <c r="F246" s="130" t="s">
        <v>928</v>
      </c>
      <c r="G246" s="96" t="s">
        <v>58</v>
      </c>
      <c r="H246" s="97">
        <v>23490</v>
      </c>
      <c r="I246" s="94" t="s">
        <v>58</v>
      </c>
      <c r="J246" s="94" t="s">
        <v>929</v>
      </c>
      <c r="K246" s="91">
        <v>981813805</v>
      </c>
      <c r="L246" s="91" t="s">
        <v>60</v>
      </c>
      <c r="M246" s="98">
        <f ca="1">(TODAY()-H246)/365</f>
        <v>61.676712328767124</v>
      </c>
      <c r="N246" s="95" t="s">
        <v>58</v>
      </c>
      <c r="O246" s="98" t="e">
        <f ca="1">(TODAY()-G246)/365</f>
        <v>#VALUE!</v>
      </c>
      <c r="P246" s="91" t="s">
        <v>43</v>
      </c>
      <c r="Q246" s="91">
        <v>0</v>
      </c>
      <c r="R246" s="91">
        <v>0</v>
      </c>
      <c r="S246" s="91">
        <v>0</v>
      </c>
      <c r="T246" s="91"/>
      <c r="U246" s="91"/>
      <c r="V246" s="91"/>
      <c r="W246" s="91"/>
      <c r="X246" s="91"/>
      <c r="Y246" s="91"/>
      <c r="Z246" s="91"/>
      <c r="AA246" s="91"/>
      <c r="AB246" s="91"/>
      <c r="AC246" s="91"/>
      <c r="AD246" s="91"/>
      <c r="AE246" s="91"/>
      <c r="AF246" s="91"/>
      <c r="AG246" s="91"/>
      <c r="AH246" s="91"/>
      <c r="AI246" s="91"/>
      <c r="AJ246" s="91"/>
      <c r="AK246" s="91"/>
      <c r="AL246" s="91"/>
      <c r="AM246" s="91"/>
    </row>
    <row r="247" spans="1:39" ht="20.25" hidden="1" customHeight="1">
      <c r="A247" s="91"/>
      <c r="B247" s="93" t="s">
        <v>879</v>
      </c>
      <c r="C247" s="91" t="s">
        <v>36</v>
      </c>
      <c r="D247" s="94" t="s">
        <v>930</v>
      </c>
      <c r="E247" s="94" t="s">
        <v>931</v>
      </c>
      <c r="F247" s="130" t="s">
        <v>932</v>
      </c>
      <c r="G247" s="96" t="s">
        <v>58</v>
      </c>
      <c r="H247" s="97">
        <v>22240</v>
      </c>
      <c r="I247" s="94" t="s">
        <v>58</v>
      </c>
      <c r="J247" s="94" t="s">
        <v>933</v>
      </c>
      <c r="K247" s="91">
        <v>994191378</v>
      </c>
      <c r="L247" s="91" t="s">
        <v>60</v>
      </c>
      <c r="M247" s="98">
        <f ca="1">(TODAY()-H247)/365</f>
        <v>65.101369863013701</v>
      </c>
      <c r="N247" s="95" t="s">
        <v>58</v>
      </c>
      <c r="O247" s="98" t="e">
        <f ca="1">(TODAY()-G247)/365</f>
        <v>#VALUE!</v>
      </c>
      <c r="P247" s="91" t="s">
        <v>43</v>
      </c>
      <c r="Q247" s="91">
        <v>0</v>
      </c>
      <c r="R247" s="91">
        <v>0</v>
      </c>
      <c r="S247" s="91">
        <v>0</v>
      </c>
      <c r="T247" s="91"/>
      <c r="U247" s="91"/>
      <c r="V247" s="91"/>
      <c r="W247" s="91"/>
      <c r="X247" s="91"/>
      <c r="Y247" s="91"/>
      <c r="Z247" s="91"/>
      <c r="AA247" s="91"/>
      <c r="AB247" s="91"/>
      <c r="AC247" s="91"/>
      <c r="AD247" s="91"/>
      <c r="AE247" s="91"/>
      <c r="AF247" s="91"/>
      <c r="AG247" s="91"/>
      <c r="AH247" s="91"/>
      <c r="AI247" s="91"/>
      <c r="AJ247" s="91"/>
      <c r="AK247" s="91"/>
      <c r="AL247" s="91"/>
      <c r="AM247" s="91"/>
    </row>
    <row r="248" spans="1:39" ht="20.25" hidden="1" customHeight="1">
      <c r="A248" s="91"/>
      <c r="B248" s="93" t="s">
        <v>879</v>
      </c>
      <c r="C248" s="91" t="s">
        <v>36</v>
      </c>
      <c r="D248" s="94" t="s">
        <v>934</v>
      </c>
      <c r="E248" s="94" t="s">
        <v>935</v>
      </c>
      <c r="F248" s="130" t="s">
        <v>936</v>
      </c>
      <c r="G248" s="96" t="s">
        <v>58</v>
      </c>
      <c r="H248" s="97">
        <v>20267</v>
      </c>
      <c r="I248" s="94" t="s">
        <v>58</v>
      </c>
      <c r="J248" s="94" t="s">
        <v>929</v>
      </c>
      <c r="K248" s="91">
        <v>938903938</v>
      </c>
      <c r="L248" s="91" t="s">
        <v>60</v>
      </c>
      <c r="M248" s="98">
        <f ca="1">(TODAY()-H248)/365</f>
        <v>70.506849315068493</v>
      </c>
      <c r="N248" s="95" t="s">
        <v>58</v>
      </c>
      <c r="O248" s="98" t="e">
        <f ca="1">(TODAY()-G248)/365</f>
        <v>#VALUE!</v>
      </c>
      <c r="P248" s="91" t="s">
        <v>43</v>
      </c>
      <c r="Q248" s="91">
        <v>0</v>
      </c>
      <c r="R248" s="91">
        <v>0</v>
      </c>
      <c r="S248" s="91">
        <v>0</v>
      </c>
      <c r="T248" s="91"/>
      <c r="U248" s="91"/>
      <c r="V248" s="91"/>
      <c r="W248" s="91"/>
      <c r="X248" s="91"/>
      <c r="Y248" s="91"/>
      <c r="Z248" s="91"/>
      <c r="AA248" s="91"/>
      <c r="AB248" s="91"/>
      <c r="AC248" s="91"/>
      <c r="AD248" s="91"/>
      <c r="AE248" s="91"/>
      <c r="AF248" s="91"/>
      <c r="AG248" s="91"/>
      <c r="AH248" s="91"/>
      <c r="AI248" s="91"/>
      <c r="AJ248" s="91"/>
      <c r="AK248" s="91"/>
      <c r="AL248" s="91"/>
      <c r="AM248" s="91"/>
    </row>
    <row r="249" spans="1:39" ht="20.25" hidden="1" customHeight="1">
      <c r="A249" s="91"/>
      <c r="B249" s="93" t="s">
        <v>879</v>
      </c>
      <c r="C249" s="91" t="s">
        <v>36</v>
      </c>
      <c r="D249" s="94" t="s">
        <v>937</v>
      </c>
      <c r="E249" s="94" t="s">
        <v>938</v>
      </c>
      <c r="F249" s="130" t="s">
        <v>939</v>
      </c>
      <c r="G249" s="96" t="s">
        <v>58</v>
      </c>
      <c r="H249" s="97">
        <v>19778</v>
      </c>
      <c r="I249" s="94" t="s">
        <v>58</v>
      </c>
      <c r="J249" s="94" t="s">
        <v>940</v>
      </c>
      <c r="K249" s="91">
        <v>933976788</v>
      </c>
      <c r="L249" s="91" t="s">
        <v>60</v>
      </c>
      <c r="M249" s="98">
        <f ca="1">(TODAY()-H249)/365</f>
        <v>71.846575342465755</v>
      </c>
      <c r="N249" s="95" t="s">
        <v>58</v>
      </c>
      <c r="O249" s="98" t="e">
        <f ca="1">(TODAY()-G249)/365</f>
        <v>#VALUE!</v>
      </c>
      <c r="P249" s="91" t="s">
        <v>43</v>
      </c>
      <c r="Q249" s="91">
        <v>0</v>
      </c>
      <c r="R249" s="91">
        <v>0</v>
      </c>
      <c r="S249" s="91">
        <v>0</v>
      </c>
      <c r="T249" s="91"/>
      <c r="U249" s="91"/>
      <c r="V249" s="91"/>
      <c r="W249" s="91"/>
      <c r="X249" s="91"/>
      <c r="Y249" s="91"/>
      <c r="Z249" s="91"/>
      <c r="AA249" s="91"/>
      <c r="AB249" s="91"/>
      <c r="AC249" s="91"/>
      <c r="AD249" s="91"/>
      <c r="AE249" s="91"/>
      <c r="AF249" s="91"/>
      <c r="AG249" s="91"/>
      <c r="AH249" s="91"/>
      <c r="AI249" s="91"/>
      <c r="AJ249" s="91"/>
      <c r="AK249" s="91"/>
      <c r="AL249" s="91"/>
      <c r="AM249" s="91"/>
    </row>
    <row r="250" spans="1:39" ht="20.25" hidden="1" customHeight="1">
      <c r="A250" s="91"/>
      <c r="B250" s="93" t="s">
        <v>879</v>
      </c>
      <c r="C250" s="91" t="s">
        <v>36</v>
      </c>
      <c r="D250" s="94" t="s">
        <v>941</v>
      </c>
      <c r="E250" s="94" t="s">
        <v>942</v>
      </c>
      <c r="F250" s="130" t="s">
        <v>943</v>
      </c>
      <c r="G250" s="96" t="s">
        <v>58</v>
      </c>
      <c r="H250" s="97">
        <v>16076</v>
      </c>
      <c r="I250" s="94" t="s">
        <v>58</v>
      </c>
      <c r="J250" s="94" t="s">
        <v>944</v>
      </c>
      <c r="K250" s="91">
        <v>977604404</v>
      </c>
      <c r="L250" s="91" t="s">
        <v>60</v>
      </c>
      <c r="M250" s="98">
        <f ca="1">(TODAY()-H250)/365</f>
        <v>81.989041095890414</v>
      </c>
      <c r="N250" s="95" t="s">
        <v>58</v>
      </c>
      <c r="O250" s="98" t="e">
        <f ca="1">(TODAY()-G250)/365</f>
        <v>#VALUE!</v>
      </c>
      <c r="P250" s="91" t="s">
        <v>43</v>
      </c>
      <c r="Q250" s="91">
        <v>0</v>
      </c>
      <c r="R250" s="91">
        <v>0</v>
      </c>
      <c r="S250" s="91">
        <v>0</v>
      </c>
      <c r="T250" s="91"/>
      <c r="U250" s="91"/>
      <c r="V250" s="91"/>
      <c r="W250" s="91"/>
      <c r="X250" s="91"/>
      <c r="Y250" s="91"/>
      <c r="Z250" s="91"/>
      <c r="AA250" s="91"/>
      <c r="AB250" s="91"/>
      <c r="AC250" s="91"/>
      <c r="AD250" s="91"/>
      <c r="AE250" s="91"/>
      <c r="AF250" s="91"/>
      <c r="AG250" s="91"/>
      <c r="AH250" s="91"/>
      <c r="AI250" s="91"/>
      <c r="AJ250" s="91"/>
      <c r="AK250" s="91"/>
      <c r="AL250" s="91"/>
      <c r="AM250" s="91"/>
    </row>
    <row r="251" spans="1:39" ht="20.25" hidden="1" customHeight="1">
      <c r="A251" s="91"/>
      <c r="B251" s="93" t="s">
        <v>879</v>
      </c>
      <c r="C251" s="91" t="s">
        <v>36</v>
      </c>
      <c r="D251" s="94" t="s">
        <v>945</v>
      </c>
      <c r="E251" s="94" t="s">
        <v>946</v>
      </c>
      <c r="F251" s="130" t="s">
        <v>947</v>
      </c>
      <c r="G251" s="96" t="s">
        <v>58</v>
      </c>
      <c r="H251" s="97">
        <v>23722</v>
      </c>
      <c r="I251" s="94" t="s">
        <v>58</v>
      </c>
      <c r="J251" s="94" t="s">
        <v>948</v>
      </c>
      <c r="K251" s="91">
        <v>966365530</v>
      </c>
      <c r="L251" s="91" t="s">
        <v>66</v>
      </c>
      <c r="M251" s="98">
        <f ca="1">(TODAY()-H251)/365</f>
        <v>61.041095890410958</v>
      </c>
      <c r="N251" s="95" t="s">
        <v>58</v>
      </c>
      <c r="O251" s="98" t="e">
        <f ca="1">(TODAY()-G251)/365</f>
        <v>#VALUE!</v>
      </c>
      <c r="P251" s="91" t="s">
        <v>43</v>
      </c>
      <c r="Q251" s="91">
        <v>0</v>
      </c>
      <c r="R251" s="91">
        <v>0</v>
      </c>
      <c r="S251" s="91">
        <v>0</v>
      </c>
      <c r="T251" s="91"/>
      <c r="U251" s="91"/>
      <c r="V251" s="91"/>
      <c r="W251" s="91"/>
      <c r="X251" s="91"/>
      <c r="Y251" s="91"/>
      <c r="Z251" s="91"/>
      <c r="AA251" s="91"/>
      <c r="AB251" s="91"/>
      <c r="AC251" s="91"/>
      <c r="AD251" s="91"/>
      <c r="AE251" s="91"/>
      <c r="AF251" s="91"/>
      <c r="AG251" s="91"/>
      <c r="AH251" s="91"/>
      <c r="AI251" s="91"/>
      <c r="AJ251" s="91"/>
      <c r="AK251" s="91"/>
      <c r="AL251" s="91"/>
      <c r="AM251" s="91"/>
    </row>
    <row r="252" spans="1:39" ht="20.25" hidden="1" customHeight="1">
      <c r="A252" s="91"/>
      <c r="B252" s="93" t="s">
        <v>879</v>
      </c>
      <c r="C252" s="91" t="s">
        <v>36</v>
      </c>
      <c r="D252" s="94" t="s">
        <v>949</v>
      </c>
      <c r="E252" s="94" t="s">
        <v>950</v>
      </c>
      <c r="F252" s="130" t="s">
        <v>951</v>
      </c>
      <c r="G252" s="96" t="s">
        <v>58</v>
      </c>
      <c r="H252" s="97">
        <v>25290</v>
      </c>
      <c r="I252" s="94" t="s">
        <v>58</v>
      </c>
      <c r="J252" s="94" t="s">
        <v>952</v>
      </c>
      <c r="K252" s="91">
        <v>983569822</v>
      </c>
      <c r="L252" s="91" t="s">
        <v>197</v>
      </c>
      <c r="M252" s="98">
        <f ca="1">(TODAY()-H252)/365</f>
        <v>56.745205479452054</v>
      </c>
      <c r="N252" s="95" t="s">
        <v>58</v>
      </c>
      <c r="O252" s="98" t="e">
        <f ca="1">(TODAY()-G252)/365</f>
        <v>#VALUE!</v>
      </c>
      <c r="P252" s="91" t="s">
        <v>43</v>
      </c>
      <c r="Q252" s="91">
        <v>0</v>
      </c>
      <c r="R252" s="91">
        <v>0</v>
      </c>
      <c r="S252" s="91">
        <v>0</v>
      </c>
      <c r="T252" s="91"/>
      <c r="U252" s="91"/>
      <c r="V252" s="91"/>
      <c r="W252" s="91"/>
      <c r="X252" s="91"/>
      <c r="Y252" s="91"/>
      <c r="Z252" s="91"/>
      <c r="AA252" s="91"/>
      <c r="AB252" s="91"/>
      <c r="AC252" s="91"/>
      <c r="AD252" s="91"/>
      <c r="AE252" s="91"/>
      <c r="AF252" s="91"/>
      <c r="AG252" s="91"/>
      <c r="AH252" s="91"/>
      <c r="AI252" s="91"/>
      <c r="AJ252" s="91"/>
      <c r="AK252" s="91"/>
      <c r="AL252" s="91"/>
      <c r="AM252" s="91"/>
    </row>
    <row r="253" spans="1:39" ht="20.25" hidden="1" customHeight="1">
      <c r="A253" s="91"/>
      <c r="B253" s="93" t="s">
        <v>879</v>
      </c>
      <c r="C253" s="91" t="s">
        <v>36</v>
      </c>
      <c r="D253" s="94" t="s">
        <v>953</v>
      </c>
      <c r="E253" s="94" t="s">
        <v>954</v>
      </c>
      <c r="F253" s="130" t="s">
        <v>955</v>
      </c>
      <c r="G253" s="96" t="s">
        <v>58</v>
      </c>
      <c r="H253" s="97">
        <v>15909</v>
      </c>
      <c r="I253" s="94" t="s">
        <v>58</v>
      </c>
      <c r="J253" s="94" t="s">
        <v>956</v>
      </c>
      <c r="K253" s="91">
        <v>958837708</v>
      </c>
      <c r="L253" s="91" t="s">
        <v>60</v>
      </c>
      <c r="M253" s="98">
        <f ca="1">(TODAY()-H253)/365</f>
        <v>82.446575342465749</v>
      </c>
      <c r="N253" s="95" t="s">
        <v>58</v>
      </c>
      <c r="O253" s="98" t="e">
        <f ca="1">(TODAY()-G253)/365</f>
        <v>#VALUE!</v>
      </c>
      <c r="P253" s="91" t="s">
        <v>43</v>
      </c>
      <c r="Q253" s="91">
        <v>0</v>
      </c>
      <c r="R253" s="91">
        <v>0</v>
      </c>
      <c r="S253" s="91">
        <v>0</v>
      </c>
      <c r="T253" s="91"/>
      <c r="U253" s="91"/>
      <c r="V253" s="91"/>
      <c r="W253" s="91"/>
      <c r="X253" s="91"/>
      <c r="Y253" s="91"/>
      <c r="Z253" s="91"/>
      <c r="AA253" s="91"/>
      <c r="AB253" s="91"/>
      <c r="AC253" s="91"/>
      <c r="AD253" s="91"/>
      <c r="AE253" s="91"/>
      <c r="AF253" s="91"/>
      <c r="AG253" s="91"/>
      <c r="AH253" s="91"/>
      <c r="AI253" s="91"/>
      <c r="AJ253" s="91"/>
      <c r="AK253" s="91"/>
      <c r="AL253" s="91"/>
      <c r="AM253" s="91"/>
    </row>
    <row r="254" spans="1:39" ht="20.25" hidden="1" customHeight="1">
      <c r="A254" s="91"/>
      <c r="B254" s="93" t="s">
        <v>879</v>
      </c>
      <c r="C254" s="91" t="s">
        <v>36</v>
      </c>
      <c r="D254" s="94" t="s">
        <v>957</v>
      </c>
      <c r="E254" s="94" t="s">
        <v>958</v>
      </c>
      <c r="F254" s="130" t="s">
        <v>959</v>
      </c>
      <c r="G254" s="96" t="s">
        <v>58</v>
      </c>
      <c r="H254" s="97">
        <v>19730</v>
      </c>
      <c r="I254" s="94" t="s">
        <v>58</v>
      </c>
      <c r="J254" s="94" t="s">
        <v>960</v>
      </c>
      <c r="K254" s="91">
        <v>930183230</v>
      </c>
      <c r="L254" s="91" t="s">
        <v>60</v>
      </c>
      <c r="M254" s="98">
        <f ca="1">(TODAY()-H254)/365</f>
        <v>71.978082191780828</v>
      </c>
      <c r="N254" s="95" t="s">
        <v>58</v>
      </c>
      <c r="O254" s="98" t="e">
        <f ca="1">(TODAY()-G254)/365</f>
        <v>#VALUE!</v>
      </c>
      <c r="P254" s="91" t="s">
        <v>43</v>
      </c>
      <c r="Q254" s="91">
        <v>0</v>
      </c>
      <c r="R254" s="91">
        <v>0</v>
      </c>
      <c r="S254" s="91">
        <v>0</v>
      </c>
      <c r="T254" s="91"/>
      <c r="U254" s="91"/>
      <c r="V254" s="91"/>
      <c r="W254" s="91"/>
      <c r="X254" s="91"/>
      <c r="Y254" s="91"/>
      <c r="Z254" s="91"/>
      <c r="AA254" s="91"/>
      <c r="AB254" s="91"/>
      <c r="AC254" s="91"/>
      <c r="AD254" s="91"/>
      <c r="AE254" s="91"/>
      <c r="AF254" s="91"/>
      <c r="AG254" s="91"/>
      <c r="AH254" s="91"/>
      <c r="AI254" s="91"/>
      <c r="AJ254" s="91"/>
      <c r="AK254" s="91"/>
      <c r="AL254" s="91"/>
      <c r="AM254" s="91"/>
    </row>
    <row r="255" spans="1:39" ht="20.25" customHeight="1">
      <c r="A255" s="91"/>
      <c r="B255" s="93" t="s">
        <v>7126</v>
      </c>
      <c r="C255" s="91" t="s">
        <v>73</v>
      </c>
      <c r="D255" s="94" t="s">
        <v>7127</v>
      </c>
      <c r="E255" s="94" t="s">
        <v>7128</v>
      </c>
      <c r="F255" s="95" t="s">
        <v>7129</v>
      </c>
      <c r="G255" s="96">
        <v>38828</v>
      </c>
      <c r="H255" s="96">
        <v>31915</v>
      </c>
      <c r="I255" s="108" t="s">
        <v>12529</v>
      </c>
      <c r="J255" s="94" t="s">
        <v>7130</v>
      </c>
      <c r="K255" s="95" t="s">
        <v>58</v>
      </c>
      <c r="L255" s="91" t="s">
        <v>60</v>
      </c>
      <c r="M255" s="98">
        <f ca="1">(TODAY()-H255)/365</f>
        <v>38.594520547945208</v>
      </c>
      <c r="N255" s="99">
        <f>(G255-H255)/365</f>
        <v>18.93972602739726</v>
      </c>
      <c r="O255" s="98">
        <f ca="1">(TODAY()-G255)/365</f>
        <v>19.654794520547945</v>
      </c>
      <c r="P255" s="91" t="s">
        <v>272</v>
      </c>
      <c r="Q255" s="91">
        <v>0</v>
      </c>
      <c r="R255" s="91">
        <v>0</v>
      </c>
      <c r="S255" s="91">
        <v>0</v>
      </c>
      <c r="T255" s="91"/>
      <c r="U255" s="91"/>
      <c r="V255" s="91"/>
      <c r="W255" s="91"/>
      <c r="X255" s="91"/>
      <c r="Y255" s="91"/>
      <c r="Z255" s="91"/>
      <c r="AA255" s="91"/>
      <c r="AB255" s="91"/>
      <c r="AC255" s="91"/>
      <c r="AD255" s="91"/>
      <c r="AE255" s="91"/>
      <c r="AF255" s="91"/>
      <c r="AG255" s="91"/>
      <c r="AH255" s="91"/>
      <c r="AI255" s="91"/>
      <c r="AJ255" s="91"/>
      <c r="AK255" s="91"/>
      <c r="AL255" s="91"/>
      <c r="AM255" s="91"/>
    </row>
    <row r="256" spans="1:39" ht="20.25" customHeight="1">
      <c r="A256" s="91"/>
      <c r="B256" s="93" t="s">
        <v>8990</v>
      </c>
      <c r="C256" s="91" t="s">
        <v>73</v>
      </c>
      <c r="D256" s="94" t="s">
        <v>4623</v>
      </c>
      <c r="E256" s="94" t="s">
        <v>9061</v>
      </c>
      <c r="F256" s="95" t="s">
        <v>9062</v>
      </c>
      <c r="G256" s="96">
        <v>45234</v>
      </c>
      <c r="H256" s="97">
        <v>25427</v>
      </c>
      <c r="I256" s="94" t="s">
        <v>58</v>
      </c>
      <c r="J256" s="94" t="s">
        <v>58</v>
      </c>
      <c r="K256" s="95" t="s">
        <v>58</v>
      </c>
      <c r="L256" s="91" t="s">
        <v>60</v>
      </c>
      <c r="M256" s="98">
        <f ca="1">(TODAY()-H256)/365</f>
        <v>56.369863013698627</v>
      </c>
      <c r="N256" s="99">
        <f>(G256-H256)/365</f>
        <v>54.265753424657532</v>
      </c>
      <c r="O256" s="98">
        <f ca="1">(TODAY()-G256)/365</f>
        <v>2.1041095890410957</v>
      </c>
      <c r="P256" s="91" t="s">
        <v>43</v>
      </c>
      <c r="Q256" s="91">
        <v>0</v>
      </c>
      <c r="R256" s="91">
        <v>0</v>
      </c>
      <c r="S256" s="91">
        <v>0</v>
      </c>
      <c r="T256" s="91"/>
      <c r="U256" s="91"/>
      <c r="V256" s="91"/>
      <c r="W256" s="91"/>
      <c r="X256" s="91"/>
      <c r="Y256" s="91"/>
      <c r="Z256" s="91"/>
      <c r="AA256" s="91"/>
      <c r="AB256" s="91"/>
      <c r="AC256" s="91"/>
      <c r="AD256" s="91"/>
      <c r="AE256" s="91"/>
      <c r="AF256" s="91"/>
      <c r="AG256" s="91"/>
      <c r="AH256" s="91"/>
      <c r="AI256" s="91"/>
      <c r="AJ256" s="91"/>
      <c r="AK256" s="91"/>
      <c r="AL256" s="91"/>
      <c r="AM256" s="91"/>
    </row>
    <row r="257" spans="1:39" ht="20.25" customHeight="1">
      <c r="A257" s="91"/>
      <c r="B257" s="93" t="s">
        <v>7126</v>
      </c>
      <c r="C257" s="91" t="s">
        <v>73</v>
      </c>
      <c r="D257" s="94" t="s">
        <v>7170</v>
      </c>
      <c r="E257" s="94" t="s">
        <v>7171</v>
      </c>
      <c r="F257" s="95" t="s">
        <v>7156</v>
      </c>
      <c r="G257" s="96">
        <v>43548</v>
      </c>
      <c r="H257" s="97">
        <v>32443</v>
      </c>
      <c r="I257" s="94" t="s">
        <v>58</v>
      </c>
      <c r="J257" s="94" t="s">
        <v>58</v>
      </c>
      <c r="K257" s="95" t="s">
        <v>58</v>
      </c>
      <c r="L257" s="91" t="s">
        <v>60</v>
      </c>
      <c r="M257" s="98">
        <f ca="1">(TODAY()-H257)/365</f>
        <v>37.147945205479452</v>
      </c>
      <c r="N257" s="99">
        <f>(G257-H257)/365</f>
        <v>30.424657534246574</v>
      </c>
      <c r="O257" s="98">
        <f ca="1">(TODAY()-G257)/365</f>
        <v>6.7232876712328764</v>
      </c>
      <c r="P257" s="91" t="s">
        <v>43</v>
      </c>
      <c r="Q257" s="91">
        <v>0</v>
      </c>
      <c r="R257" s="91">
        <v>0</v>
      </c>
      <c r="S257" s="91">
        <v>0</v>
      </c>
      <c r="T257" s="91"/>
      <c r="U257" s="91"/>
      <c r="V257" s="91"/>
      <c r="W257" s="91"/>
      <c r="X257" s="91"/>
      <c r="Y257" s="91"/>
      <c r="Z257" s="91"/>
      <c r="AA257" s="91"/>
      <c r="AB257" s="91"/>
      <c r="AC257" s="91"/>
      <c r="AD257" s="91"/>
      <c r="AE257" s="91"/>
      <c r="AF257" s="91"/>
      <c r="AG257" s="91"/>
      <c r="AH257" s="91"/>
      <c r="AI257" s="91"/>
      <c r="AJ257" s="91"/>
      <c r="AK257" s="91"/>
      <c r="AL257" s="91"/>
      <c r="AM257" s="91"/>
    </row>
    <row r="258" spans="1:39" ht="20.25" customHeight="1">
      <c r="A258" s="91"/>
      <c r="B258" s="93" t="s">
        <v>8287</v>
      </c>
      <c r="C258" s="91" t="s">
        <v>73</v>
      </c>
      <c r="D258" s="94" t="s">
        <v>8328</v>
      </c>
      <c r="E258" s="94" t="s">
        <v>8329</v>
      </c>
      <c r="F258" s="95" t="s">
        <v>8330</v>
      </c>
      <c r="G258" s="96">
        <v>43252</v>
      </c>
      <c r="H258" s="97">
        <v>35198</v>
      </c>
      <c r="I258" s="94" t="s">
        <v>8331</v>
      </c>
      <c r="J258" s="100" t="s">
        <v>58</v>
      </c>
      <c r="K258" s="91" t="s">
        <v>58</v>
      </c>
      <c r="L258" s="91" t="s">
        <v>49</v>
      </c>
      <c r="M258" s="98">
        <f ca="1">(TODAY()-H258)/365</f>
        <v>29.6</v>
      </c>
      <c r="N258" s="99">
        <f>(G258-H258)/365</f>
        <v>22.065753424657533</v>
      </c>
      <c r="O258" s="98">
        <f ca="1">(TODAY()-G258)/365</f>
        <v>7.5342465753424657</v>
      </c>
      <c r="P258" s="91" t="s">
        <v>43</v>
      </c>
      <c r="Q258" s="91">
        <v>0</v>
      </c>
      <c r="R258" s="91">
        <v>0</v>
      </c>
      <c r="S258" s="91">
        <v>1</v>
      </c>
      <c r="T258" s="91"/>
      <c r="U258" s="91"/>
      <c r="V258" s="91"/>
      <c r="W258" s="91"/>
      <c r="X258" s="91"/>
      <c r="Y258" s="91"/>
      <c r="Z258" s="91"/>
      <c r="AA258" s="91"/>
      <c r="AB258" s="91"/>
      <c r="AC258" s="91"/>
      <c r="AD258" s="91"/>
      <c r="AE258" s="91"/>
      <c r="AF258" s="91"/>
      <c r="AG258" s="91"/>
      <c r="AH258" s="91"/>
      <c r="AI258" s="91"/>
      <c r="AJ258" s="91"/>
      <c r="AK258" s="91"/>
      <c r="AL258" s="91"/>
      <c r="AM258" s="91"/>
    </row>
    <row r="259" spans="1:39" ht="20.25" hidden="1" customHeight="1">
      <c r="A259" s="91"/>
      <c r="B259" s="93" t="s">
        <v>973</v>
      </c>
      <c r="C259" s="91" t="s">
        <v>36</v>
      </c>
      <c r="D259" s="94" t="s">
        <v>974</v>
      </c>
      <c r="E259" s="94" t="s">
        <v>975</v>
      </c>
      <c r="F259" s="95" t="s">
        <v>58</v>
      </c>
      <c r="G259" s="96">
        <v>32766</v>
      </c>
      <c r="H259" s="97">
        <v>24777</v>
      </c>
      <c r="I259" s="94" t="s">
        <v>58</v>
      </c>
      <c r="J259" s="94" t="s">
        <v>976</v>
      </c>
      <c r="K259" s="95">
        <v>37539374</v>
      </c>
      <c r="L259" s="91" t="s">
        <v>60</v>
      </c>
      <c r="M259" s="98">
        <f ca="1">(TODAY()-H259)/365</f>
        <v>58.150684931506852</v>
      </c>
      <c r="N259" s="99">
        <f>(G259-H259)/365</f>
        <v>21.887671232876713</v>
      </c>
      <c r="O259" s="98">
        <f ca="1">(TODAY()-G259)/365</f>
        <v>36.263013698630139</v>
      </c>
      <c r="P259" s="91" t="s">
        <v>43</v>
      </c>
      <c r="Q259" s="91">
        <v>0</v>
      </c>
      <c r="R259" s="91">
        <v>0</v>
      </c>
      <c r="S259" s="91">
        <v>0</v>
      </c>
      <c r="T259" s="91"/>
      <c r="U259" s="91"/>
      <c r="V259" s="91"/>
      <c r="W259" s="91"/>
      <c r="X259" s="91"/>
      <c r="Y259" s="91"/>
      <c r="Z259" s="91"/>
      <c r="AA259" s="91"/>
      <c r="AB259" s="91"/>
      <c r="AC259" s="91"/>
      <c r="AD259" s="91"/>
      <c r="AE259" s="91"/>
      <c r="AF259" s="91"/>
      <c r="AG259" s="91"/>
      <c r="AH259" s="91"/>
      <c r="AI259" s="91"/>
      <c r="AJ259" s="91"/>
      <c r="AK259" s="91"/>
      <c r="AL259" s="91"/>
      <c r="AM259" s="91"/>
    </row>
    <row r="260" spans="1:39" ht="20.25" hidden="1" customHeight="1">
      <c r="A260" s="91"/>
      <c r="B260" s="93" t="s">
        <v>973</v>
      </c>
      <c r="C260" s="91" t="s">
        <v>36</v>
      </c>
      <c r="D260" s="94" t="s">
        <v>977</v>
      </c>
      <c r="E260" s="94" t="s">
        <v>978</v>
      </c>
      <c r="F260" s="95" t="s">
        <v>979</v>
      </c>
      <c r="G260" s="96">
        <v>44535</v>
      </c>
      <c r="H260" s="97">
        <v>32253</v>
      </c>
      <c r="I260" s="94" t="s">
        <v>58</v>
      </c>
      <c r="J260" s="94" t="s">
        <v>980</v>
      </c>
      <c r="K260" s="95">
        <v>67418413</v>
      </c>
      <c r="L260" s="91" t="s">
        <v>60</v>
      </c>
      <c r="M260" s="98">
        <f ca="1">(TODAY()-H260)/365</f>
        <v>37.668493150684931</v>
      </c>
      <c r="N260" s="99">
        <f>(G260-H260)/365</f>
        <v>33.649315068493152</v>
      </c>
      <c r="O260" s="98">
        <f ca="1">(TODAY()-G260)/365</f>
        <v>4.0191780821917806</v>
      </c>
      <c r="P260" s="91" t="s">
        <v>43</v>
      </c>
      <c r="Q260" s="91">
        <v>0</v>
      </c>
      <c r="R260" s="91">
        <v>0</v>
      </c>
      <c r="S260" s="91">
        <v>0</v>
      </c>
      <c r="T260" s="91"/>
      <c r="U260" s="91"/>
      <c r="V260" s="91"/>
      <c r="W260" s="91"/>
      <c r="X260" s="91"/>
      <c r="Y260" s="91"/>
      <c r="Z260" s="91"/>
      <c r="AA260" s="91"/>
      <c r="AB260" s="91"/>
      <c r="AC260" s="91"/>
      <c r="AD260" s="91"/>
      <c r="AE260" s="91"/>
      <c r="AF260" s="91"/>
      <c r="AG260" s="91"/>
      <c r="AH260" s="91"/>
      <c r="AI260" s="91"/>
      <c r="AJ260" s="91"/>
      <c r="AK260" s="91"/>
      <c r="AL260" s="91"/>
      <c r="AM260" s="91"/>
    </row>
    <row r="261" spans="1:39" ht="20.25" hidden="1" customHeight="1">
      <c r="A261" s="91"/>
      <c r="B261" s="93" t="s">
        <v>973</v>
      </c>
      <c r="C261" s="91" t="s">
        <v>36</v>
      </c>
      <c r="D261" s="94" t="s">
        <v>981</v>
      </c>
      <c r="E261" s="94" t="s">
        <v>982</v>
      </c>
      <c r="F261" s="95" t="s">
        <v>983</v>
      </c>
      <c r="G261" s="96">
        <v>38640</v>
      </c>
      <c r="H261" s="97">
        <v>24715</v>
      </c>
      <c r="I261" s="94" t="s">
        <v>58</v>
      </c>
      <c r="J261" s="94" t="s">
        <v>984</v>
      </c>
      <c r="K261" s="95">
        <v>90995225</v>
      </c>
      <c r="L261" s="91" t="s">
        <v>60</v>
      </c>
      <c r="M261" s="98">
        <f ca="1">(TODAY()-H261)/365</f>
        <v>58.320547945205476</v>
      </c>
      <c r="N261" s="99">
        <f>(G261-H261)/365</f>
        <v>38.150684931506852</v>
      </c>
      <c r="O261" s="98">
        <f ca="1">(TODAY()-G261)/365</f>
        <v>20.169863013698631</v>
      </c>
      <c r="P261" s="91" t="s">
        <v>43</v>
      </c>
      <c r="Q261" s="91">
        <v>0</v>
      </c>
      <c r="R261" s="91">
        <v>0</v>
      </c>
      <c r="S261" s="91">
        <v>0</v>
      </c>
      <c r="T261" s="91"/>
      <c r="U261" s="91"/>
      <c r="V261" s="91"/>
      <c r="W261" s="91"/>
      <c r="X261" s="91"/>
      <c r="Y261" s="91"/>
      <c r="Z261" s="91"/>
      <c r="AA261" s="91"/>
      <c r="AB261" s="91"/>
      <c r="AC261" s="91"/>
      <c r="AD261" s="91"/>
      <c r="AE261" s="91"/>
      <c r="AF261" s="91"/>
      <c r="AG261" s="91"/>
      <c r="AH261" s="91"/>
      <c r="AI261" s="91"/>
      <c r="AJ261" s="91"/>
      <c r="AK261" s="91"/>
      <c r="AL261" s="91"/>
      <c r="AM261" s="91"/>
    </row>
    <row r="262" spans="1:39" ht="20.25" hidden="1" customHeight="1">
      <c r="A262" s="91"/>
      <c r="B262" s="93" t="s">
        <v>973</v>
      </c>
      <c r="C262" s="91" t="s">
        <v>36</v>
      </c>
      <c r="D262" s="94" t="s">
        <v>985</v>
      </c>
      <c r="E262" s="94" t="s">
        <v>986</v>
      </c>
      <c r="F262" s="95" t="s">
        <v>987</v>
      </c>
      <c r="G262" s="96">
        <v>39336</v>
      </c>
      <c r="H262" s="97">
        <v>24729</v>
      </c>
      <c r="I262" s="94" t="s">
        <v>58</v>
      </c>
      <c r="J262" s="94" t="s">
        <v>988</v>
      </c>
      <c r="K262" s="95">
        <v>34528959</v>
      </c>
      <c r="L262" s="91" t="s">
        <v>49</v>
      </c>
      <c r="M262" s="98">
        <f ca="1">(TODAY()-H262)/365</f>
        <v>58.282191780821918</v>
      </c>
      <c r="N262" s="99">
        <f>(G262-H262)/365</f>
        <v>40.019178082191779</v>
      </c>
      <c r="O262" s="98">
        <f ca="1">(TODAY()-G262)/365</f>
        <v>18.263013698630136</v>
      </c>
      <c r="P262" s="91" t="s">
        <v>43</v>
      </c>
      <c r="Q262" s="91">
        <v>0</v>
      </c>
      <c r="R262" s="91">
        <v>0</v>
      </c>
      <c r="S262" s="91">
        <v>0</v>
      </c>
      <c r="T262" s="91"/>
      <c r="U262" s="91"/>
      <c r="V262" s="91"/>
      <c r="W262" s="91"/>
      <c r="X262" s="91"/>
      <c r="Y262" s="91"/>
      <c r="Z262" s="91"/>
      <c r="AA262" s="91"/>
      <c r="AB262" s="91"/>
      <c r="AC262" s="91"/>
      <c r="AD262" s="91"/>
      <c r="AE262" s="91"/>
      <c r="AF262" s="91"/>
      <c r="AG262" s="91"/>
      <c r="AH262" s="91"/>
      <c r="AI262" s="91"/>
      <c r="AJ262" s="91"/>
      <c r="AK262" s="91"/>
      <c r="AL262" s="91"/>
      <c r="AM262" s="91"/>
    </row>
    <row r="263" spans="1:39" ht="20.25" hidden="1" customHeight="1">
      <c r="A263" s="91"/>
      <c r="B263" s="93" t="s">
        <v>973</v>
      </c>
      <c r="C263" s="91" t="s">
        <v>36</v>
      </c>
      <c r="D263" s="94" t="s">
        <v>989</v>
      </c>
      <c r="E263" s="94" t="s">
        <v>990</v>
      </c>
      <c r="F263" s="95" t="s">
        <v>991</v>
      </c>
      <c r="G263" s="96">
        <v>38640</v>
      </c>
      <c r="H263" s="97">
        <v>23433</v>
      </c>
      <c r="I263" s="94" t="s">
        <v>58</v>
      </c>
      <c r="J263" s="94" t="s">
        <v>992</v>
      </c>
      <c r="K263" s="95">
        <v>97710238</v>
      </c>
      <c r="L263" s="91" t="s">
        <v>42</v>
      </c>
      <c r="M263" s="98">
        <f ca="1">(TODAY()-H263)/365</f>
        <v>61.832876712328769</v>
      </c>
      <c r="N263" s="99">
        <f>(G263-H263)/365</f>
        <v>41.663013698630138</v>
      </c>
      <c r="O263" s="98">
        <f ca="1">(TODAY()-G263)/365</f>
        <v>20.169863013698631</v>
      </c>
      <c r="P263" s="91" t="s">
        <v>43</v>
      </c>
      <c r="Q263" s="91">
        <v>0</v>
      </c>
      <c r="R263" s="91">
        <v>0</v>
      </c>
      <c r="S263" s="91">
        <v>0</v>
      </c>
      <c r="T263" s="91"/>
      <c r="U263" s="91"/>
      <c r="V263" s="91"/>
      <c r="W263" s="91"/>
      <c r="X263" s="91"/>
      <c r="Y263" s="91"/>
      <c r="Z263" s="91"/>
      <c r="AA263" s="91"/>
      <c r="AB263" s="91"/>
      <c r="AC263" s="91"/>
      <c r="AD263" s="91"/>
      <c r="AE263" s="91"/>
      <c r="AF263" s="91"/>
      <c r="AG263" s="91"/>
      <c r="AH263" s="91"/>
      <c r="AI263" s="91"/>
      <c r="AJ263" s="91"/>
      <c r="AK263" s="91"/>
      <c r="AL263" s="91"/>
      <c r="AM263" s="91"/>
    </row>
    <row r="264" spans="1:39" ht="20.25" hidden="1" customHeight="1">
      <c r="A264" s="91"/>
      <c r="B264" s="93" t="s">
        <v>973</v>
      </c>
      <c r="C264" s="91" t="s">
        <v>36</v>
      </c>
      <c r="D264" s="94" t="s">
        <v>993</v>
      </c>
      <c r="E264" s="94" t="s">
        <v>994</v>
      </c>
      <c r="F264" s="95" t="s">
        <v>995</v>
      </c>
      <c r="G264" s="96">
        <v>38107</v>
      </c>
      <c r="H264" s="97">
        <v>22834</v>
      </c>
      <c r="I264" s="94" t="s">
        <v>58</v>
      </c>
      <c r="J264" s="94" t="s">
        <v>996</v>
      </c>
      <c r="K264" s="95">
        <v>84929638</v>
      </c>
      <c r="L264" s="91" t="s">
        <v>197</v>
      </c>
      <c r="M264" s="98">
        <f ca="1">(TODAY()-H264)/365</f>
        <v>63.473972602739728</v>
      </c>
      <c r="N264" s="99">
        <f>(G264-H264)/365</f>
        <v>41.843835616438355</v>
      </c>
      <c r="O264" s="98">
        <f ca="1">(TODAY()-G264)/365</f>
        <v>21.63013698630137</v>
      </c>
      <c r="P264" s="91" t="s">
        <v>272</v>
      </c>
      <c r="Q264" s="91">
        <v>0</v>
      </c>
      <c r="R264" s="91">
        <v>0</v>
      </c>
      <c r="S264" s="91">
        <v>0</v>
      </c>
      <c r="T264" s="91"/>
      <c r="U264" s="91"/>
      <c r="V264" s="91"/>
      <c r="W264" s="91"/>
      <c r="X264" s="91"/>
      <c r="Y264" s="91"/>
      <c r="Z264" s="91"/>
      <c r="AA264" s="91"/>
      <c r="AB264" s="91"/>
      <c r="AC264" s="91"/>
      <c r="AD264" s="91"/>
      <c r="AE264" s="91"/>
      <c r="AF264" s="91"/>
      <c r="AG264" s="91"/>
      <c r="AH264" s="91"/>
      <c r="AI264" s="91"/>
      <c r="AJ264" s="91"/>
      <c r="AK264" s="91"/>
      <c r="AL264" s="91"/>
      <c r="AM264" s="91"/>
    </row>
    <row r="265" spans="1:39" ht="20.25" hidden="1" customHeight="1">
      <c r="A265" s="91"/>
      <c r="B265" s="93" t="s">
        <v>973</v>
      </c>
      <c r="C265" s="91" t="s">
        <v>36</v>
      </c>
      <c r="D265" s="94" t="s">
        <v>997</v>
      </c>
      <c r="E265" s="94" t="s">
        <v>998</v>
      </c>
      <c r="F265" s="95" t="s">
        <v>999</v>
      </c>
      <c r="G265" s="96">
        <v>45362</v>
      </c>
      <c r="H265" s="97">
        <v>28073</v>
      </c>
      <c r="I265" s="94" t="s">
        <v>58</v>
      </c>
      <c r="J265" s="94" t="s">
        <v>1000</v>
      </c>
      <c r="K265" s="95">
        <v>75632489</v>
      </c>
      <c r="L265" s="91" t="s">
        <v>60</v>
      </c>
      <c r="M265" s="98">
        <f ca="1">(TODAY()-H265)/365</f>
        <v>49.12054794520548</v>
      </c>
      <c r="N265" s="99">
        <f>(G265-H265)/365</f>
        <v>47.367123287671234</v>
      </c>
      <c r="O265" s="98">
        <f ca="1">(TODAY()-G265)/365</f>
        <v>1.7534246575342465</v>
      </c>
      <c r="P265" s="91" t="s">
        <v>43</v>
      </c>
      <c r="Q265" s="91">
        <v>0</v>
      </c>
      <c r="R265" s="91">
        <v>0</v>
      </c>
      <c r="S265" s="91">
        <v>0</v>
      </c>
      <c r="T265" s="91"/>
      <c r="U265" s="91"/>
      <c r="V265" s="91"/>
      <c r="W265" s="91"/>
      <c r="X265" s="91"/>
      <c r="Y265" s="91"/>
      <c r="Z265" s="91"/>
      <c r="AA265" s="91"/>
      <c r="AB265" s="91"/>
      <c r="AC265" s="91"/>
      <c r="AD265" s="91"/>
      <c r="AE265" s="91"/>
      <c r="AF265" s="91"/>
      <c r="AG265" s="91"/>
      <c r="AH265" s="91"/>
      <c r="AI265" s="91"/>
      <c r="AJ265" s="91"/>
      <c r="AK265" s="91"/>
      <c r="AL265" s="91"/>
      <c r="AM265" s="91"/>
    </row>
    <row r="266" spans="1:39" ht="20.25" hidden="1" customHeight="1">
      <c r="A266" s="91"/>
      <c r="B266" s="93" t="s">
        <v>973</v>
      </c>
      <c r="C266" s="91" t="s">
        <v>36</v>
      </c>
      <c r="D266" s="94" t="s">
        <v>1001</v>
      </c>
      <c r="E266" s="94" t="s">
        <v>1002</v>
      </c>
      <c r="F266" s="95" t="s">
        <v>1003</v>
      </c>
      <c r="G266" s="96">
        <v>41722</v>
      </c>
      <c r="H266" s="97">
        <v>24277</v>
      </c>
      <c r="I266" s="94" t="s">
        <v>58</v>
      </c>
      <c r="J266" s="94" t="s">
        <v>1004</v>
      </c>
      <c r="K266" s="95">
        <v>96324956</v>
      </c>
      <c r="L266" s="91" t="s">
        <v>72</v>
      </c>
      <c r="M266" s="98">
        <f ca="1">(TODAY()-H266)/365</f>
        <v>59.520547945205479</v>
      </c>
      <c r="N266" s="99">
        <f>(G266-H266)/365</f>
        <v>47.794520547945204</v>
      </c>
      <c r="O266" s="98">
        <f ca="1">(TODAY()-G266)/365</f>
        <v>11.726027397260275</v>
      </c>
      <c r="P266" s="91" t="s">
        <v>43</v>
      </c>
      <c r="Q266" s="91">
        <v>0</v>
      </c>
      <c r="R266" s="91">
        <v>0</v>
      </c>
      <c r="S266" s="91">
        <v>0</v>
      </c>
      <c r="T266" s="91"/>
      <c r="U266" s="91"/>
      <c r="V266" s="91"/>
      <c r="W266" s="91"/>
      <c r="X266" s="91"/>
      <c r="Y266" s="91"/>
      <c r="Z266" s="91"/>
      <c r="AA266" s="91"/>
      <c r="AB266" s="91"/>
      <c r="AC266" s="91"/>
      <c r="AD266" s="91"/>
      <c r="AE266" s="91"/>
      <c r="AF266" s="91"/>
      <c r="AG266" s="91"/>
      <c r="AH266" s="91"/>
      <c r="AI266" s="91"/>
      <c r="AJ266" s="91"/>
      <c r="AK266" s="91"/>
      <c r="AL266" s="91"/>
      <c r="AM266" s="91"/>
    </row>
    <row r="267" spans="1:39" ht="20.25" hidden="1" customHeight="1">
      <c r="A267" s="91"/>
      <c r="B267" s="93" t="s">
        <v>973</v>
      </c>
      <c r="C267" s="91" t="s">
        <v>36</v>
      </c>
      <c r="D267" s="94" t="s">
        <v>1005</v>
      </c>
      <c r="E267" s="94" t="s">
        <v>1006</v>
      </c>
      <c r="F267" s="95" t="s">
        <v>1007</v>
      </c>
      <c r="G267" s="96">
        <v>45377</v>
      </c>
      <c r="H267" s="97">
        <v>27856</v>
      </c>
      <c r="I267" s="94" t="s">
        <v>58</v>
      </c>
      <c r="J267" s="94" t="s">
        <v>1008</v>
      </c>
      <c r="K267" s="95">
        <v>34400477</v>
      </c>
      <c r="L267" s="91" t="s">
        <v>60</v>
      </c>
      <c r="M267" s="98">
        <f ca="1">(TODAY()-H267)/365</f>
        <v>49.715068493150682</v>
      </c>
      <c r="N267" s="99">
        <f>(G267-H267)/365</f>
        <v>48.0027397260274</v>
      </c>
      <c r="O267" s="98">
        <f ca="1">(TODAY()-G267)/365</f>
        <v>1.7123287671232876</v>
      </c>
      <c r="P267" s="91" t="s">
        <v>43</v>
      </c>
      <c r="Q267" s="91">
        <v>0</v>
      </c>
      <c r="R267" s="91">
        <v>0</v>
      </c>
      <c r="S267" s="91">
        <v>0</v>
      </c>
      <c r="T267" s="91"/>
      <c r="U267" s="91"/>
      <c r="V267" s="91"/>
      <c r="W267" s="91"/>
      <c r="X267" s="91"/>
      <c r="Y267" s="91"/>
      <c r="Z267" s="91"/>
      <c r="AA267" s="91"/>
      <c r="AB267" s="91"/>
      <c r="AC267" s="91"/>
      <c r="AD267" s="91"/>
      <c r="AE267" s="91"/>
      <c r="AF267" s="91"/>
      <c r="AG267" s="91"/>
      <c r="AH267" s="91"/>
      <c r="AI267" s="91"/>
      <c r="AJ267" s="91"/>
      <c r="AK267" s="91"/>
      <c r="AL267" s="91"/>
      <c r="AM267" s="91"/>
    </row>
    <row r="268" spans="1:39" ht="20.25" hidden="1" customHeight="1">
      <c r="A268" s="91"/>
      <c r="B268" s="93" t="s">
        <v>973</v>
      </c>
      <c r="C268" s="91" t="s">
        <v>36</v>
      </c>
      <c r="D268" s="94" t="s">
        <v>1009</v>
      </c>
      <c r="E268" s="94" t="s">
        <v>1010</v>
      </c>
      <c r="F268" s="95" t="s">
        <v>1011</v>
      </c>
      <c r="G268" s="96">
        <v>42350</v>
      </c>
      <c r="H268" s="97">
        <v>23644</v>
      </c>
      <c r="I268" s="94" t="s">
        <v>58</v>
      </c>
      <c r="J268" s="110" t="s">
        <v>1012</v>
      </c>
      <c r="K268" s="95">
        <v>58272878</v>
      </c>
      <c r="L268" s="91" t="s">
        <v>151</v>
      </c>
      <c r="M268" s="98">
        <f ca="1">(TODAY()-H268)/365</f>
        <v>61.254794520547946</v>
      </c>
      <c r="N268" s="99">
        <f>(G268-H268)/365</f>
        <v>51.249315068493154</v>
      </c>
      <c r="O268" s="98">
        <f ca="1">(TODAY()-G268)/365</f>
        <v>10.005479452054795</v>
      </c>
      <c r="P268" s="91" t="s">
        <v>43</v>
      </c>
      <c r="Q268" s="91">
        <v>0</v>
      </c>
      <c r="R268" s="91">
        <v>0</v>
      </c>
      <c r="S268" s="91">
        <v>0</v>
      </c>
      <c r="T268" s="91"/>
      <c r="U268" s="91"/>
      <c r="V268" s="91"/>
      <c r="W268" s="91"/>
      <c r="X268" s="91"/>
      <c r="Y268" s="91"/>
      <c r="Z268" s="91"/>
      <c r="AA268" s="91"/>
      <c r="AB268" s="91"/>
      <c r="AC268" s="91"/>
      <c r="AD268" s="91"/>
      <c r="AE268" s="91"/>
      <c r="AF268" s="91"/>
      <c r="AG268" s="91"/>
      <c r="AH268" s="91"/>
      <c r="AI268" s="91"/>
      <c r="AJ268" s="91"/>
      <c r="AK268" s="91"/>
      <c r="AL268" s="91"/>
      <c r="AM268" s="91"/>
    </row>
    <row r="269" spans="1:39" ht="20.25" hidden="1" customHeight="1">
      <c r="A269" s="91"/>
      <c r="B269" s="93" t="s">
        <v>973</v>
      </c>
      <c r="C269" s="91" t="s">
        <v>36</v>
      </c>
      <c r="D269" s="94" t="s">
        <v>1013</v>
      </c>
      <c r="E269" s="94" t="s">
        <v>1014</v>
      </c>
      <c r="F269" s="95" t="s">
        <v>1015</v>
      </c>
      <c r="G269" s="96">
        <v>34774</v>
      </c>
      <c r="H269" s="97">
        <v>15603</v>
      </c>
      <c r="I269" s="94" t="s">
        <v>58</v>
      </c>
      <c r="J269" s="94" t="s">
        <v>1016</v>
      </c>
      <c r="K269" s="95">
        <v>20834084</v>
      </c>
      <c r="L269" s="91" t="s">
        <v>60</v>
      </c>
      <c r="M269" s="98">
        <f ca="1">(TODAY()-H269)/365</f>
        <v>83.284931506849318</v>
      </c>
      <c r="N269" s="99">
        <f>(G269-H269)/365</f>
        <v>52.523287671232879</v>
      </c>
      <c r="O269" s="98">
        <f ca="1">(TODAY()-G269)/365</f>
        <v>30.761643835616439</v>
      </c>
      <c r="P269" s="91" t="s">
        <v>43</v>
      </c>
      <c r="Q269" s="91">
        <v>0</v>
      </c>
      <c r="R269" s="91">
        <v>0</v>
      </c>
      <c r="S269" s="91">
        <v>0</v>
      </c>
      <c r="T269" s="91"/>
      <c r="U269" s="91"/>
      <c r="V269" s="91"/>
      <c r="W269" s="91"/>
      <c r="X269" s="91"/>
      <c r="Y269" s="91"/>
      <c r="Z269" s="91"/>
      <c r="AA269" s="91"/>
      <c r="AB269" s="91"/>
      <c r="AC269" s="91"/>
      <c r="AD269" s="91"/>
      <c r="AE269" s="91"/>
      <c r="AF269" s="91"/>
      <c r="AG269" s="91"/>
      <c r="AH269" s="91"/>
      <c r="AI269" s="91"/>
      <c r="AJ269" s="91"/>
      <c r="AK269" s="91"/>
      <c r="AL269" s="91"/>
      <c r="AM269" s="91"/>
    </row>
    <row r="270" spans="1:39" ht="20.25" hidden="1" customHeight="1">
      <c r="A270" s="91"/>
      <c r="B270" s="93" t="s">
        <v>973</v>
      </c>
      <c r="C270" s="91" t="s">
        <v>36</v>
      </c>
      <c r="D270" s="94" t="s">
        <v>1017</v>
      </c>
      <c r="E270" s="94" t="s">
        <v>1018</v>
      </c>
      <c r="F270" s="95" t="s">
        <v>1019</v>
      </c>
      <c r="G270" s="96">
        <v>44535</v>
      </c>
      <c r="H270" s="97">
        <v>25009</v>
      </c>
      <c r="I270" s="94" t="s">
        <v>58</v>
      </c>
      <c r="J270" s="94" t="s">
        <v>1020</v>
      </c>
      <c r="K270" s="95">
        <v>97524525</v>
      </c>
      <c r="L270" s="91" t="s">
        <v>60</v>
      </c>
      <c r="M270" s="98">
        <f ca="1">(TODAY()-H270)/365</f>
        <v>57.515068493150686</v>
      </c>
      <c r="N270" s="99">
        <f>(G270-H270)/365</f>
        <v>53.495890410958907</v>
      </c>
      <c r="O270" s="98">
        <f ca="1">(TODAY()-G270)/365</f>
        <v>4.0191780821917806</v>
      </c>
      <c r="P270" s="91" t="s">
        <v>43</v>
      </c>
      <c r="Q270" s="91">
        <v>0</v>
      </c>
      <c r="R270" s="91">
        <v>0</v>
      </c>
      <c r="S270" s="91">
        <v>0</v>
      </c>
      <c r="T270" s="91"/>
      <c r="U270" s="91"/>
      <c r="V270" s="91"/>
      <c r="W270" s="91"/>
      <c r="X270" s="91"/>
      <c r="Y270" s="91"/>
      <c r="Z270" s="91"/>
      <c r="AA270" s="91"/>
      <c r="AB270" s="91"/>
      <c r="AC270" s="91"/>
      <c r="AD270" s="91"/>
      <c r="AE270" s="91"/>
      <c r="AF270" s="91"/>
      <c r="AG270" s="91"/>
      <c r="AH270" s="91"/>
      <c r="AI270" s="91"/>
      <c r="AJ270" s="91"/>
      <c r="AK270" s="91"/>
      <c r="AL270" s="91"/>
      <c r="AM270" s="91"/>
    </row>
    <row r="271" spans="1:39" ht="20.25" hidden="1" customHeight="1">
      <c r="A271" s="91"/>
      <c r="B271" s="93" t="s">
        <v>973</v>
      </c>
      <c r="C271" s="91" t="s">
        <v>36</v>
      </c>
      <c r="D271" s="94" t="s">
        <v>1021</v>
      </c>
      <c r="E271" s="94" t="s">
        <v>1022</v>
      </c>
      <c r="F271" s="95" t="s">
        <v>1023</v>
      </c>
      <c r="G271" s="96">
        <v>40430</v>
      </c>
      <c r="H271" s="97">
        <v>20465</v>
      </c>
      <c r="I271" s="94" t="s">
        <v>58</v>
      </c>
      <c r="J271" s="94" t="s">
        <v>1024</v>
      </c>
      <c r="K271" s="95">
        <v>74189928</v>
      </c>
      <c r="L271" s="91" t="s">
        <v>60</v>
      </c>
      <c r="M271" s="98">
        <f ca="1">(TODAY()-H271)/365</f>
        <v>69.964383561643842</v>
      </c>
      <c r="N271" s="99">
        <f>(G271-H271)/365</f>
        <v>54.698630136986303</v>
      </c>
      <c r="O271" s="98">
        <f ca="1">(TODAY()-G271)/365</f>
        <v>15.265753424657534</v>
      </c>
      <c r="P271" s="91" t="s">
        <v>43</v>
      </c>
      <c r="Q271" s="91">
        <v>0</v>
      </c>
      <c r="R271" s="91">
        <v>0</v>
      </c>
      <c r="S271" s="91">
        <v>0</v>
      </c>
      <c r="T271" s="91"/>
      <c r="U271" s="91"/>
      <c r="V271" s="91"/>
      <c r="W271" s="91"/>
      <c r="X271" s="91"/>
      <c r="Y271" s="91"/>
      <c r="Z271" s="91"/>
      <c r="AA271" s="91"/>
      <c r="AB271" s="91"/>
      <c r="AC271" s="91"/>
      <c r="AD271" s="91"/>
      <c r="AE271" s="91"/>
      <c r="AF271" s="91"/>
      <c r="AG271" s="91"/>
      <c r="AH271" s="91"/>
      <c r="AI271" s="91"/>
      <c r="AJ271" s="91"/>
      <c r="AK271" s="91"/>
      <c r="AL271" s="91"/>
      <c r="AM271" s="91"/>
    </row>
    <row r="272" spans="1:39" ht="20.25" hidden="1" customHeight="1">
      <c r="A272" s="91"/>
      <c r="B272" s="93" t="s">
        <v>973</v>
      </c>
      <c r="C272" s="91" t="s">
        <v>36</v>
      </c>
      <c r="D272" s="94" t="s">
        <v>1025</v>
      </c>
      <c r="E272" s="94" t="s">
        <v>1002</v>
      </c>
      <c r="F272" s="95" t="s">
        <v>1026</v>
      </c>
      <c r="G272" s="96">
        <v>44319</v>
      </c>
      <c r="H272" s="97">
        <v>23916</v>
      </c>
      <c r="I272" s="94" t="s">
        <v>58</v>
      </c>
      <c r="J272" s="94" t="s">
        <v>1027</v>
      </c>
      <c r="K272" s="95">
        <v>56465857</v>
      </c>
      <c r="L272" s="91" t="s">
        <v>60</v>
      </c>
      <c r="M272" s="98">
        <f ca="1">(TODAY()-H272)/365</f>
        <v>60.509589041095893</v>
      </c>
      <c r="N272" s="99">
        <f>(G272-H272)/365</f>
        <v>55.898630136986299</v>
      </c>
      <c r="O272" s="98">
        <f ca="1">(TODAY()-G272)/365</f>
        <v>4.6109589041095891</v>
      </c>
      <c r="P272" s="91" t="s">
        <v>43</v>
      </c>
      <c r="Q272" s="91">
        <v>0</v>
      </c>
      <c r="R272" s="91">
        <v>0</v>
      </c>
      <c r="S272" s="91">
        <v>0</v>
      </c>
      <c r="T272" s="91"/>
      <c r="U272" s="91"/>
      <c r="V272" s="91"/>
      <c r="W272" s="91"/>
      <c r="X272" s="91"/>
      <c r="Y272" s="91"/>
      <c r="Z272" s="91"/>
      <c r="AA272" s="91"/>
      <c r="AB272" s="91"/>
      <c r="AC272" s="91"/>
      <c r="AD272" s="91"/>
      <c r="AE272" s="91"/>
      <c r="AF272" s="91"/>
      <c r="AG272" s="91"/>
      <c r="AH272" s="91"/>
      <c r="AI272" s="91"/>
      <c r="AJ272" s="91"/>
      <c r="AK272" s="91"/>
      <c r="AL272" s="91"/>
      <c r="AM272" s="91"/>
    </row>
    <row r="273" spans="1:39" ht="20.25" hidden="1" customHeight="1">
      <c r="A273" s="91"/>
      <c r="B273" s="93" t="s">
        <v>973</v>
      </c>
      <c r="C273" s="91" t="s">
        <v>36</v>
      </c>
      <c r="D273" s="94" t="s">
        <v>1028</v>
      </c>
      <c r="E273" s="94" t="s">
        <v>1029</v>
      </c>
      <c r="F273" s="95" t="s">
        <v>1030</v>
      </c>
      <c r="G273" s="96">
        <v>36682</v>
      </c>
      <c r="H273" s="97">
        <v>16276</v>
      </c>
      <c r="I273" s="94" t="s">
        <v>58</v>
      </c>
      <c r="J273" s="94" t="s">
        <v>1031</v>
      </c>
      <c r="K273" s="95">
        <v>65666142</v>
      </c>
      <c r="L273" s="91" t="s">
        <v>54</v>
      </c>
      <c r="M273" s="98">
        <f ca="1">(TODAY()-H273)/365</f>
        <v>81.441095890410963</v>
      </c>
      <c r="N273" s="99">
        <f>(G273-H273)/365</f>
        <v>55.906849315068492</v>
      </c>
      <c r="O273" s="98">
        <f ca="1">(TODAY()-G273)/365</f>
        <v>25.534246575342465</v>
      </c>
      <c r="P273" s="91" t="s">
        <v>43</v>
      </c>
      <c r="Q273" s="91">
        <v>0</v>
      </c>
      <c r="R273" s="91">
        <v>0</v>
      </c>
      <c r="S273" s="91">
        <v>0</v>
      </c>
      <c r="T273" s="91"/>
      <c r="U273" s="91"/>
      <c r="V273" s="91"/>
      <c r="W273" s="91"/>
      <c r="X273" s="91"/>
      <c r="Y273" s="91"/>
      <c r="Z273" s="91"/>
      <c r="AA273" s="91"/>
      <c r="AB273" s="91"/>
      <c r="AC273" s="91"/>
      <c r="AD273" s="91"/>
      <c r="AE273" s="91"/>
      <c r="AF273" s="91"/>
      <c r="AG273" s="91"/>
      <c r="AH273" s="91"/>
      <c r="AI273" s="91"/>
      <c r="AJ273" s="91"/>
      <c r="AK273" s="91"/>
      <c r="AL273" s="91"/>
      <c r="AM273" s="91"/>
    </row>
    <row r="274" spans="1:39" ht="20.25" hidden="1" customHeight="1">
      <c r="A274" s="91"/>
      <c r="B274" s="93" t="s">
        <v>973</v>
      </c>
      <c r="C274" s="91" t="s">
        <v>36</v>
      </c>
      <c r="D274" s="94" t="s">
        <v>1032</v>
      </c>
      <c r="E274" s="94" t="s">
        <v>1033</v>
      </c>
      <c r="F274" s="95" t="s">
        <v>1034</v>
      </c>
      <c r="G274" s="96">
        <v>43594</v>
      </c>
      <c r="H274" s="97">
        <v>21694</v>
      </c>
      <c r="I274" s="94" t="s">
        <v>58</v>
      </c>
      <c r="J274" s="94" t="s">
        <v>1035</v>
      </c>
      <c r="K274" s="95">
        <v>87457379</v>
      </c>
      <c r="L274" s="91" t="s">
        <v>60</v>
      </c>
      <c r="M274" s="98">
        <f ca="1">(TODAY()-H274)/365</f>
        <v>66.597260273972609</v>
      </c>
      <c r="N274" s="99">
        <f>(G274-H274)/365</f>
        <v>60</v>
      </c>
      <c r="O274" s="98">
        <f ca="1">(TODAY()-G274)/365</f>
        <v>6.5972602739726032</v>
      </c>
      <c r="P274" s="91" t="s">
        <v>43</v>
      </c>
      <c r="Q274" s="91">
        <v>0</v>
      </c>
      <c r="R274" s="91">
        <v>0</v>
      </c>
      <c r="S274" s="91">
        <v>0</v>
      </c>
      <c r="T274" s="91"/>
      <c r="U274" s="91"/>
      <c r="V274" s="91"/>
      <c r="W274" s="91"/>
      <c r="X274" s="91"/>
      <c r="Y274" s="91"/>
      <c r="Z274" s="91"/>
      <c r="AA274" s="91"/>
      <c r="AB274" s="91"/>
      <c r="AC274" s="91"/>
      <c r="AD274" s="91"/>
      <c r="AE274" s="91"/>
      <c r="AF274" s="91"/>
      <c r="AG274" s="91"/>
      <c r="AH274" s="91"/>
      <c r="AI274" s="91"/>
      <c r="AJ274" s="91"/>
      <c r="AK274" s="91"/>
      <c r="AL274" s="91"/>
      <c r="AM274" s="91"/>
    </row>
    <row r="275" spans="1:39" ht="20.25" hidden="1" customHeight="1">
      <c r="A275" s="91"/>
      <c r="B275" s="93" t="s">
        <v>973</v>
      </c>
      <c r="C275" s="91" t="s">
        <v>36</v>
      </c>
      <c r="D275" s="94" t="s">
        <v>1036</v>
      </c>
      <c r="E275" s="94" t="s">
        <v>1037</v>
      </c>
      <c r="F275" s="95" t="s">
        <v>1038</v>
      </c>
      <c r="G275" s="96">
        <v>43325</v>
      </c>
      <c r="H275" s="97">
        <v>19717</v>
      </c>
      <c r="I275" s="94" t="s">
        <v>58</v>
      </c>
      <c r="J275" s="94" t="s">
        <v>1039</v>
      </c>
      <c r="K275" s="95">
        <v>56645665</v>
      </c>
      <c r="L275" s="91" t="s">
        <v>60</v>
      </c>
      <c r="M275" s="98">
        <f ca="1">(TODAY()-H275)/365</f>
        <v>72.013698630136986</v>
      </c>
      <c r="N275" s="99">
        <f>(G275-H275)/365</f>
        <v>64.679452054794524</v>
      </c>
      <c r="O275" s="98">
        <f ca="1">(TODAY()-G275)/365</f>
        <v>7.3342465753424655</v>
      </c>
      <c r="P275" s="91" t="s">
        <v>43</v>
      </c>
      <c r="Q275" s="91">
        <v>0</v>
      </c>
      <c r="R275" s="91">
        <v>0</v>
      </c>
      <c r="S275" s="91">
        <v>0</v>
      </c>
      <c r="T275" s="91"/>
      <c r="U275" s="91"/>
      <c r="V275" s="91"/>
      <c r="W275" s="91"/>
      <c r="X275" s="91"/>
      <c r="Y275" s="91"/>
      <c r="Z275" s="91"/>
      <c r="AA275" s="91"/>
      <c r="AB275" s="91"/>
      <c r="AC275" s="91"/>
      <c r="AD275" s="91"/>
      <c r="AE275" s="91"/>
      <c r="AF275" s="91"/>
      <c r="AG275" s="91"/>
      <c r="AH275" s="91"/>
      <c r="AI275" s="91"/>
      <c r="AJ275" s="91"/>
      <c r="AK275" s="91"/>
      <c r="AL275" s="91"/>
      <c r="AM275" s="91"/>
    </row>
    <row r="276" spans="1:39" ht="20.25" hidden="1" customHeight="1">
      <c r="A276" s="91"/>
      <c r="B276" s="93" t="s">
        <v>973</v>
      </c>
      <c r="C276" s="91" t="s">
        <v>36</v>
      </c>
      <c r="D276" s="94" t="s">
        <v>1040</v>
      </c>
      <c r="E276" s="94" t="s">
        <v>1041</v>
      </c>
      <c r="F276" s="95" t="s">
        <v>1015</v>
      </c>
      <c r="G276" s="96">
        <v>43594</v>
      </c>
      <c r="H276" s="97">
        <v>19345</v>
      </c>
      <c r="I276" s="94" t="s">
        <v>58</v>
      </c>
      <c r="J276" s="94" t="s">
        <v>1039</v>
      </c>
      <c r="K276" s="95">
        <v>65378827</v>
      </c>
      <c r="L276" s="91" t="s">
        <v>60</v>
      </c>
      <c r="M276" s="98">
        <f ca="1">(TODAY()-H276)/365</f>
        <v>73.032876712328772</v>
      </c>
      <c r="N276" s="99">
        <f>(G276-H276)/365</f>
        <v>66.435616438356163</v>
      </c>
      <c r="O276" s="98">
        <f ca="1">(TODAY()-G276)/365</f>
        <v>6.5972602739726032</v>
      </c>
      <c r="P276" s="91" t="s">
        <v>272</v>
      </c>
      <c r="Q276" s="91">
        <v>0</v>
      </c>
      <c r="R276" s="91">
        <v>0</v>
      </c>
      <c r="S276" s="91">
        <v>0</v>
      </c>
      <c r="T276" s="91"/>
      <c r="U276" s="91"/>
      <c r="V276" s="91"/>
      <c r="W276" s="91"/>
      <c r="X276" s="91"/>
      <c r="Y276" s="91"/>
      <c r="Z276" s="91"/>
      <c r="AA276" s="91"/>
      <c r="AB276" s="91"/>
      <c r="AC276" s="91"/>
      <c r="AD276" s="91"/>
      <c r="AE276" s="91"/>
      <c r="AF276" s="91"/>
      <c r="AG276" s="91"/>
      <c r="AH276" s="91"/>
      <c r="AI276" s="91"/>
      <c r="AJ276" s="91"/>
      <c r="AK276" s="91"/>
      <c r="AL276" s="91"/>
      <c r="AM276" s="91"/>
    </row>
    <row r="277" spans="1:39" ht="20.25" hidden="1" customHeight="1">
      <c r="A277" s="91"/>
      <c r="B277" s="93" t="s">
        <v>973</v>
      </c>
      <c r="C277" s="91" t="s">
        <v>36</v>
      </c>
      <c r="D277" s="94" t="s">
        <v>1042</v>
      </c>
      <c r="E277" s="94" t="s">
        <v>1043</v>
      </c>
      <c r="F277" s="95" t="s">
        <v>1044</v>
      </c>
      <c r="G277" s="96">
        <v>44348</v>
      </c>
      <c r="H277" s="97">
        <v>19618</v>
      </c>
      <c r="I277" s="94" t="s">
        <v>58</v>
      </c>
      <c r="J277" s="94" t="s">
        <v>1045</v>
      </c>
      <c r="K277" s="95">
        <v>40660848</v>
      </c>
      <c r="L277" s="91" t="s">
        <v>60</v>
      </c>
      <c r="M277" s="98">
        <f ca="1">(TODAY()-H277)/365</f>
        <v>72.284931506849318</v>
      </c>
      <c r="N277" s="99">
        <f>(G277-H277)/365</f>
        <v>67.753424657534254</v>
      </c>
      <c r="O277" s="98">
        <f ca="1">(TODAY()-G277)/365</f>
        <v>4.5315068493150683</v>
      </c>
      <c r="P277" s="91" t="s">
        <v>43</v>
      </c>
      <c r="Q277" s="91">
        <v>0</v>
      </c>
      <c r="R277" s="91">
        <v>0</v>
      </c>
      <c r="S277" s="91">
        <v>0</v>
      </c>
      <c r="T277" s="91"/>
      <c r="U277" s="91"/>
      <c r="V277" s="91"/>
      <c r="W277" s="91"/>
      <c r="X277" s="91"/>
      <c r="Y277" s="91"/>
      <c r="Z277" s="91"/>
      <c r="AA277" s="91"/>
      <c r="AB277" s="91"/>
      <c r="AC277" s="91"/>
      <c r="AD277" s="91"/>
      <c r="AE277" s="91"/>
      <c r="AF277" s="91"/>
      <c r="AG277" s="91"/>
      <c r="AH277" s="91"/>
      <c r="AI277" s="91"/>
      <c r="AJ277" s="91"/>
      <c r="AK277" s="91"/>
      <c r="AL277" s="91"/>
      <c r="AM277" s="91"/>
    </row>
    <row r="278" spans="1:39" ht="20.25" hidden="1" customHeight="1">
      <c r="A278" s="91"/>
      <c r="B278" s="93" t="s">
        <v>973</v>
      </c>
      <c r="C278" s="91" t="s">
        <v>36</v>
      </c>
      <c r="D278" s="94" t="s">
        <v>1046</v>
      </c>
      <c r="E278" s="94" t="s">
        <v>1047</v>
      </c>
      <c r="F278" s="95" t="s">
        <v>1048</v>
      </c>
      <c r="G278" s="97" t="s">
        <v>58</v>
      </c>
      <c r="H278" s="97">
        <v>27578</v>
      </c>
      <c r="I278" s="94" t="s">
        <v>58</v>
      </c>
      <c r="J278" s="94" t="s">
        <v>1049</v>
      </c>
      <c r="K278" s="95">
        <v>71675038</v>
      </c>
      <c r="L278" s="91" t="s">
        <v>167</v>
      </c>
      <c r="M278" s="98">
        <f ca="1">(TODAY()-H278)/365</f>
        <v>50.476712328767121</v>
      </c>
      <c r="N278" s="95" t="s">
        <v>58</v>
      </c>
      <c r="O278" s="98" t="e">
        <f ca="1">(TODAY()-G278)/365</f>
        <v>#VALUE!</v>
      </c>
      <c r="P278" s="91" t="s">
        <v>43</v>
      </c>
      <c r="Q278" s="91">
        <v>0</v>
      </c>
      <c r="R278" s="91">
        <v>0</v>
      </c>
      <c r="S278" s="91">
        <v>0</v>
      </c>
      <c r="T278" s="91"/>
      <c r="U278" s="91"/>
      <c r="V278" s="91"/>
      <c r="W278" s="91"/>
      <c r="X278" s="91"/>
      <c r="Y278" s="91"/>
      <c r="Z278" s="91"/>
      <c r="AA278" s="91"/>
      <c r="AB278" s="91"/>
      <c r="AC278" s="91"/>
      <c r="AD278" s="91"/>
      <c r="AE278" s="91"/>
      <c r="AF278" s="91"/>
      <c r="AG278" s="91"/>
      <c r="AH278" s="91"/>
      <c r="AI278" s="91"/>
      <c r="AJ278" s="91"/>
      <c r="AK278" s="91"/>
      <c r="AL278" s="91"/>
      <c r="AM278" s="91"/>
    </row>
    <row r="279" spans="1:39" ht="20.25" hidden="1" customHeight="1">
      <c r="A279" s="91"/>
      <c r="B279" s="93" t="s">
        <v>973</v>
      </c>
      <c r="C279" s="91" t="s">
        <v>36</v>
      </c>
      <c r="D279" s="94" t="s">
        <v>813</v>
      </c>
      <c r="E279" s="94" t="s">
        <v>1050</v>
      </c>
      <c r="F279" s="95" t="s">
        <v>1051</v>
      </c>
      <c r="G279" s="97" t="s">
        <v>58</v>
      </c>
      <c r="H279" s="97">
        <v>24221</v>
      </c>
      <c r="I279" s="94" t="s">
        <v>58</v>
      </c>
      <c r="J279" s="94" t="s">
        <v>1052</v>
      </c>
      <c r="K279" s="95">
        <v>98491541</v>
      </c>
      <c r="L279" s="91" t="s">
        <v>60</v>
      </c>
      <c r="M279" s="98">
        <f ca="1">(TODAY()-H279)/365</f>
        <v>59.673972602739724</v>
      </c>
      <c r="N279" s="95" t="s">
        <v>58</v>
      </c>
      <c r="O279" s="98" t="e">
        <f ca="1">(TODAY()-G279)/365</f>
        <v>#VALUE!</v>
      </c>
      <c r="P279" s="91" t="s">
        <v>272</v>
      </c>
      <c r="Q279" s="91">
        <v>0</v>
      </c>
      <c r="R279" s="91">
        <v>0</v>
      </c>
      <c r="S279" s="91">
        <v>0</v>
      </c>
      <c r="T279" s="91"/>
      <c r="U279" s="91"/>
      <c r="V279" s="91"/>
      <c r="W279" s="91"/>
      <c r="X279" s="91"/>
      <c r="Y279" s="91"/>
      <c r="Z279" s="91"/>
      <c r="AA279" s="91"/>
      <c r="AB279" s="91"/>
      <c r="AC279" s="91"/>
      <c r="AD279" s="91"/>
      <c r="AE279" s="91"/>
      <c r="AF279" s="91"/>
      <c r="AG279" s="91"/>
      <c r="AH279" s="91"/>
      <c r="AI279" s="91"/>
      <c r="AJ279" s="91"/>
      <c r="AK279" s="91"/>
      <c r="AL279" s="91"/>
      <c r="AM279" s="91"/>
    </row>
    <row r="280" spans="1:39" ht="20.25" hidden="1" customHeight="1">
      <c r="A280" s="91"/>
      <c r="B280" s="93" t="s">
        <v>1053</v>
      </c>
      <c r="C280" s="91" t="s">
        <v>36</v>
      </c>
      <c r="D280" s="94" t="s">
        <v>1054</v>
      </c>
      <c r="E280" s="94" t="s">
        <v>1055</v>
      </c>
      <c r="F280" s="95" t="s">
        <v>1056</v>
      </c>
      <c r="G280" s="96">
        <v>45519</v>
      </c>
      <c r="H280" s="97">
        <v>38768</v>
      </c>
      <c r="I280" s="108" t="s">
        <v>12324</v>
      </c>
      <c r="J280" s="94" t="s">
        <v>1057</v>
      </c>
      <c r="K280" s="95">
        <v>975611491</v>
      </c>
      <c r="L280" s="91" t="s">
        <v>60</v>
      </c>
      <c r="M280" s="98">
        <f ca="1">(TODAY()-H280)/365</f>
        <v>19.81917808219178</v>
      </c>
      <c r="N280" s="99">
        <f>(G280-H280)/365</f>
        <v>18.495890410958904</v>
      </c>
      <c r="O280" s="98">
        <f ca="1">(TODAY()-G280)/365</f>
        <v>1.3232876712328767</v>
      </c>
      <c r="P280" s="91" t="s">
        <v>43</v>
      </c>
      <c r="Q280" s="91">
        <v>0</v>
      </c>
      <c r="R280" s="91">
        <v>0</v>
      </c>
      <c r="S280" s="91">
        <v>0</v>
      </c>
      <c r="T280" s="91"/>
      <c r="U280" s="91"/>
      <c r="V280" s="91"/>
      <c r="W280" s="91"/>
      <c r="X280" s="91"/>
      <c r="Y280" s="91"/>
      <c r="Z280" s="91"/>
      <c r="AA280" s="91"/>
      <c r="AB280" s="91"/>
      <c r="AC280" s="91"/>
      <c r="AD280" s="91"/>
      <c r="AE280" s="91"/>
      <c r="AF280" s="91"/>
      <c r="AG280" s="91"/>
      <c r="AH280" s="91"/>
      <c r="AI280" s="91"/>
      <c r="AJ280" s="91"/>
      <c r="AK280" s="91"/>
      <c r="AL280" s="91"/>
      <c r="AM280" s="91"/>
    </row>
    <row r="281" spans="1:39" ht="20.25" hidden="1" customHeight="1">
      <c r="A281" s="91"/>
      <c r="B281" s="93" t="s">
        <v>1053</v>
      </c>
      <c r="C281" s="91" t="s">
        <v>36</v>
      </c>
      <c r="D281" s="94" t="s">
        <v>1058</v>
      </c>
      <c r="E281" s="94" t="s">
        <v>1059</v>
      </c>
      <c r="F281" s="95" t="s">
        <v>1060</v>
      </c>
      <c r="G281" s="96">
        <v>45458</v>
      </c>
      <c r="H281" s="97">
        <v>36120</v>
      </c>
      <c r="I281" s="94" t="s">
        <v>1061</v>
      </c>
      <c r="J281" s="94" t="s">
        <v>1062</v>
      </c>
      <c r="K281" s="95">
        <v>986764038</v>
      </c>
      <c r="L281" s="91" t="s">
        <v>60</v>
      </c>
      <c r="M281" s="98">
        <f ca="1">(TODAY()-H281)/365</f>
        <v>27.073972602739726</v>
      </c>
      <c r="N281" s="99">
        <f>(G281-H281)/365</f>
        <v>25.583561643835615</v>
      </c>
      <c r="O281" s="98">
        <f ca="1">(TODAY()-G281)/365</f>
        <v>1.4904109589041097</v>
      </c>
      <c r="P281" s="91" t="s">
        <v>43</v>
      </c>
      <c r="Q281" s="91">
        <v>0</v>
      </c>
      <c r="R281" s="91">
        <v>0</v>
      </c>
      <c r="S281" s="91">
        <v>0</v>
      </c>
      <c r="T281" s="91"/>
      <c r="U281" s="91"/>
      <c r="V281" s="91"/>
      <c r="W281" s="91"/>
      <c r="X281" s="91"/>
      <c r="Y281" s="91"/>
      <c r="Z281" s="91"/>
      <c r="AA281" s="91"/>
      <c r="AB281" s="91">
        <v>2023</v>
      </c>
      <c r="AC281" s="91"/>
      <c r="AD281" s="91"/>
      <c r="AE281" s="91"/>
      <c r="AF281" s="91"/>
      <c r="AG281" s="91"/>
      <c r="AH281" s="91"/>
      <c r="AI281" s="91"/>
      <c r="AJ281" s="91"/>
      <c r="AK281" s="91"/>
      <c r="AL281" s="91"/>
      <c r="AM281" s="91"/>
    </row>
    <row r="282" spans="1:39" ht="20.25" hidden="1" customHeight="1">
      <c r="A282" s="91"/>
      <c r="B282" s="93" t="s">
        <v>1053</v>
      </c>
      <c r="C282" s="91" t="s">
        <v>36</v>
      </c>
      <c r="D282" s="94" t="s">
        <v>1063</v>
      </c>
      <c r="E282" s="94" t="s">
        <v>1064</v>
      </c>
      <c r="F282" s="95" t="s">
        <v>1065</v>
      </c>
      <c r="G282" s="96">
        <v>45490</v>
      </c>
      <c r="H282" s="97">
        <v>35850</v>
      </c>
      <c r="I282" s="94" t="s">
        <v>1066</v>
      </c>
      <c r="J282" s="94" t="s">
        <v>1067</v>
      </c>
      <c r="K282" s="95">
        <v>965284457</v>
      </c>
      <c r="L282" s="91" t="s">
        <v>60</v>
      </c>
      <c r="M282" s="98">
        <f ca="1">(TODAY()-H282)/365</f>
        <v>27.813698630136987</v>
      </c>
      <c r="N282" s="99">
        <f>(G282-H282)/365</f>
        <v>26.410958904109588</v>
      </c>
      <c r="O282" s="98">
        <f ca="1">(TODAY()-G282)/365</f>
        <v>1.4027397260273973</v>
      </c>
      <c r="P282" s="91" t="s">
        <v>43</v>
      </c>
      <c r="Q282" s="91">
        <v>0</v>
      </c>
      <c r="R282" s="91">
        <v>0</v>
      </c>
      <c r="S282" s="91">
        <v>0</v>
      </c>
      <c r="T282" s="91"/>
      <c r="U282" s="91"/>
      <c r="V282" s="91"/>
      <c r="W282" s="91"/>
      <c r="X282" s="91"/>
      <c r="Y282" s="91"/>
      <c r="Z282" s="91"/>
      <c r="AA282" s="91">
        <v>2023</v>
      </c>
      <c r="AB282" s="91"/>
      <c r="AC282" s="91"/>
      <c r="AD282" s="91"/>
      <c r="AE282" s="91"/>
      <c r="AF282" s="91"/>
      <c r="AG282" s="91"/>
      <c r="AH282" s="91"/>
      <c r="AI282" s="91"/>
      <c r="AJ282" s="91"/>
      <c r="AK282" s="91"/>
      <c r="AL282" s="91"/>
      <c r="AM282" s="91"/>
    </row>
    <row r="283" spans="1:39" ht="20.25" hidden="1" customHeight="1">
      <c r="A283" s="91"/>
      <c r="B283" s="93" t="s">
        <v>1053</v>
      </c>
      <c r="C283" s="91" t="s">
        <v>36</v>
      </c>
      <c r="D283" s="94" t="s">
        <v>1068</v>
      </c>
      <c r="E283" s="94" t="s">
        <v>1069</v>
      </c>
      <c r="F283" s="95" t="s">
        <v>1070</v>
      </c>
      <c r="G283" s="96">
        <v>41003</v>
      </c>
      <c r="H283" s="97">
        <v>22240</v>
      </c>
      <c r="I283" s="100" t="s">
        <v>58</v>
      </c>
      <c r="J283" s="94" t="s">
        <v>1071</v>
      </c>
      <c r="K283" s="95">
        <v>999513074</v>
      </c>
      <c r="L283" s="91" t="s">
        <v>60</v>
      </c>
      <c r="M283" s="98">
        <f ca="1">(TODAY()-H283)/365</f>
        <v>65.101369863013701</v>
      </c>
      <c r="N283" s="99">
        <f>(G283-H283)/365</f>
        <v>51.405479452054792</v>
      </c>
      <c r="O283" s="98">
        <f ca="1">(TODAY()-G283)/365</f>
        <v>13.695890410958905</v>
      </c>
      <c r="P283" s="91" t="s">
        <v>43</v>
      </c>
      <c r="Q283" s="91">
        <v>0</v>
      </c>
      <c r="R283" s="91">
        <v>0</v>
      </c>
      <c r="S283" s="91">
        <v>0</v>
      </c>
      <c r="T283" s="91"/>
      <c r="U283" s="91"/>
      <c r="V283" s="91"/>
      <c r="W283" s="91"/>
      <c r="X283" s="91"/>
      <c r="Y283" s="91"/>
      <c r="Z283" s="91"/>
      <c r="AA283" s="91"/>
      <c r="AB283" s="91"/>
      <c r="AC283" s="91"/>
      <c r="AD283" s="91"/>
      <c r="AE283" s="91"/>
      <c r="AF283" s="91"/>
      <c r="AG283" s="91"/>
      <c r="AH283" s="91"/>
      <c r="AI283" s="91"/>
      <c r="AJ283" s="91"/>
      <c r="AK283" s="91"/>
      <c r="AL283" s="91"/>
      <c r="AM283" s="91"/>
    </row>
    <row r="284" spans="1:39" ht="20.25" hidden="1" customHeight="1">
      <c r="A284" s="91"/>
      <c r="B284" s="93" t="s">
        <v>1053</v>
      </c>
      <c r="C284" s="91" t="s">
        <v>36</v>
      </c>
      <c r="D284" s="94" t="s">
        <v>1072</v>
      </c>
      <c r="E284" s="94" t="s">
        <v>1073</v>
      </c>
      <c r="F284" s="95" t="s">
        <v>1074</v>
      </c>
      <c r="G284" s="96">
        <v>42495</v>
      </c>
      <c r="H284" s="97">
        <v>21840</v>
      </c>
      <c r="I284" s="94" t="s">
        <v>1075</v>
      </c>
      <c r="J284" s="94" t="s">
        <v>1076</v>
      </c>
      <c r="K284" s="95">
        <v>979844862</v>
      </c>
      <c r="L284" s="91" t="s">
        <v>42</v>
      </c>
      <c r="M284" s="98">
        <f ca="1">(TODAY()-H284)/365</f>
        <v>66.197260273972603</v>
      </c>
      <c r="N284" s="99">
        <f>(G284-H284)/365</f>
        <v>56.589041095890408</v>
      </c>
      <c r="O284" s="98">
        <f ca="1">(TODAY()-G284)/365</f>
        <v>9.6082191780821926</v>
      </c>
      <c r="P284" s="91" t="s">
        <v>43</v>
      </c>
      <c r="Q284" s="91">
        <v>0</v>
      </c>
      <c r="R284" s="91">
        <v>0</v>
      </c>
      <c r="S284" s="91">
        <v>0</v>
      </c>
      <c r="T284" s="91"/>
      <c r="U284" s="91"/>
      <c r="V284" s="91"/>
      <c r="W284" s="91"/>
      <c r="X284" s="91"/>
      <c r="Y284" s="91"/>
      <c r="Z284" s="91"/>
      <c r="AA284" s="91"/>
      <c r="AB284" s="91"/>
      <c r="AC284" s="91"/>
      <c r="AD284" s="91"/>
      <c r="AE284" s="91"/>
      <c r="AF284" s="91"/>
      <c r="AG284" s="91"/>
      <c r="AH284" s="91"/>
      <c r="AI284" s="91"/>
      <c r="AJ284" s="91"/>
      <c r="AK284" s="91"/>
      <c r="AL284" s="91"/>
      <c r="AM284" s="91"/>
    </row>
    <row r="285" spans="1:39" ht="20.25" hidden="1" customHeight="1">
      <c r="A285" s="91"/>
      <c r="B285" s="93" t="s">
        <v>1053</v>
      </c>
      <c r="C285" s="91" t="s">
        <v>36</v>
      </c>
      <c r="D285" s="94" t="s">
        <v>1077</v>
      </c>
      <c r="E285" s="94" t="s">
        <v>1078</v>
      </c>
      <c r="F285" s="95" t="s">
        <v>1079</v>
      </c>
      <c r="G285" s="96">
        <v>42177</v>
      </c>
      <c r="H285" s="97">
        <v>21405</v>
      </c>
      <c r="I285" s="94" t="s">
        <v>1080</v>
      </c>
      <c r="J285" s="94" t="s">
        <v>1081</v>
      </c>
      <c r="K285" s="95">
        <v>993879125</v>
      </c>
      <c r="L285" s="91" t="s">
        <v>66</v>
      </c>
      <c r="M285" s="98">
        <f ca="1">(TODAY()-H285)/365</f>
        <v>67.389041095890406</v>
      </c>
      <c r="N285" s="99">
        <f>(G285-H285)/365</f>
        <v>56.909589041095892</v>
      </c>
      <c r="O285" s="98">
        <f ca="1">(TODAY()-G285)/365</f>
        <v>10.479452054794521</v>
      </c>
      <c r="P285" s="91" t="s">
        <v>43</v>
      </c>
      <c r="Q285" s="91">
        <v>0</v>
      </c>
      <c r="R285" s="91">
        <v>0</v>
      </c>
      <c r="S285" s="91">
        <v>0</v>
      </c>
      <c r="T285" s="91"/>
      <c r="U285" s="91"/>
      <c r="V285" s="91"/>
      <c r="W285" s="91"/>
      <c r="X285" s="91"/>
      <c r="Y285" s="91"/>
      <c r="Z285" s="91"/>
      <c r="AA285" s="91"/>
      <c r="AB285" s="91"/>
      <c r="AC285" s="91"/>
      <c r="AD285" s="91"/>
      <c r="AE285" s="91"/>
      <c r="AF285" s="91"/>
      <c r="AG285" s="91"/>
      <c r="AH285" s="91"/>
      <c r="AI285" s="91"/>
      <c r="AJ285" s="91"/>
      <c r="AK285" s="91"/>
      <c r="AL285" s="91"/>
      <c r="AM285" s="91"/>
    </row>
    <row r="286" spans="1:39" ht="20.25" hidden="1" customHeight="1">
      <c r="A286" s="91"/>
      <c r="B286" s="93" t="s">
        <v>1053</v>
      </c>
      <c r="C286" s="91" t="s">
        <v>36</v>
      </c>
      <c r="D286" s="94" t="s">
        <v>1082</v>
      </c>
      <c r="E286" s="94" t="s">
        <v>1083</v>
      </c>
      <c r="F286" s="95" t="s">
        <v>1084</v>
      </c>
      <c r="G286" s="96">
        <v>42461</v>
      </c>
      <c r="H286" s="97">
        <v>20213</v>
      </c>
      <c r="I286" s="94" t="s">
        <v>1085</v>
      </c>
      <c r="J286" s="94" t="s">
        <v>1086</v>
      </c>
      <c r="K286" s="95">
        <v>999052118</v>
      </c>
      <c r="L286" s="91" t="s">
        <v>49</v>
      </c>
      <c r="M286" s="98">
        <f ca="1">(TODAY()-H286)/365</f>
        <v>70.654794520547952</v>
      </c>
      <c r="N286" s="99">
        <f>(G286-H286)/365</f>
        <v>60.953424657534249</v>
      </c>
      <c r="O286" s="98">
        <f ca="1">(TODAY()-G286)/365</f>
        <v>9.7013698630136993</v>
      </c>
      <c r="P286" s="91" t="s">
        <v>43</v>
      </c>
      <c r="Q286" s="91">
        <v>0</v>
      </c>
      <c r="R286" s="91">
        <v>0</v>
      </c>
      <c r="S286" s="91">
        <v>0</v>
      </c>
      <c r="T286" s="91"/>
      <c r="U286" s="91"/>
      <c r="V286" s="91"/>
      <c r="W286" s="91"/>
      <c r="X286" s="91"/>
      <c r="Y286" s="91"/>
      <c r="Z286" s="91"/>
      <c r="AA286" s="91"/>
      <c r="AB286" s="91"/>
      <c r="AC286" s="91"/>
      <c r="AD286" s="91"/>
      <c r="AE286" s="91"/>
      <c r="AF286" s="91"/>
      <c r="AG286" s="91"/>
      <c r="AH286" s="91"/>
      <c r="AI286" s="91"/>
      <c r="AJ286" s="91"/>
      <c r="AK286" s="91"/>
      <c r="AL286" s="91"/>
      <c r="AM286" s="91"/>
    </row>
    <row r="287" spans="1:39" ht="20.25" hidden="1" customHeight="1">
      <c r="A287" s="91"/>
      <c r="B287" s="93" t="s">
        <v>1053</v>
      </c>
      <c r="C287" s="91" t="s">
        <v>36</v>
      </c>
      <c r="D287" s="94" t="s">
        <v>67</v>
      </c>
      <c r="E287" s="94" t="s">
        <v>1087</v>
      </c>
      <c r="F287" s="95" t="s">
        <v>1088</v>
      </c>
      <c r="G287" s="96">
        <v>44326</v>
      </c>
      <c r="H287" s="97">
        <v>21777</v>
      </c>
      <c r="I287" s="94" t="s">
        <v>1089</v>
      </c>
      <c r="J287" s="94" t="s">
        <v>1090</v>
      </c>
      <c r="K287" s="95">
        <v>990425271</v>
      </c>
      <c r="L287" s="91" t="s">
        <v>60</v>
      </c>
      <c r="M287" s="98">
        <f ca="1">(TODAY()-H287)/365</f>
        <v>66.369863013698634</v>
      </c>
      <c r="N287" s="99">
        <f>(G287-H287)/365</f>
        <v>61.778082191780825</v>
      </c>
      <c r="O287" s="98">
        <f ca="1">(TODAY()-G287)/365</f>
        <v>4.5917808219178085</v>
      </c>
      <c r="P287" s="91" t="s">
        <v>43</v>
      </c>
      <c r="Q287" s="91">
        <v>0</v>
      </c>
      <c r="R287" s="91">
        <v>0</v>
      </c>
      <c r="S287" s="91">
        <v>0</v>
      </c>
      <c r="T287" s="91"/>
      <c r="U287" s="91"/>
      <c r="V287" s="91"/>
      <c r="W287" s="91"/>
      <c r="X287" s="91"/>
      <c r="Y287" s="91"/>
      <c r="Z287" s="91"/>
      <c r="AA287" s="91"/>
      <c r="AB287" s="91"/>
      <c r="AC287" s="91"/>
      <c r="AD287" s="91"/>
      <c r="AE287" s="91"/>
      <c r="AF287" s="91"/>
      <c r="AG287" s="91"/>
      <c r="AH287" s="91"/>
      <c r="AI287" s="91"/>
      <c r="AJ287" s="91"/>
      <c r="AK287" s="91"/>
      <c r="AL287" s="91"/>
      <c r="AM287" s="91"/>
    </row>
    <row r="288" spans="1:39" ht="20.25" hidden="1" customHeight="1">
      <c r="A288" s="91"/>
      <c r="B288" s="93" t="s">
        <v>1053</v>
      </c>
      <c r="C288" s="91" t="s">
        <v>36</v>
      </c>
      <c r="D288" s="94" t="s">
        <v>1091</v>
      </c>
      <c r="E288" s="94" t="s">
        <v>1092</v>
      </c>
      <c r="F288" s="95" t="s">
        <v>1093</v>
      </c>
      <c r="G288" s="96">
        <v>44410</v>
      </c>
      <c r="H288" s="97">
        <v>21211</v>
      </c>
      <c r="I288" s="94" t="s">
        <v>1094</v>
      </c>
      <c r="J288" s="94" t="s">
        <v>1095</v>
      </c>
      <c r="K288" s="95">
        <v>994384657</v>
      </c>
      <c r="L288" s="91" t="s">
        <v>216</v>
      </c>
      <c r="M288" s="98">
        <f ca="1">(TODAY()-H288)/365</f>
        <v>67.920547945205485</v>
      </c>
      <c r="N288" s="99">
        <f>(G288-H288)/365</f>
        <v>63.558904109589044</v>
      </c>
      <c r="O288" s="98">
        <f ca="1">(TODAY()-G288)/365</f>
        <v>4.3616438356164382</v>
      </c>
      <c r="P288" s="91" t="s">
        <v>43</v>
      </c>
      <c r="Q288" s="91">
        <v>0</v>
      </c>
      <c r="R288" s="91">
        <v>0</v>
      </c>
      <c r="S288" s="91">
        <v>1</v>
      </c>
      <c r="T288" s="91"/>
      <c r="U288" s="91"/>
      <c r="V288" s="91"/>
      <c r="W288" s="91"/>
      <c r="X288" s="91"/>
      <c r="Y288" s="91"/>
      <c r="Z288" s="91"/>
      <c r="AA288" s="91"/>
      <c r="AB288" s="91"/>
      <c r="AC288" s="91"/>
      <c r="AD288" s="91"/>
      <c r="AE288" s="91"/>
      <c r="AF288" s="91"/>
      <c r="AG288" s="91"/>
      <c r="AH288" s="91"/>
      <c r="AI288" s="91"/>
      <c r="AJ288" s="91"/>
      <c r="AK288" s="91"/>
      <c r="AL288" s="91"/>
      <c r="AM288" s="91"/>
    </row>
    <row r="289" spans="1:39" ht="20.25" hidden="1" customHeight="1">
      <c r="A289" s="91"/>
      <c r="B289" s="93" t="s">
        <v>1053</v>
      </c>
      <c r="C289" s="91" t="s">
        <v>36</v>
      </c>
      <c r="D289" s="94" t="s">
        <v>1096</v>
      </c>
      <c r="E289" s="94" t="s">
        <v>1097</v>
      </c>
      <c r="F289" s="95" t="s">
        <v>1098</v>
      </c>
      <c r="G289" s="96">
        <v>43832</v>
      </c>
      <c r="H289" s="97">
        <v>19653</v>
      </c>
      <c r="I289" s="94" t="s">
        <v>1099</v>
      </c>
      <c r="J289" s="94" t="s">
        <v>1100</v>
      </c>
      <c r="K289" s="95">
        <v>968462788</v>
      </c>
      <c r="L289" s="91" t="s">
        <v>60</v>
      </c>
      <c r="M289" s="98">
        <f ca="1">(TODAY()-H289)/365</f>
        <v>72.189041095890417</v>
      </c>
      <c r="N289" s="99">
        <f>(G289-H289)/365</f>
        <v>66.243835616438361</v>
      </c>
      <c r="O289" s="98">
        <f ca="1">(TODAY()-G289)/365</f>
        <v>5.9452054794520546</v>
      </c>
      <c r="P289" s="91" t="s">
        <v>43</v>
      </c>
      <c r="Q289" s="91">
        <v>0</v>
      </c>
      <c r="R289" s="91">
        <v>0</v>
      </c>
      <c r="S289" s="91">
        <v>0</v>
      </c>
      <c r="T289" s="91"/>
      <c r="U289" s="91"/>
      <c r="V289" s="91"/>
      <c r="W289" s="91"/>
      <c r="X289" s="91"/>
      <c r="Y289" s="91"/>
      <c r="Z289" s="91"/>
      <c r="AA289" s="91"/>
      <c r="AB289" s="91"/>
      <c r="AC289" s="91"/>
      <c r="AD289" s="91"/>
      <c r="AE289" s="91"/>
      <c r="AF289" s="91"/>
      <c r="AG289" s="91"/>
      <c r="AH289" s="91"/>
      <c r="AI289" s="91"/>
      <c r="AJ289" s="91"/>
      <c r="AK289" s="91"/>
      <c r="AL289" s="91"/>
      <c r="AM289" s="91"/>
    </row>
    <row r="290" spans="1:39" ht="20.25" hidden="1" customHeight="1">
      <c r="A290" s="91"/>
      <c r="B290" s="93" t="s">
        <v>1053</v>
      </c>
      <c r="C290" s="91" t="s">
        <v>36</v>
      </c>
      <c r="D290" s="94" t="s">
        <v>1101</v>
      </c>
      <c r="E290" s="94" t="s">
        <v>1102</v>
      </c>
      <c r="F290" s="95" t="s">
        <v>1103</v>
      </c>
      <c r="G290" s="96">
        <v>41372</v>
      </c>
      <c r="H290" s="97">
        <v>17139</v>
      </c>
      <c r="I290" s="100" t="s">
        <v>58</v>
      </c>
      <c r="J290" s="94" t="s">
        <v>1104</v>
      </c>
      <c r="K290" s="95">
        <v>977773717</v>
      </c>
      <c r="L290" s="91" t="s">
        <v>54</v>
      </c>
      <c r="M290" s="98">
        <f ca="1">(TODAY()-H290)/365</f>
        <v>79.07671232876713</v>
      </c>
      <c r="N290" s="99">
        <f>(G290-H290)/365</f>
        <v>66.391780821917806</v>
      </c>
      <c r="O290" s="98">
        <f ca="1">(TODAY()-G290)/365</f>
        <v>12.684931506849315</v>
      </c>
      <c r="P290" s="91" t="s">
        <v>43</v>
      </c>
      <c r="Q290" s="91">
        <v>0</v>
      </c>
      <c r="R290" s="91">
        <v>0</v>
      </c>
      <c r="S290" s="91">
        <v>0</v>
      </c>
      <c r="T290" s="91"/>
      <c r="U290" s="91"/>
      <c r="V290" s="91"/>
      <c r="W290" s="91"/>
      <c r="X290" s="91"/>
      <c r="Y290" s="91"/>
      <c r="Z290" s="91"/>
      <c r="AA290" s="91"/>
      <c r="AB290" s="91"/>
      <c r="AC290" s="91"/>
      <c r="AD290" s="91"/>
      <c r="AE290" s="91"/>
      <c r="AF290" s="91"/>
      <c r="AG290" s="91"/>
      <c r="AH290" s="91"/>
      <c r="AI290" s="91"/>
      <c r="AJ290" s="91"/>
      <c r="AK290" s="91"/>
      <c r="AL290" s="91"/>
      <c r="AM290" s="91"/>
    </row>
    <row r="291" spans="1:39" ht="20.25" hidden="1" customHeight="1">
      <c r="A291" s="91"/>
      <c r="B291" s="93" t="s">
        <v>1053</v>
      </c>
      <c r="C291" s="91" t="s">
        <v>36</v>
      </c>
      <c r="D291" s="94" t="s">
        <v>1105</v>
      </c>
      <c r="E291" s="94" t="s">
        <v>1106</v>
      </c>
      <c r="F291" s="95" t="s">
        <v>1107</v>
      </c>
      <c r="G291" s="96">
        <v>44655</v>
      </c>
      <c r="H291" s="97">
        <v>19877</v>
      </c>
      <c r="I291" s="100" t="s">
        <v>58</v>
      </c>
      <c r="J291" s="94" t="s">
        <v>1108</v>
      </c>
      <c r="K291" s="95">
        <v>989515813</v>
      </c>
      <c r="L291" s="91" t="s">
        <v>72</v>
      </c>
      <c r="M291" s="98">
        <f ca="1">(TODAY()-H291)/365</f>
        <v>71.575342465753423</v>
      </c>
      <c r="N291" s="99">
        <f>(G291-H291)/365</f>
        <v>67.884931506849313</v>
      </c>
      <c r="O291" s="98">
        <f ca="1">(TODAY()-G291)/365</f>
        <v>3.6904109589041094</v>
      </c>
      <c r="P291" s="91" t="s">
        <v>43</v>
      </c>
      <c r="Q291" s="91">
        <v>0</v>
      </c>
      <c r="R291" s="91">
        <v>0</v>
      </c>
      <c r="S291" s="91">
        <v>0</v>
      </c>
      <c r="T291" s="91"/>
      <c r="U291" s="91"/>
      <c r="V291" s="91"/>
      <c r="W291" s="91"/>
      <c r="X291" s="91"/>
      <c r="Y291" s="91"/>
      <c r="Z291" s="91"/>
      <c r="AA291" s="91"/>
      <c r="AB291" s="91"/>
      <c r="AC291" s="91"/>
      <c r="AD291" s="91"/>
      <c r="AE291" s="91"/>
      <c r="AF291" s="91"/>
      <c r="AG291" s="91"/>
      <c r="AH291" s="91"/>
      <c r="AI291" s="91"/>
      <c r="AJ291" s="91"/>
      <c r="AK291" s="91"/>
      <c r="AL291" s="91"/>
      <c r="AM291" s="91"/>
    </row>
    <row r="292" spans="1:39" ht="20.25" hidden="1" customHeight="1">
      <c r="A292" s="91"/>
      <c r="B292" s="93" t="s">
        <v>1053</v>
      </c>
      <c r="C292" s="91" t="s">
        <v>36</v>
      </c>
      <c r="D292" s="94" t="s">
        <v>1109</v>
      </c>
      <c r="E292" s="94" t="s">
        <v>1110</v>
      </c>
      <c r="F292" s="95" t="s">
        <v>1111</v>
      </c>
      <c r="G292" s="96">
        <v>44837</v>
      </c>
      <c r="H292" s="97">
        <v>19299</v>
      </c>
      <c r="I292" s="100" t="s">
        <v>58</v>
      </c>
      <c r="J292" s="94" t="s">
        <v>1112</v>
      </c>
      <c r="K292" s="95">
        <v>979254483</v>
      </c>
      <c r="L292" s="91" t="s">
        <v>60</v>
      </c>
      <c r="M292" s="98">
        <f ca="1">(TODAY()-H292)/365</f>
        <v>73.158904109589045</v>
      </c>
      <c r="N292" s="99">
        <f>(G292-H292)/365</f>
        <v>69.967123287671228</v>
      </c>
      <c r="O292" s="98">
        <f ca="1">(TODAY()-G292)/365</f>
        <v>3.1917808219178081</v>
      </c>
      <c r="P292" s="91" t="s">
        <v>43</v>
      </c>
      <c r="Q292" s="91">
        <v>0</v>
      </c>
      <c r="R292" s="91">
        <v>0</v>
      </c>
      <c r="S292" s="91">
        <v>0</v>
      </c>
      <c r="T292" s="91"/>
      <c r="U292" s="91"/>
      <c r="V292" s="91"/>
      <c r="W292" s="91"/>
      <c r="X292" s="91"/>
      <c r="Y292" s="91"/>
      <c r="Z292" s="91"/>
      <c r="AA292" s="91"/>
      <c r="AB292" s="91"/>
      <c r="AC292" s="91"/>
      <c r="AD292" s="91"/>
      <c r="AE292" s="91"/>
      <c r="AF292" s="91"/>
      <c r="AG292" s="91"/>
      <c r="AH292" s="91"/>
      <c r="AI292" s="91"/>
      <c r="AJ292" s="91"/>
      <c r="AK292" s="91"/>
      <c r="AL292" s="91"/>
      <c r="AM292" s="91"/>
    </row>
    <row r="293" spans="1:39" ht="20.25" hidden="1" customHeight="1">
      <c r="A293" s="91"/>
      <c r="B293" s="93" t="s">
        <v>1113</v>
      </c>
      <c r="C293" s="91" t="s">
        <v>36</v>
      </c>
      <c r="D293" s="107" t="s">
        <v>1114</v>
      </c>
      <c r="E293" s="107" t="s">
        <v>1115</v>
      </c>
      <c r="F293" s="91" t="s">
        <v>1116</v>
      </c>
      <c r="G293" s="96">
        <v>30319</v>
      </c>
      <c r="H293" s="97">
        <v>19528</v>
      </c>
      <c r="I293" s="100" t="s">
        <v>1117</v>
      </c>
      <c r="J293" s="100" t="s">
        <v>1118</v>
      </c>
      <c r="K293" s="91">
        <v>56950151028</v>
      </c>
      <c r="L293" s="91" t="s">
        <v>60</v>
      </c>
      <c r="M293" s="98">
        <f ca="1">(TODAY()-H293)/365</f>
        <v>72.531506849315065</v>
      </c>
      <c r="N293" s="99">
        <f>(G293-H293)/365</f>
        <v>29.564383561643837</v>
      </c>
      <c r="O293" s="98">
        <f ca="1">(TODAY()-G293)/365</f>
        <v>42.967123287671235</v>
      </c>
      <c r="P293" s="91" t="s">
        <v>43</v>
      </c>
      <c r="Q293" s="91">
        <v>1</v>
      </c>
      <c r="R293" s="91">
        <v>0</v>
      </c>
      <c r="S293" s="91">
        <v>1</v>
      </c>
      <c r="T293" s="91"/>
      <c r="U293" s="91"/>
      <c r="V293" s="91"/>
      <c r="W293" s="91"/>
      <c r="X293" s="91"/>
      <c r="Y293" s="91"/>
      <c r="Z293" s="91"/>
      <c r="AA293" s="91"/>
      <c r="AB293" s="91"/>
      <c r="AC293" s="91"/>
      <c r="AD293" s="91"/>
      <c r="AE293" s="91"/>
      <c r="AF293" s="91"/>
      <c r="AG293" s="91"/>
      <c r="AH293" s="91"/>
      <c r="AI293" s="91"/>
      <c r="AJ293" s="91"/>
      <c r="AK293" s="91"/>
      <c r="AL293" s="91"/>
      <c r="AM293" s="91"/>
    </row>
    <row r="294" spans="1:39" ht="20.25" hidden="1" customHeight="1">
      <c r="A294" s="91"/>
      <c r="B294" s="93" t="s">
        <v>1113</v>
      </c>
      <c r="C294" s="91" t="s">
        <v>36</v>
      </c>
      <c r="D294" s="107" t="s">
        <v>1119</v>
      </c>
      <c r="E294" s="107" t="s">
        <v>1120</v>
      </c>
      <c r="F294" s="91" t="s">
        <v>1121</v>
      </c>
      <c r="G294" s="96">
        <v>29815</v>
      </c>
      <c r="H294" s="97">
        <v>18850</v>
      </c>
      <c r="I294" s="100" t="s">
        <v>1122</v>
      </c>
      <c r="J294" s="100" t="s">
        <v>1123</v>
      </c>
      <c r="K294" s="91">
        <v>56998852131</v>
      </c>
      <c r="L294" s="91" t="s">
        <v>42</v>
      </c>
      <c r="M294" s="98">
        <f ca="1">(TODAY()-H294)/365</f>
        <v>74.389041095890406</v>
      </c>
      <c r="N294" s="99">
        <f>(G294-H294)/365</f>
        <v>30.041095890410958</v>
      </c>
      <c r="O294" s="98">
        <f ca="1">(TODAY()-G294)/365</f>
        <v>44.347945205479455</v>
      </c>
      <c r="P294" s="91" t="s">
        <v>43</v>
      </c>
      <c r="Q294" s="91">
        <v>0</v>
      </c>
      <c r="R294" s="91">
        <v>0</v>
      </c>
      <c r="S294" s="91">
        <v>1</v>
      </c>
      <c r="T294" s="91"/>
      <c r="U294" s="91"/>
      <c r="V294" s="91"/>
      <c r="W294" s="91"/>
      <c r="X294" s="91"/>
      <c r="Y294" s="91"/>
      <c r="Z294" s="91"/>
      <c r="AA294" s="91"/>
      <c r="AB294" s="91"/>
      <c r="AC294" s="91"/>
      <c r="AD294" s="91"/>
      <c r="AE294" s="91"/>
      <c r="AF294" s="91"/>
      <c r="AG294" s="91"/>
      <c r="AH294" s="91"/>
      <c r="AI294" s="91"/>
      <c r="AJ294" s="91"/>
      <c r="AK294" s="91"/>
      <c r="AL294" s="91"/>
      <c r="AM294" s="91"/>
    </row>
    <row r="295" spans="1:39" ht="20.25" hidden="1" customHeight="1">
      <c r="A295" s="91"/>
      <c r="B295" s="93" t="s">
        <v>1113</v>
      </c>
      <c r="C295" s="91" t="s">
        <v>36</v>
      </c>
      <c r="D295" s="107" t="s">
        <v>1124</v>
      </c>
      <c r="E295" s="107" t="s">
        <v>1125</v>
      </c>
      <c r="F295" s="91" t="s">
        <v>1126</v>
      </c>
      <c r="G295" s="96">
        <v>28649</v>
      </c>
      <c r="H295" s="97">
        <v>14916</v>
      </c>
      <c r="I295" s="94" t="s">
        <v>58</v>
      </c>
      <c r="J295" s="100" t="s">
        <v>1127</v>
      </c>
      <c r="K295" s="91">
        <v>56966218164</v>
      </c>
      <c r="L295" s="91" t="s">
        <v>60</v>
      </c>
      <c r="M295" s="98">
        <f ca="1">(TODAY()-H295)/365</f>
        <v>85.167123287671231</v>
      </c>
      <c r="N295" s="99">
        <f>(G295-H295)/365</f>
        <v>37.624657534246573</v>
      </c>
      <c r="O295" s="98">
        <f ca="1">(TODAY()-G295)/365</f>
        <v>47.542465753424658</v>
      </c>
      <c r="P295" s="91" t="s">
        <v>43</v>
      </c>
      <c r="Q295" s="91">
        <v>0</v>
      </c>
      <c r="R295" s="91">
        <v>0</v>
      </c>
      <c r="S295" s="91">
        <v>0</v>
      </c>
      <c r="T295" s="91"/>
      <c r="U295" s="91"/>
      <c r="V295" s="91"/>
      <c r="W295" s="91"/>
      <c r="X295" s="91"/>
      <c r="Y295" s="91"/>
      <c r="Z295" s="91"/>
      <c r="AA295" s="91"/>
      <c r="AB295" s="91"/>
      <c r="AC295" s="91"/>
      <c r="AD295" s="91"/>
      <c r="AE295" s="91"/>
      <c r="AF295" s="91"/>
      <c r="AG295" s="91"/>
      <c r="AH295" s="91"/>
      <c r="AI295" s="91"/>
      <c r="AJ295" s="91"/>
      <c r="AK295" s="91"/>
      <c r="AL295" s="91"/>
      <c r="AM295" s="91"/>
    </row>
    <row r="296" spans="1:39" ht="20.25" hidden="1" customHeight="1">
      <c r="A296" s="91"/>
      <c r="B296" s="93" t="s">
        <v>1113</v>
      </c>
      <c r="C296" s="91" t="s">
        <v>36</v>
      </c>
      <c r="D296" s="107" t="s">
        <v>1128</v>
      </c>
      <c r="E296" s="107" t="s">
        <v>1129</v>
      </c>
      <c r="F296" s="91" t="s">
        <v>1130</v>
      </c>
      <c r="G296" s="96">
        <v>30319</v>
      </c>
      <c r="H296" s="97">
        <v>16222</v>
      </c>
      <c r="I296" s="100" t="s">
        <v>1131</v>
      </c>
      <c r="J296" s="100" t="s">
        <v>1132</v>
      </c>
      <c r="K296" s="91">
        <v>56987484500</v>
      </c>
      <c r="L296" s="91" t="s">
        <v>60</v>
      </c>
      <c r="M296" s="98">
        <f ca="1">(TODAY()-H296)/365</f>
        <v>81.589041095890408</v>
      </c>
      <c r="N296" s="99">
        <f>(G296-H296)/365</f>
        <v>38.62191780821918</v>
      </c>
      <c r="O296" s="98">
        <f ca="1">(TODAY()-G296)/365</f>
        <v>42.967123287671235</v>
      </c>
      <c r="P296" s="91" t="s">
        <v>43</v>
      </c>
      <c r="Q296" s="91">
        <v>1</v>
      </c>
      <c r="R296" s="91">
        <v>0</v>
      </c>
      <c r="S296" s="91">
        <v>0</v>
      </c>
      <c r="T296" s="91"/>
      <c r="U296" s="91"/>
      <c r="V296" s="91"/>
      <c r="W296" s="91"/>
      <c r="X296" s="91"/>
      <c r="Y296" s="91"/>
      <c r="Z296" s="91"/>
      <c r="AA296" s="91"/>
      <c r="AB296" s="91"/>
      <c r="AC296" s="91"/>
      <c r="AD296" s="91"/>
      <c r="AE296" s="91"/>
      <c r="AF296" s="91"/>
      <c r="AG296" s="91"/>
      <c r="AH296" s="91"/>
      <c r="AI296" s="91"/>
      <c r="AJ296" s="91"/>
      <c r="AK296" s="91"/>
      <c r="AL296" s="91"/>
      <c r="AM296" s="91"/>
    </row>
    <row r="297" spans="1:39" ht="20.25" hidden="1" customHeight="1">
      <c r="A297" s="91"/>
      <c r="B297" s="93" t="s">
        <v>1113</v>
      </c>
      <c r="C297" s="91" t="s">
        <v>36</v>
      </c>
      <c r="D297" s="107" t="s">
        <v>1133</v>
      </c>
      <c r="E297" s="107" t="s">
        <v>1134</v>
      </c>
      <c r="F297" s="91" t="s">
        <v>1135</v>
      </c>
      <c r="G297" s="96">
        <v>30592</v>
      </c>
      <c r="H297" s="97">
        <v>15462</v>
      </c>
      <c r="I297" s="94" t="s">
        <v>58</v>
      </c>
      <c r="J297" s="100" t="s">
        <v>1136</v>
      </c>
      <c r="K297" s="91">
        <v>56982174614</v>
      </c>
      <c r="L297" s="91" t="s">
        <v>60</v>
      </c>
      <c r="M297" s="98">
        <f ca="1">(TODAY()-H297)/365</f>
        <v>83.671232876712324</v>
      </c>
      <c r="N297" s="99">
        <f>(G297-H297)/365</f>
        <v>41.452054794520549</v>
      </c>
      <c r="O297" s="98">
        <f ca="1">(TODAY()-G297)/365</f>
        <v>42.219178082191782</v>
      </c>
      <c r="P297" s="91" t="s">
        <v>43</v>
      </c>
      <c r="Q297" s="91">
        <v>0</v>
      </c>
      <c r="R297" s="91">
        <v>0</v>
      </c>
      <c r="S297" s="91">
        <v>0</v>
      </c>
      <c r="T297" s="91"/>
      <c r="U297" s="91"/>
      <c r="V297" s="91"/>
      <c r="W297" s="91"/>
      <c r="X297" s="91"/>
      <c r="Y297" s="91"/>
      <c r="Z297" s="91"/>
      <c r="AA297" s="91"/>
      <c r="AB297" s="91"/>
      <c r="AC297" s="91"/>
      <c r="AD297" s="91"/>
      <c r="AE297" s="91"/>
      <c r="AF297" s="91"/>
      <c r="AG297" s="91"/>
      <c r="AH297" s="91"/>
      <c r="AI297" s="91"/>
      <c r="AJ297" s="91"/>
      <c r="AK297" s="91"/>
      <c r="AL297" s="91"/>
      <c r="AM297" s="91"/>
    </row>
    <row r="298" spans="1:39" ht="20.25" hidden="1" customHeight="1">
      <c r="A298" s="91"/>
      <c r="B298" s="93" t="s">
        <v>1113</v>
      </c>
      <c r="C298" s="91" t="s">
        <v>36</v>
      </c>
      <c r="D298" s="107" t="s">
        <v>1137</v>
      </c>
      <c r="E298" s="107" t="s">
        <v>1138</v>
      </c>
      <c r="F298" s="91" t="s">
        <v>1139</v>
      </c>
      <c r="G298" s="96">
        <v>36558</v>
      </c>
      <c r="H298" s="97">
        <v>21214</v>
      </c>
      <c r="I298" s="100" t="s">
        <v>1140</v>
      </c>
      <c r="J298" s="100" t="s">
        <v>1141</v>
      </c>
      <c r="K298" s="91">
        <v>56965089828</v>
      </c>
      <c r="L298" s="91" t="s">
        <v>49</v>
      </c>
      <c r="M298" s="98">
        <f ca="1">(TODAY()-H298)/365</f>
        <v>67.912328767123284</v>
      </c>
      <c r="N298" s="99">
        <f>(G298-H298)/365</f>
        <v>42.038356164383565</v>
      </c>
      <c r="O298" s="98">
        <f ca="1">(TODAY()-G298)/365</f>
        <v>25.873972602739727</v>
      </c>
      <c r="P298" s="91" t="s">
        <v>43</v>
      </c>
      <c r="Q298" s="91">
        <v>0</v>
      </c>
      <c r="R298" s="91">
        <v>0</v>
      </c>
      <c r="S298" s="91">
        <v>0</v>
      </c>
      <c r="T298" s="91"/>
      <c r="U298" s="91"/>
      <c r="V298" s="91"/>
      <c r="W298" s="91"/>
      <c r="X298" s="91"/>
      <c r="Y298" s="91"/>
      <c r="Z298" s="91"/>
      <c r="AA298" s="91"/>
      <c r="AB298" s="91"/>
      <c r="AC298" s="91"/>
      <c r="AD298" s="91"/>
      <c r="AE298" s="91"/>
      <c r="AF298" s="91"/>
      <c r="AG298" s="91"/>
      <c r="AH298" s="91"/>
      <c r="AI298" s="91"/>
      <c r="AJ298" s="91"/>
      <c r="AK298" s="91"/>
      <c r="AL298" s="91"/>
      <c r="AM298" s="91"/>
    </row>
    <row r="299" spans="1:39" ht="20.25" hidden="1" customHeight="1">
      <c r="A299" s="91"/>
      <c r="B299" s="93" t="s">
        <v>1113</v>
      </c>
      <c r="C299" s="91" t="s">
        <v>36</v>
      </c>
      <c r="D299" s="107" t="s">
        <v>623</v>
      </c>
      <c r="E299" s="107" t="s">
        <v>1142</v>
      </c>
      <c r="F299" s="91" t="s">
        <v>1143</v>
      </c>
      <c r="G299" s="96">
        <v>39541</v>
      </c>
      <c r="H299" s="97">
        <v>23694</v>
      </c>
      <c r="I299" s="100" t="s">
        <v>1144</v>
      </c>
      <c r="J299" s="100" t="s">
        <v>1145</v>
      </c>
      <c r="K299" s="91">
        <v>5698293863</v>
      </c>
      <c r="L299" s="91" t="s">
        <v>60</v>
      </c>
      <c r="M299" s="98">
        <f ca="1">(TODAY()-H299)/365</f>
        <v>61.11780821917808</v>
      </c>
      <c r="N299" s="99">
        <f>(G299-H299)/365</f>
        <v>43.416438356164385</v>
      </c>
      <c r="O299" s="98">
        <f ca="1">(TODAY()-G299)/365</f>
        <v>17.701369863013699</v>
      </c>
      <c r="P299" s="91" t="s">
        <v>43</v>
      </c>
      <c r="Q299" s="91">
        <v>0</v>
      </c>
      <c r="R299" s="91">
        <v>0</v>
      </c>
      <c r="S299" s="91">
        <v>0</v>
      </c>
      <c r="T299" s="91"/>
      <c r="U299" s="91"/>
      <c r="V299" s="91"/>
      <c r="W299" s="91"/>
      <c r="X299" s="91"/>
      <c r="Y299" s="91"/>
      <c r="Z299" s="91"/>
      <c r="AA299" s="91"/>
      <c r="AB299" s="91"/>
      <c r="AC299" s="91"/>
      <c r="AD299" s="91"/>
      <c r="AE299" s="91"/>
      <c r="AF299" s="91"/>
      <c r="AG299" s="91"/>
      <c r="AH299" s="91"/>
      <c r="AI299" s="91"/>
      <c r="AJ299" s="91"/>
      <c r="AK299" s="91"/>
      <c r="AL299" s="91"/>
      <c r="AM299" s="91"/>
    </row>
    <row r="300" spans="1:39" ht="20.25" hidden="1" customHeight="1">
      <c r="A300" s="91"/>
      <c r="B300" s="93" t="s">
        <v>1113</v>
      </c>
      <c r="C300" s="91" t="s">
        <v>36</v>
      </c>
      <c r="D300" s="107" t="s">
        <v>1146</v>
      </c>
      <c r="E300" s="107" t="s">
        <v>1147</v>
      </c>
      <c r="F300" s="91" t="s">
        <v>1148</v>
      </c>
      <c r="G300" s="96">
        <v>39601</v>
      </c>
      <c r="H300" s="97">
        <v>21527</v>
      </c>
      <c r="I300" s="100" t="s">
        <v>1149</v>
      </c>
      <c r="J300" s="100" t="s">
        <v>1150</v>
      </c>
      <c r="K300" s="91">
        <v>56982703559</v>
      </c>
      <c r="L300" s="91" t="s">
        <v>197</v>
      </c>
      <c r="M300" s="98">
        <f ca="1">(TODAY()-H300)/365</f>
        <v>67.054794520547944</v>
      </c>
      <c r="N300" s="99">
        <f>(G300-H300)/365</f>
        <v>49.517808219178079</v>
      </c>
      <c r="O300" s="98">
        <f ca="1">(TODAY()-G300)/365</f>
        <v>17.536986301369861</v>
      </c>
      <c r="P300" s="91" t="s">
        <v>1151</v>
      </c>
      <c r="Q300" s="91">
        <v>0</v>
      </c>
      <c r="R300" s="91">
        <v>0</v>
      </c>
      <c r="S300" s="91">
        <v>0</v>
      </c>
      <c r="T300" s="91"/>
      <c r="U300" s="91"/>
      <c r="V300" s="91"/>
      <c r="W300" s="91"/>
      <c r="X300" s="91"/>
      <c r="Y300" s="91"/>
      <c r="Z300" s="91"/>
      <c r="AA300" s="91"/>
      <c r="AB300" s="91"/>
      <c r="AC300" s="91"/>
      <c r="AD300" s="91"/>
      <c r="AE300" s="91"/>
      <c r="AF300" s="91"/>
      <c r="AG300" s="91"/>
      <c r="AH300" s="91"/>
      <c r="AI300" s="91"/>
      <c r="AJ300" s="91"/>
      <c r="AK300" s="91"/>
      <c r="AL300" s="91"/>
      <c r="AM300" s="91"/>
    </row>
    <row r="301" spans="1:39" ht="20.25" hidden="1" customHeight="1">
      <c r="A301" s="91"/>
      <c r="B301" s="93" t="s">
        <v>1113</v>
      </c>
      <c r="C301" s="91" t="s">
        <v>36</v>
      </c>
      <c r="D301" s="107" t="s">
        <v>1152</v>
      </c>
      <c r="E301" s="107" t="s">
        <v>1153</v>
      </c>
      <c r="F301" s="91" t="s">
        <v>1154</v>
      </c>
      <c r="G301" s="96">
        <v>41572</v>
      </c>
      <c r="H301" s="97">
        <v>23026</v>
      </c>
      <c r="I301" s="100" t="s">
        <v>1155</v>
      </c>
      <c r="J301" s="100" t="s">
        <v>1156</v>
      </c>
      <c r="K301" s="91">
        <v>56984179005</v>
      </c>
      <c r="L301" s="91" t="s">
        <v>72</v>
      </c>
      <c r="M301" s="98">
        <f ca="1">(TODAY()-H301)/365</f>
        <v>62.947945205479449</v>
      </c>
      <c r="N301" s="99">
        <f>(G301-H301)/365</f>
        <v>50.81095890410959</v>
      </c>
      <c r="O301" s="98">
        <f ca="1">(TODAY()-G301)/365</f>
        <v>12.136986301369863</v>
      </c>
      <c r="P301" s="91" t="s">
        <v>1151</v>
      </c>
      <c r="Q301" s="91">
        <v>0</v>
      </c>
      <c r="R301" s="91">
        <v>0</v>
      </c>
      <c r="S301" s="91">
        <v>0</v>
      </c>
      <c r="T301" s="91"/>
      <c r="U301" s="91"/>
      <c r="V301" s="91"/>
      <c r="W301" s="91"/>
      <c r="X301" s="91"/>
      <c r="Y301" s="91"/>
      <c r="Z301" s="91"/>
      <c r="AA301" s="91"/>
      <c r="AB301" s="91"/>
      <c r="AC301" s="91"/>
      <c r="AD301" s="91"/>
      <c r="AE301" s="91"/>
      <c r="AF301" s="91"/>
      <c r="AG301" s="91"/>
      <c r="AH301" s="91"/>
      <c r="AI301" s="91"/>
      <c r="AJ301" s="91"/>
      <c r="AK301" s="91"/>
      <c r="AL301" s="91"/>
      <c r="AM301" s="91"/>
    </row>
    <row r="302" spans="1:39" ht="20.25" hidden="1" customHeight="1">
      <c r="A302" s="91"/>
      <c r="B302" s="93" t="s">
        <v>1113</v>
      </c>
      <c r="C302" s="91" t="s">
        <v>36</v>
      </c>
      <c r="D302" s="107" t="s">
        <v>1157</v>
      </c>
      <c r="E302" s="107" t="s">
        <v>1153</v>
      </c>
      <c r="F302" s="91" t="s">
        <v>1158</v>
      </c>
      <c r="G302" s="96">
        <v>39601</v>
      </c>
      <c r="H302" s="97">
        <v>18438</v>
      </c>
      <c r="I302" s="94" t="s">
        <v>58</v>
      </c>
      <c r="J302" s="100" t="s">
        <v>1159</v>
      </c>
      <c r="K302" s="91">
        <v>56994708664</v>
      </c>
      <c r="L302" s="91" t="s">
        <v>60</v>
      </c>
      <c r="M302" s="98">
        <f ca="1">(TODAY()-H302)/365</f>
        <v>75.517808219178079</v>
      </c>
      <c r="N302" s="99">
        <f>(G302-H302)/365</f>
        <v>57.980821917808221</v>
      </c>
      <c r="O302" s="98">
        <f ca="1">(TODAY()-G302)/365</f>
        <v>17.536986301369861</v>
      </c>
      <c r="P302" s="91" t="s">
        <v>43</v>
      </c>
      <c r="Q302" s="91">
        <v>0</v>
      </c>
      <c r="R302" s="91">
        <v>0</v>
      </c>
      <c r="S302" s="91">
        <v>0</v>
      </c>
      <c r="T302" s="91"/>
      <c r="U302" s="91"/>
      <c r="V302" s="91"/>
      <c r="W302" s="91"/>
      <c r="X302" s="91"/>
      <c r="Y302" s="91"/>
      <c r="Z302" s="91"/>
      <c r="AA302" s="91"/>
      <c r="AB302" s="91"/>
      <c r="AC302" s="91"/>
      <c r="AD302" s="91"/>
      <c r="AE302" s="91"/>
      <c r="AF302" s="91"/>
      <c r="AG302" s="91"/>
      <c r="AH302" s="91"/>
      <c r="AI302" s="91"/>
      <c r="AJ302" s="91"/>
      <c r="AK302" s="91"/>
      <c r="AL302" s="91"/>
      <c r="AM302" s="91"/>
    </row>
    <row r="303" spans="1:39" ht="20.25" hidden="1" customHeight="1">
      <c r="A303" s="91"/>
      <c r="B303" s="93" t="s">
        <v>1113</v>
      </c>
      <c r="C303" s="91" t="s">
        <v>36</v>
      </c>
      <c r="D303" s="107" t="s">
        <v>1160</v>
      </c>
      <c r="E303" s="107" t="s">
        <v>1161</v>
      </c>
      <c r="F303" s="91" t="s">
        <v>1162</v>
      </c>
      <c r="G303" s="96">
        <v>42156</v>
      </c>
      <c r="H303" s="97">
        <v>19274</v>
      </c>
      <c r="I303" s="108" t="s">
        <v>1163</v>
      </c>
      <c r="J303" s="100" t="s">
        <v>1164</v>
      </c>
      <c r="K303" s="91">
        <v>56993815364</v>
      </c>
      <c r="L303" s="91" t="s">
        <v>60</v>
      </c>
      <c r="M303" s="98">
        <f ca="1">(TODAY()-H303)/365</f>
        <v>73.227397260273975</v>
      </c>
      <c r="N303" s="99">
        <f>(G303-H303)/365</f>
        <v>62.69041095890411</v>
      </c>
      <c r="O303" s="98">
        <f ca="1">(TODAY()-G303)/365</f>
        <v>10.536986301369863</v>
      </c>
      <c r="P303" s="91" t="s">
        <v>43</v>
      </c>
      <c r="Q303" s="91">
        <v>0</v>
      </c>
      <c r="R303" s="91">
        <v>0</v>
      </c>
      <c r="S303" s="91">
        <v>0</v>
      </c>
      <c r="T303" s="91"/>
      <c r="U303" s="91"/>
      <c r="V303" s="91"/>
      <c r="W303" s="91"/>
      <c r="X303" s="91"/>
      <c r="Y303" s="91"/>
      <c r="Z303" s="91"/>
      <c r="AA303" s="91"/>
      <c r="AB303" s="91"/>
      <c r="AC303" s="91"/>
      <c r="AD303" s="91"/>
      <c r="AE303" s="91"/>
      <c r="AF303" s="91"/>
      <c r="AG303" s="91"/>
      <c r="AH303" s="91"/>
      <c r="AI303" s="91"/>
      <c r="AJ303" s="91"/>
      <c r="AK303" s="91"/>
      <c r="AL303" s="91"/>
      <c r="AM303" s="91"/>
    </row>
    <row r="304" spans="1:39" ht="20.25" hidden="1" customHeight="1">
      <c r="A304" s="91"/>
      <c r="B304" s="93" t="s">
        <v>1113</v>
      </c>
      <c r="C304" s="91" t="s">
        <v>36</v>
      </c>
      <c r="D304" s="107" t="s">
        <v>1165</v>
      </c>
      <c r="E304" s="107" t="s">
        <v>1166</v>
      </c>
      <c r="F304" s="91" t="s">
        <v>1167</v>
      </c>
      <c r="G304" s="96">
        <v>45292</v>
      </c>
      <c r="H304" s="97">
        <v>21165</v>
      </c>
      <c r="I304" s="100" t="s">
        <v>1168</v>
      </c>
      <c r="J304" s="100" t="s">
        <v>1169</v>
      </c>
      <c r="K304" s="91">
        <v>56941841141</v>
      </c>
      <c r="L304" s="91" t="s">
        <v>60</v>
      </c>
      <c r="M304" s="98">
        <f ca="1">(TODAY()-H304)/365</f>
        <v>68.046575342465758</v>
      </c>
      <c r="N304" s="99">
        <f>(G304-H304)/365</f>
        <v>66.101369863013701</v>
      </c>
      <c r="O304" s="98">
        <f ca="1">(TODAY()-G304)/365</f>
        <v>1.9452054794520548</v>
      </c>
      <c r="P304" s="91" t="s">
        <v>43</v>
      </c>
      <c r="Q304" s="91">
        <v>0</v>
      </c>
      <c r="R304" s="91">
        <v>0</v>
      </c>
      <c r="S304" s="91">
        <v>0</v>
      </c>
      <c r="T304" s="91"/>
      <c r="U304" s="91"/>
      <c r="V304" s="91"/>
      <c r="W304" s="91"/>
      <c r="X304" s="91"/>
      <c r="Y304" s="91"/>
      <c r="Z304" s="91"/>
      <c r="AA304" s="91"/>
      <c r="AB304" s="91"/>
      <c r="AC304" s="91"/>
      <c r="AD304" s="91"/>
      <c r="AE304" s="91"/>
      <c r="AF304" s="91"/>
      <c r="AG304" s="91"/>
      <c r="AH304" s="91"/>
      <c r="AI304" s="91"/>
      <c r="AJ304" s="91"/>
      <c r="AK304" s="91"/>
      <c r="AL304" s="91"/>
      <c r="AM304" s="91"/>
    </row>
    <row r="305" spans="1:39" ht="20.25" hidden="1" customHeight="1">
      <c r="A305" s="91"/>
      <c r="B305" s="93" t="s">
        <v>1113</v>
      </c>
      <c r="C305" s="91" t="s">
        <v>36</v>
      </c>
      <c r="D305" s="107" t="s">
        <v>1170</v>
      </c>
      <c r="E305" s="107" t="s">
        <v>1171</v>
      </c>
      <c r="F305" s="91" t="s">
        <v>1172</v>
      </c>
      <c r="G305" s="96">
        <v>44974</v>
      </c>
      <c r="H305" s="97">
        <v>20006</v>
      </c>
      <c r="I305" s="100" t="s">
        <v>1173</v>
      </c>
      <c r="J305" s="94" t="s">
        <v>58</v>
      </c>
      <c r="K305" s="91">
        <v>56998735701</v>
      </c>
      <c r="L305" s="91" t="s">
        <v>60</v>
      </c>
      <c r="M305" s="98">
        <f ca="1">(TODAY()-H305)/365</f>
        <v>71.221917808219175</v>
      </c>
      <c r="N305" s="99">
        <f>(G305-H305)/365</f>
        <v>68.405479452054792</v>
      </c>
      <c r="O305" s="98">
        <f ca="1">(TODAY()-G305)/365</f>
        <v>2.8164383561643835</v>
      </c>
      <c r="P305" s="91" t="s">
        <v>43</v>
      </c>
      <c r="Q305" s="91">
        <v>0</v>
      </c>
      <c r="R305" s="91">
        <v>0</v>
      </c>
      <c r="S305" s="91">
        <v>0</v>
      </c>
      <c r="T305" s="91"/>
      <c r="U305" s="91"/>
      <c r="V305" s="91"/>
      <c r="W305" s="91"/>
      <c r="X305" s="91"/>
      <c r="Y305" s="91"/>
      <c r="Z305" s="91"/>
      <c r="AA305" s="91"/>
      <c r="AB305" s="91"/>
      <c r="AC305" s="91"/>
      <c r="AD305" s="91"/>
      <c r="AE305" s="91"/>
      <c r="AF305" s="91"/>
      <c r="AG305" s="91"/>
      <c r="AH305" s="91"/>
      <c r="AI305" s="91"/>
      <c r="AJ305" s="91"/>
      <c r="AK305" s="91"/>
      <c r="AL305" s="91"/>
      <c r="AM305" s="91"/>
    </row>
    <row r="306" spans="1:39" ht="20.25" hidden="1" customHeight="1">
      <c r="A306" s="91"/>
      <c r="B306" s="93" t="s">
        <v>1174</v>
      </c>
      <c r="C306" s="91" t="s">
        <v>36</v>
      </c>
      <c r="D306" s="107" t="s">
        <v>1175</v>
      </c>
      <c r="E306" s="107" t="s">
        <v>1176</v>
      </c>
      <c r="F306" s="91" t="s">
        <v>1177</v>
      </c>
      <c r="G306" s="96">
        <v>41128</v>
      </c>
      <c r="H306" s="97">
        <v>35516</v>
      </c>
      <c r="I306" s="94" t="s">
        <v>58</v>
      </c>
      <c r="J306" s="100" t="s">
        <v>1178</v>
      </c>
      <c r="K306" s="91">
        <v>977255422</v>
      </c>
      <c r="L306" s="91" t="s">
        <v>60</v>
      </c>
      <c r="M306" s="98">
        <f ca="1">(TODAY()-H306)/365</f>
        <v>28.728767123287671</v>
      </c>
      <c r="N306" s="99">
        <f>(G306-H306)/365</f>
        <v>15.375342465753425</v>
      </c>
      <c r="O306" s="98">
        <f ca="1">(TODAY()-G306)/365</f>
        <v>13.353424657534246</v>
      </c>
      <c r="P306" s="91" t="s">
        <v>272</v>
      </c>
      <c r="Q306" s="91">
        <v>0</v>
      </c>
      <c r="R306" s="91">
        <v>0</v>
      </c>
      <c r="S306" s="91">
        <v>0</v>
      </c>
      <c r="T306" s="91"/>
      <c r="U306" s="91"/>
      <c r="V306" s="91"/>
      <c r="W306" s="91"/>
      <c r="X306" s="91"/>
      <c r="Y306" s="91"/>
      <c r="Z306" s="91"/>
      <c r="AA306" s="91"/>
      <c r="AB306" s="91"/>
      <c r="AC306" s="91"/>
      <c r="AD306" s="91"/>
      <c r="AE306" s="91"/>
      <c r="AF306" s="91"/>
      <c r="AG306" s="91"/>
      <c r="AH306" s="91"/>
      <c r="AI306" s="91"/>
      <c r="AJ306" s="91"/>
      <c r="AK306" s="91"/>
      <c r="AL306" s="91"/>
      <c r="AM306" s="91"/>
    </row>
    <row r="307" spans="1:39" ht="20.25" hidden="1" customHeight="1">
      <c r="A307" s="91"/>
      <c r="B307" s="93" t="s">
        <v>1174</v>
      </c>
      <c r="C307" s="91" t="s">
        <v>36</v>
      </c>
      <c r="D307" s="107" t="s">
        <v>451</v>
      </c>
      <c r="E307" s="107" t="s">
        <v>1179</v>
      </c>
      <c r="F307" s="91" t="s">
        <v>1180</v>
      </c>
      <c r="G307" s="96">
        <v>29326</v>
      </c>
      <c r="H307" s="96" t="s">
        <v>58</v>
      </c>
      <c r="I307" s="94" t="s">
        <v>58</v>
      </c>
      <c r="J307" s="94" t="s">
        <v>58</v>
      </c>
      <c r="K307" s="91">
        <v>982204287</v>
      </c>
      <c r="L307" s="91" t="s">
        <v>60</v>
      </c>
      <c r="M307" s="98"/>
      <c r="N307" s="95"/>
      <c r="O307" s="98">
        <f ca="1">(TODAY()-G307)/365</f>
        <v>45.68767123287671</v>
      </c>
      <c r="P307" s="91" t="s">
        <v>43</v>
      </c>
      <c r="Q307" s="91">
        <v>0</v>
      </c>
      <c r="R307" s="91">
        <v>0</v>
      </c>
      <c r="S307" s="91">
        <v>0</v>
      </c>
      <c r="T307" s="91"/>
      <c r="U307" s="91"/>
      <c r="V307" s="91"/>
      <c r="W307" s="91"/>
      <c r="X307" s="91"/>
      <c r="Y307" s="91"/>
      <c r="Z307" s="91"/>
      <c r="AA307" s="91"/>
      <c r="AB307" s="91"/>
      <c r="AC307" s="91"/>
      <c r="AD307" s="91"/>
      <c r="AE307" s="91"/>
      <c r="AF307" s="91"/>
      <c r="AG307" s="91"/>
      <c r="AH307" s="91"/>
      <c r="AI307" s="91"/>
      <c r="AJ307" s="91"/>
      <c r="AK307" s="91"/>
      <c r="AL307" s="91"/>
      <c r="AM307" s="91"/>
    </row>
    <row r="308" spans="1:39" ht="20.25" hidden="1" customHeight="1">
      <c r="A308" s="91"/>
      <c r="B308" s="93" t="s">
        <v>1174</v>
      </c>
      <c r="C308" s="91" t="s">
        <v>36</v>
      </c>
      <c r="D308" s="107" t="s">
        <v>666</v>
      </c>
      <c r="E308" s="107" t="s">
        <v>1181</v>
      </c>
      <c r="F308" s="91" t="s">
        <v>1182</v>
      </c>
      <c r="G308" s="96">
        <v>33972</v>
      </c>
      <c r="H308" s="96" t="s">
        <v>58</v>
      </c>
      <c r="I308" s="94" t="s">
        <v>58</v>
      </c>
      <c r="J308" s="94" t="s">
        <v>58</v>
      </c>
      <c r="K308" s="91">
        <v>991590529</v>
      </c>
      <c r="L308" s="91" t="s">
        <v>197</v>
      </c>
      <c r="M308" s="98"/>
      <c r="N308" s="95"/>
      <c r="O308" s="98">
        <f ca="1">(TODAY()-G308)/365</f>
        <v>32.958904109589042</v>
      </c>
      <c r="P308" s="91" t="s">
        <v>43</v>
      </c>
      <c r="Q308" s="91">
        <v>0</v>
      </c>
      <c r="R308" s="91">
        <v>0</v>
      </c>
      <c r="S308" s="91">
        <v>0</v>
      </c>
      <c r="T308" s="91"/>
      <c r="U308" s="91"/>
      <c r="V308" s="91"/>
      <c r="W308" s="91"/>
      <c r="X308" s="91"/>
      <c r="Y308" s="91"/>
      <c r="Z308" s="91"/>
      <c r="AA308" s="91"/>
      <c r="AB308" s="91"/>
      <c r="AC308" s="91"/>
      <c r="AD308" s="91"/>
      <c r="AE308" s="91"/>
      <c r="AF308" s="91"/>
      <c r="AG308" s="91"/>
      <c r="AH308" s="91"/>
      <c r="AI308" s="91"/>
      <c r="AJ308" s="91"/>
      <c r="AK308" s="91"/>
      <c r="AL308" s="91"/>
      <c r="AM308" s="91"/>
    </row>
    <row r="309" spans="1:39" ht="20.25" hidden="1" customHeight="1">
      <c r="A309" s="91"/>
      <c r="B309" s="93" t="s">
        <v>1174</v>
      </c>
      <c r="C309" s="91" t="s">
        <v>36</v>
      </c>
      <c r="D309" s="107" t="s">
        <v>1183</v>
      </c>
      <c r="E309" s="107" t="s">
        <v>1184</v>
      </c>
      <c r="F309" s="91" t="s">
        <v>1185</v>
      </c>
      <c r="G309" s="96">
        <v>40544</v>
      </c>
      <c r="H309" s="97">
        <v>33626</v>
      </c>
      <c r="I309" s="94" t="s">
        <v>58</v>
      </c>
      <c r="J309" s="100" t="s">
        <v>1186</v>
      </c>
      <c r="K309" s="91">
        <v>942370460</v>
      </c>
      <c r="L309" s="91" t="s">
        <v>167</v>
      </c>
      <c r="M309" s="98">
        <f ca="1">(TODAY()-H309)/365</f>
        <v>33.906849315068492</v>
      </c>
      <c r="N309" s="99">
        <f>(G309-H309)/365</f>
        <v>18.953424657534246</v>
      </c>
      <c r="O309" s="98">
        <f ca="1">(TODAY()-G309)/365</f>
        <v>14.953424657534246</v>
      </c>
      <c r="P309" s="91" t="s">
        <v>272</v>
      </c>
      <c r="Q309" s="91">
        <v>0</v>
      </c>
      <c r="R309" s="91">
        <v>0</v>
      </c>
      <c r="S309" s="91">
        <v>0</v>
      </c>
      <c r="T309" s="91"/>
      <c r="U309" s="91"/>
      <c r="V309" s="91"/>
      <c r="W309" s="91"/>
      <c r="X309" s="91"/>
      <c r="Y309" s="91"/>
      <c r="Z309" s="91"/>
      <c r="AA309" s="91"/>
      <c r="AB309" s="91"/>
      <c r="AC309" s="91"/>
      <c r="AD309" s="91"/>
      <c r="AE309" s="91"/>
      <c r="AF309" s="91"/>
      <c r="AG309" s="91"/>
      <c r="AH309" s="91"/>
      <c r="AI309" s="91"/>
      <c r="AJ309" s="91"/>
      <c r="AK309" s="91"/>
      <c r="AL309" s="91"/>
      <c r="AM309" s="91"/>
    </row>
    <row r="310" spans="1:39" ht="20.25" hidden="1" customHeight="1">
      <c r="A310" s="91"/>
      <c r="B310" s="93" t="s">
        <v>1174</v>
      </c>
      <c r="C310" s="91" t="s">
        <v>36</v>
      </c>
      <c r="D310" s="107" t="s">
        <v>1187</v>
      </c>
      <c r="E310" s="107" t="s">
        <v>1188</v>
      </c>
      <c r="F310" s="91" t="s">
        <v>1189</v>
      </c>
      <c r="G310" s="96">
        <v>29281</v>
      </c>
      <c r="H310" s="97">
        <v>21870</v>
      </c>
      <c r="I310" s="94" t="s">
        <v>58</v>
      </c>
      <c r="J310" s="94" t="s">
        <v>58</v>
      </c>
      <c r="K310" s="91">
        <v>976570039</v>
      </c>
      <c r="L310" s="91" t="s">
        <v>42</v>
      </c>
      <c r="M310" s="98">
        <f ca="1">(TODAY()-H310)/365</f>
        <v>66.115068493150687</v>
      </c>
      <c r="N310" s="99">
        <f>(G310-H310)/365</f>
        <v>20.304109589041097</v>
      </c>
      <c r="O310" s="98">
        <f ca="1">(TODAY()-G310)/365</f>
        <v>45.81095890410959</v>
      </c>
      <c r="P310" s="91" t="s">
        <v>43</v>
      </c>
      <c r="Q310" s="91">
        <v>0</v>
      </c>
      <c r="R310" s="91">
        <v>0</v>
      </c>
      <c r="S310" s="91">
        <v>0</v>
      </c>
      <c r="T310" s="91"/>
      <c r="U310" s="91"/>
      <c r="V310" s="91"/>
      <c r="W310" s="91"/>
      <c r="X310" s="91"/>
      <c r="Y310" s="91"/>
      <c r="Z310" s="91"/>
      <c r="AA310" s="91"/>
      <c r="AB310" s="91"/>
      <c r="AC310" s="91"/>
      <c r="AD310" s="91"/>
      <c r="AE310" s="91"/>
      <c r="AF310" s="91"/>
      <c r="AG310" s="91"/>
      <c r="AH310" s="91"/>
      <c r="AI310" s="91"/>
      <c r="AJ310" s="91"/>
      <c r="AK310" s="91"/>
      <c r="AL310" s="91"/>
      <c r="AM310" s="91"/>
    </row>
    <row r="311" spans="1:39" ht="20.25" hidden="1" customHeight="1">
      <c r="A311" s="91"/>
      <c r="B311" s="93" t="s">
        <v>1174</v>
      </c>
      <c r="C311" s="91" t="s">
        <v>36</v>
      </c>
      <c r="D311" s="107" t="s">
        <v>688</v>
      </c>
      <c r="E311" s="107" t="s">
        <v>1190</v>
      </c>
      <c r="F311" s="91" t="s">
        <v>1191</v>
      </c>
      <c r="G311" s="96">
        <v>43732</v>
      </c>
      <c r="H311" s="97">
        <v>35089</v>
      </c>
      <c r="I311" s="94" t="s">
        <v>58</v>
      </c>
      <c r="J311" s="100" t="s">
        <v>1192</v>
      </c>
      <c r="K311" s="91">
        <v>987061435</v>
      </c>
      <c r="L311" s="91" t="s">
        <v>60</v>
      </c>
      <c r="M311" s="98">
        <f ca="1">(TODAY()-H311)/365</f>
        <v>29.898630136986302</v>
      </c>
      <c r="N311" s="99">
        <f>(G311-H311)/365</f>
        <v>23.67945205479452</v>
      </c>
      <c r="O311" s="98">
        <f ca="1">(TODAY()-G311)/365</f>
        <v>6.2191780821917808</v>
      </c>
      <c r="P311" s="91" t="s">
        <v>272</v>
      </c>
      <c r="Q311" s="91">
        <v>0</v>
      </c>
      <c r="R311" s="91">
        <v>0</v>
      </c>
      <c r="S311" s="91">
        <v>0</v>
      </c>
      <c r="T311" s="91"/>
      <c r="U311" s="91"/>
      <c r="V311" s="91"/>
      <c r="W311" s="91"/>
      <c r="X311" s="91"/>
      <c r="Y311" s="91"/>
      <c r="Z311" s="91"/>
      <c r="AA311" s="91"/>
      <c r="AB311" s="91"/>
      <c r="AC311" s="91"/>
      <c r="AD311" s="91"/>
      <c r="AE311" s="91"/>
      <c r="AF311" s="91"/>
      <c r="AG311" s="91"/>
      <c r="AH311" s="91"/>
      <c r="AI311" s="91"/>
      <c r="AJ311" s="91"/>
      <c r="AK311" s="91"/>
      <c r="AL311" s="91"/>
      <c r="AM311" s="91"/>
    </row>
    <row r="312" spans="1:39" ht="20.25" hidden="1" customHeight="1">
      <c r="A312" s="91"/>
      <c r="B312" s="93" t="s">
        <v>1174</v>
      </c>
      <c r="C312" s="91" t="s">
        <v>36</v>
      </c>
      <c r="D312" s="107" t="s">
        <v>1193</v>
      </c>
      <c r="E312" s="107" t="s">
        <v>1194</v>
      </c>
      <c r="F312" s="91" t="s">
        <v>1195</v>
      </c>
      <c r="G312" s="96">
        <v>45543</v>
      </c>
      <c r="H312" s="97">
        <v>34313</v>
      </c>
      <c r="I312" s="94" t="s">
        <v>58</v>
      </c>
      <c r="J312" s="100" t="s">
        <v>1196</v>
      </c>
      <c r="K312" s="91">
        <v>935854381</v>
      </c>
      <c r="L312" s="91" t="s">
        <v>60</v>
      </c>
      <c r="M312" s="98">
        <f ca="1">(TODAY()-H312)/365</f>
        <v>32.024657534246572</v>
      </c>
      <c r="N312" s="99">
        <f>(G312-H312)/365</f>
        <v>30.767123287671232</v>
      </c>
      <c r="O312" s="98">
        <f ca="1">(TODAY()-G312)/365</f>
        <v>1.2575342465753425</v>
      </c>
      <c r="P312" s="91" t="s">
        <v>272</v>
      </c>
      <c r="Q312" s="91">
        <v>0</v>
      </c>
      <c r="R312" s="91">
        <v>0</v>
      </c>
      <c r="S312" s="91">
        <v>0</v>
      </c>
      <c r="T312" s="91"/>
      <c r="U312" s="91"/>
      <c r="V312" s="91"/>
      <c r="W312" s="91"/>
      <c r="X312" s="91"/>
      <c r="Y312" s="91"/>
      <c r="Z312" s="91"/>
      <c r="AA312" s="91"/>
      <c r="AB312" s="91"/>
      <c r="AC312" s="91"/>
      <c r="AD312" s="91"/>
      <c r="AE312" s="91"/>
      <c r="AF312" s="91"/>
      <c r="AG312" s="91"/>
      <c r="AH312" s="91"/>
      <c r="AI312" s="91"/>
      <c r="AJ312" s="91"/>
      <c r="AK312" s="91"/>
      <c r="AL312" s="91"/>
      <c r="AM312" s="91"/>
    </row>
    <row r="313" spans="1:39" ht="20.25" hidden="1" customHeight="1">
      <c r="A313" s="91"/>
      <c r="B313" s="93" t="s">
        <v>1174</v>
      </c>
      <c r="C313" s="91" t="s">
        <v>36</v>
      </c>
      <c r="D313" s="107" t="s">
        <v>1197</v>
      </c>
      <c r="E313" s="107" t="s">
        <v>1198</v>
      </c>
      <c r="F313" s="91" t="s">
        <v>1199</v>
      </c>
      <c r="G313" s="96">
        <v>44788</v>
      </c>
      <c r="H313" s="97">
        <v>30411</v>
      </c>
      <c r="I313" s="94" t="s">
        <v>58</v>
      </c>
      <c r="J313" s="94" t="s">
        <v>58</v>
      </c>
      <c r="K313" s="91">
        <v>984846773</v>
      </c>
      <c r="L313" s="91" t="s">
        <v>66</v>
      </c>
      <c r="M313" s="98">
        <f ca="1">(TODAY()-H313)/365</f>
        <v>42.715068493150682</v>
      </c>
      <c r="N313" s="99">
        <f>(G313-H313)/365</f>
        <v>39.389041095890413</v>
      </c>
      <c r="O313" s="98">
        <f ca="1">(TODAY()-G313)/365</f>
        <v>3.3260273972602739</v>
      </c>
      <c r="P313" s="91" t="s">
        <v>43</v>
      </c>
      <c r="Q313" s="91">
        <v>0</v>
      </c>
      <c r="R313" s="91">
        <v>0</v>
      </c>
      <c r="S313" s="91">
        <v>0</v>
      </c>
      <c r="T313" s="91"/>
      <c r="U313" s="91"/>
      <c r="V313" s="91"/>
      <c r="W313" s="91"/>
      <c r="X313" s="91"/>
      <c r="Y313" s="91"/>
      <c r="Z313" s="91"/>
      <c r="AA313" s="91"/>
      <c r="AB313" s="91"/>
      <c r="AC313" s="91"/>
      <c r="AD313" s="91"/>
      <c r="AE313" s="91"/>
      <c r="AF313" s="91"/>
      <c r="AG313" s="91"/>
      <c r="AH313" s="91"/>
      <c r="AI313" s="91"/>
      <c r="AJ313" s="91"/>
      <c r="AK313" s="91"/>
      <c r="AL313" s="91"/>
      <c r="AM313" s="91"/>
    </row>
    <row r="314" spans="1:39" ht="20.25" hidden="1" customHeight="1">
      <c r="A314" s="91"/>
      <c r="B314" s="93" t="s">
        <v>1174</v>
      </c>
      <c r="C314" s="91" t="s">
        <v>36</v>
      </c>
      <c r="D314" s="107" t="s">
        <v>513</v>
      </c>
      <c r="E314" s="107" t="s">
        <v>1200</v>
      </c>
      <c r="F314" s="91" t="s">
        <v>1201</v>
      </c>
      <c r="G314" s="96">
        <v>40045</v>
      </c>
      <c r="H314" s="97">
        <v>25414</v>
      </c>
      <c r="I314" s="94" t="s">
        <v>58</v>
      </c>
      <c r="J314" s="100" t="s">
        <v>1202</v>
      </c>
      <c r="K314" s="91">
        <v>987242593</v>
      </c>
      <c r="L314" s="91" t="s">
        <v>60</v>
      </c>
      <c r="M314" s="98">
        <f ca="1">(TODAY()-H314)/365</f>
        <v>56.405479452054792</v>
      </c>
      <c r="N314" s="99">
        <f>(G314-H314)/365</f>
        <v>40.084931506849315</v>
      </c>
      <c r="O314" s="98">
        <f ca="1">(TODAY()-G314)/365</f>
        <v>16.32054794520548</v>
      </c>
      <c r="P314" s="91" t="s">
        <v>43</v>
      </c>
      <c r="Q314" s="91">
        <v>0</v>
      </c>
      <c r="R314" s="91">
        <v>0</v>
      </c>
      <c r="S314" s="91">
        <v>0</v>
      </c>
      <c r="T314" s="91"/>
      <c r="U314" s="91"/>
      <c r="V314" s="91"/>
      <c r="W314" s="91"/>
      <c r="X314" s="91"/>
      <c r="Y314" s="91"/>
      <c r="Z314" s="91"/>
      <c r="AA314" s="91"/>
      <c r="AB314" s="91"/>
      <c r="AC314" s="91"/>
      <c r="AD314" s="91"/>
      <c r="AE314" s="91"/>
      <c r="AF314" s="91"/>
      <c r="AG314" s="91"/>
      <c r="AH314" s="91"/>
      <c r="AI314" s="91"/>
      <c r="AJ314" s="91"/>
      <c r="AK314" s="91"/>
      <c r="AL314" s="91"/>
      <c r="AM314" s="91"/>
    </row>
    <row r="315" spans="1:39" ht="20.25" hidden="1" customHeight="1">
      <c r="A315" s="91"/>
      <c r="B315" s="93" t="s">
        <v>1174</v>
      </c>
      <c r="C315" s="91" t="s">
        <v>36</v>
      </c>
      <c r="D315" s="107" t="s">
        <v>1203</v>
      </c>
      <c r="E315" s="107" t="s">
        <v>1204</v>
      </c>
      <c r="F315" s="91" t="s">
        <v>1205</v>
      </c>
      <c r="G315" s="96">
        <v>43262</v>
      </c>
      <c r="H315" s="97">
        <v>28527</v>
      </c>
      <c r="I315" s="94" t="s">
        <v>58</v>
      </c>
      <c r="J315" s="94" t="s">
        <v>58</v>
      </c>
      <c r="K315" s="91">
        <v>939448963</v>
      </c>
      <c r="L315" s="91" t="s">
        <v>54</v>
      </c>
      <c r="M315" s="98">
        <f ca="1">(TODAY()-H315)/365</f>
        <v>47.876712328767127</v>
      </c>
      <c r="N315" s="99">
        <f>(G315-H315)/365</f>
        <v>40.369863013698627</v>
      </c>
      <c r="O315" s="98">
        <f ca="1">(TODAY()-G315)/365</f>
        <v>7.506849315068493</v>
      </c>
      <c r="P315" s="91" t="s">
        <v>43</v>
      </c>
      <c r="Q315" s="91">
        <v>0</v>
      </c>
      <c r="R315" s="91">
        <v>0</v>
      </c>
      <c r="S315" s="91">
        <v>0</v>
      </c>
      <c r="T315" s="91"/>
      <c r="U315" s="91"/>
      <c r="V315" s="91"/>
      <c r="W315" s="91"/>
      <c r="X315" s="91"/>
      <c r="Y315" s="91"/>
      <c r="Z315" s="91"/>
      <c r="AA315" s="91"/>
      <c r="AB315" s="91"/>
      <c r="AC315" s="91"/>
      <c r="AD315" s="91"/>
      <c r="AE315" s="91"/>
      <c r="AF315" s="91"/>
      <c r="AG315" s="91"/>
      <c r="AH315" s="91"/>
      <c r="AI315" s="91"/>
      <c r="AJ315" s="91"/>
      <c r="AK315" s="91"/>
      <c r="AL315" s="91"/>
      <c r="AM315" s="91"/>
    </row>
    <row r="316" spans="1:39" ht="20.25" hidden="1" customHeight="1">
      <c r="A316" s="91"/>
      <c r="B316" s="93" t="s">
        <v>1174</v>
      </c>
      <c r="C316" s="91" t="s">
        <v>36</v>
      </c>
      <c r="D316" s="107" t="s">
        <v>1206</v>
      </c>
      <c r="E316" s="107" t="s">
        <v>1207</v>
      </c>
      <c r="F316" s="91" t="s">
        <v>1208</v>
      </c>
      <c r="G316" s="96">
        <v>35296</v>
      </c>
      <c r="H316" s="97">
        <v>20191</v>
      </c>
      <c r="I316" s="94" t="s">
        <v>58</v>
      </c>
      <c r="J316" s="100" t="s">
        <v>1209</v>
      </c>
      <c r="K316" s="91">
        <v>991578056</v>
      </c>
      <c r="L316" s="91" t="s">
        <v>60</v>
      </c>
      <c r="M316" s="98">
        <f ca="1">(TODAY()-H316)/365</f>
        <v>70.715068493150682</v>
      </c>
      <c r="N316" s="99">
        <f>(G316-H316)/365</f>
        <v>41.38356164383562</v>
      </c>
      <c r="O316" s="98">
        <f ca="1">(TODAY()-G316)/365</f>
        <v>29.331506849315069</v>
      </c>
      <c r="P316" s="91" t="s">
        <v>43</v>
      </c>
      <c r="Q316" s="91">
        <v>0</v>
      </c>
      <c r="R316" s="91">
        <v>0</v>
      </c>
      <c r="S316" s="91">
        <v>0</v>
      </c>
      <c r="T316" s="91"/>
      <c r="U316" s="91"/>
      <c r="V316" s="91"/>
      <c r="W316" s="91"/>
      <c r="X316" s="91"/>
      <c r="Y316" s="91"/>
      <c r="Z316" s="91"/>
      <c r="AA316" s="91"/>
      <c r="AB316" s="91"/>
      <c r="AC316" s="91"/>
      <c r="AD316" s="91"/>
      <c r="AE316" s="91"/>
      <c r="AF316" s="91"/>
      <c r="AG316" s="91"/>
      <c r="AH316" s="91"/>
      <c r="AI316" s="91"/>
      <c r="AJ316" s="91"/>
      <c r="AK316" s="91"/>
      <c r="AL316" s="91"/>
      <c r="AM316" s="91"/>
    </row>
    <row r="317" spans="1:39" ht="20.25" hidden="1" customHeight="1">
      <c r="A317" s="91"/>
      <c r="B317" s="93" t="s">
        <v>1174</v>
      </c>
      <c r="C317" s="91" t="s">
        <v>36</v>
      </c>
      <c r="D317" s="107" t="s">
        <v>513</v>
      </c>
      <c r="E317" s="107" t="s">
        <v>1210</v>
      </c>
      <c r="F317" s="91" t="s">
        <v>1211</v>
      </c>
      <c r="G317" s="96">
        <v>38051</v>
      </c>
      <c r="H317" s="97">
        <v>21272</v>
      </c>
      <c r="I317" s="94" t="s">
        <v>58</v>
      </c>
      <c r="J317" s="94" t="s">
        <v>58</v>
      </c>
      <c r="K317" s="91">
        <v>992136759</v>
      </c>
      <c r="L317" s="91" t="s">
        <v>72</v>
      </c>
      <c r="M317" s="98">
        <f ca="1">(TODAY()-H317)/365</f>
        <v>67.753424657534254</v>
      </c>
      <c r="N317" s="99">
        <f>(G317-H317)/365</f>
        <v>45.969863013698628</v>
      </c>
      <c r="O317" s="98">
        <f ca="1">(TODAY()-G317)/365</f>
        <v>21.783561643835615</v>
      </c>
      <c r="P317" s="91" t="s">
        <v>43</v>
      </c>
      <c r="Q317" s="91">
        <v>0</v>
      </c>
      <c r="R317" s="91">
        <v>0</v>
      </c>
      <c r="S317" s="91">
        <v>0</v>
      </c>
      <c r="T317" s="91"/>
      <c r="U317" s="91"/>
      <c r="V317" s="91"/>
      <c r="W317" s="91"/>
      <c r="X317" s="91"/>
      <c r="Y317" s="91"/>
      <c r="Z317" s="91"/>
      <c r="AA317" s="91"/>
      <c r="AB317" s="91"/>
      <c r="AC317" s="91"/>
      <c r="AD317" s="91"/>
      <c r="AE317" s="91"/>
      <c r="AF317" s="91"/>
      <c r="AG317" s="91"/>
      <c r="AH317" s="91"/>
      <c r="AI317" s="91"/>
      <c r="AJ317" s="91"/>
      <c r="AK317" s="91"/>
      <c r="AL317" s="91"/>
      <c r="AM317" s="91"/>
    </row>
    <row r="318" spans="1:39" ht="20.25" hidden="1" customHeight="1">
      <c r="A318" s="91"/>
      <c r="B318" s="93" t="s">
        <v>1174</v>
      </c>
      <c r="C318" s="91" t="s">
        <v>36</v>
      </c>
      <c r="D318" s="107" t="s">
        <v>845</v>
      </c>
      <c r="E318" s="107" t="s">
        <v>1212</v>
      </c>
      <c r="F318" s="91" t="s">
        <v>1213</v>
      </c>
      <c r="G318" s="96">
        <v>45543</v>
      </c>
      <c r="H318" s="97">
        <v>27034</v>
      </c>
      <c r="I318" s="94" t="s">
        <v>58</v>
      </c>
      <c r="J318" s="100" t="s">
        <v>1214</v>
      </c>
      <c r="K318" s="91">
        <v>987440206</v>
      </c>
      <c r="L318" s="91" t="s">
        <v>60</v>
      </c>
      <c r="M318" s="98">
        <f ca="1">(TODAY()-H318)/365</f>
        <v>51.967123287671235</v>
      </c>
      <c r="N318" s="99">
        <f>(G318-H318)/365</f>
        <v>50.709589041095889</v>
      </c>
      <c r="O318" s="98">
        <f ca="1">(TODAY()-G318)/365</f>
        <v>1.2575342465753425</v>
      </c>
      <c r="P318" s="91" t="s">
        <v>43</v>
      </c>
      <c r="Q318" s="91">
        <v>0</v>
      </c>
      <c r="R318" s="91">
        <v>0</v>
      </c>
      <c r="S318" s="91">
        <v>0</v>
      </c>
      <c r="T318" s="91"/>
      <c r="U318" s="91"/>
      <c r="V318" s="91"/>
      <c r="W318" s="91"/>
      <c r="X318" s="91"/>
      <c r="Y318" s="91"/>
      <c r="Z318" s="91"/>
      <c r="AA318" s="91"/>
      <c r="AB318" s="91"/>
      <c r="AC318" s="91"/>
      <c r="AD318" s="91"/>
      <c r="AE318" s="91"/>
      <c r="AF318" s="91"/>
      <c r="AG318" s="91"/>
      <c r="AH318" s="91"/>
      <c r="AI318" s="91"/>
      <c r="AJ318" s="91"/>
      <c r="AK318" s="91"/>
      <c r="AL318" s="91"/>
      <c r="AM318" s="91"/>
    </row>
    <row r="319" spans="1:39" ht="20.25" hidden="1" customHeight="1">
      <c r="A319" s="91"/>
      <c r="B319" s="93" t="s">
        <v>1174</v>
      </c>
      <c r="C319" s="91" t="s">
        <v>36</v>
      </c>
      <c r="D319" s="107" t="s">
        <v>1215</v>
      </c>
      <c r="E319" s="107" t="s">
        <v>1216</v>
      </c>
      <c r="F319" s="91" t="s">
        <v>1217</v>
      </c>
      <c r="G319" s="96">
        <v>44881</v>
      </c>
      <c r="H319" s="97">
        <v>25780</v>
      </c>
      <c r="I319" s="94" t="s">
        <v>58</v>
      </c>
      <c r="J319" s="100" t="s">
        <v>1218</v>
      </c>
      <c r="K319" s="91">
        <v>993623229</v>
      </c>
      <c r="L319" s="91" t="s">
        <v>60</v>
      </c>
      <c r="M319" s="98">
        <f ca="1">(TODAY()-H319)/365</f>
        <v>55.402739726027399</v>
      </c>
      <c r="N319" s="99">
        <f>(G319-H319)/365</f>
        <v>52.331506849315069</v>
      </c>
      <c r="O319" s="98">
        <f ca="1">(TODAY()-G319)/365</f>
        <v>3.0712328767123287</v>
      </c>
      <c r="P319" s="91" t="s">
        <v>43</v>
      </c>
      <c r="Q319" s="91">
        <v>0</v>
      </c>
      <c r="R319" s="91">
        <v>0</v>
      </c>
      <c r="S319" s="91">
        <v>0</v>
      </c>
      <c r="T319" s="91"/>
      <c r="U319" s="91"/>
      <c r="V319" s="91"/>
      <c r="W319" s="91"/>
      <c r="X319" s="91"/>
      <c r="Y319" s="91"/>
      <c r="Z319" s="91"/>
      <c r="AA319" s="91"/>
      <c r="AB319" s="91"/>
      <c r="AC319" s="91"/>
      <c r="AD319" s="91"/>
      <c r="AE319" s="91"/>
      <c r="AF319" s="91"/>
      <c r="AG319" s="91"/>
      <c r="AH319" s="91"/>
      <c r="AI319" s="91"/>
      <c r="AJ319" s="91"/>
      <c r="AK319" s="91"/>
      <c r="AL319" s="91"/>
      <c r="AM319" s="91"/>
    </row>
    <row r="320" spans="1:39" ht="20.25" hidden="1" customHeight="1">
      <c r="A320" s="91"/>
      <c r="B320" s="93" t="s">
        <v>1174</v>
      </c>
      <c r="C320" s="91" t="s">
        <v>36</v>
      </c>
      <c r="D320" s="107" t="s">
        <v>367</v>
      </c>
      <c r="E320" s="107" t="s">
        <v>1219</v>
      </c>
      <c r="F320" s="91" t="s">
        <v>1220</v>
      </c>
      <c r="G320" s="96">
        <v>42959</v>
      </c>
      <c r="H320" s="97">
        <v>23601</v>
      </c>
      <c r="I320" s="94" t="s">
        <v>58</v>
      </c>
      <c r="J320" s="94" t="s">
        <v>58</v>
      </c>
      <c r="K320" s="95" t="s">
        <v>58</v>
      </c>
      <c r="L320" s="91" t="s">
        <v>60</v>
      </c>
      <c r="M320" s="98">
        <f ca="1">(TODAY()-H320)/365</f>
        <v>61.372602739726027</v>
      </c>
      <c r="N320" s="99">
        <f>(G320-H320)/365</f>
        <v>53.035616438356165</v>
      </c>
      <c r="O320" s="98">
        <f ca="1">(TODAY()-G320)/365</f>
        <v>8.3369863013698637</v>
      </c>
      <c r="P320" s="91" t="s">
        <v>43</v>
      </c>
      <c r="Q320" s="91">
        <v>0</v>
      </c>
      <c r="R320" s="91">
        <v>0</v>
      </c>
      <c r="S320" s="91">
        <v>0</v>
      </c>
      <c r="T320" s="91"/>
      <c r="U320" s="91"/>
      <c r="V320" s="91"/>
      <c r="W320" s="91"/>
      <c r="X320" s="91"/>
      <c r="Y320" s="91"/>
      <c r="Z320" s="91"/>
      <c r="AA320" s="91"/>
      <c r="AB320" s="91"/>
      <c r="AC320" s="91"/>
      <c r="AD320" s="91"/>
      <c r="AE320" s="91"/>
      <c r="AF320" s="91"/>
      <c r="AG320" s="91"/>
      <c r="AH320" s="91"/>
      <c r="AI320" s="91"/>
      <c r="AJ320" s="91"/>
      <c r="AK320" s="91"/>
      <c r="AL320" s="91"/>
      <c r="AM320" s="91"/>
    </row>
    <row r="321" spans="1:39" ht="20.25" hidden="1" customHeight="1">
      <c r="A321" s="91"/>
      <c r="B321" s="93" t="s">
        <v>1174</v>
      </c>
      <c r="C321" s="91" t="s">
        <v>36</v>
      </c>
      <c r="D321" s="107" t="s">
        <v>1221</v>
      </c>
      <c r="E321" s="107" t="s">
        <v>1222</v>
      </c>
      <c r="F321" s="91" t="s">
        <v>1223</v>
      </c>
      <c r="G321" s="96">
        <v>45543</v>
      </c>
      <c r="H321" s="97">
        <v>24403</v>
      </c>
      <c r="I321" s="94" t="s">
        <v>58</v>
      </c>
      <c r="J321" s="100" t="s">
        <v>1224</v>
      </c>
      <c r="K321" s="91">
        <v>956152982</v>
      </c>
      <c r="L321" s="91" t="s">
        <v>60</v>
      </c>
      <c r="M321" s="98">
        <f ca="1">(TODAY()-H321)/365</f>
        <v>59.175342465753424</v>
      </c>
      <c r="N321" s="99">
        <f>(G321-H321)/365</f>
        <v>57.917808219178085</v>
      </c>
      <c r="O321" s="98">
        <f ca="1">(TODAY()-G321)/365</f>
        <v>1.2575342465753425</v>
      </c>
      <c r="P321" s="91" t="s">
        <v>43</v>
      </c>
      <c r="Q321" s="91">
        <v>0</v>
      </c>
      <c r="R321" s="91">
        <v>0</v>
      </c>
      <c r="S321" s="91">
        <v>0</v>
      </c>
      <c r="T321" s="91"/>
      <c r="U321" s="91"/>
      <c r="V321" s="91"/>
      <c r="W321" s="91"/>
      <c r="X321" s="91"/>
      <c r="Y321" s="91"/>
      <c r="Z321" s="91"/>
      <c r="AA321" s="91"/>
      <c r="AB321" s="91"/>
      <c r="AC321" s="91"/>
      <c r="AD321" s="91"/>
      <c r="AE321" s="91"/>
      <c r="AF321" s="91"/>
      <c r="AG321" s="91"/>
      <c r="AH321" s="91"/>
      <c r="AI321" s="91"/>
      <c r="AJ321" s="91"/>
      <c r="AK321" s="91"/>
      <c r="AL321" s="91"/>
      <c r="AM321" s="91"/>
    </row>
    <row r="322" spans="1:39" ht="20.25" hidden="1" customHeight="1">
      <c r="A322" s="91"/>
      <c r="B322" s="93" t="s">
        <v>1174</v>
      </c>
      <c r="C322" s="91" t="s">
        <v>36</v>
      </c>
      <c r="D322" s="107" t="s">
        <v>1225</v>
      </c>
      <c r="E322" s="107" t="s">
        <v>1226</v>
      </c>
      <c r="F322" s="91" t="s">
        <v>1227</v>
      </c>
      <c r="G322" s="96">
        <v>39898</v>
      </c>
      <c r="H322" s="97">
        <v>18643</v>
      </c>
      <c r="I322" s="94" t="s">
        <v>58</v>
      </c>
      <c r="J322" s="94" t="s">
        <v>58</v>
      </c>
      <c r="K322" s="95" t="s">
        <v>58</v>
      </c>
      <c r="L322" s="91" t="s">
        <v>60</v>
      </c>
      <c r="M322" s="98">
        <f ca="1">(TODAY()-H322)/365</f>
        <v>74.956164383561642</v>
      </c>
      <c r="N322" s="99">
        <f>(G322-H322)/365</f>
        <v>58.232876712328768</v>
      </c>
      <c r="O322" s="98">
        <f ca="1">(TODAY()-G322)/365</f>
        <v>16.723287671232878</v>
      </c>
      <c r="P322" s="91" t="s">
        <v>43</v>
      </c>
      <c r="Q322" s="91">
        <v>0</v>
      </c>
      <c r="R322" s="91">
        <v>0</v>
      </c>
      <c r="S322" s="91">
        <v>0</v>
      </c>
      <c r="T322" s="91"/>
      <c r="U322" s="91"/>
      <c r="V322" s="91"/>
      <c r="W322" s="91"/>
      <c r="X322" s="91"/>
      <c r="Y322" s="91"/>
      <c r="Z322" s="91"/>
      <c r="AA322" s="91"/>
      <c r="AB322" s="91"/>
      <c r="AC322" s="91"/>
      <c r="AD322" s="91"/>
      <c r="AE322" s="91"/>
      <c r="AF322" s="91"/>
      <c r="AG322" s="91"/>
      <c r="AH322" s="91"/>
      <c r="AI322" s="91"/>
      <c r="AJ322" s="91"/>
      <c r="AK322" s="91"/>
      <c r="AL322" s="91"/>
      <c r="AM322" s="91"/>
    </row>
    <row r="323" spans="1:39" ht="20.25" hidden="1" customHeight="1">
      <c r="A323" s="91"/>
      <c r="B323" s="93" t="s">
        <v>1174</v>
      </c>
      <c r="C323" s="91" t="s">
        <v>36</v>
      </c>
      <c r="D323" s="107" t="s">
        <v>788</v>
      </c>
      <c r="E323" s="107" t="s">
        <v>1228</v>
      </c>
      <c r="F323" s="91" t="s">
        <v>1229</v>
      </c>
      <c r="G323" s="96">
        <v>44474</v>
      </c>
      <c r="H323" s="97">
        <v>22208</v>
      </c>
      <c r="I323" s="94" t="s">
        <v>58</v>
      </c>
      <c r="J323" s="100" t="s">
        <v>1230</v>
      </c>
      <c r="K323" s="91">
        <v>964935076</v>
      </c>
      <c r="L323" s="91" t="s">
        <v>60</v>
      </c>
      <c r="M323" s="98">
        <f ca="1">(TODAY()-H323)/365</f>
        <v>65.189041095890417</v>
      </c>
      <c r="N323" s="99">
        <f>(G323-H323)/365</f>
        <v>61.0027397260274</v>
      </c>
      <c r="O323" s="98">
        <f ca="1">(TODAY()-G323)/365</f>
        <v>4.1863013698630134</v>
      </c>
      <c r="P323" s="91" t="s">
        <v>43</v>
      </c>
      <c r="Q323" s="91">
        <v>0</v>
      </c>
      <c r="R323" s="91">
        <v>0</v>
      </c>
      <c r="S323" s="91">
        <v>0</v>
      </c>
      <c r="T323" s="91"/>
      <c r="U323" s="91"/>
      <c r="V323" s="91"/>
      <c r="W323" s="91"/>
      <c r="X323" s="91"/>
      <c r="Y323" s="91"/>
      <c r="Z323" s="91"/>
      <c r="AA323" s="91"/>
      <c r="AB323" s="91"/>
      <c r="AC323" s="91"/>
      <c r="AD323" s="91"/>
      <c r="AE323" s="91"/>
      <c r="AF323" s="91"/>
      <c r="AG323" s="91"/>
      <c r="AH323" s="91"/>
      <c r="AI323" s="91"/>
      <c r="AJ323" s="91"/>
      <c r="AK323" s="91"/>
      <c r="AL323" s="91"/>
      <c r="AM323" s="91"/>
    </row>
    <row r="324" spans="1:39" ht="20.25" hidden="1" customHeight="1">
      <c r="A324" s="91"/>
      <c r="B324" s="93" t="s">
        <v>1174</v>
      </c>
      <c r="C324" s="91" t="s">
        <v>36</v>
      </c>
      <c r="D324" s="107" t="s">
        <v>1231</v>
      </c>
      <c r="E324" s="107" t="s">
        <v>1232</v>
      </c>
      <c r="F324" s="91" t="s">
        <v>1233</v>
      </c>
      <c r="G324" s="96">
        <v>37565</v>
      </c>
      <c r="H324" s="97">
        <v>15026</v>
      </c>
      <c r="I324" s="94" t="s">
        <v>58</v>
      </c>
      <c r="J324" s="100" t="s">
        <v>1234</v>
      </c>
      <c r="K324" s="91">
        <v>993128615</v>
      </c>
      <c r="L324" s="91" t="s">
        <v>60</v>
      </c>
      <c r="M324" s="98">
        <f ca="1">(TODAY()-H324)/365</f>
        <v>84.865753424657541</v>
      </c>
      <c r="N324" s="99">
        <f>(G324-H324)/365</f>
        <v>61.750684931506846</v>
      </c>
      <c r="O324" s="98">
        <f ca="1">(TODAY()-G324)/365</f>
        <v>23.115068493150684</v>
      </c>
      <c r="P324" s="91" t="s">
        <v>43</v>
      </c>
      <c r="Q324" s="91">
        <v>0</v>
      </c>
      <c r="R324" s="91">
        <v>0</v>
      </c>
      <c r="S324" s="91">
        <v>0</v>
      </c>
      <c r="T324" s="91"/>
      <c r="U324" s="91"/>
      <c r="V324" s="91"/>
      <c r="W324" s="91"/>
      <c r="X324" s="91"/>
      <c r="Y324" s="91"/>
      <c r="Z324" s="91"/>
      <c r="AA324" s="91"/>
      <c r="AB324" s="91"/>
      <c r="AC324" s="91"/>
      <c r="AD324" s="91"/>
      <c r="AE324" s="91"/>
      <c r="AF324" s="91"/>
      <c r="AG324" s="91"/>
      <c r="AH324" s="91"/>
      <c r="AI324" s="91"/>
      <c r="AJ324" s="91"/>
      <c r="AK324" s="91"/>
      <c r="AL324" s="91"/>
      <c r="AM324" s="91"/>
    </row>
    <row r="325" spans="1:39" ht="20.25" hidden="1" customHeight="1">
      <c r="A325" s="91"/>
      <c r="B325" s="93" t="s">
        <v>1174</v>
      </c>
      <c r="C325" s="91" t="s">
        <v>36</v>
      </c>
      <c r="D325" s="107" t="s">
        <v>416</v>
      </c>
      <c r="E325" s="107" t="s">
        <v>1235</v>
      </c>
      <c r="F325" s="91" t="s">
        <v>1236</v>
      </c>
      <c r="G325" s="96">
        <v>45543</v>
      </c>
      <c r="H325" s="97">
        <v>22965</v>
      </c>
      <c r="I325" s="94" t="s">
        <v>58</v>
      </c>
      <c r="J325" s="100" t="s">
        <v>1237</v>
      </c>
      <c r="K325" s="91">
        <v>975431023</v>
      </c>
      <c r="L325" s="91" t="s">
        <v>60</v>
      </c>
      <c r="M325" s="98">
        <f ca="1">(TODAY()-H325)/365</f>
        <v>63.115068493150687</v>
      </c>
      <c r="N325" s="99">
        <f>(G325-H325)/365</f>
        <v>61.857534246575341</v>
      </c>
      <c r="O325" s="98">
        <f ca="1">(TODAY()-G325)/365</f>
        <v>1.2575342465753425</v>
      </c>
      <c r="P325" s="91" t="s">
        <v>43</v>
      </c>
      <c r="Q325" s="91">
        <v>0</v>
      </c>
      <c r="R325" s="91">
        <v>0</v>
      </c>
      <c r="S325" s="91">
        <v>0</v>
      </c>
      <c r="T325" s="91"/>
      <c r="U325" s="91"/>
      <c r="V325" s="91"/>
      <c r="W325" s="91"/>
      <c r="X325" s="91"/>
      <c r="Y325" s="91"/>
      <c r="Z325" s="91"/>
      <c r="AA325" s="91"/>
      <c r="AB325" s="91"/>
      <c r="AC325" s="91"/>
      <c r="AD325" s="91"/>
      <c r="AE325" s="91"/>
      <c r="AF325" s="91"/>
      <c r="AG325" s="91"/>
      <c r="AH325" s="91"/>
      <c r="AI325" s="91"/>
      <c r="AJ325" s="91"/>
      <c r="AK325" s="91"/>
      <c r="AL325" s="91"/>
      <c r="AM325" s="91"/>
    </row>
    <row r="326" spans="1:39" ht="20.25" hidden="1" customHeight="1">
      <c r="A326" s="91"/>
      <c r="B326" s="93" t="s">
        <v>1174</v>
      </c>
      <c r="C326" s="91" t="s">
        <v>36</v>
      </c>
      <c r="D326" s="107" t="s">
        <v>1238</v>
      </c>
      <c r="E326" s="107" t="s">
        <v>1239</v>
      </c>
      <c r="F326" s="91" t="s">
        <v>1240</v>
      </c>
      <c r="G326" s="96">
        <v>39721</v>
      </c>
      <c r="H326" s="97">
        <v>16765</v>
      </c>
      <c r="I326" s="94" t="s">
        <v>58</v>
      </c>
      <c r="J326" s="94" t="s">
        <v>58</v>
      </c>
      <c r="K326" s="91">
        <v>957656014</v>
      </c>
      <c r="L326" s="91" t="s">
        <v>60</v>
      </c>
      <c r="M326" s="98">
        <f ca="1">(TODAY()-H326)/365</f>
        <v>80.101369863013701</v>
      </c>
      <c r="N326" s="99">
        <f>(G326-H326)/365</f>
        <v>62.893150684931506</v>
      </c>
      <c r="O326" s="98">
        <f ca="1">(TODAY()-G326)/365</f>
        <v>17.208219178082192</v>
      </c>
      <c r="P326" s="91" t="s">
        <v>43</v>
      </c>
      <c r="Q326" s="91">
        <v>0</v>
      </c>
      <c r="R326" s="91">
        <v>0</v>
      </c>
      <c r="S326" s="91">
        <v>0</v>
      </c>
      <c r="T326" s="91"/>
      <c r="U326" s="91"/>
      <c r="V326" s="91"/>
      <c r="W326" s="91"/>
      <c r="X326" s="91"/>
      <c r="Y326" s="91"/>
      <c r="Z326" s="91"/>
      <c r="AA326" s="91"/>
      <c r="AB326" s="91"/>
      <c r="AC326" s="91"/>
      <c r="AD326" s="91"/>
      <c r="AE326" s="91"/>
      <c r="AF326" s="91"/>
      <c r="AG326" s="91"/>
      <c r="AH326" s="91"/>
      <c r="AI326" s="91"/>
      <c r="AJ326" s="91"/>
      <c r="AK326" s="91"/>
      <c r="AL326" s="91"/>
      <c r="AM326" s="91"/>
    </row>
    <row r="327" spans="1:39" ht="20.25" hidden="1" customHeight="1">
      <c r="A327" s="91"/>
      <c r="B327" s="93" t="s">
        <v>1174</v>
      </c>
      <c r="C327" s="91" t="s">
        <v>36</v>
      </c>
      <c r="D327" s="107" t="s">
        <v>1241</v>
      </c>
      <c r="E327" s="107" t="s">
        <v>1242</v>
      </c>
      <c r="F327" s="91" t="s">
        <v>1243</v>
      </c>
      <c r="G327" s="96">
        <v>43732</v>
      </c>
      <c r="H327" s="97">
        <v>20224</v>
      </c>
      <c r="I327" s="94" t="s">
        <v>58</v>
      </c>
      <c r="J327" s="100" t="s">
        <v>1244</v>
      </c>
      <c r="K327" s="91">
        <v>976714232</v>
      </c>
      <c r="L327" s="91" t="s">
        <v>49</v>
      </c>
      <c r="M327" s="98">
        <f ca="1">(TODAY()-H327)/365</f>
        <v>70.62465753424658</v>
      </c>
      <c r="N327" s="99">
        <f>(G327-H327)/365</f>
        <v>64.405479452054792</v>
      </c>
      <c r="O327" s="98">
        <f ca="1">(TODAY()-G327)/365</f>
        <v>6.2191780821917808</v>
      </c>
      <c r="P327" s="91" t="s">
        <v>43</v>
      </c>
      <c r="Q327" s="91">
        <v>0</v>
      </c>
      <c r="R327" s="91">
        <v>0</v>
      </c>
      <c r="S327" s="91">
        <v>0</v>
      </c>
      <c r="T327" s="91"/>
      <c r="U327" s="91"/>
      <c r="V327" s="91"/>
      <c r="W327" s="91"/>
      <c r="X327" s="91"/>
      <c r="Y327" s="91"/>
      <c r="Z327" s="91"/>
      <c r="AA327" s="91"/>
      <c r="AB327" s="91"/>
      <c r="AC327" s="91"/>
      <c r="AD327" s="91"/>
      <c r="AE327" s="91"/>
      <c r="AF327" s="91"/>
      <c r="AG327" s="91"/>
      <c r="AH327" s="91"/>
      <c r="AI327" s="91"/>
      <c r="AJ327" s="91"/>
      <c r="AK327" s="91"/>
      <c r="AL327" s="91"/>
      <c r="AM327" s="91"/>
    </row>
    <row r="328" spans="1:39" ht="20.25" hidden="1" customHeight="1">
      <c r="A328" s="91"/>
      <c r="B328" s="93" t="s">
        <v>1245</v>
      </c>
      <c r="C328" s="91" t="s">
        <v>36</v>
      </c>
      <c r="D328" s="107" t="s">
        <v>1246</v>
      </c>
      <c r="E328" s="107" t="s">
        <v>1247</v>
      </c>
      <c r="F328" s="91" t="s">
        <v>1248</v>
      </c>
      <c r="G328" s="96" t="s">
        <v>58</v>
      </c>
      <c r="H328" s="97">
        <v>29577</v>
      </c>
      <c r="I328" s="100" t="s">
        <v>1249</v>
      </c>
      <c r="J328" s="100" t="s">
        <v>1250</v>
      </c>
      <c r="K328" s="91">
        <v>958295849</v>
      </c>
      <c r="L328" s="91" t="s">
        <v>197</v>
      </c>
      <c r="M328" s="98">
        <f ca="1">(TODAY()-H328)/365</f>
        <v>45</v>
      </c>
      <c r="N328" s="95" t="s">
        <v>58</v>
      </c>
      <c r="O328" s="98" t="e">
        <f ca="1">(TODAY()-G328)/365</f>
        <v>#VALUE!</v>
      </c>
      <c r="P328" s="91" t="s">
        <v>43</v>
      </c>
      <c r="Q328" s="91">
        <v>1</v>
      </c>
      <c r="R328" s="91">
        <v>0</v>
      </c>
      <c r="S328" s="91">
        <v>0</v>
      </c>
      <c r="T328" s="91"/>
      <c r="U328" s="91"/>
      <c r="V328" s="91"/>
      <c r="W328" s="91"/>
      <c r="X328" s="91"/>
      <c r="Y328" s="91"/>
      <c r="Z328" s="91"/>
      <c r="AA328" s="91"/>
      <c r="AB328" s="91"/>
      <c r="AC328" s="91"/>
      <c r="AD328" s="91"/>
      <c r="AE328" s="91"/>
      <c r="AF328" s="91"/>
      <c r="AG328" s="91"/>
      <c r="AH328" s="91"/>
      <c r="AI328" s="91"/>
      <c r="AJ328" s="91"/>
      <c r="AK328" s="91"/>
      <c r="AL328" s="91"/>
      <c r="AM328" s="91"/>
    </row>
    <row r="329" spans="1:39" ht="20.25" hidden="1" customHeight="1">
      <c r="A329" s="91"/>
      <c r="B329" s="93" t="s">
        <v>1245</v>
      </c>
      <c r="C329" s="91" t="s">
        <v>36</v>
      </c>
      <c r="D329" s="107" t="s">
        <v>1246</v>
      </c>
      <c r="E329" s="107" t="s">
        <v>1247</v>
      </c>
      <c r="F329" s="91" t="s">
        <v>1248</v>
      </c>
      <c r="G329" s="96" t="s">
        <v>58</v>
      </c>
      <c r="H329" s="97">
        <v>29577</v>
      </c>
      <c r="I329" s="100" t="s">
        <v>1249</v>
      </c>
      <c r="J329" s="100" t="s">
        <v>1251</v>
      </c>
      <c r="K329" s="91">
        <v>958295849</v>
      </c>
      <c r="L329" s="91" t="s">
        <v>60</v>
      </c>
      <c r="M329" s="98">
        <f ca="1">(TODAY()-H329)/365</f>
        <v>45</v>
      </c>
      <c r="N329" s="95" t="s">
        <v>58</v>
      </c>
      <c r="O329" s="98" t="e">
        <f ca="1">(TODAY()-G329)/365</f>
        <v>#VALUE!</v>
      </c>
      <c r="P329" s="91" t="s">
        <v>43</v>
      </c>
      <c r="Q329" s="91">
        <v>0</v>
      </c>
      <c r="R329" s="91">
        <v>0</v>
      </c>
      <c r="S329" s="91">
        <v>0</v>
      </c>
      <c r="T329" s="91"/>
      <c r="U329" s="91"/>
      <c r="V329" s="91"/>
      <c r="W329" s="91"/>
      <c r="X329" s="91"/>
      <c r="Y329" s="91"/>
      <c r="Z329" s="91"/>
      <c r="AA329" s="91"/>
      <c r="AB329" s="91"/>
      <c r="AC329" s="91"/>
      <c r="AD329" s="91"/>
      <c r="AE329" s="91"/>
      <c r="AF329" s="91"/>
      <c r="AG329" s="91"/>
      <c r="AH329" s="91"/>
      <c r="AI329" s="91"/>
      <c r="AJ329" s="91"/>
      <c r="AK329" s="91"/>
      <c r="AL329" s="91"/>
      <c r="AM329" s="91"/>
    </row>
    <row r="330" spans="1:39" ht="20.25" hidden="1" customHeight="1">
      <c r="A330" s="91"/>
      <c r="B330" s="93" t="s">
        <v>1245</v>
      </c>
      <c r="C330" s="91" t="s">
        <v>36</v>
      </c>
      <c r="D330" s="107" t="s">
        <v>1252</v>
      </c>
      <c r="E330" s="107" t="s">
        <v>1253</v>
      </c>
      <c r="F330" s="91" t="s">
        <v>1254</v>
      </c>
      <c r="G330" s="96">
        <v>42009</v>
      </c>
      <c r="H330" s="97">
        <v>37264</v>
      </c>
      <c r="I330" s="100" t="s">
        <v>1255</v>
      </c>
      <c r="J330" s="100" t="s">
        <v>1256</v>
      </c>
      <c r="K330" s="91">
        <v>994393879</v>
      </c>
      <c r="L330" s="91" t="s">
        <v>60</v>
      </c>
      <c r="M330" s="98">
        <f ca="1">(TODAY()-H330)/365</f>
        <v>23.93972602739726</v>
      </c>
      <c r="N330" s="99">
        <f>(G330-H330)/365</f>
        <v>13</v>
      </c>
      <c r="O330" s="98">
        <f ca="1">(TODAY()-G330)/365</f>
        <v>10.93972602739726</v>
      </c>
      <c r="P330" s="91" t="s">
        <v>272</v>
      </c>
      <c r="Q330" s="91">
        <v>0</v>
      </c>
      <c r="R330" s="91">
        <v>0</v>
      </c>
      <c r="S330" s="91">
        <v>0</v>
      </c>
      <c r="T330" s="91"/>
      <c r="U330" s="91"/>
      <c r="V330" s="91"/>
      <c r="W330" s="91"/>
      <c r="X330" s="91"/>
      <c r="Y330" s="91"/>
      <c r="Z330" s="91"/>
      <c r="AA330" s="91"/>
      <c r="AB330" s="91"/>
      <c r="AC330" s="91"/>
      <c r="AD330" s="91"/>
      <c r="AE330" s="91"/>
      <c r="AF330" s="91"/>
      <c r="AG330" s="91"/>
      <c r="AH330" s="91"/>
      <c r="AI330" s="91"/>
      <c r="AJ330" s="91"/>
      <c r="AK330" s="91"/>
      <c r="AL330" s="91"/>
      <c r="AM330" s="91"/>
    </row>
    <row r="331" spans="1:39" ht="20.25" customHeight="1">
      <c r="A331" s="91"/>
      <c r="B331" s="93" t="s">
        <v>10061</v>
      </c>
      <c r="C331" s="91" t="s">
        <v>73</v>
      </c>
      <c r="D331" s="106" t="s">
        <v>712</v>
      </c>
      <c r="E331" s="106" t="s">
        <v>10074</v>
      </c>
      <c r="F331" s="92" t="s">
        <v>10128</v>
      </c>
      <c r="G331" s="103">
        <v>36719</v>
      </c>
      <c r="H331" s="103">
        <v>21004</v>
      </c>
      <c r="I331" s="94" t="s">
        <v>4486</v>
      </c>
      <c r="J331" s="100" t="s">
        <v>58</v>
      </c>
      <c r="K331" s="95" t="s">
        <v>58</v>
      </c>
      <c r="L331" s="91"/>
      <c r="M331" s="98">
        <f ca="1">(TODAY()-H331)/365</f>
        <v>68.487671232876707</v>
      </c>
      <c r="N331" s="99">
        <f>(G331-H331)/365</f>
        <v>43.054794520547944</v>
      </c>
      <c r="O331" s="98">
        <f ca="1">(TODAY()-G331)/365</f>
        <v>25.432876712328767</v>
      </c>
      <c r="P331" s="91" t="s">
        <v>43</v>
      </c>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row>
    <row r="332" spans="1:39" ht="20.25" hidden="1" customHeight="1">
      <c r="A332" s="91"/>
      <c r="B332" s="93" t="s">
        <v>1245</v>
      </c>
      <c r="C332" s="91" t="s">
        <v>36</v>
      </c>
      <c r="D332" s="107" t="s">
        <v>1262</v>
      </c>
      <c r="E332" s="107" t="s">
        <v>1263</v>
      </c>
      <c r="F332" s="91" t="s">
        <v>1264</v>
      </c>
      <c r="G332" s="96">
        <v>44317</v>
      </c>
      <c r="H332" s="97">
        <v>38468</v>
      </c>
      <c r="I332" s="100" t="s">
        <v>1265</v>
      </c>
      <c r="J332" s="100" t="s">
        <v>1266</v>
      </c>
      <c r="K332" s="91">
        <v>942432062</v>
      </c>
      <c r="L332" s="91" t="s">
        <v>60</v>
      </c>
      <c r="M332" s="98">
        <f ca="1">(TODAY()-H332)/365</f>
        <v>20.641095890410959</v>
      </c>
      <c r="N332" s="99">
        <f>(G332-H332)/365</f>
        <v>16.024657534246575</v>
      </c>
      <c r="O332" s="98">
        <f ca="1">(TODAY()-G332)/365</f>
        <v>4.6164383561643838</v>
      </c>
      <c r="P332" s="91" t="s">
        <v>272</v>
      </c>
      <c r="Q332" s="91">
        <v>0</v>
      </c>
      <c r="R332" s="91">
        <v>1</v>
      </c>
      <c r="S332" s="91">
        <v>0</v>
      </c>
      <c r="T332" s="91"/>
      <c r="U332" s="91"/>
      <c r="V332" s="91"/>
      <c r="W332" s="91"/>
      <c r="X332" s="91"/>
      <c r="Y332" s="91"/>
      <c r="Z332" s="91"/>
      <c r="AA332" s="91"/>
      <c r="AB332" s="91"/>
      <c r="AC332" s="91"/>
      <c r="AD332" s="91"/>
      <c r="AE332" s="91"/>
      <c r="AF332" s="91"/>
      <c r="AG332" s="91"/>
      <c r="AH332" s="91"/>
      <c r="AI332" s="91"/>
      <c r="AJ332" s="91"/>
      <c r="AK332" s="91"/>
      <c r="AL332" s="91"/>
      <c r="AM332" s="91"/>
    </row>
    <row r="333" spans="1:39" ht="20.25" hidden="1" customHeight="1">
      <c r="A333" s="91"/>
      <c r="B333" s="93" t="s">
        <v>1245</v>
      </c>
      <c r="C333" s="91" t="s">
        <v>36</v>
      </c>
      <c r="D333" s="107" t="s">
        <v>447</v>
      </c>
      <c r="E333" s="107" t="s">
        <v>1267</v>
      </c>
      <c r="F333" s="91" t="s">
        <v>1268</v>
      </c>
      <c r="G333" s="96">
        <v>43257</v>
      </c>
      <c r="H333" s="97">
        <v>37292</v>
      </c>
      <c r="I333" s="100" t="s">
        <v>1269</v>
      </c>
      <c r="J333" s="100" t="s">
        <v>1270</v>
      </c>
      <c r="K333" s="91">
        <v>994943419</v>
      </c>
      <c r="L333" s="91" t="s">
        <v>60</v>
      </c>
      <c r="M333" s="98">
        <f ca="1">(TODAY()-H333)/365</f>
        <v>23.863013698630137</v>
      </c>
      <c r="N333" s="99">
        <f>(G333-H333)/365</f>
        <v>16.342465753424658</v>
      </c>
      <c r="O333" s="98">
        <f ca="1">(TODAY()-G333)/365</f>
        <v>7.5205479452054798</v>
      </c>
      <c r="P333" s="91" t="s">
        <v>43</v>
      </c>
      <c r="Q333" s="91">
        <v>0</v>
      </c>
      <c r="R333" s="91">
        <v>0</v>
      </c>
      <c r="S333" s="91">
        <v>0</v>
      </c>
      <c r="T333" s="91"/>
      <c r="U333" s="91"/>
      <c r="V333" s="91"/>
      <c r="W333" s="91"/>
      <c r="X333" s="91"/>
      <c r="Y333" s="91"/>
      <c r="Z333" s="91"/>
      <c r="AA333" s="91"/>
      <c r="AB333" s="91"/>
      <c r="AC333" s="91"/>
      <c r="AD333" s="91"/>
      <c r="AE333" s="91"/>
      <c r="AF333" s="91"/>
      <c r="AG333" s="91"/>
      <c r="AH333" s="91"/>
      <c r="AI333" s="91"/>
      <c r="AJ333" s="91"/>
      <c r="AK333" s="91"/>
      <c r="AL333" s="91"/>
      <c r="AM333" s="91"/>
    </row>
    <row r="334" spans="1:39" ht="20.25" hidden="1" customHeight="1">
      <c r="A334" s="91"/>
      <c r="B334" s="93" t="s">
        <v>1245</v>
      </c>
      <c r="C334" s="91" t="s">
        <v>36</v>
      </c>
      <c r="D334" s="107" t="s">
        <v>1271</v>
      </c>
      <c r="E334" s="107" t="s">
        <v>1272</v>
      </c>
      <c r="F334" s="91" t="s">
        <v>1273</v>
      </c>
      <c r="G334" s="96">
        <v>40441</v>
      </c>
      <c r="H334" s="97">
        <v>34317</v>
      </c>
      <c r="I334" s="100" t="s">
        <v>1274</v>
      </c>
      <c r="J334" s="100" t="s">
        <v>1275</v>
      </c>
      <c r="K334" s="91">
        <v>954575547</v>
      </c>
      <c r="L334" s="91" t="s">
        <v>60</v>
      </c>
      <c r="M334" s="98">
        <f ca="1">(TODAY()-H334)/365</f>
        <v>32.013698630136986</v>
      </c>
      <c r="N334" s="99">
        <f>(G334-H334)/365</f>
        <v>16.778082191780822</v>
      </c>
      <c r="O334" s="98">
        <f ca="1">(TODAY()-G334)/365</f>
        <v>15.235616438356164</v>
      </c>
      <c r="P334" s="91" t="s">
        <v>43</v>
      </c>
      <c r="Q334" s="91">
        <v>0</v>
      </c>
      <c r="R334" s="91">
        <v>0</v>
      </c>
      <c r="S334" s="91">
        <v>0</v>
      </c>
      <c r="T334" s="91"/>
      <c r="U334" s="91"/>
      <c r="V334" s="91"/>
      <c r="W334" s="91"/>
      <c r="X334" s="91"/>
      <c r="Y334" s="91"/>
      <c r="Z334" s="91"/>
      <c r="AA334" s="91"/>
      <c r="AB334" s="91"/>
      <c r="AC334" s="91"/>
      <c r="AD334" s="91"/>
      <c r="AE334" s="91"/>
      <c r="AF334" s="91"/>
      <c r="AG334" s="91"/>
      <c r="AH334" s="91"/>
      <c r="AI334" s="91"/>
      <c r="AJ334" s="91"/>
      <c r="AK334" s="91"/>
      <c r="AL334" s="91"/>
      <c r="AM334" s="91"/>
    </row>
    <row r="335" spans="1:39" ht="20.25" hidden="1" customHeight="1">
      <c r="A335" s="91"/>
      <c r="B335" s="93" t="s">
        <v>1245</v>
      </c>
      <c r="C335" s="91" t="s">
        <v>36</v>
      </c>
      <c r="D335" s="107" t="s">
        <v>1276</v>
      </c>
      <c r="E335" s="107" t="s">
        <v>1277</v>
      </c>
      <c r="F335" s="91" t="s">
        <v>1278</v>
      </c>
      <c r="G335" s="96">
        <v>43851</v>
      </c>
      <c r="H335" s="97">
        <v>37727</v>
      </c>
      <c r="I335" s="100" t="s">
        <v>1279</v>
      </c>
      <c r="J335" s="100" t="s">
        <v>1280</v>
      </c>
      <c r="K335" s="91">
        <v>934874886</v>
      </c>
      <c r="L335" s="91" t="s">
        <v>60</v>
      </c>
      <c r="M335" s="98">
        <f ca="1">(TODAY()-H335)/365</f>
        <v>22.671232876712327</v>
      </c>
      <c r="N335" s="99">
        <f>(G335-H335)/365</f>
        <v>16.778082191780822</v>
      </c>
      <c r="O335" s="98">
        <f ca="1">(TODAY()-G335)/365</f>
        <v>5.8931506849315065</v>
      </c>
      <c r="P335" s="91" t="s">
        <v>43</v>
      </c>
      <c r="Q335" s="91">
        <v>0</v>
      </c>
      <c r="R335" s="91">
        <v>0</v>
      </c>
      <c r="S335" s="91">
        <v>0</v>
      </c>
      <c r="T335" s="91"/>
      <c r="U335" s="91"/>
      <c r="V335" s="91"/>
      <c r="W335" s="91"/>
      <c r="X335" s="91"/>
      <c r="Y335" s="91"/>
      <c r="Z335" s="91"/>
      <c r="AA335" s="91"/>
      <c r="AB335" s="91"/>
      <c r="AC335" s="91"/>
      <c r="AD335" s="91"/>
      <c r="AE335" s="91"/>
      <c r="AF335" s="91"/>
      <c r="AG335" s="91"/>
      <c r="AH335" s="91"/>
      <c r="AI335" s="91"/>
      <c r="AJ335" s="91"/>
      <c r="AK335" s="91"/>
      <c r="AL335" s="91"/>
      <c r="AM335" s="91"/>
    </row>
    <row r="336" spans="1:39" ht="20.25" customHeight="1">
      <c r="A336" s="91"/>
      <c r="B336" s="93" t="s">
        <v>10061</v>
      </c>
      <c r="C336" s="91" t="s">
        <v>73</v>
      </c>
      <c r="D336" s="106" t="s">
        <v>2840</v>
      </c>
      <c r="E336" s="106" t="s">
        <v>10125</v>
      </c>
      <c r="F336" s="92" t="s">
        <v>10126</v>
      </c>
      <c r="G336" s="103">
        <v>36719</v>
      </c>
      <c r="H336" s="103">
        <v>26393</v>
      </c>
      <c r="I336" s="94" t="s">
        <v>10127</v>
      </c>
      <c r="J336" s="100" t="s">
        <v>58</v>
      </c>
      <c r="K336" s="95" t="s">
        <v>58</v>
      </c>
      <c r="L336" s="91"/>
      <c r="M336" s="98">
        <f ca="1">(TODAY()-H336)/365</f>
        <v>53.723287671232875</v>
      </c>
      <c r="N336" s="99">
        <f>(G336-H336)/365</f>
        <v>28.290410958904111</v>
      </c>
      <c r="O336" s="98">
        <f ca="1">(TODAY()-G336)/365</f>
        <v>25.432876712328767</v>
      </c>
      <c r="P336" s="91" t="s">
        <v>43</v>
      </c>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row>
    <row r="337" spans="1:39" ht="20.25" hidden="1" customHeight="1">
      <c r="A337" s="91"/>
      <c r="B337" s="93" t="s">
        <v>1245</v>
      </c>
      <c r="C337" s="91" t="s">
        <v>36</v>
      </c>
      <c r="D337" s="107" t="s">
        <v>1286</v>
      </c>
      <c r="E337" s="107" t="s">
        <v>1287</v>
      </c>
      <c r="F337" s="91" t="s">
        <v>1288</v>
      </c>
      <c r="G337" s="96">
        <v>44656</v>
      </c>
      <c r="H337" s="97">
        <v>38146</v>
      </c>
      <c r="I337" s="100" t="s">
        <v>1289</v>
      </c>
      <c r="J337" s="100" t="s">
        <v>1290</v>
      </c>
      <c r="K337" s="91">
        <v>958223173</v>
      </c>
      <c r="L337" s="91" t="s">
        <v>60</v>
      </c>
      <c r="M337" s="98">
        <f ca="1">(TODAY()-H337)/365</f>
        <v>21.523287671232875</v>
      </c>
      <c r="N337" s="99">
        <f>(G337-H337)/365</f>
        <v>17.835616438356166</v>
      </c>
      <c r="O337" s="98">
        <f ca="1">(TODAY()-G337)/365</f>
        <v>3.6876712328767125</v>
      </c>
      <c r="P337" s="91" t="s">
        <v>43</v>
      </c>
      <c r="Q337" s="91">
        <v>0</v>
      </c>
      <c r="R337" s="91">
        <v>0</v>
      </c>
      <c r="S337" s="91">
        <v>0</v>
      </c>
      <c r="T337" s="91"/>
      <c r="U337" s="91"/>
      <c r="V337" s="91"/>
      <c r="W337" s="91"/>
      <c r="X337" s="91"/>
      <c r="Y337" s="91"/>
      <c r="Z337" s="91"/>
      <c r="AA337" s="91"/>
      <c r="AB337" s="91"/>
      <c r="AC337" s="91"/>
      <c r="AD337" s="91"/>
      <c r="AE337" s="91"/>
      <c r="AF337" s="91"/>
      <c r="AG337" s="91"/>
      <c r="AH337" s="91"/>
      <c r="AI337" s="91"/>
      <c r="AJ337" s="91"/>
      <c r="AK337" s="91"/>
      <c r="AL337" s="91"/>
      <c r="AM337" s="91"/>
    </row>
    <row r="338" spans="1:39" ht="20.25" hidden="1" customHeight="1">
      <c r="A338" s="91"/>
      <c r="B338" s="93" t="s">
        <v>1245</v>
      </c>
      <c r="C338" s="91" t="s">
        <v>36</v>
      </c>
      <c r="D338" s="107" t="s">
        <v>1291</v>
      </c>
      <c r="E338" s="107" t="s">
        <v>1292</v>
      </c>
      <c r="F338" s="91" t="s">
        <v>1293</v>
      </c>
      <c r="G338" s="96">
        <v>44960</v>
      </c>
      <c r="H338" s="97">
        <v>38309</v>
      </c>
      <c r="I338" s="100" t="s">
        <v>1294</v>
      </c>
      <c r="J338" s="100" t="s">
        <v>58</v>
      </c>
      <c r="K338" s="91">
        <v>966500618</v>
      </c>
      <c r="L338" s="91" t="s">
        <v>60</v>
      </c>
      <c r="M338" s="98">
        <f ca="1">(TODAY()-H338)/365</f>
        <v>21.076712328767123</v>
      </c>
      <c r="N338" s="99">
        <f>(G338-H338)/365</f>
        <v>18.221917808219178</v>
      </c>
      <c r="O338" s="98">
        <f ca="1">(TODAY()-G338)/365</f>
        <v>2.8547945205479452</v>
      </c>
      <c r="P338" s="91" t="s">
        <v>272</v>
      </c>
      <c r="Q338" s="91">
        <v>0</v>
      </c>
      <c r="R338" s="91">
        <v>0</v>
      </c>
      <c r="S338" s="91">
        <v>0</v>
      </c>
      <c r="T338" s="91"/>
      <c r="U338" s="91"/>
      <c r="V338" s="91"/>
      <c r="W338" s="91"/>
      <c r="X338" s="91"/>
      <c r="Y338" s="91"/>
      <c r="Z338" s="91"/>
      <c r="AA338" s="91"/>
      <c r="AB338" s="91"/>
      <c r="AC338" s="91"/>
      <c r="AD338" s="91"/>
      <c r="AE338" s="91"/>
      <c r="AF338" s="91"/>
      <c r="AG338" s="91"/>
      <c r="AH338" s="91"/>
      <c r="AI338" s="91"/>
      <c r="AJ338" s="91"/>
      <c r="AK338" s="91"/>
      <c r="AL338" s="91"/>
      <c r="AM338" s="91"/>
    </row>
    <row r="339" spans="1:39" ht="20.25" hidden="1" customHeight="1">
      <c r="A339" s="91"/>
      <c r="B339" s="93" t="s">
        <v>1245</v>
      </c>
      <c r="C339" s="91" t="s">
        <v>36</v>
      </c>
      <c r="D339" s="107" t="s">
        <v>281</v>
      </c>
      <c r="E339" s="107" t="s">
        <v>1295</v>
      </c>
      <c r="F339" s="91" t="s">
        <v>1296</v>
      </c>
      <c r="G339" s="96">
        <v>38644</v>
      </c>
      <c r="H339" s="97">
        <v>30237</v>
      </c>
      <c r="I339" s="100" t="s">
        <v>1297</v>
      </c>
      <c r="J339" s="100" t="s">
        <v>1298</v>
      </c>
      <c r="K339" s="91">
        <v>998941679</v>
      </c>
      <c r="L339" s="91" t="s">
        <v>60</v>
      </c>
      <c r="M339" s="98">
        <f ca="1">(TODAY()-H339)/365</f>
        <v>43.19178082191781</v>
      </c>
      <c r="N339" s="99">
        <f>(G339-H339)/365</f>
        <v>23.032876712328768</v>
      </c>
      <c r="O339" s="98">
        <f ca="1">(TODAY()-G339)/365</f>
        <v>20.158904109589042</v>
      </c>
      <c r="P339" s="91" t="s">
        <v>272</v>
      </c>
      <c r="Q339" s="91">
        <v>0</v>
      </c>
      <c r="R339" s="91">
        <v>0</v>
      </c>
      <c r="S339" s="91">
        <v>0</v>
      </c>
      <c r="T339" s="91"/>
      <c r="U339" s="91"/>
      <c r="V339" s="91"/>
      <c r="W339" s="91"/>
      <c r="X339" s="91"/>
      <c r="Y339" s="91"/>
      <c r="Z339" s="91"/>
      <c r="AA339" s="91"/>
      <c r="AB339" s="91"/>
      <c r="AC339" s="91"/>
      <c r="AD339" s="91"/>
      <c r="AE339" s="91"/>
      <c r="AF339" s="91"/>
      <c r="AG339" s="91"/>
      <c r="AH339" s="91"/>
      <c r="AI339" s="91"/>
      <c r="AJ339" s="91"/>
      <c r="AK339" s="91"/>
      <c r="AL339" s="91"/>
      <c r="AM339" s="91"/>
    </row>
    <row r="340" spans="1:39" ht="20.25" hidden="1" customHeight="1">
      <c r="A340" s="91"/>
      <c r="B340" s="93" t="s">
        <v>1245</v>
      </c>
      <c r="C340" s="91" t="s">
        <v>36</v>
      </c>
      <c r="D340" s="107" t="s">
        <v>1299</v>
      </c>
      <c r="E340" s="107" t="s">
        <v>1300</v>
      </c>
      <c r="F340" s="91" t="s">
        <v>1301</v>
      </c>
      <c r="G340" s="96">
        <v>44202</v>
      </c>
      <c r="H340" s="97">
        <v>35789</v>
      </c>
      <c r="I340" s="100" t="s">
        <v>1302</v>
      </c>
      <c r="J340" s="100" t="s">
        <v>1303</v>
      </c>
      <c r="K340" s="91">
        <v>936440687</v>
      </c>
      <c r="L340" s="91" t="s">
        <v>60</v>
      </c>
      <c r="M340" s="98">
        <f ca="1">(TODAY()-H340)/365</f>
        <v>27.980821917808218</v>
      </c>
      <c r="N340" s="99">
        <f>(G340-H340)/365</f>
        <v>23.049315068493151</v>
      </c>
      <c r="O340" s="98">
        <f ca="1">(TODAY()-G340)/365</f>
        <v>4.9315068493150687</v>
      </c>
      <c r="P340" s="91" t="s">
        <v>43</v>
      </c>
      <c r="Q340" s="91">
        <v>0</v>
      </c>
      <c r="R340" s="91">
        <v>0</v>
      </c>
      <c r="S340" s="91">
        <v>0</v>
      </c>
      <c r="T340" s="91"/>
      <c r="U340" s="91"/>
      <c r="V340" s="91"/>
      <c r="W340" s="91"/>
      <c r="X340" s="91"/>
      <c r="Y340" s="91"/>
      <c r="Z340" s="91"/>
      <c r="AA340" s="91"/>
      <c r="AB340" s="91"/>
      <c r="AC340" s="91"/>
      <c r="AD340" s="91"/>
      <c r="AE340" s="91"/>
      <c r="AF340" s="91"/>
      <c r="AG340" s="91"/>
      <c r="AH340" s="91"/>
      <c r="AI340" s="91"/>
      <c r="AJ340" s="91"/>
      <c r="AK340" s="91"/>
      <c r="AL340" s="91"/>
      <c r="AM340" s="91"/>
    </row>
    <row r="341" spans="1:39" ht="20.25" hidden="1" customHeight="1">
      <c r="A341" s="91"/>
      <c r="B341" s="93" t="s">
        <v>1245</v>
      </c>
      <c r="C341" s="91" t="s">
        <v>36</v>
      </c>
      <c r="D341" s="107" t="s">
        <v>1304</v>
      </c>
      <c r="E341" s="107" t="s">
        <v>1305</v>
      </c>
      <c r="F341" s="91" t="s">
        <v>1306</v>
      </c>
      <c r="G341" s="96">
        <v>42430</v>
      </c>
      <c r="H341" s="97">
        <v>33599</v>
      </c>
      <c r="I341" s="100" t="s">
        <v>1307</v>
      </c>
      <c r="J341" s="100" t="s">
        <v>1308</v>
      </c>
      <c r="K341" s="91">
        <v>986399789</v>
      </c>
      <c r="L341" s="91" t="s">
        <v>60</v>
      </c>
      <c r="M341" s="98">
        <f ca="1">(TODAY()-H341)/365</f>
        <v>33.980821917808221</v>
      </c>
      <c r="N341" s="99">
        <f>(G341-H341)/365</f>
        <v>24.194520547945206</v>
      </c>
      <c r="O341" s="98">
        <f ca="1">(TODAY()-G341)/365</f>
        <v>9.786301369863013</v>
      </c>
      <c r="P341" s="91" t="s">
        <v>43</v>
      </c>
      <c r="Q341" s="91">
        <v>0</v>
      </c>
      <c r="R341" s="91">
        <v>0</v>
      </c>
      <c r="S341" s="91">
        <v>0</v>
      </c>
      <c r="T341" s="91"/>
      <c r="U341" s="91"/>
      <c r="V341" s="91"/>
      <c r="W341" s="91"/>
      <c r="X341" s="91"/>
      <c r="Y341" s="91"/>
      <c r="Z341" s="91"/>
      <c r="AA341" s="91"/>
      <c r="AB341" s="91"/>
      <c r="AC341" s="91"/>
      <c r="AD341" s="91"/>
      <c r="AE341" s="91"/>
      <c r="AF341" s="91"/>
      <c r="AG341" s="91"/>
      <c r="AH341" s="91"/>
      <c r="AI341" s="91"/>
      <c r="AJ341" s="91"/>
      <c r="AK341" s="91"/>
      <c r="AL341" s="91"/>
      <c r="AM341" s="91"/>
    </row>
    <row r="342" spans="1:39" ht="20.25" hidden="1" customHeight="1">
      <c r="A342" s="91"/>
      <c r="B342" s="93" t="s">
        <v>1245</v>
      </c>
      <c r="C342" s="91" t="s">
        <v>36</v>
      </c>
      <c r="D342" s="107" t="s">
        <v>1309</v>
      </c>
      <c r="E342" s="107" t="s">
        <v>1310</v>
      </c>
      <c r="F342" s="91" t="s">
        <v>1311</v>
      </c>
      <c r="G342" s="96">
        <v>43256</v>
      </c>
      <c r="H342" s="97">
        <v>34335</v>
      </c>
      <c r="I342" s="100" t="s">
        <v>1312</v>
      </c>
      <c r="J342" s="100" t="s">
        <v>1313</v>
      </c>
      <c r="K342" s="91">
        <v>930294835</v>
      </c>
      <c r="L342" s="91" t="s">
        <v>121</v>
      </c>
      <c r="M342" s="98">
        <f ca="1">(TODAY()-H342)/365</f>
        <v>31.964383561643835</v>
      </c>
      <c r="N342" s="99">
        <f>(G342-H342)/365</f>
        <v>24.44109589041096</v>
      </c>
      <c r="O342" s="98">
        <f ca="1">(TODAY()-G342)/365</f>
        <v>7.5232876712328771</v>
      </c>
      <c r="P342" s="91" t="s">
        <v>43</v>
      </c>
      <c r="Q342" s="91">
        <v>0</v>
      </c>
      <c r="R342" s="91">
        <v>1</v>
      </c>
      <c r="S342" s="91">
        <v>0</v>
      </c>
      <c r="T342" s="91"/>
      <c r="U342" s="91"/>
      <c r="V342" s="91"/>
      <c r="W342" s="91"/>
      <c r="X342" s="91"/>
      <c r="Y342" s="91"/>
      <c r="Z342" s="91"/>
      <c r="AA342" s="91"/>
      <c r="AB342" s="91"/>
      <c r="AC342" s="91"/>
      <c r="AD342" s="91"/>
      <c r="AE342" s="91"/>
      <c r="AF342" s="91"/>
      <c r="AG342" s="91"/>
      <c r="AH342" s="91"/>
      <c r="AI342" s="91"/>
      <c r="AJ342" s="91"/>
      <c r="AK342" s="91"/>
      <c r="AL342" s="91"/>
      <c r="AM342" s="91"/>
    </row>
    <row r="343" spans="1:39" ht="20.25" hidden="1" customHeight="1">
      <c r="A343" s="91"/>
      <c r="B343" s="93" t="s">
        <v>1245</v>
      </c>
      <c r="C343" s="91" t="s">
        <v>36</v>
      </c>
      <c r="D343" s="107" t="s">
        <v>1309</v>
      </c>
      <c r="E343" s="107" t="s">
        <v>1314</v>
      </c>
      <c r="F343" s="91" t="s">
        <v>1311</v>
      </c>
      <c r="G343" s="96">
        <v>43256</v>
      </c>
      <c r="H343" s="97">
        <v>34335</v>
      </c>
      <c r="I343" s="100" t="s">
        <v>1312</v>
      </c>
      <c r="J343" s="100" t="s">
        <v>1315</v>
      </c>
      <c r="K343" s="91">
        <v>930294835</v>
      </c>
      <c r="L343" s="91" t="s">
        <v>60</v>
      </c>
      <c r="M343" s="98">
        <f ca="1">(TODAY()-H343)/365</f>
        <v>31.964383561643835</v>
      </c>
      <c r="N343" s="99">
        <f>(G343-H343)/365</f>
        <v>24.44109589041096</v>
      </c>
      <c r="O343" s="98">
        <f ca="1">(TODAY()-G343)/365</f>
        <v>7.5232876712328771</v>
      </c>
      <c r="P343" s="91" t="s">
        <v>43</v>
      </c>
      <c r="Q343" s="91">
        <v>0</v>
      </c>
      <c r="R343" s="91">
        <v>0</v>
      </c>
      <c r="S343" s="91">
        <v>0</v>
      </c>
      <c r="T343" s="91"/>
      <c r="U343" s="91"/>
      <c r="V343" s="91"/>
      <c r="W343" s="91"/>
      <c r="X343" s="91"/>
      <c r="Y343" s="91"/>
      <c r="Z343" s="91"/>
      <c r="AA343" s="91"/>
      <c r="AB343" s="91"/>
      <c r="AC343" s="91"/>
      <c r="AD343" s="91"/>
      <c r="AE343" s="91"/>
      <c r="AF343" s="91"/>
      <c r="AG343" s="91"/>
      <c r="AH343" s="91"/>
      <c r="AI343" s="91"/>
      <c r="AJ343" s="91"/>
      <c r="AK343" s="91"/>
      <c r="AL343" s="91"/>
      <c r="AM343" s="91"/>
    </row>
    <row r="344" spans="1:39" ht="20.25" hidden="1" customHeight="1">
      <c r="A344" s="91"/>
      <c r="B344" s="93" t="s">
        <v>1245</v>
      </c>
      <c r="C344" s="91" t="s">
        <v>36</v>
      </c>
      <c r="D344" s="107" t="s">
        <v>1316</v>
      </c>
      <c r="E344" s="107" t="s">
        <v>1317</v>
      </c>
      <c r="F344" s="91" t="s">
        <v>1318</v>
      </c>
      <c r="G344" s="96">
        <v>44317</v>
      </c>
      <c r="H344" s="97">
        <v>34259</v>
      </c>
      <c r="I344" s="100" t="s">
        <v>1319</v>
      </c>
      <c r="J344" s="100" t="s">
        <v>1320</v>
      </c>
      <c r="K344" s="91">
        <v>997164476</v>
      </c>
      <c r="L344" s="91" t="s">
        <v>60</v>
      </c>
      <c r="M344" s="98">
        <f ca="1">(TODAY()-H344)/365</f>
        <v>32.172602739726024</v>
      </c>
      <c r="N344" s="99">
        <f>(G344-H344)/365</f>
        <v>27.556164383561644</v>
      </c>
      <c r="O344" s="98">
        <f ca="1">(TODAY()-G344)/365</f>
        <v>4.6164383561643838</v>
      </c>
      <c r="P344" s="91" t="s">
        <v>272</v>
      </c>
      <c r="Q344" s="91">
        <v>0</v>
      </c>
      <c r="R344" s="91">
        <v>0</v>
      </c>
      <c r="S344" s="91">
        <v>0</v>
      </c>
      <c r="T344" s="91"/>
      <c r="U344" s="91"/>
      <c r="V344" s="91"/>
      <c r="W344" s="91"/>
      <c r="X344" s="91"/>
      <c r="Y344" s="91"/>
      <c r="Z344" s="91"/>
      <c r="AA344" s="91"/>
      <c r="AB344" s="91"/>
      <c r="AC344" s="91"/>
      <c r="AD344" s="91"/>
      <c r="AE344" s="91"/>
      <c r="AF344" s="91"/>
      <c r="AG344" s="91"/>
      <c r="AH344" s="91"/>
      <c r="AI344" s="91"/>
      <c r="AJ344" s="91"/>
      <c r="AK344" s="91"/>
      <c r="AL344" s="91"/>
      <c r="AM344" s="91"/>
    </row>
    <row r="345" spans="1:39" ht="20.25" hidden="1" customHeight="1">
      <c r="A345" s="91"/>
      <c r="B345" s="93" t="s">
        <v>1245</v>
      </c>
      <c r="C345" s="91" t="s">
        <v>36</v>
      </c>
      <c r="D345" s="107" t="s">
        <v>346</v>
      </c>
      <c r="E345" s="107" t="s">
        <v>1321</v>
      </c>
      <c r="F345" s="91" t="s">
        <v>1322</v>
      </c>
      <c r="G345" s="96">
        <v>29431</v>
      </c>
      <c r="H345" s="97">
        <v>18505</v>
      </c>
      <c r="I345" s="100" t="s">
        <v>1323</v>
      </c>
      <c r="J345" s="100" t="s">
        <v>1324</v>
      </c>
      <c r="K345" s="91">
        <v>977869170</v>
      </c>
      <c r="L345" s="91" t="s">
        <v>54</v>
      </c>
      <c r="M345" s="98">
        <f ca="1">(TODAY()-H345)/365</f>
        <v>75.334246575342462</v>
      </c>
      <c r="N345" s="99">
        <f>(G345-H345)/365</f>
        <v>29.934246575342467</v>
      </c>
      <c r="O345" s="98">
        <f ca="1">(TODAY()-G345)/365</f>
        <v>45.4</v>
      </c>
      <c r="P345" s="91" t="s">
        <v>43</v>
      </c>
      <c r="Q345" s="91">
        <v>0</v>
      </c>
      <c r="R345" s="91">
        <v>0</v>
      </c>
      <c r="S345" s="91">
        <v>0</v>
      </c>
      <c r="T345" s="91"/>
      <c r="U345" s="91"/>
      <c r="V345" s="91"/>
      <c r="W345" s="91"/>
      <c r="X345" s="91"/>
      <c r="Y345" s="91"/>
      <c r="Z345" s="91"/>
      <c r="AA345" s="91"/>
      <c r="AB345" s="91"/>
      <c r="AC345" s="91"/>
      <c r="AD345" s="91"/>
      <c r="AE345" s="91"/>
      <c r="AF345" s="91"/>
      <c r="AG345" s="91"/>
      <c r="AH345" s="91"/>
      <c r="AI345" s="91"/>
      <c r="AJ345" s="91"/>
      <c r="AK345" s="91"/>
      <c r="AL345" s="91"/>
      <c r="AM345" s="91"/>
    </row>
    <row r="346" spans="1:39" ht="20.25" hidden="1" customHeight="1">
      <c r="A346" s="91"/>
      <c r="B346" s="93" t="s">
        <v>1245</v>
      </c>
      <c r="C346" s="91" t="s">
        <v>36</v>
      </c>
      <c r="D346" s="107" t="s">
        <v>1325</v>
      </c>
      <c r="E346" s="107" t="s">
        <v>1326</v>
      </c>
      <c r="F346" s="91" t="s">
        <v>1327</v>
      </c>
      <c r="G346" s="96">
        <v>41070</v>
      </c>
      <c r="H346" s="97">
        <v>29964</v>
      </c>
      <c r="I346" s="100" t="s">
        <v>1328</v>
      </c>
      <c r="J346" s="100" t="s">
        <v>1329</v>
      </c>
      <c r="K346" s="91">
        <v>938829028</v>
      </c>
      <c r="L346" s="91" t="s">
        <v>60</v>
      </c>
      <c r="M346" s="98">
        <f ca="1">(TODAY()-H346)/365</f>
        <v>43.939726027397263</v>
      </c>
      <c r="N346" s="99">
        <f>(G346-H346)/365</f>
        <v>30.427397260273974</v>
      </c>
      <c r="O346" s="98">
        <f ca="1">(TODAY()-G346)/365</f>
        <v>13.512328767123288</v>
      </c>
      <c r="P346" s="91" t="s">
        <v>272</v>
      </c>
      <c r="Q346" s="91">
        <v>0</v>
      </c>
      <c r="R346" s="91">
        <v>0</v>
      </c>
      <c r="S346" s="91">
        <v>0</v>
      </c>
      <c r="T346" s="91"/>
      <c r="U346" s="91"/>
      <c r="V346" s="91"/>
      <c r="W346" s="91"/>
      <c r="X346" s="91"/>
      <c r="Y346" s="91"/>
      <c r="Z346" s="91"/>
      <c r="AA346" s="91"/>
      <c r="AB346" s="91"/>
      <c r="AC346" s="91"/>
      <c r="AD346" s="91"/>
      <c r="AE346" s="91"/>
      <c r="AF346" s="91"/>
      <c r="AG346" s="91"/>
      <c r="AH346" s="91"/>
      <c r="AI346" s="91"/>
      <c r="AJ346" s="91"/>
      <c r="AK346" s="91"/>
      <c r="AL346" s="91"/>
      <c r="AM346" s="91"/>
    </row>
    <row r="347" spans="1:39" ht="20.25" hidden="1" customHeight="1">
      <c r="A347" s="91"/>
      <c r="B347" s="93" t="s">
        <v>1245</v>
      </c>
      <c r="C347" s="91" t="s">
        <v>36</v>
      </c>
      <c r="D347" s="107" t="s">
        <v>1330</v>
      </c>
      <c r="E347" s="107" t="s">
        <v>1331</v>
      </c>
      <c r="F347" s="91" t="s">
        <v>1332</v>
      </c>
      <c r="G347" s="96">
        <v>36634</v>
      </c>
      <c r="H347" s="97">
        <v>24943</v>
      </c>
      <c r="I347" s="100" t="s">
        <v>1333</v>
      </c>
      <c r="J347" s="100" t="s">
        <v>1334</v>
      </c>
      <c r="K347" s="91">
        <v>986083583</v>
      </c>
      <c r="L347" s="91" t="s">
        <v>60</v>
      </c>
      <c r="M347" s="98">
        <f ca="1">(TODAY()-H347)/365</f>
        <v>57.695890410958903</v>
      </c>
      <c r="N347" s="99">
        <f>(G347-H347)/365</f>
        <v>32.030136986301372</v>
      </c>
      <c r="O347" s="98">
        <f ca="1">(TODAY()-G347)/365</f>
        <v>25.665753424657535</v>
      </c>
      <c r="P347" s="91" t="s">
        <v>43</v>
      </c>
      <c r="Q347" s="91">
        <v>0</v>
      </c>
      <c r="R347" s="91">
        <v>0</v>
      </c>
      <c r="S347" s="91">
        <v>0</v>
      </c>
      <c r="T347" s="91"/>
      <c r="U347" s="91"/>
      <c r="V347" s="91"/>
      <c r="W347" s="91"/>
      <c r="X347" s="91"/>
      <c r="Y347" s="91"/>
      <c r="Z347" s="91"/>
      <c r="AA347" s="91"/>
      <c r="AB347" s="91"/>
      <c r="AC347" s="91"/>
      <c r="AD347" s="91"/>
      <c r="AE347" s="91"/>
      <c r="AF347" s="91"/>
      <c r="AG347" s="91"/>
      <c r="AH347" s="91"/>
      <c r="AI347" s="91"/>
      <c r="AJ347" s="91"/>
      <c r="AK347" s="91"/>
      <c r="AL347" s="91"/>
      <c r="AM347" s="91"/>
    </row>
    <row r="348" spans="1:39" ht="20.25" hidden="1" customHeight="1">
      <c r="A348" s="91"/>
      <c r="B348" s="93" t="s">
        <v>1245</v>
      </c>
      <c r="C348" s="91" t="s">
        <v>36</v>
      </c>
      <c r="D348" s="107" t="s">
        <v>1335</v>
      </c>
      <c r="E348" s="107" t="s">
        <v>1336</v>
      </c>
      <c r="F348" s="91" t="s">
        <v>1337</v>
      </c>
      <c r="G348" s="96">
        <v>45577</v>
      </c>
      <c r="H348" s="97">
        <v>33403</v>
      </c>
      <c r="I348" s="100" t="s">
        <v>1338</v>
      </c>
      <c r="J348" s="100" t="s">
        <v>1339</v>
      </c>
      <c r="K348" s="91">
        <v>999600348</v>
      </c>
      <c r="L348" s="91" t="s">
        <v>60</v>
      </c>
      <c r="M348" s="98">
        <f ca="1">(TODAY()-H348)/365</f>
        <v>34.517808219178079</v>
      </c>
      <c r="N348" s="99">
        <f>(G348-H348)/365</f>
        <v>33.353424657534248</v>
      </c>
      <c r="O348" s="98">
        <f ca="1">(TODAY()-G348)/365</f>
        <v>1.1643835616438356</v>
      </c>
      <c r="P348" s="91" t="s">
        <v>43</v>
      </c>
      <c r="Q348" s="91">
        <v>0</v>
      </c>
      <c r="R348" s="91">
        <v>0</v>
      </c>
      <c r="S348" s="91">
        <v>0</v>
      </c>
      <c r="T348" s="91"/>
      <c r="U348" s="91"/>
      <c r="V348" s="91"/>
      <c r="W348" s="91"/>
      <c r="X348" s="91"/>
      <c r="Y348" s="91"/>
      <c r="Z348" s="91"/>
      <c r="AA348" s="91"/>
      <c r="AB348" s="91"/>
      <c r="AC348" s="91"/>
      <c r="AD348" s="91"/>
      <c r="AE348" s="91"/>
      <c r="AF348" s="91"/>
      <c r="AG348" s="91"/>
      <c r="AH348" s="91"/>
      <c r="AI348" s="91"/>
      <c r="AJ348" s="91"/>
      <c r="AK348" s="91"/>
      <c r="AL348" s="91"/>
      <c r="AM348" s="91"/>
    </row>
    <row r="349" spans="1:39" ht="20.25" customHeight="1">
      <c r="A349" s="91"/>
      <c r="B349" s="93" t="s">
        <v>9861</v>
      </c>
      <c r="C349" s="91" t="s">
        <v>73</v>
      </c>
      <c r="D349" s="106" t="s">
        <v>3811</v>
      </c>
      <c r="E349" s="106" t="s">
        <v>10018</v>
      </c>
      <c r="F349" s="92" t="s">
        <v>10019</v>
      </c>
      <c r="G349" s="103">
        <v>44669</v>
      </c>
      <c r="H349" s="103">
        <v>16263</v>
      </c>
      <c r="I349" s="94" t="s">
        <v>10020</v>
      </c>
      <c r="J349" s="100" t="s">
        <v>58</v>
      </c>
      <c r="K349" s="95" t="s">
        <v>58</v>
      </c>
      <c r="L349" s="91"/>
      <c r="M349" s="98">
        <f ca="1">(TODAY()-H349)/365</f>
        <v>81.476712328767121</v>
      </c>
      <c r="N349" s="99">
        <f>(G349-H349)/365</f>
        <v>77.824657534246569</v>
      </c>
      <c r="O349" s="98">
        <f ca="1">(TODAY()-G349)/365</f>
        <v>3.6520547945205482</v>
      </c>
      <c r="P349" s="91" t="s">
        <v>43</v>
      </c>
      <c r="Q349" s="91"/>
      <c r="R349" s="91"/>
      <c r="S349" s="91"/>
      <c r="T349" s="91"/>
      <c r="U349" s="91"/>
      <c r="V349" s="91"/>
      <c r="W349" s="91"/>
      <c r="X349" s="91"/>
      <c r="Y349" s="91"/>
      <c r="Z349" s="91"/>
      <c r="AA349" s="91"/>
      <c r="AB349" s="91"/>
      <c r="AC349" s="91"/>
      <c r="AD349" s="91"/>
      <c r="AE349" s="91"/>
      <c r="AF349" s="91"/>
      <c r="AG349" s="91"/>
      <c r="AH349" s="91"/>
      <c r="AI349" s="91"/>
      <c r="AJ349" s="91"/>
      <c r="AK349" s="91"/>
      <c r="AL349" s="91"/>
      <c r="AM349" s="91"/>
    </row>
    <row r="350" spans="1:39" ht="20.25" hidden="1" customHeight="1">
      <c r="A350" s="91"/>
      <c r="B350" s="93" t="s">
        <v>1245</v>
      </c>
      <c r="C350" s="91" t="s">
        <v>36</v>
      </c>
      <c r="D350" s="107" t="s">
        <v>1344</v>
      </c>
      <c r="E350" s="107" t="s">
        <v>1345</v>
      </c>
      <c r="F350" s="91" t="s">
        <v>1346</v>
      </c>
      <c r="G350" s="96">
        <v>36600</v>
      </c>
      <c r="H350" s="97">
        <v>22722</v>
      </c>
      <c r="I350" s="108" t="s">
        <v>1347</v>
      </c>
      <c r="J350" s="100" t="s">
        <v>1348</v>
      </c>
      <c r="K350" s="91">
        <v>978408097</v>
      </c>
      <c r="L350" s="91" t="s">
        <v>60</v>
      </c>
      <c r="M350" s="98">
        <f ca="1">(TODAY()-H350)/365</f>
        <v>63.780821917808218</v>
      </c>
      <c r="N350" s="99">
        <f>(G350-H350)/365</f>
        <v>38.021917808219179</v>
      </c>
      <c r="O350" s="98">
        <f ca="1">(TODAY()-G350)/365</f>
        <v>25.758904109589039</v>
      </c>
      <c r="P350" s="91" t="s">
        <v>43</v>
      </c>
      <c r="Q350" s="91">
        <v>0</v>
      </c>
      <c r="R350" s="91">
        <v>0</v>
      </c>
      <c r="S350" s="91">
        <v>0</v>
      </c>
      <c r="T350" s="91"/>
      <c r="U350" s="91"/>
      <c r="V350" s="91"/>
      <c r="W350" s="91"/>
      <c r="X350" s="91"/>
      <c r="Y350" s="91"/>
      <c r="Z350" s="91"/>
      <c r="AA350" s="91"/>
      <c r="AB350" s="91"/>
      <c r="AC350" s="91"/>
      <c r="AD350" s="91"/>
      <c r="AE350" s="91"/>
      <c r="AF350" s="91"/>
      <c r="AG350" s="91"/>
      <c r="AH350" s="91"/>
      <c r="AI350" s="91"/>
      <c r="AJ350" s="91"/>
      <c r="AK350" s="91"/>
      <c r="AL350" s="91"/>
      <c r="AM350" s="91"/>
    </row>
    <row r="351" spans="1:39" ht="20.25" hidden="1" customHeight="1">
      <c r="A351" s="91"/>
      <c r="B351" s="93" t="s">
        <v>1245</v>
      </c>
      <c r="C351" s="91" t="s">
        <v>36</v>
      </c>
      <c r="D351" s="107" t="s">
        <v>1349</v>
      </c>
      <c r="E351" s="107" t="s">
        <v>1350</v>
      </c>
      <c r="F351" s="91" t="s">
        <v>1351</v>
      </c>
      <c r="G351" s="96">
        <v>45047</v>
      </c>
      <c r="H351" s="97">
        <v>30243</v>
      </c>
      <c r="I351" s="100" t="s">
        <v>1352</v>
      </c>
      <c r="J351" s="100" t="s">
        <v>1353</v>
      </c>
      <c r="K351" s="91">
        <v>972561337</v>
      </c>
      <c r="L351" s="91" t="s">
        <v>60</v>
      </c>
      <c r="M351" s="98">
        <f ca="1">(TODAY()-H351)/365</f>
        <v>43.175342465753424</v>
      </c>
      <c r="N351" s="99">
        <f>(G351-H351)/365</f>
        <v>40.558904109589044</v>
      </c>
      <c r="O351" s="98">
        <f ca="1">(TODAY()-G351)/365</f>
        <v>2.6164383561643834</v>
      </c>
      <c r="P351" s="91" t="s">
        <v>272</v>
      </c>
      <c r="Q351" s="91">
        <v>0</v>
      </c>
      <c r="R351" s="91">
        <v>0</v>
      </c>
      <c r="S351" s="91">
        <v>0</v>
      </c>
      <c r="T351" s="91"/>
      <c r="U351" s="91"/>
      <c r="V351" s="91"/>
      <c r="W351" s="91"/>
      <c r="X351" s="91"/>
      <c r="Y351" s="91"/>
      <c r="Z351" s="91"/>
      <c r="AA351" s="91"/>
      <c r="AB351" s="91"/>
      <c r="AC351" s="91"/>
      <c r="AD351" s="91"/>
      <c r="AE351" s="91"/>
      <c r="AF351" s="91"/>
      <c r="AG351" s="91"/>
      <c r="AH351" s="91"/>
      <c r="AI351" s="91"/>
      <c r="AJ351" s="91"/>
      <c r="AK351" s="91"/>
      <c r="AL351" s="91"/>
      <c r="AM351" s="91"/>
    </row>
    <row r="352" spans="1:39" ht="20.25" hidden="1" customHeight="1">
      <c r="A352" s="91"/>
      <c r="B352" s="93" t="s">
        <v>1245</v>
      </c>
      <c r="C352" s="91" t="s">
        <v>36</v>
      </c>
      <c r="D352" s="107" t="s">
        <v>1354</v>
      </c>
      <c r="E352" s="107" t="s">
        <v>1355</v>
      </c>
      <c r="F352" s="91" t="s">
        <v>1356</v>
      </c>
      <c r="G352" s="96">
        <v>41711</v>
      </c>
      <c r="H352" s="97">
        <v>26635</v>
      </c>
      <c r="I352" s="100" t="s">
        <v>1357</v>
      </c>
      <c r="J352" s="100" t="s">
        <v>1256</v>
      </c>
      <c r="K352" s="91">
        <v>984374100</v>
      </c>
      <c r="L352" s="91" t="s">
        <v>60</v>
      </c>
      <c r="M352" s="98">
        <f ca="1">(TODAY()-H352)/365</f>
        <v>53.060273972602737</v>
      </c>
      <c r="N352" s="99">
        <f>(G352-H352)/365</f>
        <v>41.304109589041097</v>
      </c>
      <c r="O352" s="98">
        <f ca="1">(TODAY()-G352)/365</f>
        <v>11.756164383561643</v>
      </c>
      <c r="P352" s="91" t="s">
        <v>43</v>
      </c>
      <c r="Q352" s="91">
        <v>0</v>
      </c>
      <c r="R352" s="91">
        <v>0</v>
      </c>
      <c r="S352" s="91">
        <v>0</v>
      </c>
      <c r="T352" s="91"/>
      <c r="U352" s="91"/>
      <c r="V352" s="91"/>
      <c r="W352" s="91"/>
      <c r="X352" s="91"/>
      <c r="Y352" s="91"/>
      <c r="Z352" s="91"/>
      <c r="AA352" s="91"/>
      <c r="AB352" s="91"/>
      <c r="AC352" s="91"/>
      <c r="AD352" s="91"/>
      <c r="AE352" s="91"/>
      <c r="AF352" s="91"/>
      <c r="AG352" s="91"/>
      <c r="AH352" s="91"/>
      <c r="AI352" s="91"/>
      <c r="AJ352" s="91"/>
      <c r="AK352" s="91"/>
      <c r="AL352" s="91"/>
      <c r="AM352" s="91"/>
    </row>
    <row r="353" spans="1:39" ht="20.25" hidden="1" customHeight="1">
      <c r="A353" s="91"/>
      <c r="B353" s="93" t="s">
        <v>1245</v>
      </c>
      <c r="C353" s="91" t="s">
        <v>36</v>
      </c>
      <c r="D353" s="107" t="s">
        <v>346</v>
      </c>
      <c r="E353" s="107" t="s">
        <v>1358</v>
      </c>
      <c r="F353" s="91" t="s">
        <v>1359</v>
      </c>
      <c r="G353" s="96">
        <v>33092</v>
      </c>
      <c r="H353" s="97">
        <v>17748</v>
      </c>
      <c r="I353" s="100" t="s">
        <v>58</v>
      </c>
      <c r="J353" s="100" t="s">
        <v>1360</v>
      </c>
      <c r="K353" s="91">
        <v>412977397</v>
      </c>
      <c r="L353" s="91" t="s">
        <v>60</v>
      </c>
      <c r="M353" s="98">
        <f ca="1">(TODAY()-H353)/365</f>
        <v>77.408219178082192</v>
      </c>
      <c r="N353" s="99">
        <f>(G353-H353)/365</f>
        <v>42.038356164383565</v>
      </c>
      <c r="O353" s="98">
        <f ca="1">(TODAY()-G353)/365</f>
        <v>35.369863013698627</v>
      </c>
      <c r="P353" s="91" t="s">
        <v>43</v>
      </c>
      <c r="Q353" s="91">
        <v>0</v>
      </c>
      <c r="R353" s="91">
        <v>0</v>
      </c>
      <c r="S353" s="91">
        <v>0</v>
      </c>
      <c r="T353" s="91"/>
      <c r="U353" s="91"/>
      <c r="V353" s="91"/>
      <c r="W353" s="91"/>
      <c r="X353" s="91"/>
      <c r="Y353" s="91"/>
      <c r="Z353" s="91"/>
      <c r="AA353" s="91"/>
      <c r="AB353" s="91"/>
      <c r="AC353" s="91"/>
      <c r="AD353" s="91"/>
      <c r="AE353" s="91"/>
      <c r="AF353" s="91"/>
      <c r="AG353" s="91"/>
      <c r="AH353" s="91"/>
      <c r="AI353" s="91"/>
      <c r="AJ353" s="91"/>
      <c r="AK353" s="91"/>
      <c r="AL353" s="91"/>
      <c r="AM353" s="91"/>
    </row>
    <row r="354" spans="1:39" ht="20.25" hidden="1" customHeight="1">
      <c r="A354" s="91"/>
      <c r="B354" s="93" t="s">
        <v>1245</v>
      </c>
      <c r="C354" s="91" t="s">
        <v>36</v>
      </c>
      <c r="D354" s="107" t="s">
        <v>866</v>
      </c>
      <c r="E354" s="107" t="s">
        <v>1361</v>
      </c>
      <c r="F354" s="91" t="s">
        <v>1362</v>
      </c>
      <c r="G354" s="96">
        <v>33323</v>
      </c>
      <c r="H354" s="97">
        <v>16897</v>
      </c>
      <c r="I354" s="100" t="s">
        <v>58</v>
      </c>
      <c r="J354" s="100" t="s">
        <v>1363</v>
      </c>
      <c r="K354" s="91">
        <v>996888323</v>
      </c>
      <c r="L354" s="91" t="s">
        <v>60</v>
      </c>
      <c r="M354" s="98">
        <f ca="1">(TODAY()-H354)/365</f>
        <v>79.739726027397253</v>
      </c>
      <c r="N354" s="99">
        <f>(G354-H354)/365</f>
        <v>45.0027397260274</v>
      </c>
      <c r="O354" s="98">
        <f ca="1">(TODAY()-G354)/365</f>
        <v>34.736986301369861</v>
      </c>
      <c r="P354" s="91" t="s">
        <v>43</v>
      </c>
      <c r="Q354" s="91">
        <v>0</v>
      </c>
      <c r="R354" s="91">
        <v>0</v>
      </c>
      <c r="S354" s="91">
        <v>0</v>
      </c>
      <c r="T354" s="91"/>
      <c r="U354" s="91"/>
      <c r="V354" s="91"/>
      <c r="W354" s="91"/>
      <c r="X354" s="91"/>
      <c r="Y354" s="91"/>
      <c r="Z354" s="91"/>
      <c r="AA354" s="91"/>
      <c r="AB354" s="91"/>
      <c r="AC354" s="91"/>
      <c r="AD354" s="91"/>
      <c r="AE354" s="91"/>
      <c r="AF354" s="91"/>
      <c r="AG354" s="91"/>
      <c r="AH354" s="91"/>
      <c r="AI354" s="91"/>
      <c r="AJ354" s="91"/>
      <c r="AK354" s="91"/>
      <c r="AL354" s="91"/>
      <c r="AM354" s="91"/>
    </row>
    <row r="355" spans="1:39" ht="20.25" hidden="1" customHeight="1">
      <c r="A355" s="91"/>
      <c r="B355" s="93" t="s">
        <v>1245</v>
      </c>
      <c r="C355" s="91" t="s">
        <v>36</v>
      </c>
      <c r="D355" s="107" t="s">
        <v>142</v>
      </c>
      <c r="E355" s="107" t="s">
        <v>1364</v>
      </c>
      <c r="F355" s="91" t="s">
        <v>1365</v>
      </c>
      <c r="G355" s="96">
        <v>42806</v>
      </c>
      <c r="H355" s="97">
        <v>26344</v>
      </c>
      <c r="I355" s="100" t="s">
        <v>1366</v>
      </c>
      <c r="J355" s="100" t="s">
        <v>1367</v>
      </c>
      <c r="K355" s="91">
        <v>963558217</v>
      </c>
      <c r="L355" s="91" t="s">
        <v>66</v>
      </c>
      <c r="M355" s="98">
        <f ca="1">(TODAY()-H355)/365</f>
        <v>53.857534246575341</v>
      </c>
      <c r="N355" s="99">
        <f>(G355-H355)/365</f>
        <v>45.101369863013701</v>
      </c>
      <c r="O355" s="98">
        <f ca="1">(TODAY()-G355)/365</f>
        <v>8.7561643835616429</v>
      </c>
      <c r="P355" s="91" t="s">
        <v>272</v>
      </c>
      <c r="Q355" s="91">
        <v>0</v>
      </c>
      <c r="R355" s="91">
        <v>0</v>
      </c>
      <c r="S355" s="91">
        <v>0</v>
      </c>
      <c r="T355" s="91"/>
      <c r="U355" s="91"/>
      <c r="V355" s="91"/>
      <c r="W355" s="91"/>
      <c r="X355" s="91"/>
      <c r="Y355" s="91"/>
      <c r="Z355" s="91"/>
      <c r="AA355" s="91"/>
      <c r="AB355" s="91"/>
      <c r="AC355" s="91"/>
      <c r="AD355" s="91"/>
      <c r="AE355" s="91"/>
      <c r="AF355" s="91"/>
      <c r="AG355" s="91"/>
      <c r="AH355" s="91"/>
      <c r="AI355" s="91"/>
      <c r="AJ355" s="91"/>
      <c r="AK355" s="91"/>
      <c r="AL355" s="91"/>
      <c r="AM355" s="91"/>
    </row>
    <row r="356" spans="1:39" ht="20.25" hidden="1" customHeight="1">
      <c r="A356" s="91"/>
      <c r="B356" s="93" t="s">
        <v>1245</v>
      </c>
      <c r="C356" s="91" t="s">
        <v>36</v>
      </c>
      <c r="D356" s="107" t="s">
        <v>1286</v>
      </c>
      <c r="E356" s="107" t="s">
        <v>1368</v>
      </c>
      <c r="F356" s="91" t="s">
        <v>1369</v>
      </c>
      <c r="G356" s="96">
        <v>45264</v>
      </c>
      <c r="H356" s="103" t="s">
        <v>58</v>
      </c>
      <c r="I356" s="100" t="s">
        <v>1370</v>
      </c>
      <c r="J356" s="100" t="s">
        <v>1371</v>
      </c>
      <c r="K356" s="91">
        <v>956297369</v>
      </c>
      <c r="L356" s="91" t="s">
        <v>60</v>
      </c>
      <c r="M356" s="98">
        <v>0</v>
      </c>
      <c r="N356" s="91"/>
      <c r="O356" s="98">
        <f ca="1">(TODAY()-G356)/365</f>
        <v>2.021917808219178</v>
      </c>
      <c r="P356" s="91" t="s">
        <v>43</v>
      </c>
      <c r="Q356" s="91">
        <v>0</v>
      </c>
      <c r="R356" s="91">
        <v>0</v>
      </c>
      <c r="S356" s="91">
        <v>0</v>
      </c>
      <c r="T356" s="91"/>
      <c r="U356" s="91"/>
      <c r="V356" s="91"/>
      <c r="W356" s="91"/>
      <c r="X356" s="91"/>
      <c r="Y356" s="91"/>
      <c r="Z356" s="91"/>
      <c r="AA356" s="91"/>
      <c r="AB356" s="91"/>
      <c r="AC356" s="91"/>
      <c r="AD356" s="91"/>
      <c r="AE356" s="91"/>
      <c r="AF356" s="91"/>
      <c r="AG356" s="91"/>
      <c r="AH356" s="91"/>
      <c r="AI356" s="91"/>
      <c r="AJ356" s="91"/>
      <c r="AK356" s="91"/>
      <c r="AL356" s="91"/>
      <c r="AM356" s="91"/>
    </row>
    <row r="357" spans="1:39" ht="20.25" hidden="1" customHeight="1">
      <c r="A357" s="91"/>
      <c r="B357" s="93" t="s">
        <v>1245</v>
      </c>
      <c r="C357" s="91" t="s">
        <v>36</v>
      </c>
      <c r="D357" s="107" t="s">
        <v>1372</v>
      </c>
      <c r="E357" s="107" t="s">
        <v>1373</v>
      </c>
      <c r="F357" s="91" t="s">
        <v>1374</v>
      </c>
      <c r="G357" s="96">
        <v>41711</v>
      </c>
      <c r="H357" s="97">
        <v>24903</v>
      </c>
      <c r="I357" s="100" t="s">
        <v>1375</v>
      </c>
      <c r="J357" s="100" t="s">
        <v>1376</v>
      </c>
      <c r="K357" s="91">
        <v>993333826</v>
      </c>
      <c r="L357" s="91" t="s">
        <v>60</v>
      </c>
      <c r="M357" s="98">
        <f ca="1">(TODAY()-H357)/365</f>
        <v>57.805479452054797</v>
      </c>
      <c r="N357" s="99">
        <f>(G357-H357)/365</f>
        <v>46.049315068493151</v>
      </c>
      <c r="O357" s="98">
        <f ca="1">(TODAY()-G357)/365</f>
        <v>11.756164383561643</v>
      </c>
      <c r="P357" s="91" t="s">
        <v>43</v>
      </c>
      <c r="Q357" s="91">
        <v>0</v>
      </c>
      <c r="R357" s="91">
        <v>0</v>
      </c>
      <c r="S357" s="91">
        <v>0</v>
      </c>
      <c r="T357" s="91"/>
      <c r="U357" s="91"/>
      <c r="V357" s="91"/>
      <c r="W357" s="91"/>
      <c r="X357" s="91"/>
      <c r="Y357" s="91"/>
      <c r="Z357" s="91"/>
      <c r="AA357" s="91"/>
      <c r="AB357" s="91"/>
      <c r="AC357" s="91"/>
      <c r="AD357" s="91"/>
      <c r="AE357" s="91"/>
      <c r="AF357" s="91"/>
      <c r="AG357" s="91"/>
      <c r="AH357" s="91"/>
      <c r="AI357" s="91"/>
      <c r="AJ357" s="91"/>
      <c r="AK357" s="91"/>
      <c r="AL357" s="91"/>
      <c r="AM357" s="91"/>
    </row>
    <row r="358" spans="1:39" ht="20.25" hidden="1" customHeight="1">
      <c r="A358" s="91"/>
      <c r="B358" s="93" t="s">
        <v>1245</v>
      </c>
      <c r="C358" s="91" t="s">
        <v>36</v>
      </c>
      <c r="D358" s="107" t="s">
        <v>1377</v>
      </c>
      <c r="E358" s="107" t="s">
        <v>1378</v>
      </c>
      <c r="F358" s="91" t="s">
        <v>1379</v>
      </c>
      <c r="G358" s="96">
        <v>41926</v>
      </c>
      <c r="H358" s="97">
        <v>25043</v>
      </c>
      <c r="I358" s="100" t="s">
        <v>1380</v>
      </c>
      <c r="J358" s="100" t="s">
        <v>1381</v>
      </c>
      <c r="K358" s="91">
        <v>963103356</v>
      </c>
      <c r="L358" s="91" t="s">
        <v>60</v>
      </c>
      <c r="M358" s="98">
        <f ca="1">(TODAY()-H358)/365</f>
        <v>57.421917808219177</v>
      </c>
      <c r="N358" s="99">
        <f>(G358-H358)/365</f>
        <v>46.254794520547946</v>
      </c>
      <c r="O358" s="98">
        <f ca="1">(TODAY()-G358)/365</f>
        <v>11.167123287671233</v>
      </c>
      <c r="P358" s="91" t="s">
        <v>43</v>
      </c>
      <c r="Q358" s="91">
        <v>0</v>
      </c>
      <c r="R358" s="91">
        <v>0</v>
      </c>
      <c r="S358" s="91">
        <v>0</v>
      </c>
      <c r="T358" s="91"/>
      <c r="U358" s="91"/>
      <c r="V358" s="91"/>
      <c r="W358" s="91"/>
      <c r="X358" s="91"/>
      <c r="Y358" s="91"/>
      <c r="Z358" s="91"/>
      <c r="AA358" s="91"/>
      <c r="AB358" s="91"/>
      <c r="AC358" s="91"/>
      <c r="AD358" s="91"/>
      <c r="AE358" s="91"/>
      <c r="AF358" s="91"/>
      <c r="AG358" s="91"/>
      <c r="AH358" s="91"/>
      <c r="AI358" s="91"/>
      <c r="AJ358" s="91"/>
      <c r="AK358" s="91"/>
      <c r="AL358" s="91"/>
      <c r="AM358" s="91"/>
    </row>
    <row r="359" spans="1:39" ht="20.25" hidden="1" customHeight="1">
      <c r="A359" s="91"/>
      <c r="B359" s="93" t="s">
        <v>1245</v>
      </c>
      <c r="C359" s="91" t="s">
        <v>36</v>
      </c>
      <c r="D359" s="107" t="s">
        <v>840</v>
      </c>
      <c r="E359" s="107" t="s">
        <v>1382</v>
      </c>
      <c r="F359" s="91" t="s">
        <v>1383</v>
      </c>
      <c r="G359" s="96">
        <v>42830</v>
      </c>
      <c r="H359" s="97">
        <v>25853</v>
      </c>
      <c r="I359" s="100" t="s">
        <v>1384</v>
      </c>
      <c r="J359" s="100" t="s">
        <v>1385</v>
      </c>
      <c r="K359" s="91">
        <v>969183278</v>
      </c>
      <c r="L359" s="91" t="s">
        <v>60</v>
      </c>
      <c r="M359" s="98">
        <f ca="1">(TODAY()-H359)/365</f>
        <v>55.202739726027396</v>
      </c>
      <c r="N359" s="99">
        <f>(G359-H359)/365</f>
        <v>46.512328767123286</v>
      </c>
      <c r="O359" s="98">
        <f ca="1">(TODAY()-G359)/365</f>
        <v>8.6904109589041099</v>
      </c>
      <c r="P359" s="91" t="s">
        <v>43</v>
      </c>
      <c r="Q359" s="91">
        <v>0</v>
      </c>
      <c r="R359" s="91">
        <v>0</v>
      </c>
      <c r="S359" s="91">
        <v>0</v>
      </c>
      <c r="T359" s="91"/>
      <c r="U359" s="91"/>
      <c r="V359" s="91"/>
      <c r="W359" s="91"/>
      <c r="X359" s="91"/>
      <c r="Y359" s="91"/>
      <c r="Z359" s="91"/>
      <c r="AA359" s="91"/>
      <c r="AB359" s="91"/>
      <c r="AC359" s="91"/>
      <c r="AD359" s="91"/>
      <c r="AE359" s="91"/>
      <c r="AF359" s="91"/>
      <c r="AG359" s="91"/>
      <c r="AH359" s="91"/>
      <c r="AI359" s="91"/>
      <c r="AJ359" s="91"/>
      <c r="AK359" s="91"/>
      <c r="AL359" s="91"/>
      <c r="AM359" s="91"/>
    </row>
    <row r="360" spans="1:39" ht="20.25" hidden="1" customHeight="1">
      <c r="A360" s="91"/>
      <c r="B360" s="93" t="s">
        <v>1245</v>
      </c>
      <c r="C360" s="91" t="s">
        <v>36</v>
      </c>
      <c r="D360" s="107" t="s">
        <v>1386</v>
      </c>
      <c r="E360" s="107" t="s">
        <v>1387</v>
      </c>
      <c r="F360" s="91" t="s">
        <v>1388</v>
      </c>
      <c r="G360" s="96">
        <v>39176</v>
      </c>
      <c r="H360" s="97">
        <v>21944</v>
      </c>
      <c r="I360" s="100" t="s">
        <v>58</v>
      </c>
      <c r="J360" s="100" t="s">
        <v>1389</v>
      </c>
      <c r="K360" s="91">
        <v>962249864</v>
      </c>
      <c r="L360" s="91" t="s">
        <v>60</v>
      </c>
      <c r="M360" s="98">
        <f ca="1">(TODAY()-H360)/365</f>
        <v>65.912328767123284</v>
      </c>
      <c r="N360" s="99">
        <f>(G360-H360)/365</f>
        <v>47.210958904109589</v>
      </c>
      <c r="O360" s="98">
        <f ca="1">(TODAY()-G360)/365</f>
        <v>18.701369863013699</v>
      </c>
      <c r="P360" s="91" t="s">
        <v>43</v>
      </c>
      <c r="Q360" s="91">
        <v>0</v>
      </c>
      <c r="R360" s="91">
        <v>0</v>
      </c>
      <c r="S360" s="91">
        <v>0</v>
      </c>
      <c r="T360" s="91"/>
      <c r="U360" s="91"/>
      <c r="V360" s="91"/>
      <c r="W360" s="91"/>
      <c r="X360" s="91"/>
      <c r="Y360" s="91"/>
      <c r="Z360" s="91"/>
      <c r="AA360" s="91"/>
      <c r="AB360" s="91"/>
      <c r="AC360" s="91"/>
      <c r="AD360" s="91"/>
      <c r="AE360" s="91"/>
      <c r="AF360" s="91"/>
      <c r="AG360" s="91"/>
      <c r="AH360" s="91"/>
      <c r="AI360" s="91"/>
      <c r="AJ360" s="91"/>
      <c r="AK360" s="91"/>
      <c r="AL360" s="91"/>
      <c r="AM360" s="91"/>
    </row>
    <row r="361" spans="1:39" ht="20.25" hidden="1" customHeight="1">
      <c r="A361" s="91"/>
      <c r="B361" s="93" t="s">
        <v>1245</v>
      </c>
      <c r="C361" s="91" t="s">
        <v>36</v>
      </c>
      <c r="D361" s="107" t="s">
        <v>1390</v>
      </c>
      <c r="E361" s="107" t="s">
        <v>1391</v>
      </c>
      <c r="F361" s="91" t="s">
        <v>1392</v>
      </c>
      <c r="G361" s="96">
        <v>38949</v>
      </c>
      <c r="H361" s="97">
        <v>21644</v>
      </c>
      <c r="I361" s="100" t="s">
        <v>1393</v>
      </c>
      <c r="J361" s="100" t="s">
        <v>1394</v>
      </c>
      <c r="K361" s="91">
        <v>979388879</v>
      </c>
      <c r="L361" s="91" t="s">
        <v>42</v>
      </c>
      <c r="M361" s="98">
        <f ca="1">(TODAY()-H361)/365</f>
        <v>66.734246575342468</v>
      </c>
      <c r="N361" s="99">
        <f>(G361-H361)/365</f>
        <v>47.410958904109592</v>
      </c>
      <c r="O361" s="98">
        <f ca="1">(TODAY()-G361)/365</f>
        <v>19.323287671232876</v>
      </c>
      <c r="P361" s="91" t="s">
        <v>43</v>
      </c>
      <c r="Q361" s="91">
        <v>1</v>
      </c>
      <c r="R361" s="91">
        <v>0</v>
      </c>
      <c r="S361" s="91">
        <v>1</v>
      </c>
      <c r="T361" s="91"/>
      <c r="U361" s="91"/>
      <c r="V361" s="91"/>
      <c r="W361" s="91"/>
      <c r="X361" s="91"/>
      <c r="Y361" s="91"/>
      <c r="Z361" s="91"/>
      <c r="AA361" s="91"/>
      <c r="AB361" s="91"/>
      <c r="AC361" s="91"/>
      <c r="AD361" s="91"/>
      <c r="AE361" s="91"/>
      <c r="AF361" s="91"/>
      <c r="AG361" s="91"/>
      <c r="AH361" s="91"/>
      <c r="AI361" s="91"/>
      <c r="AJ361" s="91"/>
      <c r="AK361" s="91"/>
      <c r="AL361" s="91"/>
      <c r="AM361" s="91"/>
    </row>
    <row r="362" spans="1:39" ht="20.25" hidden="1" customHeight="1">
      <c r="A362" s="91"/>
      <c r="B362" s="93" t="s">
        <v>1245</v>
      </c>
      <c r="C362" s="91" t="s">
        <v>36</v>
      </c>
      <c r="D362" s="107" t="s">
        <v>1395</v>
      </c>
      <c r="E362" s="107" t="s">
        <v>1396</v>
      </c>
      <c r="F362" s="91" t="s">
        <v>1397</v>
      </c>
      <c r="G362" s="96">
        <v>45366</v>
      </c>
      <c r="H362" s="97">
        <v>27739</v>
      </c>
      <c r="I362" s="100" t="s">
        <v>1398</v>
      </c>
      <c r="J362" s="100" t="s">
        <v>1399</v>
      </c>
      <c r="K362" s="91">
        <v>967131585</v>
      </c>
      <c r="L362" s="91" t="s">
        <v>60</v>
      </c>
      <c r="M362" s="98">
        <f ca="1">(TODAY()-H362)/365</f>
        <v>50.035616438356165</v>
      </c>
      <c r="N362" s="99">
        <f>(G362-H362)/365</f>
        <v>48.293150684931504</v>
      </c>
      <c r="O362" s="98">
        <f ca="1">(TODAY()-G362)/365</f>
        <v>1.7424657534246575</v>
      </c>
      <c r="P362" s="91" t="s">
        <v>272</v>
      </c>
      <c r="Q362" s="91">
        <v>0</v>
      </c>
      <c r="R362" s="91">
        <v>0</v>
      </c>
      <c r="S362" s="91">
        <v>0</v>
      </c>
      <c r="T362" s="91"/>
      <c r="U362" s="91"/>
      <c r="V362" s="91"/>
      <c r="W362" s="91"/>
      <c r="X362" s="91"/>
      <c r="Y362" s="91"/>
      <c r="Z362" s="91"/>
      <c r="AA362" s="91"/>
      <c r="AB362" s="91"/>
      <c r="AC362" s="91"/>
      <c r="AD362" s="91"/>
      <c r="AE362" s="91"/>
      <c r="AF362" s="91"/>
      <c r="AG362" s="91"/>
      <c r="AH362" s="91"/>
      <c r="AI362" s="91"/>
      <c r="AJ362" s="91"/>
      <c r="AK362" s="91"/>
      <c r="AL362" s="91"/>
      <c r="AM362" s="91"/>
    </row>
    <row r="363" spans="1:39" ht="20.25" customHeight="1">
      <c r="A363" s="91"/>
      <c r="B363" s="93" t="s">
        <v>738</v>
      </c>
      <c r="C363" s="91" t="s">
        <v>73</v>
      </c>
      <c r="D363" s="94" t="s">
        <v>728</v>
      </c>
      <c r="E363" s="94" t="s">
        <v>759</v>
      </c>
      <c r="F363" s="95" t="s">
        <v>760</v>
      </c>
      <c r="G363" s="96">
        <v>32752</v>
      </c>
      <c r="H363" s="97">
        <v>22911</v>
      </c>
      <c r="I363" s="94" t="s">
        <v>761</v>
      </c>
      <c r="J363" s="100" t="s">
        <v>58</v>
      </c>
      <c r="K363" s="91" t="s">
        <v>58</v>
      </c>
      <c r="L363" s="91" t="s">
        <v>60</v>
      </c>
      <c r="M363" s="98">
        <f ca="1">(TODAY()-H363)/365</f>
        <v>63.263013698630139</v>
      </c>
      <c r="N363" s="99">
        <f>(G363-H363)/365</f>
        <v>26.961643835616439</v>
      </c>
      <c r="O363" s="98">
        <f ca="1">(TODAY()-G363)/365</f>
        <v>36.301369863013697</v>
      </c>
      <c r="P363" s="91" t="s">
        <v>43</v>
      </c>
      <c r="Q363" s="91">
        <v>0</v>
      </c>
      <c r="R363" s="91">
        <v>0</v>
      </c>
      <c r="S363" s="91">
        <v>0</v>
      </c>
      <c r="T363" s="91"/>
      <c r="U363" s="91"/>
      <c r="V363" s="91"/>
      <c r="W363" s="91"/>
      <c r="X363" s="91"/>
      <c r="Y363" s="91"/>
      <c r="Z363" s="91"/>
      <c r="AA363" s="91"/>
      <c r="AB363" s="91"/>
      <c r="AC363" s="91"/>
      <c r="AD363" s="91"/>
      <c r="AE363" s="91"/>
      <c r="AF363" s="91"/>
      <c r="AG363" s="91"/>
      <c r="AH363" s="91"/>
      <c r="AI363" s="91"/>
      <c r="AJ363" s="91"/>
      <c r="AK363" s="91"/>
      <c r="AL363" s="91"/>
      <c r="AM363" s="91"/>
    </row>
    <row r="364" spans="1:39" ht="20.25" hidden="1" customHeight="1">
      <c r="A364" s="91"/>
      <c r="B364" s="93" t="s">
        <v>1245</v>
      </c>
      <c r="C364" s="91" t="s">
        <v>36</v>
      </c>
      <c r="D364" s="107" t="s">
        <v>1225</v>
      </c>
      <c r="E364" s="107" t="s">
        <v>1405</v>
      </c>
      <c r="F364" s="91" t="s">
        <v>1406</v>
      </c>
      <c r="G364" s="96">
        <v>41711</v>
      </c>
      <c r="H364" s="97">
        <v>23530</v>
      </c>
      <c r="I364" s="100" t="s">
        <v>1407</v>
      </c>
      <c r="J364" s="100" t="s">
        <v>1308</v>
      </c>
      <c r="K364" s="91">
        <v>968506692</v>
      </c>
      <c r="L364" s="91" t="s">
        <v>60</v>
      </c>
      <c r="M364" s="98">
        <f ca="1">(TODAY()-H364)/365</f>
        <v>61.56712328767123</v>
      </c>
      <c r="N364" s="99">
        <f>(G364-H364)/365</f>
        <v>49.81095890410959</v>
      </c>
      <c r="O364" s="98">
        <f ca="1">(TODAY()-G364)/365</f>
        <v>11.756164383561643</v>
      </c>
      <c r="P364" s="91" t="s">
        <v>43</v>
      </c>
      <c r="Q364" s="91">
        <v>0</v>
      </c>
      <c r="R364" s="91">
        <v>0</v>
      </c>
      <c r="S364" s="91">
        <v>0</v>
      </c>
      <c r="T364" s="91"/>
      <c r="U364" s="91"/>
      <c r="V364" s="91"/>
      <c r="W364" s="91"/>
      <c r="X364" s="91"/>
      <c r="Y364" s="91"/>
      <c r="Z364" s="91"/>
      <c r="AA364" s="91"/>
      <c r="AB364" s="91"/>
      <c r="AC364" s="91"/>
      <c r="AD364" s="91"/>
      <c r="AE364" s="91"/>
      <c r="AF364" s="91"/>
      <c r="AG364" s="91"/>
      <c r="AH364" s="91"/>
      <c r="AI364" s="91"/>
      <c r="AJ364" s="91"/>
      <c r="AK364" s="91"/>
      <c r="AL364" s="91"/>
      <c r="AM364" s="91"/>
    </row>
    <row r="365" spans="1:39" ht="20.25" hidden="1" customHeight="1">
      <c r="A365" s="91"/>
      <c r="B365" s="93" t="s">
        <v>1245</v>
      </c>
      <c r="C365" s="91" t="s">
        <v>36</v>
      </c>
      <c r="D365" s="107" t="s">
        <v>1408</v>
      </c>
      <c r="E365" s="107" t="s">
        <v>1409</v>
      </c>
      <c r="F365" s="91" t="s">
        <v>1410</v>
      </c>
      <c r="G365" s="96">
        <v>42716</v>
      </c>
      <c r="H365" s="97">
        <v>24438</v>
      </c>
      <c r="I365" s="100" t="s">
        <v>1411</v>
      </c>
      <c r="J365" s="100" t="s">
        <v>58</v>
      </c>
      <c r="K365" s="91">
        <v>997006669</v>
      </c>
      <c r="L365" s="91" t="s">
        <v>60</v>
      </c>
      <c r="M365" s="98">
        <f ca="1">(TODAY()-H365)/365</f>
        <v>59.079452054794523</v>
      </c>
      <c r="N365" s="99">
        <f>(G365-H365)/365</f>
        <v>50.076712328767123</v>
      </c>
      <c r="O365" s="98">
        <f ca="1">(TODAY()-G365)/365</f>
        <v>9.0027397260273965</v>
      </c>
      <c r="P365" s="91" t="s">
        <v>43</v>
      </c>
      <c r="Q365" s="91">
        <v>0</v>
      </c>
      <c r="R365" s="91">
        <v>0</v>
      </c>
      <c r="S365" s="91">
        <v>0</v>
      </c>
      <c r="T365" s="91"/>
      <c r="U365" s="91"/>
      <c r="V365" s="91"/>
      <c r="W365" s="91"/>
      <c r="X365" s="91"/>
      <c r="Y365" s="91"/>
      <c r="Z365" s="91"/>
      <c r="AA365" s="91"/>
      <c r="AB365" s="91"/>
      <c r="AC365" s="91"/>
      <c r="AD365" s="91"/>
      <c r="AE365" s="91"/>
      <c r="AF365" s="91"/>
      <c r="AG365" s="91"/>
      <c r="AH365" s="91"/>
      <c r="AI365" s="91"/>
      <c r="AJ365" s="91"/>
      <c r="AK365" s="91"/>
      <c r="AL365" s="91"/>
      <c r="AM365" s="91"/>
    </row>
    <row r="366" spans="1:39" ht="20.25" hidden="1" customHeight="1">
      <c r="A366" s="91"/>
      <c r="B366" s="93" t="s">
        <v>1245</v>
      </c>
      <c r="C366" s="91" t="s">
        <v>36</v>
      </c>
      <c r="D366" s="107" t="s">
        <v>1412</v>
      </c>
      <c r="E366" s="107" t="s">
        <v>1413</v>
      </c>
      <c r="F366" s="91" t="s">
        <v>1414</v>
      </c>
      <c r="G366" s="96">
        <v>43451</v>
      </c>
      <c r="H366" s="97">
        <v>25109</v>
      </c>
      <c r="I366" s="100" t="s">
        <v>1415</v>
      </c>
      <c r="J366" s="100" t="s">
        <v>1416</v>
      </c>
      <c r="K366" s="91">
        <v>998645099</v>
      </c>
      <c r="L366" s="91" t="s">
        <v>60</v>
      </c>
      <c r="M366" s="98">
        <f ca="1">(TODAY()-H366)/365</f>
        <v>57.241095890410961</v>
      </c>
      <c r="N366" s="99">
        <f>(G366-H366)/365</f>
        <v>50.252054794520546</v>
      </c>
      <c r="O366" s="98">
        <f ca="1">(TODAY()-G366)/365</f>
        <v>6.9890410958904106</v>
      </c>
      <c r="P366" s="91" t="s">
        <v>272</v>
      </c>
      <c r="Q366" s="91">
        <v>0</v>
      </c>
      <c r="R366" s="91">
        <v>0</v>
      </c>
      <c r="S366" s="91">
        <v>0</v>
      </c>
      <c r="T366" s="91"/>
      <c r="U366" s="91"/>
      <c r="V366" s="91"/>
      <c r="W366" s="91"/>
      <c r="X366" s="91"/>
      <c r="Y366" s="91"/>
      <c r="Z366" s="91"/>
      <c r="AA366" s="91"/>
      <c r="AB366" s="91"/>
      <c r="AC366" s="91"/>
      <c r="AD366" s="91"/>
      <c r="AE366" s="91"/>
      <c r="AF366" s="91"/>
      <c r="AG366" s="91"/>
      <c r="AH366" s="91"/>
      <c r="AI366" s="91"/>
      <c r="AJ366" s="91"/>
      <c r="AK366" s="91"/>
      <c r="AL366" s="91"/>
      <c r="AM366" s="91"/>
    </row>
    <row r="367" spans="1:39" ht="20.25" hidden="1" customHeight="1">
      <c r="A367" s="91"/>
      <c r="B367" s="93" t="s">
        <v>1245</v>
      </c>
      <c r="C367" s="91" t="s">
        <v>36</v>
      </c>
      <c r="D367" s="107" t="s">
        <v>331</v>
      </c>
      <c r="E367" s="107" t="s">
        <v>1417</v>
      </c>
      <c r="F367" s="91" t="s">
        <v>12289</v>
      </c>
      <c r="G367" s="96">
        <v>38784</v>
      </c>
      <c r="H367" s="97">
        <v>19914</v>
      </c>
      <c r="I367" s="100" t="s">
        <v>1418</v>
      </c>
      <c r="J367" s="100" t="s">
        <v>1419</v>
      </c>
      <c r="K367" s="91">
        <v>958093379</v>
      </c>
      <c r="L367" s="91" t="s">
        <v>60</v>
      </c>
      <c r="M367" s="98">
        <f ca="1">(TODAY()-H367)/365</f>
        <v>71.473972602739721</v>
      </c>
      <c r="N367" s="99">
        <f>(G367-H367)/365</f>
        <v>51.698630136986303</v>
      </c>
      <c r="O367" s="98">
        <f ca="1">(TODAY()-G367)/365</f>
        <v>19.775342465753425</v>
      </c>
      <c r="P367" s="91" t="s">
        <v>43</v>
      </c>
      <c r="Q367" s="91">
        <v>0</v>
      </c>
      <c r="R367" s="91">
        <v>0</v>
      </c>
      <c r="S367" s="91">
        <v>0</v>
      </c>
      <c r="T367" s="91"/>
      <c r="U367" s="91"/>
      <c r="V367" s="91"/>
      <c r="W367" s="91"/>
      <c r="X367" s="91"/>
      <c r="Y367" s="91"/>
      <c r="Z367" s="91"/>
      <c r="AA367" s="91"/>
      <c r="AB367" s="91"/>
      <c r="AC367" s="91"/>
      <c r="AD367" s="91"/>
      <c r="AE367" s="91"/>
      <c r="AF367" s="91"/>
      <c r="AG367" s="91"/>
      <c r="AH367" s="91"/>
      <c r="AI367" s="91"/>
      <c r="AJ367" s="91"/>
      <c r="AK367" s="91"/>
      <c r="AL367" s="91"/>
      <c r="AM367" s="91"/>
    </row>
    <row r="368" spans="1:39" ht="20.25" hidden="1" customHeight="1">
      <c r="A368" s="91"/>
      <c r="B368" s="93" t="s">
        <v>1245</v>
      </c>
      <c r="C368" s="91" t="s">
        <v>36</v>
      </c>
      <c r="D368" s="107" t="s">
        <v>662</v>
      </c>
      <c r="E368" s="107" t="s">
        <v>1420</v>
      </c>
      <c r="F368" s="91" t="s">
        <v>1421</v>
      </c>
      <c r="G368" s="96">
        <v>44635</v>
      </c>
      <c r="H368" s="97">
        <v>25735</v>
      </c>
      <c r="I368" s="100" t="s">
        <v>1422</v>
      </c>
      <c r="J368" s="100" t="s">
        <v>1423</v>
      </c>
      <c r="K368" s="91">
        <v>988964966</v>
      </c>
      <c r="L368" s="91" t="s">
        <v>60</v>
      </c>
      <c r="M368" s="98">
        <f ca="1">(TODAY()-H368)/365</f>
        <v>55.526027397260272</v>
      </c>
      <c r="N368" s="99">
        <f>(G368-H368)/365</f>
        <v>51.780821917808218</v>
      </c>
      <c r="O368" s="98">
        <f ca="1">(TODAY()-G368)/365</f>
        <v>3.7452054794520548</v>
      </c>
      <c r="P368" s="91" t="s">
        <v>43</v>
      </c>
      <c r="Q368" s="91">
        <v>0</v>
      </c>
      <c r="R368" s="91">
        <v>0</v>
      </c>
      <c r="S368" s="91">
        <v>0</v>
      </c>
      <c r="T368" s="91"/>
      <c r="U368" s="91"/>
      <c r="V368" s="91"/>
      <c r="W368" s="91"/>
      <c r="X368" s="91"/>
      <c r="Y368" s="91"/>
      <c r="Z368" s="91"/>
      <c r="AA368" s="91"/>
      <c r="AB368" s="91"/>
      <c r="AC368" s="91"/>
      <c r="AD368" s="91"/>
      <c r="AE368" s="91"/>
      <c r="AF368" s="91"/>
      <c r="AG368" s="91"/>
      <c r="AH368" s="91"/>
      <c r="AI368" s="91"/>
      <c r="AJ368" s="91"/>
      <c r="AK368" s="91"/>
      <c r="AL368" s="91"/>
      <c r="AM368" s="91"/>
    </row>
    <row r="369" spans="1:39" ht="20.25" hidden="1" customHeight="1">
      <c r="A369" s="91"/>
      <c r="B369" s="93" t="s">
        <v>1245</v>
      </c>
      <c r="C369" s="91" t="s">
        <v>36</v>
      </c>
      <c r="D369" s="107" t="s">
        <v>1424</v>
      </c>
      <c r="E369" s="107" t="s">
        <v>1425</v>
      </c>
      <c r="F369" s="91" t="s">
        <v>1426</v>
      </c>
      <c r="G369" s="96">
        <v>42078</v>
      </c>
      <c r="H369" s="97">
        <v>23133</v>
      </c>
      <c r="I369" s="100" t="s">
        <v>1427</v>
      </c>
      <c r="J369" s="100" t="s">
        <v>1428</v>
      </c>
      <c r="K369" s="91">
        <v>987249362</v>
      </c>
      <c r="L369" s="91" t="s">
        <v>60</v>
      </c>
      <c r="M369" s="98">
        <f ca="1">(TODAY()-H369)/365</f>
        <v>62.654794520547945</v>
      </c>
      <c r="N369" s="99">
        <f>(G369-H369)/365</f>
        <v>51.904109589041099</v>
      </c>
      <c r="O369" s="98">
        <f ca="1">(TODAY()-G369)/365</f>
        <v>10.75068493150685</v>
      </c>
      <c r="P369" s="91" t="s">
        <v>43</v>
      </c>
      <c r="Q369" s="91">
        <v>0</v>
      </c>
      <c r="R369" s="91">
        <v>0</v>
      </c>
      <c r="S369" s="91">
        <v>0</v>
      </c>
      <c r="T369" s="91"/>
      <c r="U369" s="91"/>
      <c r="V369" s="91"/>
      <c r="W369" s="91"/>
      <c r="X369" s="91"/>
      <c r="Y369" s="91"/>
      <c r="Z369" s="91"/>
      <c r="AA369" s="91"/>
      <c r="AB369" s="91"/>
      <c r="AC369" s="91"/>
      <c r="AD369" s="91"/>
      <c r="AE369" s="91"/>
      <c r="AF369" s="91"/>
      <c r="AG369" s="91"/>
      <c r="AH369" s="91"/>
      <c r="AI369" s="91"/>
      <c r="AJ369" s="91"/>
      <c r="AK369" s="91"/>
      <c r="AL369" s="91"/>
      <c r="AM369" s="91"/>
    </row>
    <row r="370" spans="1:39" ht="20.25" customHeight="1">
      <c r="A370" s="91"/>
      <c r="B370" s="93" t="s">
        <v>8524</v>
      </c>
      <c r="C370" s="91" t="s">
        <v>73</v>
      </c>
      <c r="D370" s="94" t="s">
        <v>8588</v>
      </c>
      <c r="E370" s="94" t="s">
        <v>8589</v>
      </c>
      <c r="F370" s="95" t="s">
        <v>7273</v>
      </c>
      <c r="G370" s="96">
        <v>42093</v>
      </c>
      <c r="H370" s="96">
        <v>36844</v>
      </c>
      <c r="I370" s="94" t="s">
        <v>8590</v>
      </c>
      <c r="J370" s="100" t="s">
        <v>58</v>
      </c>
      <c r="K370" s="91" t="s">
        <v>58</v>
      </c>
      <c r="L370" s="91" t="s">
        <v>60</v>
      </c>
      <c r="M370" s="98">
        <f ca="1">(TODAY()-H370)/365</f>
        <v>25.090410958904108</v>
      </c>
      <c r="N370" s="99">
        <f>(G370-H370)/365</f>
        <v>14.38082191780822</v>
      </c>
      <c r="O370" s="98">
        <f ca="1">(TODAY()-G370)/365</f>
        <v>10.70958904109589</v>
      </c>
      <c r="P370" s="91" t="s">
        <v>272</v>
      </c>
      <c r="Q370" s="91">
        <v>0</v>
      </c>
      <c r="R370" s="91">
        <v>0</v>
      </c>
      <c r="S370" s="91">
        <v>0</v>
      </c>
      <c r="T370" s="91"/>
      <c r="U370" s="91"/>
      <c r="V370" s="91"/>
      <c r="W370" s="91"/>
      <c r="X370" s="91"/>
      <c r="Y370" s="91"/>
      <c r="Z370" s="91"/>
      <c r="AA370" s="91"/>
      <c r="AB370" s="91"/>
      <c r="AC370" s="91"/>
      <c r="AD370" s="91"/>
      <c r="AE370" s="91"/>
      <c r="AF370" s="91"/>
      <c r="AG370" s="91"/>
      <c r="AH370" s="91"/>
      <c r="AI370" s="91"/>
      <c r="AJ370" s="91"/>
      <c r="AK370" s="91"/>
      <c r="AL370" s="91"/>
      <c r="AM370" s="91"/>
    </row>
    <row r="371" spans="1:39" ht="20.25" hidden="1" customHeight="1">
      <c r="A371" s="91"/>
      <c r="B371" s="93" t="s">
        <v>1245</v>
      </c>
      <c r="C371" s="91" t="s">
        <v>36</v>
      </c>
      <c r="D371" s="107" t="s">
        <v>1433</v>
      </c>
      <c r="E371" s="107" t="s">
        <v>1434</v>
      </c>
      <c r="F371" s="91" t="s">
        <v>1426</v>
      </c>
      <c r="G371" s="96">
        <v>40704</v>
      </c>
      <c r="H371" s="97">
        <v>20756</v>
      </c>
      <c r="I371" s="100" t="s">
        <v>1435</v>
      </c>
      <c r="J371" s="100" t="s">
        <v>1436</v>
      </c>
      <c r="K371" s="91">
        <v>942770226</v>
      </c>
      <c r="L371" s="91" t="s">
        <v>167</v>
      </c>
      <c r="M371" s="98">
        <f ca="1">(TODAY()-H371)/365</f>
        <v>69.167123287671231</v>
      </c>
      <c r="N371" s="99">
        <f>(G371-H371)/365</f>
        <v>54.652054794520545</v>
      </c>
      <c r="O371" s="98">
        <f ca="1">(TODAY()-G371)/365</f>
        <v>14.515068493150684</v>
      </c>
      <c r="P371" s="91" t="s">
        <v>43</v>
      </c>
      <c r="Q371" s="91">
        <v>0</v>
      </c>
      <c r="R371" s="91">
        <v>0</v>
      </c>
      <c r="S371" s="91">
        <v>0</v>
      </c>
      <c r="T371" s="91"/>
      <c r="U371" s="91"/>
      <c r="V371" s="91"/>
      <c r="W371" s="91"/>
      <c r="X371" s="91"/>
      <c r="Y371" s="91"/>
      <c r="Z371" s="91"/>
      <c r="AA371" s="91"/>
      <c r="AB371" s="91"/>
      <c r="AC371" s="91"/>
      <c r="AD371" s="91"/>
      <c r="AE371" s="91"/>
      <c r="AF371" s="91"/>
      <c r="AG371" s="91"/>
      <c r="AH371" s="91"/>
      <c r="AI371" s="91"/>
      <c r="AJ371" s="91"/>
      <c r="AK371" s="91"/>
      <c r="AL371" s="91"/>
      <c r="AM371" s="91"/>
    </row>
    <row r="372" spans="1:39" ht="20.25" hidden="1" customHeight="1">
      <c r="A372" s="91"/>
      <c r="B372" s="93" t="s">
        <v>1245</v>
      </c>
      <c r="C372" s="91" t="s">
        <v>36</v>
      </c>
      <c r="D372" s="107" t="s">
        <v>1437</v>
      </c>
      <c r="E372" s="107" t="s">
        <v>1438</v>
      </c>
      <c r="F372" s="91" t="s">
        <v>1439</v>
      </c>
      <c r="G372" s="96">
        <v>41711</v>
      </c>
      <c r="H372" s="97">
        <v>21713</v>
      </c>
      <c r="I372" s="100" t="s">
        <v>1440</v>
      </c>
      <c r="J372" s="100" t="s">
        <v>1320</v>
      </c>
      <c r="K372" s="91">
        <v>984356936</v>
      </c>
      <c r="L372" s="91" t="s">
        <v>60</v>
      </c>
      <c r="M372" s="98">
        <f ca="1">(TODAY()-H372)/365</f>
        <v>66.545205479452051</v>
      </c>
      <c r="N372" s="99">
        <f>(G372-H372)/365</f>
        <v>54.789041095890411</v>
      </c>
      <c r="O372" s="98">
        <f ca="1">(TODAY()-G372)/365</f>
        <v>11.756164383561643</v>
      </c>
      <c r="P372" s="91" t="s">
        <v>43</v>
      </c>
      <c r="Q372" s="91">
        <v>0</v>
      </c>
      <c r="R372" s="91">
        <v>0</v>
      </c>
      <c r="S372" s="91">
        <v>0</v>
      </c>
      <c r="T372" s="91"/>
      <c r="U372" s="91"/>
      <c r="V372" s="91"/>
      <c r="W372" s="91"/>
      <c r="X372" s="91"/>
      <c r="Y372" s="91"/>
      <c r="Z372" s="91"/>
      <c r="AA372" s="91"/>
      <c r="AB372" s="91"/>
      <c r="AC372" s="91"/>
      <c r="AD372" s="91"/>
      <c r="AE372" s="91"/>
      <c r="AF372" s="91"/>
      <c r="AG372" s="91"/>
      <c r="AH372" s="91"/>
      <c r="AI372" s="91"/>
      <c r="AJ372" s="91"/>
      <c r="AK372" s="91"/>
      <c r="AL372" s="91"/>
      <c r="AM372" s="91"/>
    </row>
    <row r="373" spans="1:39" ht="20.25" hidden="1" customHeight="1">
      <c r="A373" s="91"/>
      <c r="B373" s="93" t="s">
        <v>1245</v>
      </c>
      <c r="C373" s="91" t="s">
        <v>36</v>
      </c>
      <c r="D373" s="107" t="s">
        <v>180</v>
      </c>
      <c r="E373" s="107" t="s">
        <v>1441</v>
      </c>
      <c r="F373" s="91" t="s">
        <v>1442</v>
      </c>
      <c r="G373" s="96">
        <v>40695</v>
      </c>
      <c r="H373" s="97">
        <v>19978</v>
      </c>
      <c r="I373" s="100" t="s">
        <v>1443</v>
      </c>
      <c r="J373" s="100" t="s">
        <v>1444</v>
      </c>
      <c r="K373" s="91">
        <v>9951500868</v>
      </c>
      <c r="L373" s="91" t="s">
        <v>72</v>
      </c>
      <c r="M373" s="98">
        <f ca="1">(TODAY()-H373)/365</f>
        <v>71.298630136986304</v>
      </c>
      <c r="N373" s="99">
        <f>(G373-H373)/365</f>
        <v>56.758904109589039</v>
      </c>
      <c r="O373" s="98">
        <f ca="1">(TODAY()-G373)/365</f>
        <v>14.53972602739726</v>
      </c>
      <c r="P373" s="91" t="s">
        <v>43</v>
      </c>
      <c r="Q373" s="91">
        <v>0</v>
      </c>
      <c r="R373" s="91">
        <v>0</v>
      </c>
      <c r="S373" s="91">
        <v>0</v>
      </c>
      <c r="T373" s="91"/>
      <c r="U373" s="91"/>
      <c r="V373" s="91"/>
      <c r="W373" s="91"/>
      <c r="X373" s="91"/>
      <c r="Y373" s="91"/>
      <c r="Z373" s="91"/>
      <c r="AA373" s="91"/>
      <c r="AB373" s="91"/>
      <c r="AC373" s="91"/>
      <c r="AD373" s="91"/>
      <c r="AE373" s="91"/>
      <c r="AF373" s="91"/>
      <c r="AG373" s="91"/>
      <c r="AH373" s="91"/>
      <c r="AI373" s="91"/>
      <c r="AJ373" s="91"/>
      <c r="AK373" s="91"/>
      <c r="AL373" s="91"/>
      <c r="AM373" s="91"/>
    </row>
    <row r="374" spans="1:39" ht="20.25" hidden="1" customHeight="1">
      <c r="A374" s="91"/>
      <c r="B374" s="93" t="s">
        <v>1245</v>
      </c>
      <c r="C374" s="91" t="s">
        <v>36</v>
      </c>
      <c r="D374" s="107" t="s">
        <v>1445</v>
      </c>
      <c r="E374" s="107" t="s">
        <v>1446</v>
      </c>
      <c r="F374" s="91" t="s">
        <v>1447</v>
      </c>
      <c r="G374" s="96">
        <v>43854</v>
      </c>
      <c r="H374" s="97">
        <v>23104</v>
      </c>
      <c r="I374" s="100" t="s">
        <v>1448</v>
      </c>
      <c r="J374" s="100" t="s">
        <v>1449</v>
      </c>
      <c r="K374" s="91">
        <v>995100241</v>
      </c>
      <c r="L374" s="91" t="s">
        <v>60</v>
      </c>
      <c r="M374" s="98">
        <f ca="1">(TODAY()-H374)/365</f>
        <v>62.734246575342468</v>
      </c>
      <c r="N374" s="99">
        <f>(G374-H374)/365</f>
        <v>56.849315068493148</v>
      </c>
      <c r="O374" s="98">
        <f ca="1">(TODAY()-G374)/365</f>
        <v>5.8849315068493153</v>
      </c>
      <c r="P374" s="91" t="s">
        <v>272</v>
      </c>
      <c r="Q374" s="91">
        <v>0</v>
      </c>
      <c r="R374" s="91">
        <v>0</v>
      </c>
      <c r="S374" s="91">
        <v>0</v>
      </c>
      <c r="T374" s="91"/>
      <c r="U374" s="91"/>
      <c r="V374" s="91"/>
      <c r="W374" s="91"/>
      <c r="X374" s="91"/>
      <c r="Y374" s="91"/>
      <c r="Z374" s="91"/>
      <c r="AA374" s="91"/>
      <c r="AB374" s="91"/>
      <c r="AC374" s="91"/>
      <c r="AD374" s="91"/>
      <c r="AE374" s="91"/>
      <c r="AF374" s="91"/>
      <c r="AG374" s="91"/>
      <c r="AH374" s="91"/>
      <c r="AI374" s="91"/>
      <c r="AJ374" s="91"/>
      <c r="AK374" s="91"/>
      <c r="AL374" s="91"/>
      <c r="AM374" s="91"/>
    </row>
    <row r="375" spans="1:39" ht="20.25" customHeight="1">
      <c r="A375" s="91"/>
      <c r="B375" s="93" t="s">
        <v>5484</v>
      </c>
      <c r="C375" s="91" t="s">
        <v>73</v>
      </c>
      <c r="D375" s="107" t="s">
        <v>675</v>
      </c>
      <c r="E375" s="107" t="s">
        <v>5489</v>
      </c>
      <c r="F375" s="91" t="s">
        <v>5490</v>
      </c>
      <c r="G375" s="96">
        <v>44197</v>
      </c>
      <c r="H375" s="97">
        <v>27219</v>
      </c>
      <c r="I375" s="100" t="s">
        <v>5491</v>
      </c>
      <c r="J375" s="100" t="s">
        <v>58</v>
      </c>
      <c r="K375" s="91" t="s">
        <v>58</v>
      </c>
      <c r="L375" s="91" t="s">
        <v>60</v>
      </c>
      <c r="M375" s="98">
        <f ca="1">(TODAY()-H375)/365</f>
        <v>51.460273972602742</v>
      </c>
      <c r="N375" s="99">
        <f>(G375-H375)/365</f>
        <v>46.515068493150686</v>
      </c>
      <c r="O375" s="98">
        <f ca="1">(TODAY()-G375)/365</f>
        <v>4.9452054794520546</v>
      </c>
      <c r="P375" s="91" t="s">
        <v>43</v>
      </c>
      <c r="Q375" s="91">
        <v>0</v>
      </c>
      <c r="R375" s="91">
        <v>0</v>
      </c>
      <c r="S375" s="91">
        <v>0</v>
      </c>
      <c r="T375" s="91"/>
      <c r="U375" s="91"/>
      <c r="V375" s="91"/>
      <c r="W375" s="91"/>
      <c r="X375" s="91"/>
      <c r="Y375" s="91"/>
      <c r="Z375" s="91"/>
      <c r="AA375" s="91"/>
      <c r="AB375" s="91"/>
      <c r="AC375" s="91"/>
      <c r="AD375" s="91"/>
      <c r="AE375" s="91"/>
      <c r="AF375" s="91"/>
      <c r="AG375" s="91"/>
      <c r="AH375" s="91"/>
      <c r="AI375" s="91"/>
      <c r="AJ375" s="91"/>
      <c r="AK375" s="91"/>
      <c r="AL375" s="91"/>
      <c r="AM375" s="91"/>
    </row>
    <row r="376" spans="1:39" ht="20.25" hidden="1" customHeight="1">
      <c r="A376" s="91"/>
      <c r="B376" s="93" t="s">
        <v>1245</v>
      </c>
      <c r="C376" s="91" t="s">
        <v>36</v>
      </c>
      <c r="D376" s="107" t="s">
        <v>1455</v>
      </c>
      <c r="E376" s="107" t="s">
        <v>1456</v>
      </c>
      <c r="F376" s="91" t="s">
        <v>1457</v>
      </c>
      <c r="G376" s="96">
        <v>40787</v>
      </c>
      <c r="H376" s="97">
        <v>19603</v>
      </c>
      <c r="I376" s="100" t="s">
        <v>1458</v>
      </c>
      <c r="J376" s="100" t="s">
        <v>1459</v>
      </c>
      <c r="K376" s="91">
        <v>990710293</v>
      </c>
      <c r="L376" s="91" t="s">
        <v>60</v>
      </c>
      <c r="M376" s="98">
        <f ca="1">(TODAY()-H376)/365</f>
        <v>72.326027397260276</v>
      </c>
      <c r="N376" s="99">
        <f>(G376-H376)/365</f>
        <v>58.038356164383565</v>
      </c>
      <c r="O376" s="98">
        <f ca="1">(TODAY()-G376)/365</f>
        <v>14.287671232876713</v>
      </c>
      <c r="P376" s="91" t="s">
        <v>43</v>
      </c>
      <c r="Q376" s="91">
        <v>0</v>
      </c>
      <c r="R376" s="91">
        <v>0</v>
      </c>
      <c r="S376" s="91">
        <v>0</v>
      </c>
      <c r="T376" s="91"/>
      <c r="U376" s="91"/>
      <c r="V376" s="91"/>
      <c r="W376" s="91"/>
      <c r="X376" s="91"/>
      <c r="Y376" s="91"/>
      <c r="Z376" s="91"/>
      <c r="AA376" s="91"/>
      <c r="AB376" s="91"/>
      <c r="AC376" s="91"/>
      <c r="AD376" s="91"/>
      <c r="AE376" s="91"/>
      <c r="AF376" s="91"/>
      <c r="AG376" s="91"/>
      <c r="AH376" s="91"/>
      <c r="AI376" s="91"/>
      <c r="AJ376" s="91"/>
      <c r="AK376" s="91"/>
      <c r="AL376" s="91"/>
      <c r="AM376" s="91"/>
    </row>
    <row r="377" spans="1:39" ht="20.25" hidden="1" customHeight="1">
      <c r="A377" s="91"/>
      <c r="B377" s="93" t="s">
        <v>1245</v>
      </c>
      <c r="C377" s="91" t="s">
        <v>36</v>
      </c>
      <c r="D377" s="107" t="s">
        <v>310</v>
      </c>
      <c r="E377" s="107" t="s">
        <v>1460</v>
      </c>
      <c r="F377" s="91" t="s">
        <v>1461</v>
      </c>
      <c r="G377" s="96">
        <v>43265</v>
      </c>
      <c r="H377" s="97">
        <v>21978</v>
      </c>
      <c r="I377" s="100" t="s">
        <v>58</v>
      </c>
      <c r="J377" s="100" t="s">
        <v>1462</v>
      </c>
      <c r="K377" s="91">
        <v>976117282</v>
      </c>
      <c r="L377" s="91" t="s">
        <v>60</v>
      </c>
      <c r="M377" s="98">
        <f ca="1">(TODAY()-H377)/365</f>
        <v>65.819178082191783</v>
      </c>
      <c r="N377" s="99">
        <f>(G377-H377)/365</f>
        <v>58.320547945205476</v>
      </c>
      <c r="O377" s="98">
        <f ca="1">(TODAY()-G377)/365</f>
        <v>7.4986301369863018</v>
      </c>
      <c r="P377" s="91" t="s">
        <v>43</v>
      </c>
      <c r="Q377" s="91">
        <v>0</v>
      </c>
      <c r="R377" s="91">
        <v>0</v>
      </c>
      <c r="S377" s="91">
        <v>0</v>
      </c>
      <c r="T377" s="91"/>
      <c r="U377" s="91"/>
      <c r="V377" s="91"/>
      <c r="W377" s="91"/>
      <c r="X377" s="91"/>
      <c r="Y377" s="91"/>
      <c r="Z377" s="91"/>
      <c r="AA377" s="91"/>
      <c r="AB377" s="91"/>
      <c r="AC377" s="91"/>
      <c r="AD377" s="91"/>
      <c r="AE377" s="91"/>
      <c r="AF377" s="91"/>
      <c r="AG377" s="91"/>
      <c r="AH377" s="91"/>
      <c r="AI377" s="91"/>
      <c r="AJ377" s="91"/>
      <c r="AK377" s="91"/>
      <c r="AL377" s="91"/>
      <c r="AM377" s="91"/>
    </row>
    <row r="378" spans="1:39" ht="20.25" hidden="1" customHeight="1">
      <c r="A378" s="91"/>
      <c r="B378" s="93" t="s">
        <v>1245</v>
      </c>
      <c r="C378" s="91" t="s">
        <v>36</v>
      </c>
      <c r="D378" s="107" t="s">
        <v>1463</v>
      </c>
      <c r="E378" s="107" t="s">
        <v>1464</v>
      </c>
      <c r="F378" s="91" t="s">
        <v>1465</v>
      </c>
      <c r="G378" s="96">
        <v>41711</v>
      </c>
      <c r="H378" s="97">
        <v>18600</v>
      </c>
      <c r="I378" s="100" t="s">
        <v>1466</v>
      </c>
      <c r="J378" s="100" t="s">
        <v>1467</v>
      </c>
      <c r="K378" s="91">
        <v>962418139</v>
      </c>
      <c r="L378" s="91" t="s">
        <v>60</v>
      </c>
      <c r="M378" s="98">
        <f ca="1">(TODAY()-H378)/365</f>
        <v>75.07397260273973</v>
      </c>
      <c r="N378" s="99">
        <f>(G378-H378)/365</f>
        <v>63.317808219178083</v>
      </c>
      <c r="O378" s="98">
        <f ca="1">(TODAY()-G378)/365</f>
        <v>11.756164383561643</v>
      </c>
      <c r="P378" s="91" t="s">
        <v>43</v>
      </c>
      <c r="Q378" s="91">
        <v>0</v>
      </c>
      <c r="R378" s="91">
        <v>0</v>
      </c>
      <c r="S378" s="91">
        <v>0</v>
      </c>
      <c r="T378" s="91"/>
      <c r="U378" s="91"/>
      <c r="V378" s="91"/>
      <c r="W378" s="91"/>
      <c r="X378" s="91"/>
      <c r="Y378" s="91"/>
      <c r="Z378" s="91"/>
      <c r="AA378" s="91"/>
      <c r="AB378" s="91"/>
      <c r="AC378" s="91"/>
      <c r="AD378" s="91"/>
      <c r="AE378" s="91"/>
      <c r="AF378" s="91"/>
      <c r="AG378" s="91"/>
      <c r="AH378" s="91"/>
      <c r="AI378" s="91"/>
      <c r="AJ378" s="91"/>
      <c r="AK378" s="91"/>
      <c r="AL378" s="91"/>
      <c r="AM378" s="91"/>
    </row>
    <row r="379" spans="1:39" ht="20.25" hidden="1" customHeight="1">
      <c r="A379" s="91"/>
      <c r="B379" s="93" t="s">
        <v>1245</v>
      </c>
      <c r="C379" s="91" t="s">
        <v>36</v>
      </c>
      <c r="D379" s="107" t="s">
        <v>1468</v>
      </c>
      <c r="E379" s="107" t="s">
        <v>1469</v>
      </c>
      <c r="F379" s="91" t="s">
        <v>1470</v>
      </c>
      <c r="G379" s="96">
        <v>43388</v>
      </c>
      <c r="H379" s="97">
        <v>19159</v>
      </c>
      <c r="I379" s="100" t="s">
        <v>1471</v>
      </c>
      <c r="J379" s="100" t="s">
        <v>1472</v>
      </c>
      <c r="K379" s="91">
        <v>931064772</v>
      </c>
      <c r="L379" s="91" t="s">
        <v>60</v>
      </c>
      <c r="M379" s="98">
        <f ca="1">(TODAY()-H379)/365</f>
        <v>73.542465753424651</v>
      </c>
      <c r="N379" s="99">
        <f>(G379-H379)/365</f>
        <v>66.38082191780822</v>
      </c>
      <c r="O379" s="98">
        <f ca="1">(TODAY()-G379)/365</f>
        <v>7.161643835616438</v>
      </c>
      <c r="P379" s="91" t="s">
        <v>43</v>
      </c>
      <c r="Q379" s="91">
        <v>0</v>
      </c>
      <c r="R379" s="91">
        <v>0</v>
      </c>
      <c r="S379" s="91">
        <v>0</v>
      </c>
      <c r="T379" s="91"/>
      <c r="U379" s="91"/>
      <c r="V379" s="91"/>
      <c r="W379" s="91"/>
      <c r="X379" s="91"/>
      <c r="Y379" s="91"/>
      <c r="Z379" s="91"/>
      <c r="AA379" s="91"/>
      <c r="AB379" s="91"/>
      <c r="AC379" s="91"/>
      <c r="AD379" s="91"/>
      <c r="AE379" s="91"/>
      <c r="AF379" s="91"/>
      <c r="AG379" s="91"/>
      <c r="AH379" s="91"/>
      <c r="AI379" s="91"/>
      <c r="AJ379" s="91"/>
      <c r="AK379" s="91"/>
      <c r="AL379" s="91"/>
      <c r="AM379" s="91"/>
    </row>
    <row r="380" spans="1:39" ht="20.25" hidden="1" customHeight="1">
      <c r="A380" s="91"/>
      <c r="B380" s="93" t="s">
        <v>1245</v>
      </c>
      <c r="C380" s="91" t="s">
        <v>36</v>
      </c>
      <c r="D380" s="107" t="s">
        <v>1473</v>
      </c>
      <c r="E380" s="107" t="s">
        <v>1474</v>
      </c>
      <c r="F380" s="91" t="s">
        <v>1475</v>
      </c>
      <c r="G380" s="96">
        <v>41348</v>
      </c>
      <c r="H380" s="97">
        <v>15571</v>
      </c>
      <c r="I380" s="100" t="s">
        <v>58</v>
      </c>
      <c r="J380" s="100" t="s">
        <v>1476</v>
      </c>
      <c r="K380" s="91">
        <v>975159208</v>
      </c>
      <c r="L380" s="91" t="s">
        <v>216</v>
      </c>
      <c r="M380" s="98">
        <f ca="1">(TODAY()-H380)/365</f>
        <v>83.372602739726034</v>
      </c>
      <c r="N380" s="99">
        <f>(G380-H380)/365</f>
        <v>70.62191780821918</v>
      </c>
      <c r="O380" s="98">
        <f ca="1">(TODAY()-G380)/365</f>
        <v>12.75068493150685</v>
      </c>
      <c r="P380" s="91" t="s">
        <v>43</v>
      </c>
      <c r="Q380" s="91">
        <v>0</v>
      </c>
      <c r="R380" s="91">
        <v>0</v>
      </c>
      <c r="S380" s="91">
        <v>0</v>
      </c>
      <c r="T380" s="91"/>
      <c r="U380" s="91"/>
      <c r="V380" s="91"/>
      <c r="W380" s="91"/>
      <c r="X380" s="91"/>
      <c r="Y380" s="91"/>
      <c r="Z380" s="91"/>
      <c r="AA380" s="91"/>
      <c r="AB380" s="91"/>
      <c r="AC380" s="91"/>
      <c r="AD380" s="91"/>
      <c r="AE380" s="91"/>
      <c r="AF380" s="91"/>
      <c r="AG380" s="91"/>
      <c r="AH380" s="91"/>
      <c r="AI380" s="91"/>
      <c r="AJ380" s="91"/>
      <c r="AK380" s="91"/>
      <c r="AL380" s="91"/>
      <c r="AM380" s="91"/>
    </row>
    <row r="381" spans="1:39" ht="20.25" hidden="1" customHeight="1">
      <c r="A381" s="91"/>
      <c r="B381" s="93" t="s">
        <v>1477</v>
      </c>
      <c r="C381" s="91" t="s">
        <v>36</v>
      </c>
      <c r="D381" s="94" t="s">
        <v>1478</v>
      </c>
      <c r="E381" s="94" t="s">
        <v>1479</v>
      </c>
      <c r="F381" s="95" t="s">
        <v>1480</v>
      </c>
      <c r="G381" s="96">
        <v>40298</v>
      </c>
      <c r="H381" s="97">
        <v>35540</v>
      </c>
      <c r="I381" s="94" t="s">
        <v>1481</v>
      </c>
      <c r="J381" s="94" t="s">
        <v>1482</v>
      </c>
      <c r="K381" s="95">
        <v>963022327</v>
      </c>
      <c r="L381" s="91" t="s">
        <v>60</v>
      </c>
      <c r="M381" s="98">
        <f ca="1">(TODAY()-H381)/365</f>
        <v>28.663013698630138</v>
      </c>
      <c r="N381" s="99">
        <f>(G381-H381)/365</f>
        <v>13.035616438356165</v>
      </c>
      <c r="O381" s="98">
        <f ca="1">(TODAY()-G381)/365</f>
        <v>15.627397260273973</v>
      </c>
      <c r="P381" s="91" t="s">
        <v>272</v>
      </c>
      <c r="Q381" s="91">
        <v>0</v>
      </c>
      <c r="R381" s="91">
        <v>0</v>
      </c>
      <c r="S381" s="91">
        <v>0</v>
      </c>
      <c r="T381" s="91"/>
      <c r="U381" s="91"/>
      <c r="V381" s="91"/>
      <c r="W381" s="91"/>
      <c r="X381" s="91"/>
      <c r="Y381" s="91"/>
      <c r="Z381" s="91"/>
      <c r="AA381" s="91"/>
      <c r="AB381" s="91"/>
      <c r="AC381" s="91"/>
      <c r="AD381" s="91"/>
      <c r="AE381" s="91"/>
      <c r="AF381" s="91"/>
      <c r="AG381" s="91"/>
      <c r="AH381" s="91"/>
      <c r="AI381" s="91"/>
      <c r="AJ381" s="91"/>
      <c r="AK381" s="91"/>
      <c r="AL381" s="91"/>
      <c r="AM381" s="91"/>
    </row>
    <row r="382" spans="1:39" ht="20.25" hidden="1" customHeight="1">
      <c r="A382" s="91"/>
      <c r="B382" s="93" t="s">
        <v>1477</v>
      </c>
      <c r="C382" s="91" t="s">
        <v>36</v>
      </c>
      <c r="D382" s="94" t="s">
        <v>1483</v>
      </c>
      <c r="E382" s="94" t="s">
        <v>1484</v>
      </c>
      <c r="F382" s="95" t="s">
        <v>1485</v>
      </c>
      <c r="G382" s="96">
        <v>45355</v>
      </c>
      <c r="H382" s="97">
        <v>40201</v>
      </c>
      <c r="I382" s="94" t="s">
        <v>1486</v>
      </c>
      <c r="J382" s="94" t="s">
        <v>1487</v>
      </c>
      <c r="K382" s="95">
        <v>974740878</v>
      </c>
      <c r="L382" s="91" t="s">
        <v>60</v>
      </c>
      <c r="M382" s="98">
        <f ca="1">(TODAY()-H382)/365</f>
        <v>15.893150684931507</v>
      </c>
      <c r="N382" s="99">
        <f>(G382-H382)/365</f>
        <v>14.12054794520548</v>
      </c>
      <c r="O382" s="98">
        <f ca="1">(TODAY()-G382)/365</f>
        <v>1.7726027397260273</v>
      </c>
      <c r="P382" s="91" t="s">
        <v>43</v>
      </c>
      <c r="Q382" s="91">
        <v>0</v>
      </c>
      <c r="R382" s="91">
        <v>0</v>
      </c>
      <c r="S382" s="91">
        <v>0</v>
      </c>
      <c r="T382" s="91"/>
      <c r="U382" s="91"/>
      <c r="V382" s="91"/>
      <c r="W382" s="91"/>
      <c r="X382" s="91"/>
      <c r="Y382" s="91"/>
      <c r="Z382" s="91"/>
      <c r="AA382" s="91"/>
      <c r="AB382" s="91"/>
      <c r="AC382" s="91"/>
      <c r="AD382" s="91"/>
      <c r="AE382" s="91"/>
      <c r="AF382" s="91"/>
      <c r="AG382" s="91"/>
      <c r="AH382" s="91"/>
      <c r="AI382" s="91"/>
      <c r="AJ382" s="91"/>
      <c r="AK382" s="91"/>
      <c r="AL382" s="91"/>
      <c r="AM382" s="91"/>
    </row>
    <row r="383" spans="1:39" ht="20.25" customHeight="1">
      <c r="A383" s="91"/>
      <c r="B383" s="93" t="s">
        <v>371</v>
      </c>
      <c r="C383" s="91" t="s">
        <v>73</v>
      </c>
      <c r="D383" s="94" t="s">
        <v>372</v>
      </c>
      <c r="E383" s="94" t="s">
        <v>373</v>
      </c>
      <c r="F383" s="95" t="s">
        <v>374</v>
      </c>
      <c r="G383" s="96">
        <v>45638</v>
      </c>
      <c r="H383" s="97">
        <v>41817</v>
      </c>
      <c r="I383" s="100" t="s">
        <v>375</v>
      </c>
      <c r="J383" s="100" t="s">
        <v>58</v>
      </c>
      <c r="K383" s="91" t="s">
        <v>58</v>
      </c>
      <c r="L383" s="91" t="s">
        <v>60</v>
      </c>
      <c r="M383" s="98">
        <f ca="1">(TODAY()-H383)/365</f>
        <v>11.465753424657533</v>
      </c>
      <c r="N383" s="99">
        <f>(G383-H383)/365</f>
        <v>10.468493150684932</v>
      </c>
      <c r="O383" s="98">
        <f ca="1">(TODAY()-G383)/365</f>
        <v>0.99726027397260275</v>
      </c>
      <c r="P383" s="91" t="s">
        <v>43</v>
      </c>
      <c r="Q383" s="91">
        <v>0</v>
      </c>
      <c r="R383" s="91">
        <v>0</v>
      </c>
      <c r="S383" s="91">
        <v>0</v>
      </c>
      <c r="T383" s="91"/>
      <c r="U383" s="91"/>
      <c r="V383" s="91"/>
      <c r="W383" s="91"/>
      <c r="X383" s="91"/>
      <c r="Y383" s="91"/>
      <c r="Z383" s="91"/>
      <c r="AA383" s="91"/>
      <c r="AB383" s="91"/>
      <c r="AC383" s="91"/>
      <c r="AD383" s="91"/>
      <c r="AE383" s="91"/>
      <c r="AF383" s="91"/>
      <c r="AG383" s="91"/>
      <c r="AH383" s="91"/>
      <c r="AI383" s="91"/>
      <c r="AJ383" s="91"/>
      <c r="AK383" s="91"/>
      <c r="AL383" s="91"/>
      <c r="AM383" s="91"/>
    </row>
    <row r="384" spans="1:39" ht="20.25" hidden="1" customHeight="1">
      <c r="A384" s="91"/>
      <c r="B384" s="93" t="s">
        <v>1477</v>
      </c>
      <c r="C384" s="91" t="s">
        <v>36</v>
      </c>
      <c r="D384" s="94" t="s">
        <v>1492</v>
      </c>
      <c r="E384" s="94" t="s">
        <v>1493</v>
      </c>
      <c r="F384" s="95" t="s">
        <v>1494</v>
      </c>
      <c r="G384" s="96">
        <v>37356</v>
      </c>
      <c r="H384" s="97">
        <v>32012</v>
      </c>
      <c r="I384" s="108" t="s">
        <v>12325</v>
      </c>
      <c r="J384" s="100" t="s">
        <v>58</v>
      </c>
      <c r="K384" s="91" t="s">
        <v>58</v>
      </c>
      <c r="L384" s="91" t="s">
        <v>60</v>
      </c>
      <c r="M384" s="98">
        <f ca="1">(TODAY()-H384)/365</f>
        <v>38.328767123287669</v>
      </c>
      <c r="N384" s="99">
        <f>(G384-H384)/365</f>
        <v>14.641095890410959</v>
      </c>
      <c r="O384" s="98">
        <f ca="1">(TODAY()-G384)/365</f>
        <v>23.687671232876713</v>
      </c>
      <c r="P384" s="91" t="s">
        <v>272</v>
      </c>
      <c r="Q384" s="91">
        <v>0</v>
      </c>
      <c r="R384" s="91">
        <v>0</v>
      </c>
      <c r="S384" s="91">
        <v>0</v>
      </c>
      <c r="T384" s="91"/>
      <c r="U384" s="91"/>
      <c r="V384" s="91"/>
      <c r="W384" s="91"/>
      <c r="X384" s="91"/>
      <c r="Y384" s="91"/>
      <c r="Z384" s="91"/>
      <c r="AA384" s="91"/>
      <c r="AB384" s="91"/>
      <c r="AC384" s="91"/>
      <c r="AD384" s="91"/>
      <c r="AE384" s="91"/>
      <c r="AF384" s="91"/>
      <c r="AG384" s="91"/>
      <c r="AH384" s="91"/>
      <c r="AI384" s="91"/>
      <c r="AJ384" s="91"/>
      <c r="AK384" s="91"/>
      <c r="AL384" s="91"/>
      <c r="AM384" s="91"/>
    </row>
    <row r="385" spans="1:39" ht="20.25" hidden="1" customHeight="1">
      <c r="A385" s="91"/>
      <c r="B385" s="93" t="s">
        <v>1477</v>
      </c>
      <c r="C385" s="91" t="s">
        <v>36</v>
      </c>
      <c r="D385" s="94" t="s">
        <v>1495</v>
      </c>
      <c r="E385" s="94" t="s">
        <v>1496</v>
      </c>
      <c r="F385" s="95" t="s">
        <v>1497</v>
      </c>
      <c r="G385" s="96">
        <v>40269</v>
      </c>
      <c r="H385" s="97">
        <v>34873</v>
      </c>
      <c r="I385" s="94" t="s">
        <v>1498</v>
      </c>
      <c r="J385" s="94" t="s">
        <v>1499</v>
      </c>
      <c r="K385" s="95">
        <v>967293988</v>
      </c>
      <c r="L385" s="91" t="s">
        <v>121</v>
      </c>
      <c r="M385" s="98">
        <f ca="1">(TODAY()-H385)/365</f>
        <v>30.490410958904111</v>
      </c>
      <c r="N385" s="99">
        <f>(G385-H385)/365</f>
        <v>14.783561643835617</v>
      </c>
      <c r="O385" s="98">
        <f ca="1">(TODAY()-G385)/365</f>
        <v>15.706849315068494</v>
      </c>
      <c r="P385" s="91" t="s">
        <v>272</v>
      </c>
      <c r="Q385" s="91">
        <v>0</v>
      </c>
      <c r="R385" s="91">
        <v>0</v>
      </c>
      <c r="S385" s="91">
        <v>0</v>
      </c>
      <c r="T385" s="91"/>
      <c r="U385" s="91"/>
      <c r="V385" s="91"/>
      <c r="W385" s="91"/>
      <c r="X385" s="91"/>
      <c r="Y385" s="91"/>
      <c r="Z385" s="91"/>
      <c r="AA385" s="91"/>
      <c r="AB385" s="91"/>
      <c r="AC385" s="91"/>
      <c r="AD385" s="91"/>
      <c r="AE385" s="91"/>
      <c r="AF385" s="91"/>
      <c r="AG385" s="91"/>
      <c r="AH385" s="91"/>
      <c r="AI385" s="91"/>
      <c r="AJ385" s="91"/>
      <c r="AK385" s="91"/>
      <c r="AL385" s="91"/>
      <c r="AM385" s="91"/>
    </row>
    <row r="386" spans="1:39" ht="20.25" hidden="1" customHeight="1">
      <c r="A386" s="91"/>
      <c r="B386" s="93" t="s">
        <v>1477</v>
      </c>
      <c r="C386" s="91" t="s">
        <v>36</v>
      </c>
      <c r="D386" s="94" t="s">
        <v>1500</v>
      </c>
      <c r="E386" s="94" t="s">
        <v>1501</v>
      </c>
      <c r="F386" s="95" t="s">
        <v>1502</v>
      </c>
      <c r="G386" s="96">
        <v>45038</v>
      </c>
      <c r="H386" s="97">
        <v>39575</v>
      </c>
      <c r="I386" s="94" t="s">
        <v>1503</v>
      </c>
      <c r="J386" s="94" t="s">
        <v>1504</v>
      </c>
      <c r="K386" s="95">
        <v>944843480</v>
      </c>
      <c r="L386" s="91" t="s">
        <v>60</v>
      </c>
      <c r="M386" s="98">
        <f ca="1">(TODAY()-H386)/365</f>
        <v>17.608219178082191</v>
      </c>
      <c r="N386" s="99">
        <f>(G386-H386)/365</f>
        <v>14.967123287671233</v>
      </c>
      <c r="O386" s="98">
        <f ca="1">(TODAY()-G386)/365</f>
        <v>2.6410958904109587</v>
      </c>
      <c r="P386" s="91" t="s">
        <v>272</v>
      </c>
      <c r="Q386" s="91">
        <v>0</v>
      </c>
      <c r="R386" s="91">
        <v>0</v>
      </c>
      <c r="S386" s="91">
        <v>0</v>
      </c>
      <c r="T386" s="91"/>
      <c r="U386" s="91"/>
      <c r="V386" s="91"/>
      <c r="W386" s="91"/>
      <c r="X386" s="91"/>
      <c r="Y386" s="91"/>
      <c r="Z386" s="91"/>
      <c r="AA386" s="91"/>
      <c r="AB386" s="91"/>
      <c r="AC386" s="91"/>
      <c r="AD386" s="91"/>
      <c r="AE386" s="91"/>
      <c r="AF386" s="91"/>
      <c r="AG386" s="91"/>
      <c r="AH386" s="91"/>
      <c r="AI386" s="91"/>
      <c r="AJ386" s="91"/>
      <c r="AK386" s="91"/>
      <c r="AL386" s="91"/>
      <c r="AM386" s="91"/>
    </row>
    <row r="387" spans="1:39" ht="20.25" hidden="1" customHeight="1">
      <c r="A387" s="91"/>
      <c r="B387" s="93" t="s">
        <v>1477</v>
      </c>
      <c r="C387" s="91" t="s">
        <v>36</v>
      </c>
      <c r="D387" s="94" t="s">
        <v>1505</v>
      </c>
      <c r="E387" s="94" t="s">
        <v>1506</v>
      </c>
      <c r="F387" s="95" t="s">
        <v>1507</v>
      </c>
      <c r="G387" s="96">
        <v>38049</v>
      </c>
      <c r="H387" s="97">
        <v>32438</v>
      </c>
      <c r="I387" s="94" t="s">
        <v>1508</v>
      </c>
      <c r="J387" s="94" t="s">
        <v>1509</v>
      </c>
      <c r="K387" s="95">
        <v>951386845</v>
      </c>
      <c r="L387" s="91" t="s">
        <v>66</v>
      </c>
      <c r="M387" s="98">
        <f ca="1">(TODAY()-H387)/365</f>
        <v>37.161643835616438</v>
      </c>
      <c r="N387" s="99">
        <f>(G387-H387)/365</f>
        <v>15.372602739726027</v>
      </c>
      <c r="O387" s="98">
        <f ca="1">(TODAY()-G387)/365</f>
        <v>21.789041095890411</v>
      </c>
      <c r="P387" s="91" t="s">
        <v>43</v>
      </c>
      <c r="Q387" s="91">
        <v>1</v>
      </c>
      <c r="R387" s="91">
        <v>0</v>
      </c>
      <c r="S387" s="91">
        <v>0</v>
      </c>
      <c r="T387" s="91"/>
      <c r="U387" s="91"/>
      <c r="V387" s="91"/>
      <c r="W387" s="91"/>
      <c r="X387" s="91"/>
      <c r="Y387" s="91"/>
      <c r="Z387" s="91"/>
      <c r="AA387" s="91"/>
      <c r="AB387" s="91"/>
      <c r="AC387" s="91"/>
      <c r="AD387" s="91"/>
      <c r="AE387" s="91"/>
      <c r="AF387" s="91"/>
      <c r="AG387" s="91"/>
      <c r="AH387" s="91"/>
      <c r="AI387" s="91"/>
      <c r="AJ387" s="91"/>
      <c r="AK387" s="91"/>
      <c r="AL387" s="91"/>
      <c r="AM387" s="91"/>
    </row>
    <row r="388" spans="1:39" ht="20.25" hidden="1" customHeight="1">
      <c r="A388" s="91"/>
      <c r="B388" s="93" t="s">
        <v>1477</v>
      </c>
      <c r="C388" s="91" t="s">
        <v>36</v>
      </c>
      <c r="D388" s="94" t="s">
        <v>1510</v>
      </c>
      <c r="E388" s="94" t="s">
        <v>1511</v>
      </c>
      <c r="F388" s="95" t="s">
        <v>1512</v>
      </c>
      <c r="G388" s="96">
        <v>39602</v>
      </c>
      <c r="H388" s="97">
        <v>33942</v>
      </c>
      <c r="I388" s="94" t="s">
        <v>1513</v>
      </c>
      <c r="J388" s="94" t="s">
        <v>1514</v>
      </c>
      <c r="K388" s="95">
        <v>964929844</v>
      </c>
      <c r="L388" s="91" t="s">
        <v>60</v>
      </c>
      <c r="M388" s="98">
        <f ca="1">(TODAY()-H388)/365</f>
        <v>33.041095890410958</v>
      </c>
      <c r="N388" s="99">
        <f>(G388-H388)/365</f>
        <v>15.506849315068493</v>
      </c>
      <c r="O388" s="98">
        <f ca="1">(TODAY()-G388)/365</f>
        <v>17.534246575342465</v>
      </c>
      <c r="P388" s="91" t="s">
        <v>272</v>
      </c>
      <c r="Q388" s="91">
        <v>0</v>
      </c>
      <c r="R388" s="91">
        <v>0</v>
      </c>
      <c r="S388" s="91">
        <v>0</v>
      </c>
      <c r="T388" s="91"/>
      <c r="U388" s="91"/>
      <c r="V388" s="91"/>
      <c r="W388" s="91"/>
      <c r="X388" s="91"/>
      <c r="Y388" s="91"/>
      <c r="Z388" s="91"/>
      <c r="AA388" s="91"/>
      <c r="AB388" s="91"/>
      <c r="AC388" s="91"/>
      <c r="AD388" s="91"/>
      <c r="AE388" s="91"/>
      <c r="AF388" s="91"/>
      <c r="AG388" s="91"/>
      <c r="AH388" s="91"/>
      <c r="AI388" s="91"/>
      <c r="AJ388" s="91"/>
      <c r="AK388" s="91"/>
      <c r="AL388" s="91"/>
      <c r="AM388" s="91"/>
    </row>
    <row r="389" spans="1:39" ht="20.25" customHeight="1">
      <c r="A389" s="91"/>
      <c r="B389" s="93" t="s">
        <v>77</v>
      </c>
      <c r="C389" s="91" t="s">
        <v>73</v>
      </c>
      <c r="D389" s="94" t="s">
        <v>82</v>
      </c>
      <c r="E389" s="94" t="s">
        <v>83</v>
      </c>
      <c r="F389" s="95" t="s">
        <v>84</v>
      </c>
      <c r="G389" s="96">
        <v>44575</v>
      </c>
      <c r="H389" s="97">
        <v>37787</v>
      </c>
      <c r="I389" s="94" t="s">
        <v>85</v>
      </c>
      <c r="J389" s="100" t="s">
        <v>58</v>
      </c>
      <c r="K389" s="91" t="s">
        <v>58</v>
      </c>
      <c r="L389" s="91" t="s">
        <v>60</v>
      </c>
      <c r="M389" s="98">
        <f ca="1">(TODAY()-H389)/365</f>
        <v>22.506849315068493</v>
      </c>
      <c r="N389" s="99">
        <f>(G389-H389)/365</f>
        <v>18.597260273972601</v>
      </c>
      <c r="O389" s="98">
        <f ca="1">(TODAY()-G389)/365</f>
        <v>3.9095890410958902</v>
      </c>
      <c r="P389" s="91" t="s">
        <v>43</v>
      </c>
      <c r="Q389" s="91">
        <v>0</v>
      </c>
      <c r="R389" s="91">
        <v>0</v>
      </c>
      <c r="S389" s="91">
        <v>0</v>
      </c>
      <c r="T389" s="91"/>
      <c r="U389" s="91"/>
      <c r="V389" s="91"/>
      <c r="W389" s="91"/>
      <c r="X389" s="91"/>
      <c r="Y389" s="91"/>
      <c r="Z389" s="91"/>
      <c r="AA389" s="91"/>
      <c r="AB389" s="91"/>
      <c r="AC389" s="91"/>
      <c r="AD389" s="91"/>
      <c r="AE389" s="91"/>
      <c r="AF389" s="91"/>
      <c r="AG389" s="91"/>
      <c r="AH389" s="91"/>
      <c r="AI389" s="91"/>
      <c r="AJ389" s="91"/>
      <c r="AK389" s="91"/>
      <c r="AL389" s="91"/>
      <c r="AM389" s="91"/>
    </row>
    <row r="390" spans="1:39" ht="20.25" hidden="1" customHeight="1">
      <c r="A390" s="91"/>
      <c r="B390" s="93" t="s">
        <v>1477</v>
      </c>
      <c r="C390" s="91" t="s">
        <v>36</v>
      </c>
      <c r="D390" s="94" t="s">
        <v>1519</v>
      </c>
      <c r="E390" s="94" t="s">
        <v>1520</v>
      </c>
      <c r="F390" s="95" t="s">
        <v>1521</v>
      </c>
      <c r="G390" s="96">
        <v>45219</v>
      </c>
      <c r="H390" s="97">
        <v>39457</v>
      </c>
      <c r="I390" s="94" t="s">
        <v>1522</v>
      </c>
      <c r="J390" s="94" t="s">
        <v>1523</v>
      </c>
      <c r="K390" s="95">
        <v>994971749</v>
      </c>
      <c r="L390" s="91" t="s">
        <v>60</v>
      </c>
      <c r="M390" s="98">
        <f ca="1">(TODAY()-H390)/365</f>
        <v>17.931506849315067</v>
      </c>
      <c r="N390" s="99">
        <f>(G390-H390)/365</f>
        <v>15.786301369863013</v>
      </c>
      <c r="O390" s="98">
        <f ca="1">(TODAY()-G390)/365</f>
        <v>2.1452054794520548</v>
      </c>
      <c r="P390" s="91" t="s">
        <v>43</v>
      </c>
      <c r="Q390" s="91">
        <v>0</v>
      </c>
      <c r="R390" s="91">
        <v>0</v>
      </c>
      <c r="S390" s="91">
        <v>0</v>
      </c>
      <c r="T390" s="91"/>
      <c r="U390" s="91"/>
      <c r="V390" s="91"/>
      <c r="W390" s="91"/>
      <c r="X390" s="91"/>
      <c r="Y390" s="91"/>
      <c r="Z390" s="91"/>
      <c r="AA390" s="91"/>
      <c r="AB390" s="91"/>
      <c r="AC390" s="91"/>
      <c r="AD390" s="91"/>
      <c r="AE390" s="91"/>
      <c r="AF390" s="91"/>
      <c r="AG390" s="91"/>
      <c r="AH390" s="91"/>
      <c r="AI390" s="91"/>
      <c r="AJ390" s="91"/>
      <c r="AK390" s="91"/>
      <c r="AL390" s="91"/>
      <c r="AM390" s="91"/>
    </row>
    <row r="391" spans="1:39" ht="20.25" hidden="1" customHeight="1">
      <c r="A391" s="91"/>
      <c r="B391" s="93" t="s">
        <v>1477</v>
      </c>
      <c r="C391" s="91" t="s">
        <v>36</v>
      </c>
      <c r="D391" s="94" t="s">
        <v>1524</v>
      </c>
      <c r="E391" s="94" t="s">
        <v>1525</v>
      </c>
      <c r="F391" s="95" t="s">
        <v>1526</v>
      </c>
      <c r="G391" s="96">
        <v>38567</v>
      </c>
      <c r="H391" s="97">
        <v>32672</v>
      </c>
      <c r="I391" s="94" t="s">
        <v>1527</v>
      </c>
      <c r="J391" s="94" t="s">
        <v>1528</v>
      </c>
      <c r="K391" s="95">
        <v>989252401</v>
      </c>
      <c r="L391" s="91" t="s">
        <v>49</v>
      </c>
      <c r="M391" s="98">
        <f ca="1">(TODAY()-H391)/365</f>
        <v>36.520547945205479</v>
      </c>
      <c r="N391" s="99">
        <f>(G391-H391)/365</f>
        <v>16.150684931506849</v>
      </c>
      <c r="O391" s="98">
        <f ca="1">(TODAY()-G391)/365</f>
        <v>20.36986301369863</v>
      </c>
      <c r="P391" s="91" t="s">
        <v>43</v>
      </c>
      <c r="Q391" s="91">
        <v>0</v>
      </c>
      <c r="R391" s="91">
        <v>0</v>
      </c>
      <c r="S391" s="91">
        <v>1</v>
      </c>
      <c r="T391" s="91"/>
      <c r="U391" s="91"/>
      <c r="V391" s="91"/>
      <c r="W391" s="91"/>
      <c r="X391" s="91"/>
      <c r="Y391" s="91"/>
      <c r="Z391" s="91"/>
      <c r="AA391" s="91"/>
      <c r="AB391" s="91"/>
      <c r="AC391" s="91"/>
      <c r="AD391" s="91"/>
      <c r="AE391" s="91"/>
      <c r="AF391" s="91"/>
      <c r="AG391" s="91"/>
      <c r="AH391" s="91"/>
      <c r="AI391" s="91"/>
      <c r="AJ391" s="91"/>
      <c r="AK391" s="91"/>
      <c r="AL391" s="91"/>
      <c r="AM391" s="91"/>
    </row>
    <row r="392" spans="1:39" ht="20.25" hidden="1" customHeight="1">
      <c r="A392" s="91"/>
      <c r="B392" s="93" t="s">
        <v>1477</v>
      </c>
      <c r="C392" s="91" t="s">
        <v>36</v>
      </c>
      <c r="D392" s="94" t="s">
        <v>1529</v>
      </c>
      <c r="E392" s="94" t="s">
        <v>1530</v>
      </c>
      <c r="F392" s="95" t="s">
        <v>1531</v>
      </c>
      <c r="G392" s="96">
        <v>45212</v>
      </c>
      <c r="H392" s="97">
        <v>39316</v>
      </c>
      <c r="I392" s="94" t="s">
        <v>1532</v>
      </c>
      <c r="J392" s="94" t="s">
        <v>1533</v>
      </c>
      <c r="K392" s="95">
        <v>936368732</v>
      </c>
      <c r="L392" s="91" t="s">
        <v>60</v>
      </c>
      <c r="M392" s="98">
        <f ca="1">(TODAY()-H392)/365</f>
        <v>18.317808219178083</v>
      </c>
      <c r="N392" s="99">
        <f>(G392-H392)/365</f>
        <v>16.153424657534245</v>
      </c>
      <c r="O392" s="98">
        <f ca="1">(TODAY()-G392)/365</f>
        <v>2.1643835616438358</v>
      </c>
      <c r="P392" s="91" t="s">
        <v>43</v>
      </c>
      <c r="Q392" s="91">
        <v>0</v>
      </c>
      <c r="R392" s="91">
        <v>0</v>
      </c>
      <c r="S392" s="91">
        <v>0</v>
      </c>
      <c r="T392" s="91"/>
      <c r="U392" s="91"/>
      <c r="V392" s="91"/>
      <c r="W392" s="91"/>
      <c r="X392" s="91"/>
      <c r="Y392" s="91"/>
      <c r="Z392" s="91"/>
      <c r="AA392" s="91"/>
      <c r="AB392" s="91"/>
      <c r="AC392" s="91"/>
      <c r="AD392" s="91"/>
      <c r="AE392" s="91"/>
      <c r="AF392" s="91"/>
      <c r="AG392" s="91"/>
      <c r="AH392" s="91"/>
      <c r="AI392" s="91"/>
      <c r="AJ392" s="91"/>
      <c r="AK392" s="91"/>
      <c r="AL392" s="91"/>
      <c r="AM392" s="91"/>
    </row>
    <row r="393" spans="1:39" ht="20.25" hidden="1" customHeight="1">
      <c r="A393" s="91"/>
      <c r="B393" s="93" t="s">
        <v>1477</v>
      </c>
      <c r="C393" s="91" t="s">
        <v>36</v>
      </c>
      <c r="D393" s="94" t="s">
        <v>1495</v>
      </c>
      <c r="E393" s="94" t="s">
        <v>1534</v>
      </c>
      <c r="F393" s="95" t="s">
        <v>1535</v>
      </c>
      <c r="G393" s="96">
        <v>45212</v>
      </c>
      <c r="H393" s="97">
        <v>39234</v>
      </c>
      <c r="I393" s="94" t="s">
        <v>1536</v>
      </c>
      <c r="J393" s="94" t="s">
        <v>1537</v>
      </c>
      <c r="K393" s="95">
        <v>993914279</v>
      </c>
      <c r="L393" s="91" t="s">
        <v>60</v>
      </c>
      <c r="M393" s="98">
        <f ca="1">(TODAY()-H393)/365</f>
        <v>18.542465753424658</v>
      </c>
      <c r="N393" s="99">
        <f>(G393-H393)/365</f>
        <v>16.378082191780823</v>
      </c>
      <c r="O393" s="98">
        <f ca="1">(TODAY()-G393)/365</f>
        <v>2.1643835616438358</v>
      </c>
      <c r="P393" s="91" t="s">
        <v>272</v>
      </c>
      <c r="Q393" s="91">
        <v>0</v>
      </c>
      <c r="R393" s="91">
        <v>0</v>
      </c>
      <c r="S393" s="91">
        <v>0</v>
      </c>
      <c r="T393" s="91"/>
      <c r="U393" s="91"/>
      <c r="V393" s="91"/>
      <c r="W393" s="91"/>
      <c r="X393" s="91"/>
      <c r="Y393" s="91"/>
      <c r="Z393" s="91"/>
      <c r="AA393" s="91"/>
      <c r="AB393" s="91"/>
      <c r="AC393" s="91"/>
      <c r="AD393" s="91"/>
      <c r="AE393" s="91"/>
      <c r="AF393" s="91"/>
      <c r="AG393" s="91"/>
      <c r="AH393" s="91"/>
      <c r="AI393" s="91"/>
      <c r="AJ393" s="91"/>
      <c r="AK393" s="91"/>
      <c r="AL393" s="91"/>
      <c r="AM393" s="91"/>
    </row>
    <row r="394" spans="1:39" ht="20.25" hidden="1" customHeight="1">
      <c r="A394" s="91"/>
      <c r="B394" s="93" t="s">
        <v>1477</v>
      </c>
      <c r="C394" s="91" t="s">
        <v>36</v>
      </c>
      <c r="D394" s="94" t="s">
        <v>1538</v>
      </c>
      <c r="E394" s="94" t="s">
        <v>1539</v>
      </c>
      <c r="F394" s="95" t="s">
        <v>1540</v>
      </c>
      <c r="G394" s="96">
        <v>39507</v>
      </c>
      <c r="H394" s="97">
        <v>33441</v>
      </c>
      <c r="I394" s="94" t="s">
        <v>1541</v>
      </c>
      <c r="J394" s="94" t="s">
        <v>1542</v>
      </c>
      <c r="K394" s="95">
        <v>963331827</v>
      </c>
      <c r="L394" s="91" t="s">
        <v>216</v>
      </c>
      <c r="M394" s="98">
        <f ca="1">(TODAY()-H394)/365</f>
        <v>34.413698630136984</v>
      </c>
      <c r="N394" s="99">
        <f>(G394-H394)/365</f>
        <v>16.61917808219178</v>
      </c>
      <c r="O394" s="98">
        <f ca="1">(TODAY()-G394)/365</f>
        <v>17.794520547945204</v>
      </c>
      <c r="P394" s="91" t="s">
        <v>272</v>
      </c>
      <c r="Q394" s="91">
        <v>1</v>
      </c>
      <c r="R394" s="91">
        <v>0</v>
      </c>
      <c r="S394" s="91">
        <v>0</v>
      </c>
      <c r="T394" s="91"/>
      <c r="U394" s="91"/>
      <c r="V394" s="91"/>
      <c r="W394" s="91"/>
      <c r="X394" s="91"/>
      <c r="Y394" s="91"/>
      <c r="Z394" s="91"/>
      <c r="AA394" s="91"/>
      <c r="AB394" s="91"/>
      <c r="AC394" s="91"/>
      <c r="AD394" s="91"/>
      <c r="AE394" s="91"/>
      <c r="AF394" s="91"/>
      <c r="AG394" s="91"/>
      <c r="AH394" s="91"/>
      <c r="AI394" s="91"/>
      <c r="AJ394" s="91"/>
      <c r="AK394" s="91"/>
      <c r="AL394" s="91"/>
      <c r="AM394" s="91"/>
    </row>
    <row r="395" spans="1:39" ht="20.25" customHeight="1">
      <c r="A395" s="91"/>
      <c r="B395" s="93" t="s">
        <v>8095</v>
      </c>
      <c r="C395" s="91" t="s">
        <v>73</v>
      </c>
      <c r="D395" s="94" t="s">
        <v>8187</v>
      </c>
      <c r="E395" s="94" t="s">
        <v>8188</v>
      </c>
      <c r="F395" s="95" t="s">
        <v>8189</v>
      </c>
      <c r="G395" s="96">
        <v>43029</v>
      </c>
      <c r="H395" s="97">
        <v>22972</v>
      </c>
      <c r="I395" s="94" t="s">
        <v>8190</v>
      </c>
      <c r="J395" s="100" t="s">
        <v>58</v>
      </c>
      <c r="K395" s="91" t="s">
        <v>58</v>
      </c>
      <c r="L395" s="91" t="s">
        <v>60</v>
      </c>
      <c r="M395" s="98">
        <f ca="1">(TODAY()-H395)/365</f>
        <v>63.095890410958901</v>
      </c>
      <c r="N395" s="99">
        <f>(G395-H395)/365</f>
        <v>54.950684931506849</v>
      </c>
      <c r="O395" s="98">
        <f ca="1">(TODAY()-G395)/365</f>
        <v>8.1452054794520556</v>
      </c>
      <c r="P395" s="91" t="s">
        <v>43</v>
      </c>
      <c r="Q395" s="91">
        <v>0</v>
      </c>
      <c r="R395" s="91">
        <v>0</v>
      </c>
      <c r="S395" s="91">
        <v>0</v>
      </c>
      <c r="T395" s="91"/>
      <c r="U395" s="91"/>
      <c r="V395" s="91"/>
      <c r="W395" s="91"/>
      <c r="X395" s="91"/>
      <c r="Y395" s="91"/>
      <c r="Z395" s="91"/>
      <c r="AA395" s="91"/>
      <c r="AB395" s="91"/>
      <c r="AC395" s="91"/>
      <c r="AD395" s="91"/>
      <c r="AE395" s="91"/>
      <c r="AF395" s="91"/>
      <c r="AG395" s="91"/>
      <c r="AH395" s="91"/>
      <c r="AI395" s="91"/>
      <c r="AJ395" s="91"/>
      <c r="AK395" s="91"/>
      <c r="AL395" s="91"/>
      <c r="AM395" s="91"/>
    </row>
    <row r="396" spans="1:39" ht="20.25" hidden="1" customHeight="1">
      <c r="A396" s="91"/>
      <c r="B396" s="93" t="s">
        <v>1477</v>
      </c>
      <c r="C396" s="91" t="s">
        <v>36</v>
      </c>
      <c r="D396" s="94" t="s">
        <v>1546</v>
      </c>
      <c r="E396" s="94" t="s">
        <v>1547</v>
      </c>
      <c r="F396" s="95" t="s">
        <v>1548</v>
      </c>
      <c r="G396" s="96">
        <v>45038</v>
      </c>
      <c r="H396" s="97">
        <v>38225</v>
      </c>
      <c r="I396" s="94" t="s">
        <v>1549</v>
      </c>
      <c r="J396" s="94" t="s">
        <v>1550</v>
      </c>
      <c r="K396" s="95">
        <v>930654574</v>
      </c>
      <c r="L396" s="91" t="s">
        <v>60</v>
      </c>
      <c r="M396" s="98">
        <f ca="1">(TODAY()-H396)/365</f>
        <v>21.306849315068494</v>
      </c>
      <c r="N396" s="99">
        <f>(G396-H396)/365</f>
        <v>18.665753424657535</v>
      </c>
      <c r="O396" s="98">
        <f ca="1">(TODAY()-G396)/365</f>
        <v>2.6410958904109587</v>
      </c>
      <c r="P396" s="91" t="s">
        <v>43</v>
      </c>
      <c r="Q396" s="91">
        <v>0</v>
      </c>
      <c r="R396" s="91">
        <v>0</v>
      </c>
      <c r="S396" s="91">
        <v>0</v>
      </c>
      <c r="T396" s="91"/>
      <c r="U396" s="91"/>
      <c r="V396" s="91"/>
      <c r="W396" s="91"/>
      <c r="X396" s="91"/>
      <c r="Y396" s="91"/>
      <c r="Z396" s="91"/>
      <c r="AA396" s="91"/>
      <c r="AB396" s="91"/>
      <c r="AC396" s="91"/>
      <c r="AD396" s="91"/>
      <c r="AE396" s="91"/>
      <c r="AF396" s="91"/>
      <c r="AG396" s="91"/>
      <c r="AH396" s="91"/>
      <c r="AI396" s="91"/>
      <c r="AJ396" s="91"/>
      <c r="AK396" s="91"/>
      <c r="AL396" s="91"/>
      <c r="AM396" s="91"/>
    </row>
    <row r="397" spans="1:39" ht="20.25" hidden="1" customHeight="1">
      <c r="A397" s="91"/>
      <c r="B397" s="93" t="s">
        <v>1477</v>
      </c>
      <c r="C397" s="91" t="s">
        <v>36</v>
      </c>
      <c r="D397" s="94" t="s">
        <v>1551</v>
      </c>
      <c r="E397" s="94" t="s">
        <v>1552</v>
      </c>
      <c r="F397" s="95" t="s">
        <v>1553</v>
      </c>
      <c r="G397" s="96">
        <v>39171</v>
      </c>
      <c r="H397" s="97">
        <v>31125</v>
      </c>
      <c r="I397" s="94" t="s">
        <v>1554</v>
      </c>
      <c r="J397" s="94" t="s">
        <v>1555</v>
      </c>
      <c r="K397" s="95">
        <v>942952345</v>
      </c>
      <c r="L397" s="91" t="s">
        <v>60</v>
      </c>
      <c r="M397" s="98">
        <f ca="1">(TODAY()-H397)/365</f>
        <v>40.758904109589039</v>
      </c>
      <c r="N397" s="99">
        <f>(G397-H397)/365</f>
        <v>22.043835616438358</v>
      </c>
      <c r="O397" s="98">
        <f ca="1">(TODAY()-G397)/365</f>
        <v>18.715068493150685</v>
      </c>
      <c r="P397" s="91" t="s">
        <v>272</v>
      </c>
      <c r="Q397" s="91">
        <v>0</v>
      </c>
      <c r="R397" s="91">
        <v>0</v>
      </c>
      <c r="S397" s="91">
        <v>0</v>
      </c>
      <c r="T397" s="91"/>
      <c r="U397" s="91"/>
      <c r="V397" s="91"/>
      <c r="W397" s="91"/>
      <c r="X397" s="91"/>
      <c r="Y397" s="91"/>
      <c r="Z397" s="91"/>
      <c r="AA397" s="91"/>
      <c r="AB397" s="91"/>
      <c r="AC397" s="91"/>
      <c r="AD397" s="91"/>
      <c r="AE397" s="91"/>
      <c r="AF397" s="91"/>
      <c r="AG397" s="91"/>
      <c r="AH397" s="91"/>
      <c r="AI397" s="91"/>
      <c r="AJ397" s="91"/>
      <c r="AK397" s="91"/>
      <c r="AL397" s="91"/>
      <c r="AM397" s="91"/>
    </row>
    <row r="398" spans="1:39" ht="20.25" hidden="1" customHeight="1">
      <c r="A398" s="91"/>
      <c r="B398" s="93" t="s">
        <v>1477</v>
      </c>
      <c r="C398" s="91" t="s">
        <v>36</v>
      </c>
      <c r="D398" s="94" t="s">
        <v>1556</v>
      </c>
      <c r="E398" s="94" t="s">
        <v>1557</v>
      </c>
      <c r="F398" s="95" t="s">
        <v>1558</v>
      </c>
      <c r="G398" s="96">
        <v>43565</v>
      </c>
      <c r="H398" s="97">
        <v>34894</v>
      </c>
      <c r="I398" s="94" t="s">
        <v>1559</v>
      </c>
      <c r="J398" s="94" t="s">
        <v>1560</v>
      </c>
      <c r="K398" s="95">
        <v>984365547</v>
      </c>
      <c r="L398" s="91" t="s">
        <v>60</v>
      </c>
      <c r="M398" s="98">
        <f ca="1">(TODAY()-H398)/365</f>
        <v>30.432876712328767</v>
      </c>
      <c r="N398" s="99">
        <f>(G398-H398)/365</f>
        <v>23.756164383561643</v>
      </c>
      <c r="O398" s="98">
        <f ca="1">(TODAY()-G398)/365</f>
        <v>6.6767123287671231</v>
      </c>
      <c r="P398" s="91" t="s">
        <v>43</v>
      </c>
      <c r="Q398" s="91">
        <v>0</v>
      </c>
      <c r="R398" s="91">
        <v>0</v>
      </c>
      <c r="S398" s="91">
        <v>0</v>
      </c>
      <c r="T398" s="91"/>
      <c r="U398" s="91"/>
      <c r="V398" s="91"/>
      <c r="W398" s="91"/>
      <c r="X398" s="91"/>
      <c r="Y398" s="91"/>
      <c r="Z398" s="91"/>
      <c r="AA398" s="91"/>
      <c r="AB398" s="91"/>
      <c r="AC398" s="91"/>
      <c r="AD398" s="91"/>
      <c r="AE398" s="91"/>
      <c r="AF398" s="91"/>
      <c r="AG398" s="91"/>
      <c r="AH398" s="91"/>
      <c r="AI398" s="91"/>
      <c r="AJ398" s="91"/>
      <c r="AK398" s="91"/>
      <c r="AL398" s="91"/>
      <c r="AM398" s="91"/>
    </row>
    <row r="399" spans="1:39" ht="20.25" hidden="1" customHeight="1">
      <c r="A399" s="91"/>
      <c r="B399" s="93" t="s">
        <v>1477</v>
      </c>
      <c r="C399" s="91" t="s">
        <v>36</v>
      </c>
      <c r="D399" s="94" t="s">
        <v>1561</v>
      </c>
      <c r="E399" s="94" t="s">
        <v>1562</v>
      </c>
      <c r="F399" s="95" t="s">
        <v>1563</v>
      </c>
      <c r="G399" s="96">
        <v>32679</v>
      </c>
      <c r="H399" s="97">
        <v>23449</v>
      </c>
      <c r="I399" s="94" t="s">
        <v>1564</v>
      </c>
      <c r="J399" s="94" t="s">
        <v>1565</v>
      </c>
      <c r="K399" s="95">
        <v>935825650</v>
      </c>
      <c r="L399" s="91" t="s">
        <v>60</v>
      </c>
      <c r="M399" s="98">
        <f ca="1">(TODAY()-H399)/365</f>
        <v>61.789041095890411</v>
      </c>
      <c r="N399" s="99">
        <f>(G399-H399)/365</f>
        <v>25.287671232876711</v>
      </c>
      <c r="O399" s="98">
        <f ca="1">(TODAY()-G399)/365</f>
        <v>36.5013698630137</v>
      </c>
      <c r="P399" s="91" t="s">
        <v>272</v>
      </c>
      <c r="Q399" s="91">
        <v>0</v>
      </c>
      <c r="R399" s="91">
        <v>0</v>
      </c>
      <c r="S399" s="91">
        <v>0</v>
      </c>
      <c r="T399" s="91"/>
      <c r="U399" s="91"/>
      <c r="V399" s="91"/>
      <c r="W399" s="91"/>
      <c r="X399" s="91"/>
      <c r="Y399" s="91"/>
      <c r="Z399" s="91"/>
      <c r="AA399" s="91"/>
      <c r="AB399" s="91"/>
      <c r="AC399" s="91"/>
      <c r="AD399" s="91"/>
      <c r="AE399" s="91"/>
      <c r="AF399" s="91"/>
      <c r="AG399" s="91"/>
      <c r="AH399" s="91"/>
      <c r="AI399" s="91"/>
      <c r="AJ399" s="91"/>
      <c r="AK399" s="91"/>
      <c r="AL399" s="91"/>
      <c r="AM399" s="91"/>
    </row>
    <row r="400" spans="1:39" ht="20.25" customHeight="1">
      <c r="A400" s="91"/>
      <c r="B400" s="93" t="s">
        <v>3374</v>
      </c>
      <c r="C400" s="91" t="s">
        <v>73</v>
      </c>
      <c r="D400" s="107" t="s">
        <v>3408</v>
      </c>
      <c r="E400" s="107" t="s">
        <v>3409</v>
      </c>
      <c r="F400" s="91" t="s">
        <v>3410</v>
      </c>
      <c r="G400" s="96">
        <v>45586</v>
      </c>
      <c r="H400" s="97">
        <v>37368</v>
      </c>
      <c r="I400" s="100" t="s">
        <v>3411</v>
      </c>
      <c r="J400" s="94" t="s">
        <v>58</v>
      </c>
      <c r="K400" s="95" t="s">
        <v>58</v>
      </c>
      <c r="L400" s="91" t="s">
        <v>60</v>
      </c>
      <c r="M400" s="98">
        <f ca="1">(TODAY()-H400)/365</f>
        <v>23.654794520547945</v>
      </c>
      <c r="N400" s="99">
        <f>(G400-H400)/365</f>
        <v>22.515068493150686</v>
      </c>
      <c r="O400" s="98">
        <f ca="1">(TODAY()-G400)/365</f>
        <v>1.1397260273972603</v>
      </c>
      <c r="P400" s="91" t="s">
        <v>43</v>
      </c>
      <c r="Q400" s="91"/>
      <c r="R400" s="91"/>
      <c r="S400" s="91"/>
      <c r="T400" s="91"/>
      <c r="U400" s="91"/>
      <c r="V400" s="91"/>
      <c r="W400" s="91"/>
      <c r="X400" s="91"/>
      <c r="Y400" s="91"/>
      <c r="Z400" s="91"/>
      <c r="AA400" s="91"/>
      <c r="AB400" s="91"/>
      <c r="AC400" s="91"/>
      <c r="AD400" s="91"/>
      <c r="AE400" s="91"/>
      <c r="AF400" s="91"/>
      <c r="AG400" s="91"/>
      <c r="AH400" s="91"/>
      <c r="AI400" s="91"/>
      <c r="AJ400" s="91"/>
      <c r="AK400" s="91"/>
      <c r="AL400" s="91"/>
      <c r="AM400" s="91"/>
    </row>
    <row r="401" spans="1:39" ht="20.25" hidden="1" customHeight="1">
      <c r="A401" s="91"/>
      <c r="B401" s="93" t="s">
        <v>1477</v>
      </c>
      <c r="C401" s="91" t="s">
        <v>36</v>
      </c>
      <c r="D401" s="94" t="s">
        <v>1569</v>
      </c>
      <c r="E401" s="94" t="s">
        <v>1570</v>
      </c>
      <c r="F401" s="95" t="s">
        <v>1571</v>
      </c>
      <c r="G401" s="96">
        <v>43847</v>
      </c>
      <c r="H401" s="97">
        <v>34340</v>
      </c>
      <c r="I401" s="94" t="s">
        <v>1572</v>
      </c>
      <c r="J401" s="94" t="s">
        <v>1514</v>
      </c>
      <c r="K401" s="95">
        <v>983710920</v>
      </c>
      <c r="L401" s="91" t="s">
        <v>60</v>
      </c>
      <c r="M401" s="98">
        <f ca="1">(TODAY()-H401)/365</f>
        <v>31.950684931506849</v>
      </c>
      <c r="N401" s="99">
        <f>(G401-H401)/365</f>
        <v>26.046575342465754</v>
      </c>
      <c r="O401" s="98">
        <f ca="1">(TODAY()-G401)/365</f>
        <v>5.904109589041096</v>
      </c>
      <c r="P401" s="91" t="s">
        <v>43</v>
      </c>
      <c r="Q401" s="91">
        <v>0</v>
      </c>
      <c r="R401" s="91">
        <v>0</v>
      </c>
      <c r="S401" s="91">
        <v>0</v>
      </c>
      <c r="T401" s="91"/>
      <c r="U401" s="91"/>
      <c r="V401" s="91"/>
      <c r="W401" s="91"/>
      <c r="X401" s="91"/>
      <c r="Y401" s="91"/>
      <c r="Z401" s="91"/>
      <c r="AA401" s="91"/>
      <c r="AB401" s="91"/>
      <c r="AC401" s="91"/>
      <c r="AD401" s="91"/>
      <c r="AE401" s="91"/>
      <c r="AF401" s="91"/>
      <c r="AG401" s="91"/>
      <c r="AH401" s="91"/>
      <c r="AI401" s="91"/>
      <c r="AJ401" s="91"/>
      <c r="AK401" s="91"/>
      <c r="AL401" s="91"/>
      <c r="AM401" s="91"/>
    </row>
    <row r="402" spans="1:39" ht="20.25" hidden="1" customHeight="1">
      <c r="A402" s="91"/>
      <c r="B402" s="93" t="s">
        <v>1477</v>
      </c>
      <c r="C402" s="91" t="s">
        <v>36</v>
      </c>
      <c r="D402" s="94" t="s">
        <v>1573</v>
      </c>
      <c r="E402" s="94" t="s">
        <v>1574</v>
      </c>
      <c r="F402" s="95" t="s">
        <v>1575</v>
      </c>
      <c r="G402" s="96">
        <v>33533</v>
      </c>
      <c r="H402" s="97">
        <v>23919</v>
      </c>
      <c r="I402" s="94" t="s">
        <v>1576</v>
      </c>
      <c r="J402" s="94" t="s">
        <v>1577</v>
      </c>
      <c r="K402" s="95">
        <v>985006937</v>
      </c>
      <c r="L402" s="91" t="s">
        <v>197</v>
      </c>
      <c r="M402" s="98">
        <f ca="1">(TODAY()-H402)/365</f>
        <v>60.5013698630137</v>
      </c>
      <c r="N402" s="99">
        <f>(G402-H402)/365</f>
        <v>26.339726027397262</v>
      </c>
      <c r="O402" s="98">
        <f ca="1">(TODAY()-G402)/365</f>
        <v>34.161643835616438</v>
      </c>
      <c r="P402" s="91" t="s">
        <v>272</v>
      </c>
      <c r="Q402" s="91">
        <v>1</v>
      </c>
      <c r="R402" s="91">
        <v>0</v>
      </c>
      <c r="S402" s="91">
        <v>1</v>
      </c>
      <c r="T402" s="91"/>
      <c r="U402" s="91"/>
      <c r="V402" s="91"/>
      <c r="W402" s="91"/>
      <c r="X402" s="91"/>
      <c r="Y402" s="91"/>
      <c r="Z402" s="91"/>
      <c r="AA402" s="91"/>
      <c r="AB402" s="91"/>
      <c r="AC402" s="91"/>
      <c r="AD402" s="91"/>
      <c r="AE402" s="91"/>
      <c r="AF402" s="91"/>
      <c r="AG402" s="91"/>
      <c r="AH402" s="91"/>
      <c r="AI402" s="91"/>
      <c r="AJ402" s="91"/>
      <c r="AK402" s="91"/>
      <c r="AL402" s="91"/>
      <c r="AM402" s="91"/>
    </row>
    <row r="403" spans="1:39" ht="20.25" customHeight="1">
      <c r="A403" s="91"/>
      <c r="B403" s="93" t="s">
        <v>10823</v>
      </c>
      <c r="C403" s="91" t="s">
        <v>73</v>
      </c>
      <c r="D403" s="106" t="s">
        <v>1349</v>
      </c>
      <c r="E403" s="106" t="s">
        <v>10850</v>
      </c>
      <c r="F403" s="92" t="s">
        <v>10851</v>
      </c>
      <c r="G403" s="103">
        <v>45296</v>
      </c>
      <c r="H403" s="103" t="s">
        <v>58</v>
      </c>
      <c r="I403" s="94" t="s">
        <v>58</v>
      </c>
      <c r="J403" s="100" t="s">
        <v>58</v>
      </c>
      <c r="K403" s="95" t="s">
        <v>58</v>
      </c>
      <c r="L403" s="91"/>
      <c r="M403" s="98" t="e">
        <f ca="1">(TODAY()-H403)/365</f>
        <v>#VALUE!</v>
      </c>
      <c r="N403" s="99" t="e">
        <f>(G403-H403)/365</f>
        <v>#VALUE!</v>
      </c>
      <c r="O403" s="98">
        <f ca="1">(TODAY()-G403)/365</f>
        <v>1.9342465753424658</v>
      </c>
      <c r="P403" s="91" t="s">
        <v>272</v>
      </c>
      <c r="Q403" s="91"/>
      <c r="R403" s="91"/>
      <c r="S403" s="91"/>
      <c r="T403" s="91"/>
      <c r="U403" s="91"/>
      <c r="V403" s="91"/>
      <c r="W403" s="91"/>
      <c r="X403" s="91"/>
      <c r="Y403" s="91"/>
      <c r="Z403" s="91"/>
      <c r="AA403" s="91"/>
      <c r="AB403" s="91"/>
      <c r="AC403" s="91"/>
      <c r="AD403" s="91"/>
      <c r="AE403" s="91"/>
      <c r="AF403" s="91"/>
      <c r="AG403" s="91"/>
      <c r="AH403" s="91"/>
      <c r="AI403" s="91"/>
      <c r="AJ403" s="91"/>
      <c r="AK403" s="91"/>
      <c r="AL403" s="91"/>
      <c r="AM403" s="91"/>
    </row>
    <row r="404" spans="1:39" ht="20.25" hidden="1" customHeight="1">
      <c r="A404" s="91"/>
      <c r="B404" s="93" t="s">
        <v>1477</v>
      </c>
      <c r="C404" s="91" t="s">
        <v>36</v>
      </c>
      <c r="D404" s="94" t="s">
        <v>1582</v>
      </c>
      <c r="E404" s="94" t="s">
        <v>1583</v>
      </c>
      <c r="F404" s="95" t="s">
        <v>1584</v>
      </c>
      <c r="G404" s="96">
        <v>31625</v>
      </c>
      <c r="H404" s="97">
        <v>20787</v>
      </c>
      <c r="I404" s="94" t="s">
        <v>1585</v>
      </c>
      <c r="J404" s="94" t="s">
        <v>1577</v>
      </c>
      <c r="K404" s="95">
        <v>993204220</v>
      </c>
      <c r="L404" s="91" t="s">
        <v>42</v>
      </c>
      <c r="M404" s="98">
        <f ca="1">(TODAY()-H404)/365</f>
        <v>69.082191780821915</v>
      </c>
      <c r="N404" s="99">
        <f>(G404-H404)/365</f>
        <v>29.693150684931506</v>
      </c>
      <c r="O404" s="98">
        <f ca="1">(TODAY()-G404)/365</f>
        <v>39.389041095890413</v>
      </c>
      <c r="P404" s="91" t="s">
        <v>43</v>
      </c>
      <c r="Q404" s="91">
        <v>1</v>
      </c>
      <c r="R404" s="91">
        <v>0</v>
      </c>
      <c r="S404" s="91">
        <v>1</v>
      </c>
      <c r="T404" s="91"/>
      <c r="U404" s="91"/>
      <c r="V404" s="91"/>
      <c r="W404" s="91"/>
      <c r="X404" s="91"/>
      <c r="Y404" s="91"/>
      <c r="Z404" s="91"/>
      <c r="AA404" s="91"/>
      <c r="AB404" s="91"/>
      <c r="AC404" s="91"/>
      <c r="AD404" s="91"/>
      <c r="AE404" s="91"/>
      <c r="AF404" s="91"/>
      <c r="AG404" s="91"/>
      <c r="AH404" s="91"/>
      <c r="AI404" s="91"/>
      <c r="AJ404" s="91"/>
      <c r="AK404" s="91"/>
      <c r="AL404" s="91"/>
      <c r="AM404" s="91"/>
    </row>
    <row r="405" spans="1:39" ht="20.25" hidden="1" customHeight="1">
      <c r="A405" s="91"/>
      <c r="B405" s="93" t="s">
        <v>1477</v>
      </c>
      <c r="C405" s="91" t="s">
        <v>36</v>
      </c>
      <c r="D405" s="94" t="s">
        <v>922</v>
      </c>
      <c r="E405" s="94" t="s">
        <v>1586</v>
      </c>
      <c r="F405" s="95" t="s">
        <v>1587</v>
      </c>
      <c r="G405" s="96">
        <v>30810</v>
      </c>
      <c r="H405" s="97">
        <v>19684</v>
      </c>
      <c r="I405" s="94" t="s">
        <v>1588</v>
      </c>
      <c r="J405" s="94" t="s">
        <v>1504</v>
      </c>
      <c r="K405" s="95">
        <v>994043772</v>
      </c>
      <c r="L405" s="91" t="s">
        <v>60</v>
      </c>
      <c r="M405" s="98">
        <f ca="1">(TODAY()-H405)/365</f>
        <v>72.104109589041101</v>
      </c>
      <c r="N405" s="99">
        <f>(G405-H405)/365</f>
        <v>30.482191780821918</v>
      </c>
      <c r="O405" s="98">
        <f ca="1">(TODAY()-G405)/365</f>
        <v>41.62191780821918</v>
      </c>
      <c r="P405" s="91" t="s">
        <v>43</v>
      </c>
      <c r="Q405" s="91">
        <v>0</v>
      </c>
      <c r="R405" s="91">
        <v>0</v>
      </c>
      <c r="S405" s="91">
        <v>0</v>
      </c>
      <c r="T405" s="91"/>
      <c r="U405" s="91"/>
      <c r="V405" s="91"/>
      <c r="W405" s="91"/>
      <c r="X405" s="91"/>
      <c r="Y405" s="91"/>
      <c r="Z405" s="91"/>
      <c r="AA405" s="91"/>
      <c r="AB405" s="91"/>
      <c r="AC405" s="91"/>
      <c r="AD405" s="91"/>
      <c r="AE405" s="91"/>
      <c r="AF405" s="91"/>
      <c r="AG405" s="91"/>
      <c r="AH405" s="91"/>
      <c r="AI405" s="91"/>
      <c r="AJ405" s="91"/>
      <c r="AK405" s="91"/>
      <c r="AL405" s="91"/>
      <c r="AM405" s="91"/>
    </row>
    <row r="406" spans="1:39" ht="20.25" hidden="1" customHeight="1">
      <c r="A406" s="91"/>
      <c r="B406" s="93" t="s">
        <v>1477</v>
      </c>
      <c r="C406" s="91" t="s">
        <v>36</v>
      </c>
      <c r="D406" s="94" t="s">
        <v>1589</v>
      </c>
      <c r="E406" s="94" t="s">
        <v>1590</v>
      </c>
      <c r="F406" s="95" t="s">
        <v>1591</v>
      </c>
      <c r="G406" s="96">
        <v>44155</v>
      </c>
      <c r="H406" s="97">
        <v>32666</v>
      </c>
      <c r="I406" s="94" t="s">
        <v>1592</v>
      </c>
      <c r="J406" s="94" t="s">
        <v>1593</v>
      </c>
      <c r="K406" s="95">
        <v>927306003</v>
      </c>
      <c r="L406" s="91" t="s">
        <v>60</v>
      </c>
      <c r="M406" s="98">
        <f ca="1">(TODAY()-H406)/365</f>
        <v>36.536986301369865</v>
      </c>
      <c r="N406" s="99">
        <f>(G406-H406)/365</f>
        <v>31.476712328767125</v>
      </c>
      <c r="O406" s="98">
        <f ca="1">(TODAY()-G406)/365</f>
        <v>5.0602739726027401</v>
      </c>
      <c r="P406" s="91" t="s">
        <v>43</v>
      </c>
      <c r="Q406" s="91">
        <v>0</v>
      </c>
      <c r="R406" s="91">
        <v>0</v>
      </c>
      <c r="S406" s="91">
        <v>0</v>
      </c>
      <c r="T406" s="91"/>
      <c r="U406" s="91"/>
      <c r="V406" s="91"/>
      <c r="W406" s="91"/>
      <c r="X406" s="91"/>
      <c r="Y406" s="91"/>
      <c r="Z406" s="91"/>
      <c r="AA406" s="91"/>
      <c r="AB406" s="91"/>
      <c r="AC406" s="91"/>
      <c r="AD406" s="91"/>
      <c r="AE406" s="91"/>
      <c r="AF406" s="91"/>
      <c r="AG406" s="91"/>
      <c r="AH406" s="91"/>
      <c r="AI406" s="91"/>
      <c r="AJ406" s="91"/>
      <c r="AK406" s="91"/>
      <c r="AL406" s="91"/>
      <c r="AM406" s="91"/>
    </row>
    <row r="407" spans="1:39" ht="20.25" hidden="1" customHeight="1">
      <c r="A407" s="91"/>
      <c r="B407" s="93" t="s">
        <v>1477</v>
      </c>
      <c r="C407" s="91" t="s">
        <v>36</v>
      </c>
      <c r="D407" s="94" t="s">
        <v>1594</v>
      </c>
      <c r="E407" s="94" t="s">
        <v>1595</v>
      </c>
      <c r="F407" s="95" t="s">
        <v>1596</v>
      </c>
      <c r="G407" s="96">
        <v>45038</v>
      </c>
      <c r="H407" s="97">
        <v>33331</v>
      </c>
      <c r="I407" s="94" t="s">
        <v>1597</v>
      </c>
      <c r="J407" s="94" t="s">
        <v>1598</v>
      </c>
      <c r="K407" s="95">
        <v>959047084</v>
      </c>
      <c r="L407" s="91" t="s">
        <v>60</v>
      </c>
      <c r="M407" s="98">
        <f ca="1">(TODAY()-H407)/365</f>
        <v>34.715068493150682</v>
      </c>
      <c r="N407" s="99">
        <f>(G407-H407)/365</f>
        <v>32.073972602739723</v>
      </c>
      <c r="O407" s="98">
        <f ca="1">(TODAY()-G407)/365</f>
        <v>2.6410958904109587</v>
      </c>
      <c r="P407" s="91" t="s">
        <v>43</v>
      </c>
      <c r="Q407" s="91">
        <v>0</v>
      </c>
      <c r="R407" s="91">
        <v>0</v>
      </c>
      <c r="S407" s="91">
        <v>0</v>
      </c>
      <c r="T407" s="91"/>
      <c r="U407" s="91"/>
      <c r="V407" s="91"/>
      <c r="W407" s="91"/>
      <c r="X407" s="91"/>
      <c r="Y407" s="91"/>
      <c r="Z407" s="91"/>
      <c r="AA407" s="91"/>
      <c r="AB407" s="91"/>
      <c r="AC407" s="91"/>
      <c r="AD407" s="91"/>
      <c r="AE407" s="91"/>
      <c r="AF407" s="91"/>
      <c r="AG407" s="91"/>
      <c r="AH407" s="91"/>
      <c r="AI407" s="91"/>
      <c r="AJ407" s="91"/>
      <c r="AK407" s="91"/>
      <c r="AL407" s="91"/>
      <c r="AM407" s="91"/>
    </row>
    <row r="408" spans="1:39" ht="20.25" hidden="1" customHeight="1">
      <c r="A408" s="91"/>
      <c r="B408" s="93" t="s">
        <v>1477</v>
      </c>
      <c r="C408" s="91" t="s">
        <v>36</v>
      </c>
      <c r="D408" s="94" t="s">
        <v>1599</v>
      </c>
      <c r="E408" s="94" t="s">
        <v>1600</v>
      </c>
      <c r="F408" s="95" t="s">
        <v>1601</v>
      </c>
      <c r="G408" s="96">
        <v>45594</v>
      </c>
      <c r="H408" s="97">
        <v>33734</v>
      </c>
      <c r="I408" s="94" t="s">
        <v>1602</v>
      </c>
      <c r="J408" s="94" t="s">
        <v>1603</v>
      </c>
      <c r="K408" s="95">
        <v>965600209</v>
      </c>
      <c r="L408" s="91" t="s">
        <v>60</v>
      </c>
      <c r="M408" s="98">
        <f ca="1">(TODAY()-H408)/365</f>
        <v>33.610958904109587</v>
      </c>
      <c r="N408" s="99">
        <f>(G408-H408)/365</f>
        <v>32.493150684931507</v>
      </c>
      <c r="O408" s="98">
        <f ca="1">(TODAY()-G408)/365</f>
        <v>1.1178082191780823</v>
      </c>
      <c r="P408" s="91" t="s">
        <v>272</v>
      </c>
      <c r="Q408" s="91">
        <v>0</v>
      </c>
      <c r="R408" s="91">
        <v>0</v>
      </c>
      <c r="S408" s="91">
        <v>0</v>
      </c>
      <c r="T408" s="91"/>
      <c r="U408" s="91"/>
      <c r="V408" s="91"/>
      <c r="W408" s="91"/>
      <c r="X408" s="91"/>
      <c r="Y408" s="91"/>
      <c r="Z408" s="91"/>
      <c r="AA408" s="91"/>
      <c r="AB408" s="91"/>
      <c r="AC408" s="91"/>
      <c r="AD408" s="91"/>
      <c r="AE408" s="91"/>
      <c r="AF408" s="91"/>
      <c r="AG408" s="91"/>
      <c r="AH408" s="91"/>
      <c r="AI408" s="91"/>
      <c r="AJ408" s="91"/>
      <c r="AK408" s="91"/>
      <c r="AL408" s="91"/>
      <c r="AM408" s="91"/>
    </row>
    <row r="409" spans="1:39" ht="20.25" customHeight="1">
      <c r="A409" s="91"/>
      <c r="B409" s="93" t="s">
        <v>4326</v>
      </c>
      <c r="C409" s="91" t="s">
        <v>73</v>
      </c>
      <c r="D409" s="107" t="s">
        <v>2455</v>
      </c>
      <c r="E409" s="107" t="s">
        <v>4360</v>
      </c>
      <c r="F409" s="91" t="s">
        <v>4361</v>
      </c>
      <c r="G409" s="96">
        <v>40290</v>
      </c>
      <c r="H409" s="97">
        <v>28010</v>
      </c>
      <c r="I409" s="100" t="s">
        <v>4362</v>
      </c>
      <c r="J409" s="94" t="s">
        <v>58</v>
      </c>
      <c r="K409" s="95" t="s">
        <v>58</v>
      </c>
      <c r="L409" s="91" t="s">
        <v>60</v>
      </c>
      <c r="M409" s="98">
        <f ca="1">(TODAY()-H409)/365</f>
        <v>49.293150684931504</v>
      </c>
      <c r="N409" s="99">
        <f>(G409-H409)/365</f>
        <v>33.643835616438359</v>
      </c>
      <c r="O409" s="98">
        <f ca="1">(TODAY()-G409)/365</f>
        <v>15.64931506849315</v>
      </c>
      <c r="P409" s="91" t="s">
        <v>43</v>
      </c>
      <c r="Q409" s="91">
        <v>0</v>
      </c>
      <c r="R409" s="91">
        <v>0</v>
      </c>
      <c r="S409" s="91">
        <v>0</v>
      </c>
      <c r="T409" s="91"/>
      <c r="U409" s="91"/>
      <c r="V409" s="91"/>
      <c r="W409" s="91"/>
      <c r="X409" s="91"/>
      <c r="Y409" s="91"/>
      <c r="Z409" s="91"/>
      <c r="AA409" s="91"/>
      <c r="AB409" s="91"/>
      <c r="AC409" s="91"/>
      <c r="AD409" s="91"/>
      <c r="AE409" s="91"/>
      <c r="AF409" s="91"/>
      <c r="AG409" s="91"/>
      <c r="AH409" s="91"/>
      <c r="AI409" s="91"/>
      <c r="AJ409" s="91"/>
      <c r="AK409" s="91"/>
      <c r="AL409" s="91"/>
      <c r="AM409" s="91"/>
    </row>
    <row r="410" spans="1:39" ht="20.25" hidden="1" customHeight="1">
      <c r="A410" s="91"/>
      <c r="B410" s="93" t="s">
        <v>1477</v>
      </c>
      <c r="C410" s="91" t="s">
        <v>36</v>
      </c>
      <c r="D410" s="94" t="s">
        <v>1606</v>
      </c>
      <c r="E410" s="94" t="s">
        <v>1607</v>
      </c>
      <c r="F410" s="95" t="s">
        <v>1608</v>
      </c>
      <c r="G410" s="96">
        <v>27267</v>
      </c>
      <c r="H410" s="97">
        <v>15031</v>
      </c>
      <c r="I410" s="94" t="s">
        <v>1609</v>
      </c>
      <c r="J410" s="94" t="s">
        <v>1560</v>
      </c>
      <c r="K410" s="95">
        <v>978912125</v>
      </c>
      <c r="L410" s="91" t="s">
        <v>60</v>
      </c>
      <c r="M410" s="98">
        <f ca="1">(TODAY()-H410)/365</f>
        <v>84.852054794520555</v>
      </c>
      <c r="N410" s="99">
        <f>(G410-H410)/365</f>
        <v>33.523287671232879</v>
      </c>
      <c r="O410" s="98">
        <f ca="1">(TODAY()-G410)/365</f>
        <v>51.328767123287669</v>
      </c>
      <c r="P410" s="91" t="s">
        <v>43</v>
      </c>
      <c r="Q410" s="91">
        <v>0</v>
      </c>
      <c r="R410" s="91">
        <v>0</v>
      </c>
      <c r="S410" s="91">
        <v>0</v>
      </c>
      <c r="T410" s="91"/>
      <c r="U410" s="91"/>
      <c r="V410" s="91"/>
      <c r="W410" s="91"/>
      <c r="X410" s="91"/>
      <c r="Y410" s="91"/>
      <c r="Z410" s="91"/>
      <c r="AA410" s="91"/>
      <c r="AB410" s="91"/>
      <c r="AC410" s="91"/>
      <c r="AD410" s="91"/>
      <c r="AE410" s="91"/>
      <c r="AF410" s="91"/>
      <c r="AG410" s="91"/>
      <c r="AH410" s="91"/>
      <c r="AI410" s="91"/>
      <c r="AJ410" s="91"/>
      <c r="AK410" s="91"/>
      <c r="AL410" s="91"/>
      <c r="AM410" s="91"/>
    </row>
    <row r="411" spans="1:39" ht="20.25" hidden="1" customHeight="1">
      <c r="A411" s="91"/>
      <c r="B411" s="93" t="s">
        <v>1477</v>
      </c>
      <c r="C411" s="91" t="s">
        <v>36</v>
      </c>
      <c r="D411" s="94" t="s">
        <v>1610</v>
      </c>
      <c r="E411" s="94" t="s">
        <v>1611</v>
      </c>
      <c r="F411" s="95" t="s">
        <v>1612</v>
      </c>
      <c r="G411" s="96">
        <v>33332</v>
      </c>
      <c r="H411" s="97">
        <v>21011</v>
      </c>
      <c r="I411" s="94" t="s">
        <v>58</v>
      </c>
      <c r="J411" s="94" t="s">
        <v>1613</v>
      </c>
      <c r="K411" s="95">
        <v>986352777</v>
      </c>
      <c r="L411" s="91" t="s">
        <v>54</v>
      </c>
      <c r="M411" s="98">
        <f ca="1">(TODAY()-H411)/365</f>
        <v>68.468493150684935</v>
      </c>
      <c r="N411" s="99">
        <f>(G411-H411)/365</f>
        <v>33.756164383561647</v>
      </c>
      <c r="O411" s="98">
        <f ca="1">(TODAY()-G411)/365</f>
        <v>34.712328767123289</v>
      </c>
      <c r="P411" s="91" t="s">
        <v>43</v>
      </c>
      <c r="Q411" s="91">
        <v>0</v>
      </c>
      <c r="R411" s="91">
        <v>0</v>
      </c>
      <c r="S411" s="91">
        <v>0</v>
      </c>
      <c r="T411" s="91"/>
      <c r="U411" s="91"/>
      <c r="V411" s="91"/>
      <c r="W411" s="91"/>
      <c r="X411" s="91"/>
      <c r="Y411" s="91"/>
      <c r="Z411" s="91"/>
      <c r="AA411" s="91"/>
      <c r="AB411" s="91"/>
      <c r="AC411" s="91"/>
      <c r="AD411" s="91"/>
      <c r="AE411" s="91"/>
      <c r="AF411" s="91"/>
      <c r="AG411" s="91"/>
      <c r="AH411" s="91"/>
      <c r="AI411" s="91"/>
      <c r="AJ411" s="91"/>
      <c r="AK411" s="91"/>
      <c r="AL411" s="91"/>
      <c r="AM411" s="91"/>
    </row>
    <row r="412" spans="1:39" ht="20.25" customHeight="1">
      <c r="A412" s="91"/>
      <c r="B412" s="93" t="s">
        <v>7024</v>
      </c>
      <c r="C412" s="91" t="s">
        <v>73</v>
      </c>
      <c r="D412" s="94" t="s">
        <v>7124</v>
      </c>
      <c r="E412" s="94" t="s">
        <v>7043</v>
      </c>
      <c r="F412" s="95" t="s">
        <v>7125</v>
      </c>
      <c r="G412" s="96">
        <v>40971</v>
      </c>
      <c r="H412" s="96">
        <v>36908</v>
      </c>
      <c r="I412" s="100" t="s">
        <v>58</v>
      </c>
      <c r="J412" s="100" t="s">
        <v>58</v>
      </c>
      <c r="K412" s="91" t="s">
        <v>58</v>
      </c>
      <c r="L412" s="91" t="s">
        <v>60</v>
      </c>
      <c r="M412" s="98">
        <f ca="1">(TODAY()-H412)/365</f>
        <v>24.915068493150685</v>
      </c>
      <c r="N412" s="99">
        <f>(G412-H412)/365</f>
        <v>11.131506849315068</v>
      </c>
      <c r="O412" s="98">
        <f ca="1">(TODAY()-G412)/365</f>
        <v>13.783561643835617</v>
      </c>
      <c r="P412" s="91" t="s">
        <v>43</v>
      </c>
      <c r="Q412" s="91">
        <v>0</v>
      </c>
      <c r="R412" s="91">
        <v>0</v>
      </c>
      <c r="S412" s="91">
        <v>0</v>
      </c>
      <c r="T412" s="91"/>
      <c r="U412" s="91"/>
      <c r="V412" s="91"/>
      <c r="W412" s="91"/>
      <c r="X412" s="91"/>
      <c r="Y412" s="91"/>
      <c r="Z412" s="91"/>
      <c r="AA412" s="91"/>
      <c r="AB412" s="91"/>
      <c r="AC412" s="91"/>
      <c r="AD412" s="91"/>
      <c r="AE412" s="91"/>
      <c r="AF412" s="91"/>
      <c r="AG412" s="91"/>
      <c r="AH412" s="91"/>
      <c r="AI412" s="91"/>
      <c r="AJ412" s="91"/>
      <c r="AK412" s="91"/>
      <c r="AL412" s="91"/>
      <c r="AM412" s="91"/>
    </row>
    <row r="413" spans="1:39" ht="20.25" hidden="1" customHeight="1">
      <c r="A413" s="91"/>
      <c r="B413" s="93" t="s">
        <v>1477</v>
      </c>
      <c r="C413" s="91" t="s">
        <v>36</v>
      </c>
      <c r="D413" s="94" t="s">
        <v>1617</v>
      </c>
      <c r="E413" s="94" t="s">
        <v>1618</v>
      </c>
      <c r="F413" s="95" t="s">
        <v>1619</v>
      </c>
      <c r="G413" s="96">
        <v>45212</v>
      </c>
      <c r="H413" s="97">
        <v>28163</v>
      </c>
      <c r="I413" s="94" t="s">
        <v>1620</v>
      </c>
      <c r="J413" s="94" t="s">
        <v>1621</v>
      </c>
      <c r="K413" s="95">
        <v>992932778</v>
      </c>
      <c r="L413" s="91" t="s">
        <v>60</v>
      </c>
      <c r="M413" s="98">
        <f ca="1">(TODAY()-H413)/365</f>
        <v>48.873972602739727</v>
      </c>
      <c r="N413" s="99">
        <f>(G413-H413)/365</f>
        <v>46.709589041095889</v>
      </c>
      <c r="O413" s="98">
        <f ca="1">(TODAY()-G413)/365</f>
        <v>2.1643835616438358</v>
      </c>
      <c r="P413" s="91" t="s">
        <v>43</v>
      </c>
      <c r="Q413" s="91">
        <v>0</v>
      </c>
      <c r="R413" s="91">
        <v>0</v>
      </c>
      <c r="S413" s="91">
        <v>0</v>
      </c>
      <c r="T413" s="91"/>
      <c r="U413" s="91"/>
      <c r="V413" s="91"/>
      <c r="W413" s="91"/>
      <c r="X413" s="91"/>
      <c r="Y413" s="91"/>
      <c r="Z413" s="91"/>
      <c r="AA413" s="91"/>
      <c r="AB413" s="91"/>
      <c r="AC413" s="91"/>
      <c r="AD413" s="91"/>
      <c r="AE413" s="91"/>
      <c r="AF413" s="91"/>
      <c r="AG413" s="91"/>
      <c r="AH413" s="91"/>
      <c r="AI413" s="91"/>
      <c r="AJ413" s="91"/>
      <c r="AK413" s="91"/>
      <c r="AL413" s="91"/>
      <c r="AM413" s="91"/>
    </row>
    <row r="414" spans="1:39" ht="20.25" customHeight="1">
      <c r="A414" s="91"/>
      <c r="B414" s="93" t="s">
        <v>7270</v>
      </c>
      <c r="C414" s="91" t="s">
        <v>73</v>
      </c>
      <c r="D414" s="94" t="s">
        <v>7326</v>
      </c>
      <c r="E414" s="94" t="s">
        <v>7327</v>
      </c>
      <c r="F414" s="95" t="s">
        <v>7328</v>
      </c>
      <c r="G414" s="96">
        <v>37587</v>
      </c>
      <c r="H414" s="97">
        <v>16104</v>
      </c>
      <c r="I414" s="100" t="s">
        <v>58</v>
      </c>
      <c r="J414" s="100" t="s">
        <v>58</v>
      </c>
      <c r="K414" s="91" t="s">
        <v>58</v>
      </c>
      <c r="L414" s="91" t="s">
        <v>60</v>
      </c>
      <c r="M414" s="98">
        <f ca="1">(TODAY()-H414)/365</f>
        <v>81.912328767123284</v>
      </c>
      <c r="N414" s="99">
        <f>(G414-H414)/365</f>
        <v>58.857534246575341</v>
      </c>
      <c r="O414" s="98">
        <f ca="1">(TODAY()-G414)/365</f>
        <v>23.054794520547944</v>
      </c>
      <c r="P414" s="91" t="s">
        <v>43</v>
      </c>
      <c r="Q414" s="91">
        <v>0</v>
      </c>
      <c r="R414" s="91">
        <v>0</v>
      </c>
      <c r="S414" s="91">
        <v>0</v>
      </c>
      <c r="T414" s="91"/>
      <c r="U414" s="91"/>
      <c r="V414" s="91"/>
      <c r="W414" s="91"/>
      <c r="X414" s="91"/>
      <c r="Y414" s="91"/>
      <c r="Z414" s="91"/>
      <c r="AA414" s="91"/>
      <c r="AB414" s="91"/>
      <c r="AC414" s="91"/>
      <c r="AD414" s="91"/>
      <c r="AE414" s="91"/>
      <c r="AF414" s="91"/>
      <c r="AG414" s="91"/>
      <c r="AH414" s="91"/>
      <c r="AI414" s="91"/>
      <c r="AJ414" s="91"/>
      <c r="AK414" s="91"/>
      <c r="AL414" s="91"/>
      <c r="AM414" s="91"/>
    </row>
    <row r="415" spans="1:39" ht="20.25" hidden="1" customHeight="1">
      <c r="A415" s="91"/>
      <c r="B415" s="93" t="s">
        <v>1477</v>
      </c>
      <c r="C415" s="91" t="s">
        <v>36</v>
      </c>
      <c r="D415" s="94" t="s">
        <v>1626</v>
      </c>
      <c r="E415" s="94" t="s">
        <v>1627</v>
      </c>
      <c r="F415" s="95" t="s">
        <v>1628</v>
      </c>
      <c r="G415" s="96">
        <v>42153</v>
      </c>
      <c r="H415" s="97">
        <v>22649</v>
      </c>
      <c r="I415" s="94" t="s">
        <v>58</v>
      </c>
      <c r="J415" s="94" t="s">
        <v>1629</v>
      </c>
      <c r="K415" s="95">
        <v>991545539</v>
      </c>
      <c r="L415" s="91" t="s">
        <v>72</v>
      </c>
      <c r="M415" s="98">
        <f ca="1">(TODAY()-H415)/365</f>
        <v>63.980821917808221</v>
      </c>
      <c r="N415" s="99">
        <f>(G415-H415)/365</f>
        <v>53.435616438356163</v>
      </c>
      <c r="O415" s="98">
        <f ca="1">(TODAY()-G415)/365</f>
        <v>10.545205479452054</v>
      </c>
      <c r="P415" s="91" t="s">
        <v>43</v>
      </c>
      <c r="Q415" s="91">
        <v>0</v>
      </c>
      <c r="R415" s="91">
        <v>0</v>
      </c>
      <c r="S415" s="91">
        <v>0</v>
      </c>
      <c r="T415" s="91"/>
      <c r="U415" s="91"/>
      <c r="V415" s="91"/>
      <c r="W415" s="91"/>
      <c r="X415" s="91"/>
      <c r="Y415" s="91"/>
      <c r="Z415" s="91"/>
      <c r="AA415" s="91"/>
      <c r="AB415" s="91"/>
      <c r="AC415" s="91"/>
      <c r="AD415" s="91"/>
      <c r="AE415" s="91"/>
      <c r="AF415" s="91"/>
      <c r="AG415" s="91"/>
      <c r="AH415" s="91"/>
      <c r="AI415" s="91"/>
      <c r="AJ415" s="91"/>
      <c r="AK415" s="91"/>
      <c r="AL415" s="91"/>
      <c r="AM415" s="91"/>
    </row>
    <row r="416" spans="1:39" ht="20.25" hidden="1" customHeight="1">
      <c r="A416" s="91"/>
      <c r="B416" s="93" t="s">
        <v>1477</v>
      </c>
      <c r="C416" s="91" t="s">
        <v>36</v>
      </c>
      <c r="D416" s="94" t="s">
        <v>1630</v>
      </c>
      <c r="E416" s="94" t="s">
        <v>1631</v>
      </c>
      <c r="F416" s="95" t="s">
        <v>1632</v>
      </c>
      <c r="G416" s="96">
        <v>42470</v>
      </c>
      <c r="H416" s="97">
        <v>22773</v>
      </c>
      <c r="I416" s="94" t="s">
        <v>58</v>
      </c>
      <c r="J416" s="94" t="s">
        <v>1633</v>
      </c>
      <c r="K416" s="95">
        <v>990595225</v>
      </c>
      <c r="L416" s="91" t="s">
        <v>60</v>
      </c>
      <c r="M416" s="98">
        <f ca="1">(TODAY()-H416)/365</f>
        <v>63.641095890410959</v>
      </c>
      <c r="N416" s="99">
        <f>(G416-H416)/365</f>
        <v>53.964383561643835</v>
      </c>
      <c r="O416" s="98">
        <f ca="1">(TODAY()-G416)/365</f>
        <v>9.6767123287671239</v>
      </c>
      <c r="P416" s="91" t="s">
        <v>43</v>
      </c>
      <c r="Q416" s="91">
        <v>0</v>
      </c>
      <c r="R416" s="91">
        <v>0</v>
      </c>
      <c r="S416" s="91">
        <v>0</v>
      </c>
      <c r="T416" s="91"/>
      <c r="U416" s="91"/>
      <c r="V416" s="91"/>
      <c r="W416" s="91"/>
      <c r="X416" s="91"/>
      <c r="Y416" s="91"/>
      <c r="Z416" s="91"/>
      <c r="AA416" s="91"/>
      <c r="AB416" s="91"/>
      <c r="AC416" s="91"/>
      <c r="AD416" s="91"/>
      <c r="AE416" s="91"/>
      <c r="AF416" s="91"/>
      <c r="AG416" s="91"/>
      <c r="AH416" s="91"/>
      <c r="AI416" s="91"/>
      <c r="AJ416" s="91"/>
      <c r="AK416" s="91"/>
      <c r="AL416" s="91"/>
      <c r="AM416" s="91"/>
    </row>
    <row r="417" spans="1:39" ht="20.25" customHeight="1">
      <c r="A417" s="91"/>
      <c r="B417" s="93" t="s">
        <v>7434</v>
      </c>
      <c r="C417" s="91" t="s">
        <v>73</v>
      </c>
      <c r="D417" s="94" t="s">
        <v>866</v>
      </c>
      <c r="E417" s="94" t="s">
        <v>7481</v>
      </c>
      <c r="F417" s="95" t="s">
        <v>7482</v>
      </c>
      <c r="G417" s="96">
        <v>41821</v>
      </c>
      <c r="H417" s="97">
        <v>19777</v>
      </c>
      <c r="I417" s="100" t="s">
        <v>58</v>
      </c>
      <c r="J417" s="100" t="s">
        <v>58</v>
      </c>
      <c r="K417" s="91" t="s">
        <v>58</v>
      </c>
      <c r="L417" s="91" t="s">
        <v>60</v>
      </c>
      <c r="M417" s="98">
        <f ca="1">(TODAY()-H417)/365</f>
        <v>71.849315068493155</v>
      </c>
      <c r="N417" s="99">
        <f>(G417-H417)/365</f>
        <v>60.394520547945206</v>
      </c>
      <c r="O417" s="98">
        <f ca="1">(TODAY()-G417)/365</f>
        <v>11.454794520547946</v>
      </c>
      <c r="P417" s="91" t="s">
        <v>43</v>
      </c>
      <c r="Q417" s="91">
        <v>0</v>
      </c>
      <c r="R417" s="91">
        <v>0</v>
      </c>
      <c r="S417" s="91">
        <v>0</v>
      </c>
      <c r="T417" s="91"/>
      <c r="U417" s="91"/>
      <c r="V417" s="91"/>
      <c r="W417" s="91"/>
      <c r="X417" s="91"/>
      <c r="Y417" s="91"/>
      <c r="Z417" s="91"/>
      <c r="AA417" s="91"/>
      <c r="AB417" s="91"/>
      <c r="AC417" s="91"/>
      <c r="AD417" s="91"/>
      <c r="AE417" s="91"/>
      <c r="AF417" s="91"/>
      <c r="AG417" s="91"/>
      <c r="AH417" s="91"/>
      <c r="AI417" s="91"/>
      <c r="AJ417" s="91"/>
      <c r="AK417" s="91"/>
      <c r="AL417" s="91"/>
      <c r="AM417" s="91"/>
    </row>
    <row r="418" spans="1:39" ht="20.25" hidden="1" customHeight="1">
      <c r="A418" s="91"/>
      <c r="B418" s="93" t="s">
        <v>1477</v>
      </c>
      <c r="C418" s="91" t="s">
        <v>36</v>
      </c>
      <c r="D418" s="94" t="s">
        <v>1638</v>
      </c>
      <c r="E418" s="94" t="s">
        <v>1639</v>
      </c>
      <c r="F418" s="95" t="s">
        <v>1640</v>
      </c>
      <c r="G418" s="96">
        <v>45038</v>
      </c>
      <c r="H418" s="97">
        <v>21618</v>
      </c>
      <c r="I418" s="94" t="s">
        <v>1641</v>
      </c>
      <c r="J418" s="94" t="s">
        <v>1642</v>
      </c>
      <c r="K418" s="95">
        <v>962960360</v>
      </c>
      <c r="L418" s="91" t="s">
        <v>60</v>
      </c>
      <c r="M418" s="98">
        <f ca="1">(TODAY()-H418)/365</f>
        <v>66.805479452054797</v>
      </c>
      <c r="N418" s="99">
        <f>(G418-H418)/365</f>
        <v>64.164383561643831</v>
      </c>
      <c r="O418" s="98">
        <f ca="1">(TODAY()-G418)/365</f>
        <v>2.6410958904109587</v>
      </c>
      <c r="P418" s="91" t="s">
        <v>43</v>
      </c>
      <c r="Q418" s="91">
        <v>0</v>
      </c>
      <c r="R418" s="91">
        <v>0</v>
      </c>
      <c r="S418" s="91">
        <v>0</v>
      </c>
      <c r="T418" s="91"/>
      <c r="U418" s="91"/>
      <c r="V418" s="91"/>
      <c r="W418" s="91"/>
      <c r="X418" s="91"/>
      <c r="Y418" s="91"/>
      <c r="Z418" s="91"/>
      <c r="AA418" s="91"/>
      <c r="AB418" s="91"/>
      <c r="AC418" s="91"/>
      <c r="AD418" s="91"/>
      <c r="AE418" s="91"/>
      <c r="AF418" s="91"/>
      <c r="AG418" s="91"/>
      <c r="AH418" s="91"/>
      <c r="AI418" s="91"/>
      <c r="AJ418" s="91"/>
      <c r="AK418" s="91"/>
      <c r="AL418" s="91"/>
      <c r="AM418" s="91"/>
    </row>
    <row r="419" spans="1:39" ht="20.25" hidden="1" customHeight="1">
      <c r="A419" s="91"/>
      <c r="B419" s="93" t="s">
        <v>1477</v>
      </c>
      <c r="C419" s="91" t="s">
        <v>36</v>
      </c>
      <c r="D419" s="94" t="s">
        <v>626</v>
      </c>
      <c r="E419" s="94" t="s">
        <v>1643</v>
      </c>
      <c r="F419" s="95" t="s">
        <v>1644</v>
      </c>
      <c r="G419" s="96">
        <v>45038</v>
      </c>
      <c r="H419" s="97">
        <v>21285</v>
      </c>
      <c r="I419" s="94" t="s">
        <v>1645</v>
      </c>
      <c r="J419" s="94" t="s">
        <v>1646</v>
      </c>
      <c r="K419" s="95">
        <v>984669593</v>
      </c>
      <c r="L419" s="91" t="s">
        <v>60</v>
      </c>
      <c r="M419" s="98">
        <f ca="1">(TODAY()-H419)/365</f>
        <v>67.717808219178082</v>
      </c>
      <c r="N419" s="99">
        <f>(G419-H419)/365</f>
        <v>65.07671232876713</v>
      </c>
      <c r="O419" s="98">
        <f ca="1">(TODAY()-G419)/365</f>
        <v>2.6410958904109587</v>
      </c>
      <c r="P419" s="91" t="s">
        <v>43</v>
      </c>
      <c r="Q419" s="91">
        <v>0</v>
      </c>
      <c r="R419" s="91">
        <v>0</v>
      </c>
      <c r="S419" s="91">
        <v>0</v>
      </c>
      <c r="T419" s="91"/>
      <c r="U419" s="91"/>
      <c r="V419" s="91"/>
      <c r="W419" s="91"/>
      <c r="X419" s="91"/>
      <c r="Y419" s="91"/>
      <c r="Z419" s="91"/>
      <c r="AA419" s="91"/>
      <c r="AB419" s="91"/>
      <c r="AC419" s="91"/>
      <c r="AD419" s="91"/>
      <c r="AE419" s="91"/>
      <c r="AF419" s="91"/>
      <c r="AG419" s="91"/>
      <c r="AH419" s="91"/>
      <c r="AI419" s="91"/>
      <c r="AJ419" s="91"/>
      <c r="AK419" s="91"/>
      <c r="AL419" s="91"/>
      <c r="AM419" s="91"/>
    </row>
    <row r="420" spans="1:39" ht="20.25" hidden="1" customHeight="1">
      <c r="A420" s="91"/>
      <c r="B420" s="93" t="s">
        <v>1477</v>
      </c>
      <c r="C420" s="91" t="s">
        <v>36</v>
      </c>
      <c r="D420" s="94" t="s">
        <v>1647</v>
      </c>
      <c r="E420" s="94" t="s">
        <v>1648</v>
      </c>
      <c r="F420" s="95" t="s">
        <v>1649</v>
      </c>
      <c r="G420" s="96">
        <v>40291</v>
      </c>
      <c r="H420" s="97">
        <v>15926</v>
      </c>
      <c r="I420" s="94" t="s">
        <v>58</v>
      </c>
      <c r="J420" s="94" t="s">
        <v>1650</v>
      </c>
      <c r="K420" s="95">
        <v>944401027</v>
      </c>
      <c r="L420" s="91" t="s">
        <v>167</v>
      </c>
      <c r="M420" s="98">
        <f ca="1">(TODAY()-H420)/365</f>
        <v>82.4</v>
      </c>
      <c r="N420" s="99">
        <f>(G420-H420)/365</f>
        <v>66.753424657534254</v>
      </c>
      <c r="O420" s="98">
        <f ca="1">(TODAY()-G420)/365</f>
        <v>15.646575342465754</v>
      </c>
      <c r="P420" s="91" t="s">
        <v>43</v>
      </c>
      <c r="Q420" s="91">
        <v>0</v>
      </c>
      <c r="R420" s="91">
        <v>0</v>
      </c>
      <c r="S420" s="91">
        <v>0</v>
      </c>
      <c r="T420" s="91"/>
      <c r="U420" s="91"/>
      <c r="V420" s="91"/>
      <c r="W420" s="91"/>
      <c r="X420" s="91"/>
      <c r="Y420" s="91"/>
      <c r="Z420" s="91"/>
      <c r="AA420" s="91"/>
      <c r="AB420" s="91"/>
      <c r="AC420" s="91"/>
      <c r="AD420" s="91"/>
      <c r="AE420" s="91"/>
      <c r="AF420" s="91"/>
      <c r="AG420" s="91"/>
      <c r="AH420" s="91"/>
      <c r="AI420" s="91"/>
      <c r="AJ420" s="91"/>
      <c r="AK420" s="91"/>
      <c r="AL420" s="91"/>
      <c r="AM420" s="91"/>
    </row>
    <row r="421" spans="1:39" ht="20.25" hidden="1" customHeight="1">
      <c r="A421" s="91"/>
      <c r="B421" s="93" t="s">
        <v>1477</v>
      </c>
      <c r="C421" s="91" t="s">
        <v>36</v>
      </c>
      <c r="D421" s="94" t="s">
        <v>1651</v>
      </c>
      <c r="E421" s="94" t="s">
        <v>1652</v>
      </c>
      <c r="F421" s="95" t="s">
        <v>1653</v>
      </c>
      <c r="G421" s="96">
        <v>45618</v>
      </c>
      <c r="H421" s="97">
        <v>20012</v>
      </c>
      <c r="I421" s="94" t="s">
        <v>58</v>
      </c>
      <c r="J421" s="94" t="s">
        <v>1654</v>
      </c>
      <c r="K421" s="95">
        <v>944896156</v>
      </c>
      <c r="L421" s="91" t="s">
        <v>60</v>
      </c>
      <c r="M421" s="98">
        <f ca="1">(TODAY()-H421)/365</f>
        <v>71.205479452054789</v>
      </c>
      <c r="N421" s="99">
        <f>(G421-H421)/365</f>
        <v>70.153424657534245</v>
      </c>
      <c r="O421" s="98">
        <f ca="1">(TODAY()-G421)/365</f>
        <v>1.0520547945205478</v>
      </c>
      <c r="P421" s="91" t="s">
        <v>43</v>
      </c>
      <c r="Q421" s="91">
        <v>0</v>
      </c>
      <c r="R421" s="91">
        <v>0</v>
      </c>
      <c r="S421" s="91">
        <v>0</v>
      </c>
      <c r="T421" s="91"/>
      <c r="U421" s="91"/>
      <c r="V421" s="91"/>
      <c r="W421" s="91"/>
      <c r="X421" s="91"/>
      <c r="Y421" s="91"/>
      <c r="Z421" s="91"/>
      <c r="AA421" s="91"/>
      <c r="AB421" s="91"/>
      <c r="AC421" s="91"/>
      <c r="AD421" s="91"/>
      <c r="AE421" s="91"/>
      <c r="AF421" s="91"/>
      <c r="AG421" s="91"/>
      <c r="AH421" s="91"/>
      <c r="AI421" s="91"/>
      <c r="AJ421" s="91"/>
      <c r="AK421" s="91"/>
      <c r="AL421" s="91"/>
      <c r="AM421" s="91"/>
    </row>
    <row r="422" spans="1:39" ht="20.25" hidden="1" customHeight="1">
      <c r="A422" s="91"/>
      <c r="B422" s="93" t="s">
        <v>1477</v>
      </c>
      <c r="C422" s="91" t="s">
        <v>36</v>
      </c>
      <c r="D422" s="94" t="s">
        <v>1655</v>
      </c>
      <c r="E422" s="94" t="s">
        <v>1656</v>
      </c>
      <c r="F422" s="95" t="s">
        <v>1657</v>
      </c>
      <c r="G422" s="96">
        <v>38852</v>
      </c>
      <c r="H422" s="97">
        <v>10392</v>
      </c>
      <c r="I422" s="94" t="s">
        <v>58</v>
      </c>
      <c r="J422" s="94" t="s">
        <v>1658</v>
      </c>
      <c r="K422" s="95">
        <v>422278053</v>
      </c>
      <c r="L422" s="91" t="s">
        <v>60</v>
      </c>
      <c r="M422" s="98">
        <f ca="1">(TODAY()-H422)/365</f>
        <v>97.561643835616437</v>
      </c>
      <c r="N422" s="99">
        <f>(G422-H422)/365</f>
        <v>77.972602739726028</v>
      </c>
      <c r="O422" s="98">
        <f ca="1">(TODAY()-G422)/365</f>
        <v>19.589041095890412</v>
      </c>
      <c r="P422" s="91" t="s">
        <v>43</v>
      </c>
      <c r="Q422" s="91">
        <v>0</v>
      </c>
      <c r="R422" s="91">
        <v>0</v>
      </c>
      <c r="S422" s="91">
        <v>0</v>
      </c>
      <c r="T422" s="91"/>
      <c r="U422" s="91"/>
      <c r="V422" s="91"/>
      <c r="W422" s="91"/>
      <c r="X422" s="91"/>
      <c r="Y422" s="91"/>
      <c r="Z422" s="91"/>
      <c r="AA422" s="91"/>
      <c r="AB422" s="91"/>
      <c r="AC422" s="91"/>
      <c r="AD422" s="91"/>
      <c r="AE422" s="91"/>
      <c r="AF422" s="91"/>
      <c r="AG422" s="91"/>
      <c r="AH422" s="91"/>
      <c r="AI422" s="91"/>
      <c r="AJ422" s="91"/>
      <c r="AK422" s="91"/>
      <c r="AL422" s="91"/>
      <c r="AM422" s="91"/>
    </row>
    <row r="423" spans="1:39" ht="25.5" hidden="1">
      <c r="A423" s="91"/>
      <c r="B423" s="93" t="s">
        <v>10981</v>
      </c>
      <c r="C423" s="91" t="s">
        <v>36</v>
      </c>
      <c r="D423" s="106" t="s">
        <v>10982</v>
      </c>
      <c r="E423" s="106" t="s">
        <v>10983</v>
      </c>
      <c r="F423" s="92" t="s">
        <v>10984</v>
      </c>
      <c r="G423" s="103">
        <v>45355</v>
      </c>
      <c r="H423" s="103">
        <v>28711</v>
      </c>
      <c r="I423" s="94" t="s">
        <v>58</v>
      </c>
      <c r="J423" s="94" t="s">
        <v>10985</v>
      </c>
      <c r="K423" s="95" t="s">
        <v>58</v>
      </c>
      <c r="L423" s="91"/>
      <c r="M423" s="98">
        <f ca="1">(TODAY()-H423)/365</f>
        <v>47.372602739726027</v>
      </c>
      <c r="N423" s="99">
        <f>(G423-H423)/365</f>
        <v>45.6</v>
      </c>
      <c r="O423" s="98">
        <f ca="1">(TODAY()-G423)/365</f>
        <v>1.7726027397260273</v>
      </c>
      <c r="P423" s="91" t="s">
        <v>272</v>
      </c>
      <c r="Q423" s="91"/>
      <c r="R423" s="91"/>
      <c r="S423" s="91"/>
      <c r="T423" s="91"/>
      <c r="U423" s="91"/>
      <c r="V423" s="91"/>
      <c r="W423" s="91"/>
      <c r="X423" s="91"/>
      <c r="Y423" s="91"/>
      <c r="Z423" s="91"/>
      <c r="AA423" s="91"/>
      <c r="AB423" s="91"/>
      <c r="AC423" s="91"/>
      <c r="AD423" s="91"/>
      <c r="AE423" s="91"/>
      <c r="AF423" s="91"/>
      <c r="AG423" s="91"/>
      <c r="AH423" s="91"/>
      <c r="AI423" s="91"/>
      <c r="AJ423" s="91"/>
      <c r="AK423" s="91"/>
      <c r="AL423" s="91"/>
      <c r="AM423" s="91"/>
    </row>
    <row r="424" spans="1:39" ht="20.25" hidden="1" customHeight="1">
      <c r="A424" s="91"/>
      <c r="B424" s="93" t="s">
        <v>10981</v>
      </c>
      <c r="C424" s="91" t="s">
        <v>36</v>
      </c>
      <c r="D424" s="106" t="s">
        <v>10986</v>
      </c>
      <c r="E424" s="106" t="s">
        <v>10987</v>
      </c>
      <c r="F424" s="92" t="s">
        <v>10988</v>
      </c>
      <c r="G424" s="103">
        <v>29727</v>
      </c>
      <c r="H424" s="103">
        <v>18805</v>
      </c>
      <c r="I424" s="94" t="s">
        <v>58</v>
      </c>
      <c r="J424" s="94" t="s">
        <v>10989</v>
      </c>
      <c r="K424" s="95" t="s">
        <v>58</v>
      </c>
      <c r="L424" s="91"/>
      <c r="M424" s="98">
        <f ca="1">(TODAY()-H424)/365</f>
        <v>74.512328767123293</v>
      </c>
      <c r="N424" s="99">
        <f>(G424-H424)/365</f>
        <v>29.923287671232877</v>
      </c>
      <c r="O424" s="98">
        <f ca="1">(TODAY()-G424)/365</f>
        <v>44.589041095890408</v>
      </c>
      <c r="P424" s="91" t="s">
        <v>43</v>
      </c>
      <c r="Q424" s="91"/>
      <c r="R424" s="91"/>
      <c r="S424" s="91"/>
      <c r="T424" s="91"/>
      <c r="U424" s="91"/>
      <c r="V424" s="91"/>
      <c r="W424" s="91"/>
      <c r="X424" s="91"/>
      <c r="Y424" s="91"/>
      <c r="Z424" s="91"/>
      <c r="AA424" s="91"/>
      <c r="AB424" s="91"/>
      <c r="AC424" s="91"/>
      <c r="AD424" s="91"/>
      <c r="AE424" s="91"/>
      <c r="AF424" s="91"/>
      <c r="AG424" s="91"/>
      <c r="AH424" s="91"/>
      <c r="AI424" s="91"/>
      <c r="AJ424" s="91"/>
      <c r="AK424" s="91"/>
      <c r="AL424" s="91"/>
      <c r="AM424" s="91"/>
    </row>
    <row r="425" spans="1:39" ht="20.25" hidden="1" customHeight="1">
      <c r="A425" s="91"/>
      <c r="B425" s="93" t="s">
        <v>10981</v>
      </c>
      <c r="C425" s="91" t="s">
        <v>36</v>
      </c>
      <c r="D425" s="106" t="s">
        <v>10990</v>
      </c>
      <c r="E425" s="106" t="s">
        <v>10991</v>
      </c>
      <c r="F425" s="92" t="s">
        <v>10992</v>
      </c>
      <c r="G425" s="103">
        <v>45036</v>
      </c>
      <c r="H425" s="103">
        <v>24842</v>
      </c>
      <c r="I425" s="94" t="s">
        <v>58</v>
      </c>
      <c r="J425" s="94" t="s">
        <v>10993</v>
      </c>
      <c r="K425" s="95" t="s">
        <v>58</v>
      </c>
      <c r="L425" s="91"/>
      <c r="M425" s="98">
        <f ca="1">(TODAY()-H425)/365</f>
        <v>57.972602739726028</v>
      </c>
      <c r="N425" s="99">
        <f>(G425-H425)/365</f>
        <v>55.326027397260276</v>
      </c>
      <c r="O425" s="98">
        <f ca="1">(TODAY()-G425)/365</f>
        <v>2.6465753424657534</v>
      </c>
      <c r="P425" s="91" t="s">
        <v>43</v>
      </c>
      <c r="Q425" s="91"/>
      <c r="R425" s="91"/>
      <c r="S425" s="91"/>
      <c r="T425" s="91"/>
      <c r="U425" s="91"/>
      <c r="V425" s="91"/>
      <c r="W425" s="91"/>
      <c r="X425" s="91"/>
      <c r="Y425" s="91"/>
      <c r="Z425" s="91"/>
      <c r="AA425" s="91"/>
      <c r="AB425" s="91"/>
      <c r="AC425" s="91"/>
      <c r="AD425" s="91"/>
      <c r="AE425" s="91"/>
      <c r="AF425" s="91"/>
      <c r="AG425" s="91"/>
      <c r="AH425" s="91"/>
      <c r="AI425" s="91"/>
      <c r="AJ425" s="91"/>
      <c r="AK425" s="91"/>
      <c r="AL425" s="91"/>
      <c r="AM425" s="91"/>
    </row>
    <row r="426" spans="1:39" ht="20.25" hidden="1" customHeight="1">
      <c r="A426" s="91"/>
      <c r="B426" s="93" t="s">
        <v>10981</v>
      </c>
      <c r="C426" s="91" t="s">
        <v>36</v>
      </c>
      <c r="D426" s="106" t="s">
        <v>10994</v>
      </c>
      <c r="E426" s="106" t="s">
        <v>10995</v>
      </c>
      <c r="F426" s="92" t="s">
        <v>10996</v>
      </c>
      <c r="G426" s="103">
        <v>29129</v>
      </c>
      <c r="H426" s="103">
        <v>20739</v>
      </c>
      <c r="I426" s="94" t="s">
        <v>58</v>
      </c>
      <c r="J426" s="94" t="s">
        <v>10997</v>
      </c>
      <c r="K426" s="95" t="s">
        <v>58</v>
      </c>
      <c r="L426" s="91"/>
      <c r="M426" s="98">
        <f ca="1">(TODAY()-H426)/365</f>
        <v>69.213698630136989</v>
      </c>
      <c r="N426" s="99">
        <f>(G426-H426)/365</f>
        <v>22.986301369863014</v>
      </c>
      <c r="O426" s="98">
        <f ca="1">(TODAY()-G426)/365</f>
        <v>46.227397260273975</v>
      </c>
      <c r="P426" s="91" t="s">
        <v>43</v>
      </c>
      <c r="Q426" s="91"/>
      <c r="R426" s="91"/>
      <c r="S426" s="91"/>
      <c r="T426" s="91"/>
      <c r="U426" s="91"/>
      <c r="V426" s="91"/>
      <c r="W426" s="91"/>
      <c r="X426" s="91"/>
      <c r="Y426" s="91"/>
      <c r="Z426" s="91"/>
      <c r="AA426" s="91"/>
      <c r="AB426" s="91"/>
      <c r="AC426" s="91"/>
      <c r="AD426" s="91"/>
      <c r="AE426" s="91"/>
      <c r="AF426" s="91"/>
      <c r="AG426" s="91"/>
      <c r="AH426" s="91"/>
      <c r="AI426" s="91"/>
      <c r="AJ426" s="91"/>
      <c r="AK426" s="91"/>
      <c r="AL426" s="91"/>
      <c r="AM426" s="91"/>
    </row>
    <row r="427" spans="1:39" ht="20.25" hidden="1" customHeight="1">
      <c r="A427" s="91"/>
      <c r="B427" s="93" t="s">
        <v>10981</v>
      </c>
      <c r="C427" s="91" t="s">
        <v>36</v>
      </c>
      <c r="D427" s="106" t="s">
        <v>10998</v>
      </c>
      <c r="E427" s="106" t="s">
        <v>10999</v>
      </c>
      <c r="F427" s="92" t="s">
        <v>11000</v>
      </c>
      <c r="G427" s="103">
        <v>43198</v>
      </c>
      <c r="H427" s="103">
        <v>31244</v>
      </c>
      <c r="I427" s="94" t="s">
        <v>58</v>
      </c>
      <c r="J427" s="94" t="s">
        <v>11001</v>
      </c>
      <c r="K427" s="95" t="s">
        <v>58</v>
      </c>
      <c r="L427" s="91"/>
      <c r="M427" s="98">
        <f ca="1">(TODAY()-H427)/365</f>
        <v>40.43287671232877</v>
      </c>
      <c r="N427" s="99">
        <f>(G427-H427)/365</f>
        <v>32.750684931506846</v>
      </c>
      <c r="O427" s="98">
        <f ca="1">(TODAY()-G427)/365</f>
        <v>7.6821917808219178</v>
      </c>
      <c r="P427" s="91" t="s">
        <v>272</v>
      </c>
      <c r="Q427" s="91"/>
      <c r="R427" s="91"/>
      <c r="S427" s="91"/>
      <c r="T427" s="91"/>
      <c r="U427" s="91"/>
      <c r="V427" s="91"/>
      <c r="W427" s="91"/>
      <c r="X427" s="91"/>
      <c r="Y427" s="91"/>
      <c r="Z427" s="91"/>
      <c r="AA427" s="91"/>
      <c r="AB427" s="91"/>
      <c r="AC427" s="91"/>
      <c r="AD427" s="91"/>
      <c r="AE427" s="91"/>
      <c r="AF427" s="91"/>
      <c r="AG427" s="91"/>
      <c r="AH427" s="91"/>
      <c r="AI427" s="91"/>
      <c r="AJ427" s="91"/>
      <c r="AK427" s="91"/>
      <c r="AL427" s="91"/>
      <c r="AM427" s="91"/>
    </row>
    <row r="428" spans="1:39" ht="20.25" hidden="1" customHeight="1">
      <c r="A428" s="91"/>
      <c r="B428" s="93" t="s">
        <v>10981</v>
      </c>
      <c r="C428" s="91" t="s">
        <v>36</v>
      </c>
      <c r="D428" s="106" t="s">
        <v>11002</v>
      </c>
      <c r="E428" s="106" t="s">
        <v>11003</v>
      </c>
      <c r="F428" s="92" t="s">
        <v>11004</v>
      </c>
      <c r="G428" s="103">
        <v>25386</v>
      </c>
      <c r="H428" s="103">
        <v>16972</v>
      </c>
      <c r="I428" s="94" t="s">
        <v>58</v>
      </c>
      <c r="J428" s="94" t="s">
        <v>11005</v>
      </c>
      <c r="K428" s="95" t="s">
        <v>58</v>
      </c>
      <c r="L428" s="91"/>
      <c r="M428" s="98">
        <f ca="1">(TODAY()-H428)/365</f>
        <v>79.534246575342465</v>
      </c>
      <c r="N428" s="99">
        <f>(G428-H428)/365</f>
        <v>23.052054794520547</v>
      </c>
      <c r="O428" s="98">
        <f ca="1">(TODAY()-G428)/365</f>
        <v>56.482191780821921</v>
      </c>
      <c r="P428" s="91" t="s">
        <v>43</v>
      </c>
      <c r="Q428" s="91"/>
      <c r="R428" s="91"/>
      <c r="S428" s="91"/>
      <c r="T428" s="91"/>
      <c r="U428" s="91"/>
      <c r="V428" s="91"/>
      <c r="W428" s="91"/>
      <c r="X428" s="91"/>
      <c r="Y428" s="91"/>
      <c r="Z428" s="91"/>
      <c r="AA428" s="91"/>
      <c r="AB428" s="91"/>
      <c r="AC428" s="91"/>
      <c r="AD428" s="91"/>
      <c r="AE428" s="91"/>
      <c r="AF428" s="91"/>
      <c r="AG428" s="91"/>
      <c r="AH428" s="91"/>
      <c r="AI428" s="91"/>
      <c r="AJ428" s="91"/>
      <c r="AK428" s="91"/>
      <c r="AL428" s="91"/>
      <c r="AM428" s="91"/>
    </row>
    <row r="429" spans="1:39" ht="20.25" hidden="1" customHeight="1">
      <c r="A429" s="91"/>
      <c r="B429" s="93" t="s">
        <v>10981</v>
      </c>
      <c r="C429" s="91" t="s">
        <v>36</v>
      </c>
      <c r="D429" s="106" t="s">
        <v>11006</v>
      </c>
      <c r="E429" s="106" t="s">
        <v>11007</v>
      </c>
      <c r="F429" s="92" t="s">
        <v>11008</v>
      </c>
      <c r="G429" s="103">
        <v>45563</v>
      </c>
      <c r="H429" s="103">
        <v>30332</v>
      </c>
      <c r="I429" s="94" t="s">
        <v>58</v>
      </c>
      <c r="J429" s="94" t="s">
        <v>11009</v>
      </c>
      <c r="K429" s="95" t="s">
        <v>58</v>
      </c>
      <c r="L429" s="91"/>
      <c r="M429" s="98">
        <f ca="1">(TODAY()-H429)/365</f>
        <v>42.93150684931507</v>
      </c>
      <c r="N429" s="99">
        <f>(G429-H429)/365</f>
        <v>41.728767123287675</v>
      </c>
      <c r="O429" s="98">
        <f ca="1">(TODAY()-G429)/365</f>
        <v>1.2027397260273973</v>
      </c>
      <c r="P429" s="91" t="s">
        <v>43</v>
      </c>
      <c r="Q429" s="91"/>
      <c r="R429" s="91"/>
      <c r="S429" s="91"/>
      <c r="T429" s="91"/>
      <c r="U429" s="91"/>
      <c r="V429" s="91"/>
      <c r="W429" s="91"/>
      <c r="X429" s="91"/>
      <c r="Y429" s="91"/>
      <c r="Z429" s="91"/>
      <c r="AA429" s="91"/>
      <c r="AB429" s="91"/>
      <c r="AC429" s="91"/>
      <c r="AD429" s="91"/>
      <c r="AE429" s="91"/>
      <c r="AF429" s="91"/>
      <c r="AG429" s="91"/>
      <c r="AH429" s="91"/>
      <c r="AI429" s="91"/>
      <c r="AJ429" s="91"/>
      <c r="AK429" s="91"/>
      <c r="AL429" s="91"/>
      <c r="AM429" s="91"/>
    </row>
    <row r="430" spans="1:39" ht="20.25" hidden="1" customHeight="1">
      <c r="A430" s="91"/>
      <c r="B430" s="93" t="s">
        <v>10981</v>
      </c>
      <c r="C430" s="91" t="s">
        <v>36</v>
      </c>
      <c r="D430" s="106" t="s">
        <v>10753</v>
      </c>
      <c r="E430" s="106" t="s">
        <v>11010</v>
      </c>
      <c r="F430" s="92" t="s">
        <v>11011</v>
      </c>
      <c r="G430" s="103">
        <v>36429</v>
      </c>
      <c r="H430" s="103">
        <v>16230</v>
      </c>
      <c r="I430" s="94" t="s">
        <v>58</v>
      </c>
      <c r="J430" s="94" t="s">
        <v>11012</v>
      </c>
      <c r="K430" s="95" t="s">
        <v>58</v>
      </c>
      <c r="L430" s="91"/>
      <c r="M430" s="98">
        <f ca="1">(TODAY()-H430)/365</f>
        <v>81.567123287671237</v>
      </c>
      <c r="N430" s="99">
        <f>(G430-H430)/365</f>
        <v>55.339726027397262</v>
      </c>
      <c r="O430" s="98">
        <f ca="1">(TODAY()-G430)/365</f>
        <v>26.227397260273971</v>
      </c>
      <c r="P430" s="91" t="s">
        <v>43</v>
      </c>
      <c r="Q430" s="91"/>
      <c r="R430" s="91"/>
      <c r="S430" s="91"/>
      <c r="T430" s="91"/>
      <c r="U430" s="91"/>
      <c r="V430" s="91"/>
      <c r="W430" s="91"/>
      <c r="X430" s="91"/>
      <c r="Y430" s="91"/>
      <c r="Z430" s="91"/>
      <c r="AA430" s="91"/>
      <c r="AB430" s="91"/>
      <c r="AC430" s="91"/>
      <c r="AD430" s="91"/>
      <c r="AE430" s="91"/>
      <c r="AF430" s="91"/>
      <c r="AG430" s="91"/>
      <c r="AH430" s="91"/>
      <c r="AI430" s="91"/>
      <c r="AJ430" s="91"/>
      <c r="AK430" s="91"/>
      <c r="AL430" s="91"/>
      <c r="AM430" s="91"/>
    </row>
    <row r="431" spans="1:39" ht="20.25" hidden="1" customHeight="1">
      <c r="A431" s="91"/>
      <c r="B431" s="93" t="s">
        <v>10981</v>
      </c>
      <c r="C431" s="91" t="s">
        <v>36</v>
      </c>
      <c r="D431" s="106" t="s">
        <v>11013</v>
      </c>
      <c r="E431" s="106" t="s">
        <v>11014</v>
      </c>
      <c r="F431" s="92" t="s">
        <v>11015</v>
      </c>
      <c r="G431" s="103">
        <v>43160</v>
      </c>
      <c r="H431" s="103">
        <v>18192</v>
      </c>
      <c r="I431" s="94" t="s">
        <v>58</v>
      </c>
      <c r="J431" s="94" t="s">
        <v>11016</v>
      </c>
      <c r="K431" s="95" t="s">
        <v>58</v>
      </c>
      <c r="L431" s="91"/>
      <c r="M431" s="98">
        <f ca="1">(TODAY()-H431)/365</f>
        <v>76.191780821917803</v>
      </c>
      <c r="N431" s="99">
        <f>(G431-H431)/365</f>
        <v>68.405479452054792</v>
      </c>
      <c r="O431" s="98">
        <f ca="1">(TODAY()-G431)/365</f>
        <v>7.7863013698630139</v>
      </c>
      <c r="P431" s="91" t="s">
        <v>272</v>
      </c>
      <c r="Q431" s="91"/>
      <c r="R431" s="91"/>
      <c r="S431" s="91"/>
      <c r="T431" s="91"/>
      <c r="U431" s="91"/>
      <c r="V431" s="91"/>
      <c r="W431" s="91"/>
      <c r="X431" s="91"/>
      <c r="Y431" s="91"/>
      <c r="Z431" s="91"/>
      <c r="AA431" s="91"/>
      <c r="AB431" s="91"/>
      <c r="AC431" s="91"/>
      <c r="AD431" s="91"/>
      <c r="AE431" s="91"/>
      <c r="AF431" s="91"/>
      <c r="AG431" s="91"/>
      <c r="AH431" s="91"/>
      <c r="AI431" s="91"/>
      <c r="AJ431" s="91"/>
      <c r="AK431" s="91"/>
      <c r="AL431" s="91"/>
      <c r="AM431" s="91"/>
    </row>
    <row r="432" spans="1:39" ht="20.25" hidden="1" customHeight="1">
      <c r="A432" s="91"/>
      <c r="B432" s="93" t="s">
        <v>10981</v>
      </c>
      <c r="C432" s="91" t="s">
        <v>36</v>
      </c>
      <c r="D432" s="106" t="s">
        <v>11017</v>
      </c>
      <c r="E432" s="106" t="s">
        <v>11018</v>
      </c>
      <c r="F432" s="92" t="s">
        <v>11019</v>
      </c>
      <c r="G432" s="103">
        <v>45402</v>
      </c>
      <c r="H432" s="103">
        <v>31578</v>
      </c>
      <c r="I432" s="94" t="s">
        <v>58</v>
      </c>
      <c r="J432" s="94" t="s">
        <v>11020</v>
      </c>
      <c r="K432" s="95" t="s">
        <v>58</v>
      </c>
      <c r="L432" s="91"/>
      <c r="M432" s="98">
        <f ca="1">(TODAY()-H432)/365</f>
        <v>39.517808219178079</v>
      </c>
      <c r="N432" s="99">
        <f>(G432-H432)/365</f>
        <v>37.873972602739727</v>
      </c>
      <c r="O432" s="98">
        <f ca="1">(TODAY()-G432)/365</f>
        <v>1.6438356164383561</v>
      </c>
      <c r="P432" s="91" t="s">
        <v>43</v>
      </c>
      <c r="Q432" s="91"/>
      <c r="R432" s="91"/>
      <c r="S432" s="91"/>
      <c r="T432" s="91"/>
      <c r="U432" s="91"/>
      <c r="V432" s="91"/>
      <c r="W432" s="91"/>
      <c r="X432" s="91"/>
      <c r="Y432" s="91"/>
      <c r="Z432" s="91"/>
      <c r="AA432" s="91"/>
      <c r="AB432" s="91"/>
      <c r="AC432" s="91"/>
      <c r="AD432" s="91"/>
      <c r="AE432" s="91"/>
      <c r="AF432" s="91"/>
      <c r="AG432" s="91"/>
      <c r="AH432" s="91"/>
      <c r="AI432" s="91"/>
      <c r="AJ432" s="91"/>
      <c r="AK432" s="91"/>
      <c r="AL432" s="91"/>
      <c r="AM432" s="91"/>
    </row>
    <row r="433" spans="1:39" ht="20.25" hidden="1" customHeight="1">
      <c r="A433" s="91"/>
      <c r="B433" s="93" t="s">
        <v>10981</v>
      </c>
      <c r="C433" s="91" t="s">
        <v>36</v>
      </c>
      <c r="D433" s="106" t="s">
        <v>11021</v>
      </c>
      <c r="E433" s="106" t="s">
        <v>11022</v>
      </c>
      <c r="F433" s="92" t="s">
        <v>11023</v>
      </c>
      <c r="G433" s="103">
        <v>42922</v>
      </c>
      <c r="H433" s="103">
        <v>20169</v>
      </c>
      <c r="I433" s="94" t="s">
        <v>58</v>
      </c>
      <c r="J433" s="94" t="s">
        <v>11024</v>
      </c>
      <c r="K433" s="95" t="s">
        <v>58</v>
      </c>
      <c r="L433" s="91"/>
      <c r="M433" s="98">
        <f ca="1">(TODAY()-H433)/365</f>
        <v>70.775342465753425</v>
      </c>
      <c r="N433" s="99">
        <f>(G433-H433)/365</f>
        <v>62.336986301369862</v>
      </c>
      <c r="O433" s="98">
        <f ca="1">(TODAY()-G433)/365</f>
        <v>8.4383561643835616</v>
      </c>
      <c r="P433" s="91" t="s">
        <v>43</v>
      </c>
      <c r="Q433" s="91"/>
      <c r="R433" s="91"/>
      <c r="S433" s="91"/>
      <c r="T433" s="91"/>
      <c r="U433" s="91"/>
      <c r="V433" s="91"/>
      <c r="W433" s="91"/>
      <c r="X433" s="91"/>
      <c r="Y433" s="91"/>
      <c r="Z433" s="91"/>
      <c r="AA433" s="91"/>
      <c r="AB433" s="91"/>
      <c r="AC433" s="91"/>
      <c r="AD433" s="91"/>
      <c r="AE433" s="91"/>
      <c r="AF433" s="91"/>
      <c r="AG433" s="91"/>
      <c r="AH433" s="91"/>
      <c r="AI433" s="91"/>
      <c r="AJ433" s="91"/>
      <c r="AK433" s="91"/>
      <c r="AL433" s="91"/>
      <c r="AM433" s="91"/>
    </row>
    <row r="434" spans="1:39" ht="20.25" hidden="1" customHeight="1">
      <c r="A434" s="91"/>
      <c r="B434" s="93" t="s">
        <v>10981</v>
      </c>
      <c r="C434" s="91" t="s">
        <v>36</v>
      </c>
      <c r="D434" s="106" t="s">
        <v>11025</v>
      </c>
      <c r="E434" s="106" t="s">
        <v>11026</v>
      </c>
      <c r="F434" s="92" t="s">
        <v>11027</v>
      </c>
      <c r="G434" s="103">
        <v>40010</v>
      </c>
      <c r="H434" s="103">
        <v>23388</v>
      </c>
      <c r="I434" s="94" t="s">
        <v>58</v>
      </c>
      <c r="J434" s="94" t="s">
        <v>11028</v>
      </c>
      <c r="K434" s="95" t="s">
        <v>58</v>
      </c>
      <c r="L434" s="91"/>
      <c r="M434" s="98">
        <f ca="1">(TODAY()-H434)/365</f>
        <v>61.956164383561642</v>
      </c>
      <c r="N434" s="99">
        <f>(G434-H434)/365</f>
        <v>45.539726027397258</v>
      </c>
      <c r="O434" s="98">
        <f ca="1">(TODAY()-G434)/365</f>
        <v>16.416438356164385</v>
      </c>
      <c r="P434" s="91" t="s">
        <v>272</v>
      </c>
      <c r="Q434" s="91"/>
      <c r="R434" s="91"/>
      <c r="S434" s="91"/>
      <c r="T434" s="91"/>
      <c r="U434" s="91"/>
      <c r="V434" s="91"/>
      <c r="W434" s="91"/>
      <c r="X434" s="91"/>
      <c r="Y434" s="91"/>
      <c r="Z434" s="91"/>
      <c r="AA434" s="91"/>
      <c r="AB434" s="91"/>
      <c r="AC434" s="91"/>
      <c r="AD434" s="91"/>
      <c r="AE434" s="91"/>
      <c r="AF434" s="91"/>
      <c r="AG434" s="91"/>
      <c r="AH434" s="91"/>
      <c r="AI434" s="91"/>
      <c r="AJ434" s="91"/>
      <c r="AK434" s="91"/>
      <c r="AL434" s="91"/>
      <c r="AM434" s="91"/>
    </row>
    <row r="435" spans="1:39" ht="20.25" hidden="1" customHeight="1">
      <c r="A435" s="91"/>
      <c r="B435" s="93" t="s">
        <v>10981</v>
      </c>
      <c r="C435" s="91" t="s">
        <v>36</v>
      </c>
      <c r="D435" s="106" t="s">
        <v>11029</v>
      </c>
      <c r="E435" s="106" t="s">
        <v>11030</v>
      </c>
      <c r="F435" s="92" t="s">
        <v>11031</v>
      </c>
      <c r="G435" s="103">
        <v>45587</v>
      </c>
      <c r="H435" s="103">
        <v>25898</v>
      </c>
      <c r="I435" s="108" t="s">
        <v>12635</v>
      </c>
      <c r="J435" s="94" t="s">
        <v>11032</v>
      </c>
      <c r="K435" s="95" t="s">
        <v>58</v>
      </c>
      <c r="L435" s="91"/>
      <c r="M435" s="98">
        <f ca="1">(TODAY()-H435)/365</f>
        <v>55.079452054794523</v>
      </c>
      <c r="N435" s="99">
        <f>(G435-H435)/365</f>
        <v>53.942465753424656</v>
      </c>
      <c r="O435" s="98">
        <f ca="1">(TODAY()-G435)/365</f>
        <v>1.1369863013698631</v>
      </c>
      <c r="P435" s="91" t="s">
        <v>43</v>
      </c>
      <c r="Q435" s="91"/>
      <c r="R435" s="91"/>
      <c r="S435" s="91"/>
      <c r="T435" s="91"/>
      <c r="U435" s="91"/>
      <c r="V435" s="91"/>
      <c r="W435" s="91"/>
      <c r="X435" s="91"/>
      <c r="Y435" s="91"/>
      <c r="Z435" s="91"/>
      <c r="AA435" s="91"/>
      <c r="AB435" s="91"/>
      <c r="AC435" s="91"/>
      <c r="AD435" s="91"/>
      <c r="AE435" s="91"/>
      <c r="AF435" s="91"/>
      <c r="AG435" s="91"/>
      <c r="AH435" s="91"/>
      <c r="AI435" s="91"/>
      <c r="AJ435" s="91"/>
      <c r="AK435" s="91"/>
      <c r="AL435" s="91"/>
      <c r="AM435" s="91"/>
    </row>
    <row r="436" spans="1:39" ht="20.25" hidden="1" customHeight="1">
      <c r="A436" s="91"/>
      <c r="B436" s="93" t="s">
        <v>10981</v>
      </c>
      <c r="C436" s="91" t="s">
        <v>36</v>
      </c>
      <c r="D436" s="106" t="s">
        <v>11033</v>
      </c>
      <c r="E436" s="106" t="s">
        <v>11034</v>
      </c>
      <c r="F436" s="92" t="s">
        <v>11035</v>
      </c>
      <c r="G436" s="103">
        <v>45587</v>
      </c>
      <c r="H436" s="103">
        <v>28932</v>
      </c>
      <c r="I436" s="94" t="s">
        <v>58</v>
      </c>
      <c r="J436" s="94" t="s">
        <v>11036</v>
      </c>
      <c r="K436" s="95" t="s">
        <v>58</v>
      </c>
      <c r="L436" s="91"/>
      <c r="M436" s="98">
        <f ca="1">(TODAY()-H436)/365</f>
        <v>46.767123287671232</v>
      </c>
      <c r="N436" s="99">
        <f>(G436-H436)/365</f>
        <v>45.630136986301373</v>
      </c>
      <c r="O436" s="98">
        <f ca="1">(TODAY()-G436)/365</f>
        <v>1.1369863013698631</v>
      </c>
      <c r="P436" s="91" t="s">
        <v>43</v>
      </c>
      <c r="Q436" s="91"/>
      <c r="R436" s="91"/>
      <c r="S436" s="91"/>
      <c r="T436" s="91"/>
      <c r="U436" s="91"/>
      <c r="V436" s="91"/>
      <c r="W436" s="91"/>
      <c r="X436" s="91"/>
      <c r="Y436" s="91"/>
      <c r="Z436" s="91"/>
      <c r="AA436" s="91"/>
      <c r="AB436" s="91"/>
      <c r="AC436" s="91"/>
      <c r="AD436" s="91"/>
      <c r="AE436" s="91"/>
      <c r="AF436" s="91"/>
      <c r="AG436" s="91"/>
      <c r="AH436" s="91"/>
      <c r="AI436" s="91"/>
      <c r="AJ436" s="91"/>
      <c r="AK436" s="91"/>
      <c r="AL436" s="91"/>
      <c r="AM436" s="91"/>
    </row>
    <row r="437" spans="1:39" ht="20.25" hidden="1" customHeight="1">
      <c r="A437" s="91"/>
      <c r="B437" s="93" t="s">
        <v>10981</v>
      </c>
      <c r="C437" s="91" t="s">
        <v>36</v>
      </c>
      <c r="D437" s="106" t="s">
        <v>11037</v>
      </c>
      <c r="E437" s="106" t="s">
        <v>11038</v>
      </c>
      <c r="F437" s="92" t="s">
        <v>11039</v>
      </c>
      <c r="G437" s="103">
        <v>27951</v>
      </c>
      <c r="H437" s="103">
        <v>19865</v>
      </c>
      <c r="I437" s="94" t="s">
        <v>58</v>
      </c>
      <c r="J437" s="94" t="s">
        <v>11040</v>
      </c>
      <c r="K437" s="95" t="s">
        <v>58</v>
      </c>
      <c r="L437" s="91"/>
      <c r="M437" s="98">
        <f ca="1">(TODAY()-H437)/365</f>
        <v>71.608219178082194</v>
      </c>
      <c r="N437" s="99">
        <f>(G437-H437)/365</f>
        <v>22.153424657534245</v>
      </c>
      <c r="O437" s="98">
        <f ca="1">(TODAY()-G437)/365</f>
        <v>49.454794520547942</v>
      </c>
      <c r="P437" s="91" t="s">
        <v>43</v>
      </c>
      <c r="Q437" s="91"/>
      <c r="R437" s="91"/>
      <c r="S437" s="91"/>
      <c r="T437" s="91"/>
      <c r="U437" s="91"/>
      <c r="V437" s="91"/>
      <c r="W437" s="91"/>
      <c r="X437" s="91"/>
      <c r="Y437" s="91"/>
      <c r="Z437" s="91"/>
      <c r="AA437" s="91"/>
      <c r="AB437" s="91"/>
      <c r="AC437" s="91"/>
      <c r="AD437" s="91"/>
      <c r="AE437" s="91"/>
      <c r="AF437" s="91"/>
      <c r="AG437" s="91"/>
      <c r="AH437" s="91"/>
      <c r="AI437" s="91"/>
      <c r="AJ437" s="91"/>
      <c r="AK437" s="91"/>
      <c r="AL437" s="91"/>
      <c r="AM437" s="91"/>
    </row>
    <row r="438" spans="1:39" ht="20.25" hidden="1" customHeight="1">
      <c r="A438" s="91"/>
      <c r="B438" s="93" t="s">
        <v>10981</v>
      </c>
      <c r="C438" s="91" t="s">
        <v>36</v>
      </c>
      <c r="D438" s="106" t="s">
        <v>11041</v>
      </c>
      <c r="E438" s="106" t="s">
        <v>11042</v>
      </c>
      <c r="F438" s="92" t="s">
        <v>11043</v>
      </c>
      <c r="G438" s="103">
        <v>36689</v>
      </c>
      <c r="H438" s="103">
        <v>24791</v>
      </c>
      <c r="I438" s="108" t="s">
        <v>12636</v>
      </c>
      <c r="J438" s="94" t="s">
        <v>11044</v>
      </c>
      <c r="K438" s="95" t="s">
        <v>58</v>
      </c>
      <c r="L438" s="91" t="s">
        <v>42</v>
      </c>
      <c r="M438" s="98">
        <f ca="1">(TODAY()-H438)/365</f>
        <v>58.112328767123287</v>
      </c>
      <c r="N438" s="99">
        <f>(G438-H438)/365</f>
        <v>32.597260273972601</v>
      </c>
      <c r="O438" s="98">
        <f ca="1">(TODAY()-G438)/365</f>
        <v>25.515068493150686</v>
      </c>
      <c r="P438" s="91" t="s">
        <v>272</v>
      </c>
      <c r="Q438" s="91"/>
      <c r="R438" s="91">
        <v>1</v>
      </c>
      <c r="S438" s="91"/>
      <c r="T438" s="91">
        <v>1</v>
      </c>
      <c r="U438" s="91">
        <v>1</v>
      </c>
      <c r="V438" s="91">
        <v>1</v>
      </c>
      <c r="W438" s="91"/>
      <c r="X438" s="91"/>
      <c r="Y438" s="91"/>
      <c r="Z438" s="91"/>
      <c r="AA438" s="91"/>
      <c r="AB438" s="91"/>
      <c r="AC438" s="91"/>
      <c r="AD438" s="91"/>
      <c r="AE438" s="91"/>
      <c r="AF438" s="91"/>
      <c r="AG438" s="91">
        <v>1</v>
      </c>
      <c r="AH438" s="91">
        <v>1</v>
      </c>
      <c r="AI438" s="91"/>
      <c r="AJ438" s="91"/>
      <c r="AK438" s="91"/>
      <c r="AL438" s="91"/>
      <c r="AM438" s="91"/>
    </row>
    <row r="439" spans="1:39" ht="20.25" hidden="1" customHeight="1">
      <c r="A439" s="91"/>
      <c r="B439" s="93" t="s">
        <v>10981</v>
      </c>
      <c r="C439" s="91" t="s">
        <v>36</v>
      </c>
      <c r="D439" s="106" t="s">
        <v>11045</v>
      </c>
      <c r="E439" s="106" t="s">
        <v>11046</v>
      </c>
      <c r="F439" s="92" t="s">
        <v>11047</v>
      </c>
      <c r="G439" s="103">
        <v>42500</v>
      </c>
      <c r="H439" s="103">
        <v>21993</v>
      </c>
      <c r="I439" s="94" t="s">
        <v>58</v>
      </c>
      <c r="J439" s="94" t="s">
        <v>11048</v>
      </c>
      <c r="K439" s="95" t="s">
        <v>58</v>
      </c>
      <c r="L439" s="91"/>
      <c r="M439" s="98">
        <f ca="1">(TODAY()-H439)/365</f>
        <v>65.778082191780825</v>
      </c>
      <c r="N439" s="99">
        <f>(G439-H439)/365</f>
        <v>56.183561643835617</v>
      </c>
      <c r="O439" s="98">
        <f ca="1">(TODAY()-G439)/365</f>
        <v>9.5945205479452049</v>
      </c>
      <c r="P439" s="91" t="s">
        <v>43</v>
      </c>
      <c r="Q439" s="91"/>
      <c r="R439" s="91"/>
      <c r="S439" s="91"/>
      <c r="T439" s="91"/>
      <c r="U439" s="91"/>
      <c r="V439" s="91"/>
      <c r="W439" s="91"/>
      <c r="X439" s="91"/>
      <c r="Y439" s="91"/>
      <c r="Z439" s="91"/>
      <c r="AA439" s="91"/>
      <c r="AB439" s="91"/>
      <c r="AC439" s="91"/>
      <c r="AD439" s="91"/>
      <c r="AE439" s="91"/>
      <c r="AF439" s="91"/>
      <c r="AG439" s="91"/>
      <c r="AH439" s="91"/>
      <c r="AI439" s="91"/>
      <c r="AJ439" s="91"/>
      <c r="AK439" s="91"/>
      <c r="AL439" s="91"/>
      <c r="AM439" s="91"/>
    </row>
    <row r="440" spans="1:39" ht="20.25" hidden="1" customHeight="1">
      <c r="A440" s="91"/>
      <c r="B440" s="93" t="s">
        <v>10981</v>
      </c>
      <c r="C440" s="91" t="s">
        <v>36</v>
      </c>
      <c r="D440" s="106" t="s">
        <v>11049</v>
      </c>
      <c r="E440" s="106" t="s">
        <v>11050</v>
      </c>
      <c r="F440" s="92" t="s">
        <v>11051</v>
      </c>
      <c r="G440" s="103">
        <v>38621</v>
      </c>
      <c r="H440" s="103">
        <v>23571</v>
      </c>
      <c r="I440" s="94" t="s">
        <v>58</v>
      </c>
      <c r="J440" s="94" t="s">
        <v>11052</v>
      </c>
      <c r="K440" s="95" t="s">
        <v>58</v>
      </c>
      <c r="L440" s="91"/>
      <c r="M440" s="98">
        <f ca="1">(TODAY()-H440)/365</f>
        <v>61.454794520547942</v>
      </c>
      <c r="N440" s="99">
        <f>(G440-H440)/365</f>
        <v>41.232876712328768</v>
      </c>
      <c r="O440" s="98">
        <f ca="1">(TODAY()-G440)/365</f>
        <v>20.221917808219178</v>
      </c>
      <c r="P440" s="91" t="s">
        <v>43</v>
      </c>
      <c r="Q440" s="91"/>
      <c r="R440" s="91"/>
      <c r="S440" s="91"/>
      <c r="T440" s="91"/>
      <c r="U440" s="91"/>
      <c r="V440" s="91"/>
      <c r="W440" s="91"/>
      <c r="X440" s="91"/>
      <c r="Y440" s="91"/>
      <c r="Z440" s="91"/>
      <c r="AA440" s="91"/>
      <c r="AB440" s="91"/>
      <c r="AC440" s="91"/>
      <c r="AD440" s="91"/>
      <c r="AE440" s="91"/>
      <c r="AF440" s="91"/>
      <c r="AG440" s="91"/>
      <c r="AH440" s="91"/>
      <c r="AI440" s="91"/>
      <c r="AJ440" s="91"/>
      <c r="AK440" s="91"/>
      <c r="AL440" s="91"/>
      <c r="AM440" s="91"/>
    </row>
    <row r="441" spans="1:39" ht="20.25" hidden="1" customHeight="1">
      <c r="A441" s="91"/>
      <c r="B441" s="93" t="s">
        <v>10981</v>
      </c>
      <c r="C441" s="91" t="s">
        <v>36</v>
      </c>
      <c r="D441" s="106" t="s">
        <v>11053</v>
      </c>
      <c r="E441" s="106" t="s">
        <v>11054</v>
      </c>
      <c r="F441" s="92" t="s">
        <v>11055</v>
      </c>
      <c r="G441" s="103">
        <v>45064</v>
      </c>
      <c r="H441" s="103">
        <v>29075</v>
      </c>
      <c r="I441" s="94" t="s">
        <v>58</v>
      </c>
      <c r="J441" s="94" t="s">
        <v>11056</v>
      </c>
      <c r="K441" s="95" t="s">
        <v>58</v>
      </c>
      <c r="L441" s="91"/>
      <c r="M441" s="98">
        <f ca="1">(TODAY()-H441)/365</f>
        <v>46.375342465753427</v>
      </c>
      <c r="N441" s="99">
        <f>(G441-H441)/365</f>
        <v>43.805479452054797</v>
      </c>
      <c r="O441" s="98">
        <f ca="1">(TODAY()-G441)/365</f>
        <v>2.56986301369863</v>
      </c>
      <c r="P441" s="91" t="s">
        <v>43</v>
      </c>
      <c r="Q441" s="91"/>
      <c r="R441" s="91"/>
      <c r="S441" s="91"/>
      <c r="T441" s="91"/>
      <c r="U441" s="91"/>
      <c r="V441" s="91"/>
      <c r="W441" s="91"/>
      <c r="X441" s="91"/>
      <c r="Y441" s="91"/>
      <c r="Z441" s="91"/>
      <c r="AA441" s="91"/>
      <c r="AB441" s="91"/>
      <c r="AC441" s="91"/>
      <c r="AD441" s="91"/>
      <c r="AE441" s="91"/>
      <c r="AF441" s="91"/>
      <c r="AG441" s="91"/>
      <c r="AH441" s="91"/>
      <c r="AI441" s="91"/>
      <c r="AJ441" s="91"/>
      <c r="AK441" s="91"/>
      <c r="AL441" s="91"/>
      <c r="AM441" s="91"/>
    </row>
    <row r="442" spans="1:39" ht="20.25" hidden="1" customHeight="1">
      <c r="A442" s="91"/>
      <c r="B442" s="93" t="s">
        <v>10981</v>
      </c>
      <c r="C442" s="91" t="s">
        <v>36</v>
      </c>
      <c r="D442" s="106" t="s">
        <v>11057</v>
      </c>
      <c r="E442" s="106" t="s">
        <v>11058</v>
      </c>
      <c r="F442" s="92" t="s">
        <v>11059</v>
      </c>
      <c r="G442" s="103">
        <v>45390</v>
      </c>
      <c r="H442" s="103">
        <v>25537</v>
      </c>
      <c r="I442" s="94" t="s">
        <v>58</v>
      </c>
      <c r="J442" s="94" t="s">
        <v>11060</v>
      </c>
      <c r="K442" s="95" t="s">
        <v>58</v>
      </c>
      <c r="L442" s="91"/>
      <c r="M442" s="98">
        <f ca="1">(TODAY()-H442)/365</f>
        <v>56.06849315068493</v>
      </c>
      <c r="N442" s="99">
        <f>(G442-H442)/365</f>
        <v>54.391780821917806</v>
      </c>
      <c r="O442" s="98">
        <f ca="1">(TODAY()-G442)/365</f>
        <v>1.6767123287671233</v>
      </c>
      <c r="P442" s="91" t="s">
        <v>272</v>
      </c>
      <c r="Q442" s="91"/>
      <c r="R442" s="91"/>
      <c r="S442" s="91"/>
      <c r="T442" s="91"/>
      <c r="U442" s="91"/>
      <c r="V442" s="91"/>
      <c r="W442" s="91"/>
      <c r="X442" s="91"/>
      <c r="Y442" s="91"/>
      <c r="Z442" s="91"/>
      <c r="AA442" s="91"/>
      <c r="AB442" s="91"/>
      <c r="AC442" s="91"/>
      <c r="AD442" s="91"/>
      <c r="AE442" s="91"/>
      <c r="AF442" s="91"/>
      <c r="AG442" s="91"/>
      <c r="AH442" s="91"/>
      <c r="AI442" s="91"/>
      <c r="AJ442" s="91"/>
      <c r="AK442" s="91"/>
      <c r="AL442" s="91"/>
      <c r="AM442" s="91"/>
    </row>
    <row r="443" spans="1:39" ht="20.25" hidden="1" customHeight="1">
      <c r="A443" s="91"/>
      <c r="B443" s="93" t="s">
        <v>10981</v>
      </c>
      <c r="C443" s="91" t="s">
        <v>36</v>
      </c>
      <c r="D443" s="106" t="s">
        <v>11061</v>
      </c>
      <c r="E443" s="106" t="s">
        <v>11062</v>
      </c>
      <c r="F443" s="92" t="s">
        <v>11063</v>
      </c>
      <c r="G443" s="103">
        <v>28308</v>
      </c>
      <c r="H443" s="103">
        <v>19035</v>
      </c>
      <c r="I443" s="94" t="s">
        <v>58</v>
      </c>
      <c r="J443" s="94" t="s">
        <v>11064</v>
      </c>
      <c r="K443" s="95" t="s">
        <v>58</v>
      </c>
      <c r="L443" s="91"/>
      <c r="M443" s="98">
        <f ca="1">(TODAY()-H443)/365</f>
        <v>73.882191780821913</v>
      </c>
      <c r="N443" s="99">
        <f>(G443-H443)/365</f>
        <v>25.405479452054795</v>
      </c>
      <c r="O443" s="98">
        <f ca="1">(TODAY()-G443)/365</f>
        <v>48.476712328767121</v>
      </c>
      <c r="P443" s="91" t="s">
        <v>43</v>
      </c>
      <c r="Q443" s="91"/>
      <c r="R443" s="91"/>
      <c r="S443" s="91"/>
      <c r="T443" s="91"/>
      <c r="U443" s="91"/>
      <c r="V443" s="91"/>
      <c r="W443" s="91"/>
      <c r="X443" s="91"/>
      <c r="Y443" s="91"/>
      <c r="Z443" s="91"/>
      <c r="AA443" s="91"/>
      <c r="AB443" s="91"/>
      <c r="AC443" s="91"/>
      <c r="AD443" s="91"/>
      <c r="AE443" s="91"/>
      <c r="AF443" s="91"/>
      <c r="AG443" s="91"/>
      <c r="AH443" s="91"/>
      <c r="AI443" s="91"/>
      <c r="AJ443" s="91"/>
      <c r="AK443" s="91"/>
      <c r="AL443" s="91"/>
      <c r="AM443" s="91"/>
    </row>
    <row r="444" spans="1:39" ht="20.25" hidden="1" customHeight="1">
      <c r="A444" s="91"/>
      <c r="B444" s="93" t="s">
        <v>10981</v>
      </c>
      <c r="C444" s="91" t="s">
        <v>36</v>
      </c>
      <c r="D444" s="106" t="s">
        <v>11065</v>
      </c>
      <c r="E444" s="106" t="s">
        <v>11066</v>
      </c>
      <c r="F444" s="92" t="s">
        <v>11067</v>
      </c>
      <c r="G444" s="103">
        <v>38863</v>
      </c>
      <c r="H444" s="103">
        <v>20300</v>
      </c>
      <c r="I444" s="94" t="s">
        <v>58</v>
      </c>
      <c r="J444" s="94" t="s">
        <v>11068</v>
      </c>
      <c r="K444" s="95" t="s">
        <v>58</v>
      </c>
      <c r="L444" s="91"/>
      <c r="M444" s="98">
        <f ca="1">(TODAY()-H444)/365</f>
        <v>70.416438356164377</v>
      </c>
      <c r="N444" s="99">
        <f>(G444-H444)/365</f>
        <v>50.857534246575341</v>
      </c>
      <c r="O444" s="98">
        <f ca="1">(TODAY()-G444)/365</f>
        <v>19.55890410958904</v>
      </c>
      <c r="P444" s="91" t="s">
        <v>43</v>
      </c>
      <c r="Q444" s="91"/>
      <c r="R444" s="91"/>
      <c r="S444" s="91"/>
      <c r="T444" s="91"/>
      <c r="U444" s="91"/>
      <c r="V444" s="91"/>
      <c r="W444" s="91"/>
      <c r="X444" s="91"/>
      <c r="Y444" s="91"/>
      <c r="Z444" s="91"/>
      <c r="AA444" s="91"/>
      <c r="AB444" s="91"/>
      <c r="AC444" s="91"/>
      <c r="AD444" s="91"/>
      <c r="AE444" s="91"/>
      <c r="AF444" s="91"/>
      <c r="AG444" s="91"/>
      <c r="AH444" s="91"/>
      <c r="AI444" s="91"/>
      <c r="AJ444" s="91"/>
      <c r="AK444" s="91"/>
      <c r="AL444" s="91"/>
      <c r="AM444" s="91"/>
    </row>
    <row r="445" spans="1:39" ht="20.25" hidden="1" customHeight="1">
      <c r="A445" s="91"/>
      <c r="B445" s="93" t="s">
        <v>10981</v>
      </c>
      <c r="C445" s="91" t="s">
        <v>36</v>
      </c>
      <c r="D445" s="106" t="s">
        <v>11069</v>
      </c>
      <c r="E445" s="106" t="s">
        <v>11070</v>
      </c>
      <c r="F445" s="92" t="s">
        <v>11071</v>
      </c>
      <c r="G445" s="103">
        <v>45416</v>
      </c>
      <c r="H445" s="103">
        <v>25000</v>
      </c>
      <c r="I445" s="94" t="s">
        <v>58</v>
      </c>
      <c r="J445" s="94" t="s">
        <v>11072</v>
      </c>
      <c r="K445" s="95" t="s">
        <v>58</v>
      </c>
      <c r="L445" s="91"/>
      <c r="M445" s="98">
        <f ca="1">(TODAY()-H445)/365</f>
        <v>57.539726027397258</v>
      </c>
      <c r="N445" s="99">
        <f>(G445-H445)/365</f>
        <v>55.934246575342463</v>
      </c>
      <c r="O445" s="98">
        <f ca="1">(TODAY()-G445)/365</f>
        <v>1.6054794520547946</v>
      </c>
      <c r="P445" s="91" t="s">
        <v>43</v>
      </c>
      <c r="Q445" s="91"/>
      <c r="R445" s="91"/>
      <c r="S445" s="91"/>
      <c r="T445" s="91"/>
      <c r="U445" s="91"/>
      <c r="V445" s="91"/>
      <c r="W445" s="91"/>
      <c r="X445" s="91"/>
      <c r="Y445" s="91"/>
      <c r="Z445" s="91"/>
      <c r="AA445" s="91"/>
      <c r="AB445" s="91"/>
      <c r="AC445" s="91"/>
      <c r="AD445" s="91"/>
      <c r="AE445" s="91"/>
      <c r="AF445" s="91"/>
      <c r="AG445" s="91"/>
      <c r="AH445" s="91"/>
      <c r="AI445" s="91"/>
      <c r="AJ445" s="91"/>
      <c r="AK445" s="91"/>
      <c r="AL445" s="91"/>
      <c r="AM445" s="91"/>
    </row>
    <row r="446" spans="1:39" ht="20.25" hidden="1" customHeight="1">
      <c r="A446" s="91"/>
      <c r="B446" s="93" t="s">
        <v>10981</v>
      </c>
      <c r="C446" s="91" t="s">
        <v>36</v>
      </c>
      <c r="D446" s="106" t="s">
        <v>11037</v>
      </c>
      <c r="E446" s="106" t="s">
        <v>11073</v>
      </c>
      <c r="F446" s="92" t="s">
        <v>11074</v>
      </c>
      <c r="G446" s="103">
        <v>36747</v>
      </c>
      <c r="H446" s="103">
        <v>19861</v>
      </c>
      <c r="I446" s="108" t="s">
        <v>12637</v>
      </c>
      <c r="J446" s="94" t="s">
        <v>11075</v>
      </c>
      <c r="K446" s="95" t="s">
        <v>58</v>
      </c>
      <c r="L446" s="91"/>
      <c r="M446" s="98">
        <f ca="1">(TODAY()-H446)/365</f>
        <v>71.61917808219178</v>
      </c>
      <c r="N446" s="99">
        <f>(G446-H446)/365</f>
        <v>46.263013698630139</v>
      </c>
      <c r="O446" s="98">
        <f ca="1">(TODAY()-G446)/365</f>
        <v>25.356164383561644</v>
      </c>
      <c r="P446" s="91" t="s">
        <v>43</v>
      </c>
      <c r="Q446" s="91"/>
      <c r="R446" s="91"/>
      <c r="S446" s="91"/>
      <c r="T446" s="91"/>
      <c r="U446" s="91"/>
      <c r="V446" s="91"/>
      <c r="W446" s="91"/>
      <c r="X446" s="91"/>
      <c r="Y446" s="91"/>
      <c r="Z446" s="91"/>
      <c r="AA446" s="91"/>
      <c r="AB446" s="91"/>
      <c r="AC446" s="91"/>
      <c r="AD446" s="91"/>
      <c r="AE446" s="91"/>
      <c r="AF446" s="91"/>
      <c r="AG446" s="91"/>
      <c r="AH446" s="91"/>
      <c r="AI446" s="91"/>
      <c r="AJ446" s="91"/>
      <c r="AK446" s="91"/>
      <c r="AL446" s="91"/>
      <c r="AM446" s="91"/>
    </row>
    <row r="447" spans="1:39" ht="20.25" customHeight="1">
      <c r="A447" s="91"/>
      <c r="B447" s="93" t="s">
        <v>371</v>
      </c>
      <c r="C447" s="91" t="s">
        <v>73</v>
      </c>
      <c r="D447" s="94" t="s">
        <v>435</v>
      </c>
      <c r="E447" s="94" t="s">
        <v>436</v>
      </c>
      <c r="F447" s="95" t="s">
        <v>437</v>
      </c>
      <c r="G447" s="96">
        <v>45636</v>
      </c>
      <c r="H447" s="97">
        <v>38308</v>
      </c>
      <c r="I447" s="100" t="s">
        <v>438</v>
      </c>
      <c r="J447" s="100" t="s">
        <v>58</v>
      </c>
      <c r="K447" s="91" t="s">
        <v>58</v>
      </c>
      <c r="L447" s="91" t="s">
        <v>60</v>
      </c>
      <c r="M447" s="98">
        <f ca="1">(TODAY()-H447)/365</f>
        <v>21.079452054794519</v>
      </c>
      <c r="N447" s="99">
        <f>(G447-H447)/365</f>
        <v>20.076712328767123</v>
      </c>
      <c r="O447" s="98">
        <f ca="1">(TODAY()-G447)/365</f>
        <v>1.0027397260273974</v>
      </c>
      <c r="P447" s="91" t="s">
        <v>43</v>
      </c>
      <c r="Q447" s="91">
        <v>0</v>
      </c>
      <c r="R447" s="91">
        <v>0</v>
      </c>
      <c r="S447" s="91">
        <v>0</v>
      </c>
      <c r="T447" s="91"/>
      <c r="U447" s="91"/>
      <c r="V447" s="91"/>
      <c r="W447" s="91"/>
      <c r="X447" s="91"/>
      <c r="Y447" s="91"/>
      <c r="Z447" s="91"/>
      <c r="AA447" s="91"/>
      <c r="AB447" s="91"/>
      <c r="AC447" s="91"/>
      <c r="AD447" s="91"/>
      <c r="AE447" s="91"/>
      <c r="AF447" s="91"/>
      <c r="AG447" s="91"/>
      <c r="AH447" s="91"/>
      <c r="AI447" s="91"/>
      <c r="AJ447" s="91"/>
      <c r="AK447" s="91"/>
      <c r="AL447" s="91"/>
      <c r="AM447" s="91"/>
    </row>
    <row r="448" spans="1:39" ht="20.25" customHeight="1">
      <c r="A448" s="91"/>
      <c r="B448" s="93" t="s">
        <v>879</v>
      </c>
      <c r="C448" s="91" t="s">
        <v>73</v>
      </c>
      <c r="D448" s="94" t="s">
        <v>961</v>
      </c>
      <c r="E448" s="94" t="s">
        <v>962</v>
      </c>
      <c r="F448" s="95" t="s">
        <v>963</v>
      </c>
      <c r="G448" s="96" t="s">
        <v>58</v>
      </c>
      <c r="H448" s="97">
        <v>24325</v>
      </c>
      <c r="I448" s="94" t="s">
        <v>58</v>
      </c>
      <c r="J448" s="94" t="s">
        <v>58</v>
      </c>
      <c r="K448" s="95" t="s">
        <v>58</v>
      </c>
      <c r="L448" s="91" t="s">
        <v>60</v>
      </c>
      <c r="M448" s="98">
        <f ca="1">(TODAY()-H448)/365</f>
        <v>59.389041095890413</v>
      </c>
      <c r="N448" s="95" t="s">
        <v>58</v>
      </c>
      <c r="O448" s="98" t="e">
        <f ca="1">(TODAY()-G448)/365</f>
        <v>#VALUE!</v>
      </c>
      <c r="P448" s="91" t="s">
        <v>43</v>
      </c>
      <c r="Q448" s="91">
        <v>0</v>
      </c>
      <c r="R448" s="91">
        <v>0</v>
      </c>
      <c r="S448" s="91">
        <v>0</v>
      </c>
      <c r="T448" s="91"/>
      <c r="U448" s="91"/>
      <c r="V448" s="91"/>
      <c r="W448" s="91"/>
      <c r="X448" s="91"/>
      <c r="Y448" s="91"/>
      <c r="Z448" s="91"/>
      <c r="AA448" s="91"/>
      <c r="AB448" s="91"/>
      <c r="AC448" s="91"/>
      <c r="AD448" s="91"/>
      <c r="AE448" s="91"/>
      <c r="AF448" s="91"/>
      <c r="AG448" s="91"/>
      <c r="AH448" s="91"/>
      <c r="AI448" s="91"/>
      <c r="AJ448" s="91"/>
      <c r="AK448" s="91"/>
      <c r="AL448" s="91"/>
      <c r="AM448" s="91"/>
    </row>
    <row r="449" spans="1:39" ht="20.25" customHeight="1">
      <c r="A449" s="91"/>
      <c r="B449" s="93" t="s">
        <v>4396</v>
      </c>
      <c r="C449" s="91" t="s">
        <v>73</v>
      </c>
      <c r="D449" s="106" t="s">
        <v>4429</v>
      </c>
      <c r="E449" s="106" t="s">
        <v>4430</v>
      </c>
      <c r="F449" s="92" t="s">
        <v>4431</v>
      </c>
      <c r="G449" s="96">
        <v>43891</v>
      </c>
      <c r="H449" s="97" t="s">
        <v>58</v>
      </c>
      <c r="I449" s="100" t="s">
        <v>58</v>
      </c>
      <c r="J449" s="100" t="s">
        <v>58</v>
      </c>
      <c r="K449" s="92" t="s">
        <v>4428</v>
      </c>
      <c r="L449" s="91" t="s">
        <v>60</v>
      </c>
      <c r="M449" s="98">
        <v>0</v>
      </c>
      <c r="N449" s="91"/>
      <c r="O449" s="98">
        <f ca="1">(TODAY()-G449)/365</f>
        <v>5.7835616438356166</v>
      </c>
      <c r="P449" s="91" t="s">
        <v>272</v>
      </c>
      <c r="Q449" s="91">
        <v>0</v>
      </c>
      <c r="R449" s="91">
        <v>0</v>
      </c>
      <c r="S449" s="91">
        <v>0</v>
      </c>
      <c r="T449" s="91"/>
      <c r="U449" s="91"/>
      <c r="V449" s="91"/>
      <c r="W449" s="91"/>
      <c r="X449" s="91"/>
      <c r="Y449" s="91"/>
      <c r="Z449" s="91"/>
      <c r="AA449" s="91"/>
      <c r="AB449" s="91"/>
      <c r="AC449" s="91"/>
      <c r="AD449" s="91"/>
      <c r="AE449" s="91"/>
      <c r="AF449" s="91"/>
      <c r="AG449" s="91"/>
      <c r="AH449" s="91"/>
      <c r="AI449" s="91"/>
      <c r="AJ449" s="91"/>
      <c r="AK449" s="91"/>
      <c r="AL449" s="91"/>
      <c r="AM449" s="91"/>
    </row>
    <row r="450" spans="1:39" ht="20.25" hidden="1" customHeight="1">
      <c r="A450" s="91"/>
      <c r="B450" s="93" t="s">
        <v>1659</v>
      </c>
      <c r="C450" s="91" t="s">
        <v>36</v>
      </c>
      <c r="D450" s="94" t="s">
        <v>1660</v>
      </c>
      <c r="E450" s="94" t="s">
        <v>1661</v>
      </c>
      <c r="F450" s="95" t="s">
        <v>1662</v>
      </c>
      <c r="G450" s="96">
        <v>38447</v>
      </c>
      <c r="H450" s="97">
        <v>33288</v>
      </c>
      <c r="I450" s="94" t="s">
        <v>1663</v>
      </c>
      <c r="J450" s="100" t="s">
        <v>1664</v>
      </c>
      <c r="K450" s="91">
        <v>985853204</v>
      </c>
      <c r="L450" s="91" t="s">
        <v>167</v>
      </c>
      <c r="M450" s="98">
        <f ca="1">(TODAY()-H450)/365</f>
        <v>34.832876712328769</v>
      </c>
      <c r="N450" s="99">
        <f>(G450-H450)/365</f>
        <v>14.134246575342466</v>
      </c>
      <c r="O450" s="98">
        <f ca="1">(TODAY()-G450)/365</f>
        <v>20.698630136986303</v>
      </c>
      <c r="P450" s="91" t="s">
        <v>43</v>
      </c>
      <c r="Q450" s="91">
        <v>1</v>
      </c>
      <c r="R450" s="91">
        <v>0</v>
      </c>
      <c r="S450" s="91">
        <v>1</v>
      </c>
      <c r="T450" s="91"/>
      <c r="U450" s="91">
        <v>2011</v>
      </c>
      <c r="V450" s="91">
        <v>2011</v>
      </c>
      <c r="W450" s="91">
        <v>2011</v>
      </c>
      <c r="X450" s="91">
        <v>2022</v>
      </c>
      <c r="Y450" s="91">
        <v>2023</v>
      </c>
      <c r="Z450" s="91"/>
      <c r="AA450" s="91"/>
      <c r="AB450" s="91"/>
      <c r="AC450" s="91"/>
      <c r="AD450" s="91"/>
      <c r="AE450" s="91"/>
      <c r="AF450" s="91"/>
      <c r="AG450" s="91"/>
      <c r="AH450" s="91"/>
      <c r="AI450" s="91"/>
      <c r="AJ450" s="91"/>
      <c r="AK450" s="91"/>
      <c r="AL450" s="91"/>
      <c r="AM450" s="91"/>
    </row>
    <row r="451" spans="1:39" ht="20.25" hidden="1" customHeight="1">
      <c r="A451" s="91"/>
      <c r="B451" s="93" t="s">
        <v>1659</v>
      </c>
      <c r="C451" s="91" t="s">
        <v>36</v>
      </c>
      <c r="D451" s="94" t="s">
        <v>1665</v>
      </c>
      <c r="E451" s="94" t="s">
        <v>1666</v>
      </c>
      <c r="F451" s="95" t="s">
        <v>1667</v>
      </c>
      <c r="G451" s="96">
        <v>28569</v>
      </c>
      <c r="H451" s="97">
        <v>21053</v>
      </c>
      <c r="I451" s="94" t="s">
        <v>1668</v>
      </c>
      <c r="J451" s="100" t="s">
        <v>1664</v>
      </c>
      <c r="K451" s="91">
        <v>923710907</v>
      </c>
      <c r="L451" s="91" t="s">
        <v>60</v>
      </c>
      <c r="M451" s="98">
        <f ca="1">(TODAY()-H451)/365</f>
        <v>68.353424657534248</v>
      </c>
      <c r="N451" s="99">
        <f>(G451-H451)/365</f>
        <v>20.591780821917808</v>
      </c>
      <c r="O451" s="98">
        <f ca="1">(TODAY()-G451)/365</f>
        <v>47.761643835616439</v>
      </c>
      <c r="P451" s="91" t="s">
        <v>43</v>
      </c>
      <c r="Q451" s="91">
        <v>0</v>
      </c>
      <c r="R451" s="91">
        <v>0</v>
      </c>
      <c r="S451" s="91">
        <v>0</v>
      </c>
      <c r="T451" s="91"/>
      <c r="U451" s="91">
        <v>2012</v>
      </c>
      <c r="V451" s="91"/>
      <c r="W451" s="91"/>
      <c r="X451" s="91"/>
      <c r="Y451" s="91"/>
      <c r="Z451" s="91"/>
      <c r="AA451" s="91"/>
      <c r="AB451" s="91"/>
      <c r="AC451" s="91"/>
      <c r="AD451" s="91"/>
      <c r="AE451" s="91"/>
      <c r="AF451" s="91"/>
      <c r="AG451" s="91"/>
      <c r="AH451" s="91"/>
      <c r="AI451" s="91"/>
      <c r="AJ451" s="91"/>
      <c r="AK451" s="91"/>
      <c r="AL451" s="91"/>
      <c r="AM451" s="91"/>
    </row>
    <row r="452" spans="1:39" ht="20.25" customHeight="1">
      <c r="A452" s="91"/>
      <c r="B452" s="93" t="s">
        <v>371</v>
      </c>
      <c r="C452" s="91" t="s">
        <v>73</v>
      </c>
      <c r="D452" s="94" t="s">
        <v>404</v>
      </c>
      <c r="E452" s="94" t="s">
        <v>405</v>
      </c>
      <c r="F452" s="95" t="s">
        <v>406</v>
      </c>
      <c r="G452" s="96">
        <v>45636</v>
      </c>
      <c r="H452" s="97">
        <v>38669</v>
      </c>
      <c r="I452" s="100" t="s">
        <v>407</v>
      </c>
      <c r="J452" s="100" t="s">
        <v>58</v>
      </c>
      <c r="K452" s="91" t="s">
        <v>58</v>
      </c>
      <c r="L452" s="91" t="s">
        <v>60</v>
      </c>
      <c r="M452" s="98">
        <f ca="1">(TODAY()-H452)/365</f>
        <v>20.090410958904108</v>
      </c>
      <c r="N452" s="99">
        <f>(G452-H452)/365</f>
        <v>19.087671232876712</v>
      </c>
      <c r="O452" s="98">
        <f ca="1">(TODAY()-G452)/365</f>
        <v>1.0027397260273974</v>
      </c>
      <c r="P452" s="91" t="s">
        <v>43</v>
      </c>
      <c r="Q452" s="91">
        <v>0</v>
      </c>
      <c r="R452" s="91">
        <v>0</v>
      </c>
      <c r="S452" s="91">
        <v>0</v>
      </c>
      <c r="T452" s="91"/>
      <c r="U452" s="91"/>
      <c r="V452" s="91"/>
      <c r="W452" s="91"/>
      <c r="X452" s="91"/>
      <c r="Y452" s="91"/>
      <c r="Z452" s="91"/>
      <c r="AA452" s="91"/>
      <c r="AB452" s="91"/>
      <c r="AC452" s="91"/>
      <c r="AD452" s="91"/>
      <c r="AE452" s="91"/>
      <c r="AF452" s="91"/>
      <c r="AG452" s="91"/>
      <c r="AH452" s="91"/>
      <c r="AI452" s="91"/>
      <c r="AJ452" s="91"/>
      <c r="AK452" s="91"/>
      <c r="AL452" s="91"/>
      <c r="AM452" s="91"/>
    </row>
    <row r="453" spans="1:39" ht="20.25" customHeight="1">
      <c r="A453" s="91"/>
      <c r="B453" s="93" t="s">
        <v>371</v>
      </c>
      <c r="C453" s="91" t="s">
        <v>73</v>
      </c>
      <c r="D453" s="94" t="s">
        <v>529</v>
      </c>
      <c r="E453" s="94" t="s">
        <v>530</v>
      </c>
      <c r="F453" s="95" t="s">
        <v>531</v>
      </c>
      <c r="G453" s="96">
        <v>45636</v>
      </c>
      <c r="H453" s="96" t="s">
        <v>58</v>
      </c>
      <c r="I453" s="100" t="s">
        <v>532</v>
      </c>
      <c r="J453" s="100" t="s">
        <v>58</v>
      </c>
      <c r="K453" s="91" t="s">
        <v>58</v>
      </c>
      <c r="L453" s="91" t="s">
        <v>60</v>
      </c>
      <c r="M453" s="98">
        <v>0</v>
      </c>
      <c r="N453" s="91"/>
      <c r="O453" s="98">
        <f ca="1">(TODAY()-G453)/365</f>
        <v>1.0027397260273974</v>
      </c>
      <c r="P453" s="91" t="s">
        <v>43</v>
      </c>
      <c r="Q453" s="91">
        <v>0</v>
      </c>
      <c r="R453" s="91">
        <v>0</v>
      </c>
      <c r="S453" s="91">
        <v>0</v>
      </c>
      <c r="T453" s="91"/>
      <c r="U453" s="91"/>
      <c r="V453" s="91"/>
      <c r="W453" s="91"/>
      <c r="X453" s="91"/>
      <c r="Y453" s="91"/>
      <c r="Z453" s="91"/>
      <c r="AA453" s="91"/>
      <c r="AB453" s="91"/>
      <c r="AC453" s="91"/>
      <c r="AD453" s="91"/>
      <c r="AE453" s="91"/>
      <c r="AF453" s="91"/>
      <c r="AG453" s="91"/>
      <c r="AH453" s="91"/>
      <c r="AI453" s="91"/>
      <c r="AJ453" s="91"/>
      <c r="AK453" s="91"/>
      <c r="AL453" s="91"/>
      <c r="AM453" s="91"/>
    </row>
    <row r="454" spans="1:39" ht="20.25" hidden="1" customHeight="1">
      <c r="A454" s="91"/>
      <c r="B454" s="93" t="s">
        <v>1659</v>
      </c>
      <c r="C454" s="91" t="s">
        <v>36</v>
      </c>
      <c r="D454" s="94" t="s">
        <v>728</v>
      </c>
      <c r="E454" s="94" t="s">
        <v>1674</v>
      </c>
      <c r="F454" s="95" t="s">
        <v>1675</v>
      </c>
      <c r="G454" s="96">
        <v>35748</v>
      </c>
      <c r="H454" s="97">
        <v>21347</v>
      </c>
      <c r="I454" s="94" t="s">
        <v>1676</v>
      </c>
      <c r="J454" s="100" t="s">
        <v>1677</v>
      </c>
      <c r="K454" s="91">
        <v>944634971</v>
      </c>
      <c r="L454" s="91" t="s">
        <v>60</v>
      </c>
      <c r="M454" s="98">
        <f ca="1">(TODAY()-H454)/365</f>
        <v>67.547945205479451</v>
      </c>
      <c r="N454" s="99">
        <f>(G454-H454)/365</f>
        <v>39.454794520547942</v>
      </c>
      <c r="O454" s="98">
        <f ca="1">(TODAY()-G454)/365</f>
        <v>28.093150684931508</v>
      </c>
      <c r="P454" s="91" t="s">
        <v>43</v>
      </c>
      <c r="Q454" s="91">
        <v>0</v>
      </c>
      <c r="R454" s="91">
        <v>0</v>
      </c>
      <c r="S454" s="91">
        <v>0</v>
      </c>
      <c r="T454" s="91"/>
      <c r="U454" s="91"/>
      <c r="V454" s="91"/>
      <c r="W454" s="91"/>
      <c r="X454" s="91"/>
      <c r="Y454" s="91"/>
      <c r="Z454" s="91"/>
      <c r="AA454" s="91"/>
      <c r="AB454" s="91"/>
      <c r="AC454" s="91"/>
      <c r="AD454" s="91"/>
      <c r="AE454" s="91"/>
      <c r="AF454" s="91"/>
      <c r="AG454" s="91"/>
      <c r="AH454" s="91"/>
      <c r="AI454" s="91"/>
      <c r="AJ454" s="91"/>
      <c r="AK454" s="91"/>
      <c r="AL454" s="91"/>
      <c r="AM454" s="91"/>
    </row>
    <row r="455" spans="1:39" ht="20.25" hidden="1" customHeight="1">
      <c r="A455" s="91"/>
      <c r="B455" s="93" t="s">
        <v>1659</v>
      </c>
      <c r="C455" s="91" t="s">
        <v>36</v>
      </c>
      <c r="D455" s="94" t="s">
        <v>666</v>
      </c>
      <c r="E455" s="94" t="s">
        <v>1678</v>
      </c>
      <c r="F455" s="95" t="s">
        <v>1679</v>
      </c>
      <c r="G455" s="96">
        <v>35283</v>
      </c>
      <c r="H455" s="97">
        <v>20834</v>
      </c>
      <c r="I455" s="94" t="s">
        <v>58</v>
      </c>
      <c r="J455" s="100" t="s">
        <v>1680</v>
      </c>
      <c r="K455" s="91">
        <v>990411926</v>
      </c>
      <c r="L455" s="91" t="s">
        <v>72</v>
      </c>
      <c r="M455" s="98">
        <f ca="1">(TODAY()-H455)/365</f>
        <v>68.953424657534242</v>
      </c>
      <c r="N455" s="99">
        <f>(G455-H455)/365</f>
        <v>39.586301369863016</v>
      </c>
      <c r="O455" s="98">
        <f ca="1">(TODAY()-G455)/365</f>
        <v>29.367123287671234</v>
      </c>
      <c r="P455" s="91" t="s">
        <v>43</v>
      </c>
      <c r="Q455" s="91">
        <v>0</v>
      </c>
      <c r="R455" s="91">
        <v>0</v>
      </c>
      <c r="S455" s="91">
        <v>0</v>
      </c>
      <c r="T455" s="91"/>
      <c r="U455" s="91"/>
      <c r="V455" s="91"/>
      <c r="W455" s="91"/>
      <c r="X455" s="91"/>
      <c r="Y455" s="91"/>
      <c r="Z455" s="91"/>
      <c r="AA455" s="91"/>
      <c r="AB455" s="91"/>
      <c r="AC455" s="91"/>
      <c r="AD455" s="91"/>
      <c r="AE455" s="91"/>
      <c r="AF455" s="91"/>
      <c r="AG455" s="91"/>
      <c r="AH455" s="91"/>
      <c r="AI455" s="91"/>
      <c r="AJ455" s="91"/>
      <c r="AK455" s="91"/>
      <c r="AL455" s="91"/>
      <c r="AM455" s="91"/>
    </row>
    <row r="456" spans="1:39" ht="20.25" hidden="1" customHeight="1">
      <c r="A456" s="91"/>
      <c r="B456" s="93" t="s">
        <v>1659</v>
      </c>
      <c r="C456" s="91" t="s">
        <v>36</v>
      </c>
      <c r="D456" s="94" t="s">
        <v>1681</v>
      </c>
      <c r="E456" s="94" t="s">
        <v>1682</v>
      </c>
      <c r="F456" s="95" t="s">
        <v>1683</v>
      </c>
      <c r="G456" s="96">
        <v>45368</v>
      </c>
      <c r="H456" s="97">
        <v>30389</v>
      </c>
      <c r="I456" s="94" t="s">
        <v>58</v>
      </c>
      <c r="J456" s="100" t="s">
        <v>1684</v>
      </c>
      <c r="K456" s="91">
        <v>934961867</v>
      </c>
      <c r="L456" s="91" t="s">
        <v>66</v>
      </c>
      <c r="M456" s="98">
        <f ca="1">(TODAY()-H456)/365</f>
        <v>42.775342465753425</v>
      </c>
      <c r="N456" s="99">
        <f>(G456-H456)/365</f>
        <v>41.038356164383565</v>
      </c>
      <c r="O456" s="98">
        <f ca="1">(TODAY()-G456)/365</f>
        <v>1.736986301369863</v>
      </c>
      <c r="P456" s="91" t="s">
        <v>43</v>
      </c>
      <c r="Q456" s="91">
        <v>0</v>
      </c>
      <c r="R456" s="91">
        <v>0</v>
      </c>
      <c r="S456" s="91">
        <v>0</v>
      </c>
      <c r="T456" s="91"/>
      <c r="U456" s="91"/>
      <c r="V456" s="91"/>
      <c r="W456" s="91"/>
      <c r="X456" s="91"/>
      <c r="Y456" s="91"/>
      <c r="Z456" s="91"/>
      <c r="AA456" s="91"/>
      <c r="AB456" s="91"/>
      <c r="AC456" s="91"/>
      <c r="AD456" s="91"/>
      <c r="AE456" s="91"/>
      <c r="AF456" s="91"/>
      <c r="AG456" s="91"/>
      <c r="AH456" s="91"/>
      <c r="AI456" s="91"/>
      <c r="AJ456" s="91"/>
      <c r="AK456" s="91"/>
      <c r="AL456" s="91"/>
      <c r="AM456" s="91"/>
    </row>
    <row r="457" spans="1:39" ht="20.25" hidden="1" customHeight="1">
      <c r="A457" s="91"/>
      <c r="B457" s="93" t="s">
        <v>1659</v>
      </c>
      <c r="C457" s="91" t="s">
        <v>36</v>
      </c>
      <c r="D457" s="94" t="s">
        <v>666</v>
      </c>
      <c r="E457" s="94" t="s">
        <v>1685</v>
      </c>
      <c r="F457" s="95" t="s">
        <v>1686</v>
      </c>
      <c r="G457" s="96">
        <v>35515</v>
      </c>
      <c r="H457" s="97">
        <v>20375</v>
      </c>
      <c r="I457" s="94" t="s">
        <v>58</v>
      </c>
      <c r="J457" s="100" t="s">
        <v>1687</v>
      </c>
      <c r="K457" s="91">
        <v>983845623</v>
      </c>
      <c r="L457" s="91" t="s">
        <v>60</v>
      </c>
      <c r="M457" s="98">
        <f ca="1">(TODAY()-H457)/365</f>
        <v>70.210958904109589</v>
      </c>
      <c r="N457" s="99">
        <f>(G457-H457)/365</f>
        <v>41.479452054794521</v>
      </c>
      <c r="O457" s="98">
        <f ca="1">(TODAY()-G457)/365</f>
        <v>28.731506849315068</v>
      </c>
      <c r="P457" s="91" t="s">
        <v>43</v>
      </c>
      <c r="Q457" s="91">
        <v>0</v>
      </c>
      <c r="R457" s="91">
        <v>0</v>
      </c>
      <c r="S457" s="91">
        <v>0</v>
      </c>
      <c r="T457" s="91"/>
      <c r="U457" s="91"/>
      <c r="V457" s="91"/>
      <c r="W457" s="91"/>
      <c r="X457" s="91"/>
      <c r="Y457" s="91"/>
      <c r="Z457" s="91"/>
      <c r="AA457" s="91"/>
      <c r="AB457" s="91"/>
      <c r="AC457" s="91"/>
      <c r="AD457" s="91"/>
      <c r="AE457" s="91"/>
      <c r="AF457" s="91"/>
      <c r="AG457" s="91"/>
      <c r="AH457" s="91"/>
      <c r="AI457" s="91"/>
      <c r="AJ457" s="91"/>
      <c r="AK457" s="91"/>
      <c r="AL457" s="91"/>
      <c r="AM457" s="91"/>
    </row>
    <row r="458" spans="1:39" ht="20.25" hidden="1" customHeight="1">
      <c r="A458" s="91"/>
      <c r="B458" s="93" t="s">
        <v>1659</v>
      </c>
      <c r="C458" s="91" t="s">
        <v>36</v>
      </c>
      <c r="D458" s="94" t="s">
        <v>1688</v>
      </c>
      <c r="E458" s="94" t="s">
        <v>1689</v>
      </c>
      <c r="F458" s="95" t="s">
        <v>1690</v>
      </c>
      <c r="G458" s="96">
        <v>37140</v>
      </c>
      <c r="H458" s="97">
        <v>19947</v>
      </c>
      <c r="I458" s="94" t="s">
        <v>58</v>
      </c>
      <c r="J458" s="100" t="s">
        <v>1691</v>
      </c>
      <c r="K458" s="91">
        <v>958718220</v>
      </c>
      <c r="L458" s="91" t="s">
        <v>42</v>
      </c>
      <c r="M458" s="98">
        <f ca="1">(TODAY()-H458)/365</f>
        <v>71.38356164383562</v>
      </c>
      <c r="N458" s="99">
        <f>(G458-H458)/365</f>
        <v>47.104109589041094</v>
      </c>
      <c r="O458" s="98">
        <f ca="1">(TODAY()-G458)/365</f>
        <v>24.279452054794522</v>
      </c>
      <c r="P458" s="91" t="s">
        <v>43</v>
      </c>
      <c r="Q458" s="91">
        <v>0</v>
      </c>
      <c r="R458" s="91">
        <v>0</v>
      </c>
      <c r="S458" s="91">
        <v>0</v>
      </c>
      <c r="T458" s="91"/>
      <c r="U458" s="91"/>
      <c r="V458" s="91"/>
      <c r="W458" s="91"/>
      <c r="X458" s="91"/>
      <c r="Y458" s="91"/>
      <c r="Z458" s="91"/>
      <c r="AA458" s="91"/>
      <c r="AB458" s="91"/>
      <c r="AC458" s="91"/>
      <c r="AD458" s="91"/>
      <c r="AE458" s="91"/>
      <c r="AF458" s="91"/>
      <c r="AG458" s="91"/>
      <c r="AH458" s="91"/>
      <c r="AI458" s="91"/>
      <c r="AJ458" s="91"/>
      <c r="AK458" s="91"/>
      <c r="AL458" s="91"/>
      <c r="AM458" s="91"/>
    </row>
    <row r="459" spans="1:39" ht="20.25" hidden="1" customHeight="1">
      <c r="A459" s="91"/>
      <c r="B459" s="93" t="s">
        <v>1659</v>
      </c>
      <c r="C459" s="91" t="s">
        <v>36</v>
      </c>
      <c r="D459" s="94" t="s">
        <v>1692</v>
      </c>
      <c r="E459" s="94" t="s">
        <v>1693</v>
      </c>
      <c r="F459" s="95" t="s">
        <v>1694</v>
      </c>
      <c r="G459" s="96">
        <v>45116</v>
      </c>
      <c r="H459" s="97">
        <v>22296</v>
      </c>
      <c r="I459" s="94" t="s">
        <v>58</v>
      </c>
      <c r="J459" s="100" t="s">
        <v>1695</v>
      </c>
      <c r="K459" s="91">
        <v>983983627</v>
      </c>
      <c r="L459" s="91" t="s">
        <v>49</v>
      </c>
      <c r="M459" s="98">
        <f ca="1">(TODAY()-H459)/365</f>
        <v>64.947945205479456</v>
      </c>
      <c r="N459" s="99">
        <f>(G459-H459)/365</f>
        <v>62.520547945205479</v>
      </c>
      <c r="O459" s="98">
        <f ca="1">(TODAY()-G459)/365</f>
        <v>2.4273972602739726</v>
      </c>
      <c r="P459" s="91" t="s">
        <v>43</v>
      </c>
      <c r="Q459" s="91">
        <v>0</v>
      </c>
      <c r="R459" s="91">
        <v>0</v>
      </c>
      <c r="S459" s="91">
        <v>0</v>
      </c>
      <c r="T459" s="91"/>
      <c r="U459" s="91"/>
      <c r="V459" s="91"/>
      <c r="W459" s="91"/>
      <c r="X459" s="91"/>
      <c r="Y459" s="91"/>
      <c r="Z459" s="91"/>
      <c r="AA459" s="91"/>
      <c r="AB459" s="91"/>
      <c r="AC459" s="91"/>
      <c r="AD459" s="91"/>
      <c r="AE459" s="91"/>
      <c r="AF459" s="91"/>
      <c r="AG459" s="91"/>
      <c r="AH459" s="91"/>
      <c r="AI459" s="91"/>
      <c r="AJ459" s="91"/>
      <c r="AK459" s="91"/>
      <c r="AL459" s="91"/>
      <c r="AM459" s="91"/>
    </row>
    <row r="460" spans="1:39" ht="20.25" hidden="1" customHeight="1">
      <c r="A460" s="91"/>
      <c r="B460" s="93" t="s">
        <v>1659</v>
      </c>
      <c r="C460" s="91" t="s">
        <v>36</v>
      </c>
      <c r="D460" s="94" t="s">
        <v>1330</v>
      </c>
      <c r="E460" s="94" t="s">
        <v>1666</v>
      </c>
      <c r="F460" s="95" t="s">
        <v>1696</v>
      </c>
      <c r="G460" s="96">
        <v>42064</v>
      </c>
      <c r="H460" s="97">
        <v>17702</v>
      </c>
      <c r="I460" s="94" t="s">
        <v>58</v>
      </c>
      <c r="J460" s="100" t="s">
        <v>1697</v>
      </c>
      <c r="K460" s="91">
        <v>993730534</v>
      </c>
      <c r="L460" s="91" t="s">
        <v>60</v>
      </c>
      <c r="M460" s="98">
        <f ca="1">(TODAY()-H460)/365</f>
        <v>77.534246575342465</v>
      </c>
      <c r="N460" s="99">
        <f>(G460-H460)/365</f>
        <v>66.745205479452054</v>
      </c>
      <c r="O460" s="98">
        <f ca="1">(TODAY()-G460)/365</f>
        <v>10.789041095890411</v>
      </c>
      <c r="P460" s="91" t="s">
        <v>43</v>
      </c>
      <c r="Q460" s="91">
        <v>0</v>
      </c>
      <c r="R460" s="91">
        <v>0</v>
      </c>
      <c r="S460" s="91">
        <v>0</v>
      </c>
      <c r="T460" s="91"/>
      <c r="U460" s="91"/>
      <c r="V460" s="91"/>
      <c r="W460" s="91"/>
      <c r="X460" s="91"/>
      <c r="Y460" s="91"/>
      <c r="Z460" s="91"/>
      <c r="AA460" s="91"/>
      <c r="AB460" s="91"/>
      <c r="AC460" s="91"/>
      <c r="AD460" s="91"/>
      <c r="AE460" s="91"/>
      <c r="AF460" s="91"/>
      <c r="AG460" s="91"/>
      <c r="AH460" s="91"/>
      <c r="AI460" s="91"/>
      <c r="AJ460" s="91"/>
      <c r="AK460" s="91"/>
      <c r="AL460" s="91"/>
      <c r="AM460" s="91"/>
    </row>
    <row r="461" spans="1:39" ht="20.25" hidden="1" customHeight="1">
      <c r="A461" s="91"/>
      <c r="B461" s="93" t="s">
        <v>1698</v>
      </c>
      <c r="C461" s="91" t="s">
        <v>36</v>
      </c>
      <c r="D461" s="94" t="s">
        <v>1699</v>
      </c>
      <c r="E461" s="94" t="s">
        <v>1700</v>
      </c>
      <c r="F461" s="95" t="s">
        <v>1701</v>
      </c>
      <c r="G461" s="96">
        <v>45118</v>
      </c>
      <c r="H461" s="97">
        <v>37599</v>
      </c>
      <c r="I461" s="102" t="s">
        <v>1702</v>
      </c>
      <c r="J461" s="94" t="s">
        <v>1703</v>
      </c>
      <c r="K461" s="95">
        <v>940525296</v>
      </c>
      <c r="L461" s="91" t="s">
        <v>60</v>
      </c>
      <c r="M461" s="98">
        <f ca="1">(TODAY()-H461)/365</f>
        <v>23.021917808219179</v>
      </c>
      <c r="N461" s="99">
        <f>(G461-H461)/365</f>
        <v>20.6</v>
      </c>
      <c r="O461" s="98">
        <f ca="1">(TODAY()-G461)/365</f>
        <v>2.4219178082191779</v>
      </c>
      <c r="P461" s="91" t="s">
        <v>43</v>
      </c>
      <c r="Q461" s="91">
        <v>0</v>
      </c>
      <c r="R461" s="91">
        <v>0</v>
      </c>
      <c r="S461" s="91">
        <v>0</v>
      </c>
      <c r="T461" s="91"/>
      <c r="U461" s="91"/>
      <c r="V461" s="91"/>
      <c r="W461" s="91"/>
      <c r="X461" s="91"/>
      <c r="Y461" s="91"/>
      <c r="Z461" s="91"/>
      <c r="AA461" s="91"/>
      <c r="AB461" s="91"/>
      <c r="AC461" s="91"/>
      <c r="AD461" s="91"/>
      <c r="AE461" s="91"/>
      <c r="AF461" s="91"/>
      <c r="AG461" s="91"/>
      <c r="AH461" s="91"/>
      <c r="AI461" s="91"/>
      <c r="AJ461" s="91"/>
      <c r="AK461" s="91"/>
      <c r="AL461" s="91"/>
      <c r="AM461" s="91"/>
    </row>
    <row r="462" spans="1:39" ht="20.25" hidden="1" customHeight="1">
      <c r="A462" s="91"/>
      <c r="B462" s="93" t="s">
        <v>1698</v>
      </c>
      <c r="C462" s="91" t="s">
        <v>36</v>
      </c>
      <c r="D462" s="94" t="s">
        <v>1704</v>
      </c>
      <c r="E462" s="94" t="s">
        <v>1705</v>
      </c>
      <c r="F462" s="95" t="s">
        <v>1706</v>
      </c>
      <c r="G462" s="96">
        <v>37424</v>
      </c>
      <c r="H462" s="97">
        <v>29818</v>
      </c>
      <c r="I462" s="102" t="s">
        <v>1707</v>
      </c>
      <c r="J462" s="94" t="s">
        <v>1708</v>
      </c>
      <c r="K462" s="95">
        <v>95966346</v>
      </c>
      <c r="L462" s="91" t="s">
        <v>60</v>
      </c>
      <c r="M462" s="98">
        <f ca="1">(TODAY()-H462)/365</f>
        <v>44.339726027397262</v>
      </c>
      <c r="N462" s="99">
        <f>(G462-H462)/365</f>
        <v>20.838356164383562</v>
      </c>
      <c r="O462" s="98">
        <f ca="1">(TODAY()-G462)/365</f>
        <v>23.5013698630137</v>
      </c>
      <c r="P462" s="91" t="s">
        <v>272</v>
      </c>
      <c r="Q462" s="91">
        <v>0</v>
      </c>
      <c r="R462" s="91">
        <v>0</v>
      </c>
      <c r="S462" s="91">
        <v>0</v>
      </c>
      <c r="T462" s="91"/>
      <c r="U462" s="91"/>
      <c r="V462" s="91">
        <v>2010</v>
      </c>
      <c r="W462" s="91"/>
      <c r="X462" s="91"/>
      <c r="Y462" s="91"/>
      <c r="Z462" s="91"/>
      <c r="AA462" s="91"/>
      <c r="AB462" s="91"/>
      <c r="AC462" s="91"/>
      <c r="AD462" s="91"/>
      <c r="AE462" s="91"/>
      <c r="AF462" s="91"/>
      <c r="AG462" s="91"/>
      <c r="AH462" s="91"/>
      <c r="AI462" s="91"/>
      <c r="AJ462" s="91"/>
      <c r="AK462" s="91"/>
      <c r="AL462" s="91"/>
      <c r="AM462" s="91"/>
    </row>
    <row r="463" spans="1:39" ht="20.25" hidden="1" customHeight="1">
      <c r="A463" s="91"/>
      <c r="B463" s="93" t="s">
        <v>1698</v>
      </c>
      <c r="C463" s="91" t="s">
        <v>36</v>
      </c>
      <c r="D463" s="94" t="s">
        <v>1709</v>
      </c>
      <c r="E463" s="94" t="s">
        <v>1700</v>
      </c>
      <c r="F463" s="95" t="s">
        <v>1710</v>
      </c>
      <c r="G463" s="96">
        <v>45118</v>
      </c>
      <c r="H463" s="97">
        <v>36430</v>
      </c>
      <c r="I463" s="102" t="s">
        <v>1711</v>
      </c>
      <c r="J463" s="94" t="s">
        <v>1703</v>
      </c>
      <c r="K463" s="95">
        <v>966664580</v>
      </c>
      <c r="L463" s="91" t="s">
        <v>60</v>
      </c>
      <c r="M463" s="98">
        <f ca="1">(TODAY()-H463)/365</f>
        <v>26.224657534246575</v>
      </c>
      <c r="N463" s="99">
        <f>(G463-H463)/365</f>
        <v>23.802739726027397</v>
      </c>
      <c r="O463" s="98">
        <f ca="1">(TODAY()-G463)/365</f>
        <v>2.4219178082191779</v>
      </c>
      <c r="P463" s="91" t="s">
        <v>43</v>
      </c>
      <c r="Q463" s="91">
        <v>0</v>
      </c>
      <c r="R463" s="91">
        <v>0</v>
      </c>
      <c r="S463" s="91">
        <v>0</v>
      </c>
      <c r="T463" s="91"/>
      <c r="U463" s="91"/>
      <c r="V463" s="91"/>
      <c r="W463" s="91"/>
      <c r="X463" s="91"/>
      <c r="Y463" s="91"/>
      <c r="Z463" s="91"/>
      <c r="AA463" s="91"/>
      <c r="AB463" s="91"/>
      <c r="AC463" s="91"/>
      <c r="AD463" s="91"/>
      <c r="AE463" s="91"/>
      <c r="AF463" s="91"/>
      <c r="AG463" s="91"/>
      <c r="AH463" s="91"/>
      <c r="AI463" s="91"/>
      <c r="AJ463" s="91"/>
      <c r="AK463" s="91"/>
      <c r="AL463" s="91"/>
      <c r="AM463" s="91"/>
    </row>
    <row r="464" spans="1:39" ht="20.25" hidden="1" customHeight="1">
      <c r="A464" s="91"/>
      <c r="B464" s="93" t="s">
        <v>1698</v>
      </c>
      <c r="C464" s="91" t="s">
        <v>36</v>
      </c>
      <c r="D464" s="94" t="s">
        <v>1712</v>
      </c>
      <c r="E464" s="94" t="s">
        <v>1713</v>
      </c>
      <c r="F464" s="95" t="s">
        <v>1714</v>
      </c>
      <c r="G464" s="96">
        <v>26034</v>
      </c>
      <c r="H464" s="97">
        <v>16483</v>
      </c>
      <c r="I464" s="94" t="s">
        <v>58</v>
      </c>
      <c r="J464" s="94" t="s">
        <v>1715</v>
      </c>
      <c r="K464" s="95">
        <v>932766136</v>
      </c>
      <c r="L464" s="91" t="s">
        <v>60</v>
      </c>
      <c r="M464" s="98">
        <f ca="1">(TODAY()-H464)/365</f>
        <v>80.873972602739727</v>
      </c>
      <c r="N464" s="99">
        <f>(G464-H464)/365</f>
        <v>26.167123287671235</v>
      </c>
      <c r="O464" s="98">
        <f ca="1">(TODAY()-G464)/365</f>
        <v>54.706849315068496</v>
      </c>
      <c r="P464" s="91" t="s">
        <v>43</v>
      </c>
      <c r="Q464" s="91">
        <v>0</v>
      </c>
      <c r="R464" s="91">
        <v>0</v>
      </c>
      <c r="S464" s="91">
        <v>0</v>
      </c>
      <c r="T464" s="91"/>
      <c r="U464" s="91"/>
      <c r="V464" s="91"/>
      <c r="W464" s="91"/>
      <c r="X464" s="91"/>
      <c r="Y464" s="91"/>
      <c r="Z464" s="91"/>
      <c r="AA464" s="91"/>
      <c r="AB464" s="91"/>
      <c r="AC464" s="91"/>
      <c r="AD464" s="91"/>
      <c r="AE464" s="91"/>
      <c r="AF464" s="91"/>
      <c r="AG464" s="91"/>
      <c r="AH464" s="91"/>
      <c r="AI464" s="91"/>
      <c r="AJ464" s="91"/>
      <c r="AK464" s="91"/>
      <c r="AL464" s="91"/>
      <c r="AM464" s="91"/>
    </row>
    <row r="465" spans="1:39" ht="20.25" hidden="1" customHeight="1">
      <c r="A465" s="91"/>
      <c r="B465" s="93" t="s">
        <v>1698</v>
      </c>
      <c r="C465" s="91" t="s">
        <v>36</v>
      </c>
      <c r="D465" s="94" t="s">
        <v>1716</v>
      </c>
      <c r="E465" s="94" t="s">
        <v>1717</v>
      </c>
      <c r="F465" s="95" t="s">
        <v>1718</v>
      </c>
      <c r="G465" s="96">
        <v>41441</v>
      </c>
      <c r="H465" s="97">
        <v>31429</v>
      </c>
      <c r="I465" s="102" t="s">
        <v>1719</v>
      </c>
      <c r="J465" s="94" t="s">
        <v>1720</v>
      </c>
      <c r="K465" s="95">
        <v>990617762</v>
      </c>
      <c r="L465" s="91" t="s">
        <v>49</v>
      </c>
      <c r="M465" s="98">
        <f ca="1">(TODAY()-H465)/365</f>
        <v>39.926027397260277</v>
      </c>
      <c r="N465" s="99">
        <f>(G465-H465)/365</f>
        <v>27.43013698630137</v>
      </c>
      <c r="O465" s="98">
        <f ca="1">(TODAY()-G465)/365</f>
        <v>12.495890410958904</v>
      </c>
      <c r="P465" s="91" t="s">
        <v>43</v>
      </c>
      <c r="Q465" s="91">
        <v>0</v>
      </c>
      <c r="R465" s="91">
        <v>0</v>
      </c>
      <c r="S465" s="91">
        <v>0</v>
      </c>
      <c r="T465" s="91"/>
      <c r="U465" s="91"/>
      <c r="V465" s="91"/>
      <c r="W465" s="91"/>
      <c r="X465" s="91"/>
      <c r="Y465" s="91"/>
      <c r="Z465" s="91"/>
      <c r="AA465" s="91"/>
      <c r="AB465" s="91"/>
      <c r="AC465" s="91"/>
      <c r="AD465" s="91"/>
      <c r="AE465" s="91"/>
      <c r="AF465" s="91"/>
      <c r="AG465" s="91"/>
      <c r="AH465" s="91"/>
      <c r="AI465" s="91"/>
      <c r="AJ465" s="91"/>
      <c r="AK465" s="91"/>
      <c r="AL465" s="91"/>
      <c r="AM465" s="91"/>
    </row>
    <row r="466" spans="1:39" ht="20.25" hidden="1" customHeight="1">
      <c r="A466" s="91"/>
      <c r="B466" s="93" t="s">
        <v>1698</v>
      </c>
      <c r="C466" s="91" t="s">
        <v>36</v>
      </c>
      <c r="D466" s="94" t="s">
        <v>1721</v>
      </c>
      <c r="E466" s="94" t="s">
        <v>1722</v>
      </c>
      <c r="F466" s="95" t="s">
        <v>1723</v>
      </c>
      <c r="G466" s="96">
        <v>37683</v>
      </c>
      <c r="H466" s="97">
        <v>26886</v>
      </c>
      <c r="I466" s="102" t="s">
        <v>1724</v>
      </c>
      <c r="J466" s="94" t="s">
        <v>1725</v>
      </c>
      <c r="K466" s="95">
        <v>974242132</v>
      </c>
      <c r="L466" s="91" t="s">
        <v>54</v>
      </c>
      <c r="M466" s="98">
        <f ca="1">(TODAY()-H466)/365</f>
        <v>52.372602739726027</v>
      </c>
      <c r="N466" s="99">
        <f>(G466-H466)/365</f>
        <v>29.580821917808219</v>
      </c>
      <c r="O466" s="98">
        <f ca="1">(TODAY()-G466)/365</f>
        <v>22.791780821917808</v>
      </c>
      <c r="P466" s="91" t="s">
        <v>43</v>
      </c>
      <c r="Q466" s="91">
        <v>0</v>
      </c>
      <c r="R466" s="91">
        <v>0</v>
      </c>
      <c r="S466" s="91">
        <v>0</v>
      </c>
      <c r="T466" s="91"/>
      <c r="U466" s="91"/>
      <c r="V466" s="91"/>
      <c r="W466" s="91"/>
      <c r="X466" s="91"/>
      <c r="Y466" s="91"/>
      <c r="Z466" s="91"/>
      <c r="AA466" s="91"/>
      <c r="AB466" s="91"/>
      <c r="AC466" s="91"/>
      <c r="AD466" s="91"/>
      <c r="AE466" s="91"/>
      <c r="AF466" s="91"/>
      <c r="AG466" s="91"/>
      <c r="AH466" s="91"/>
      <c r="AI466" s="91"/>
      <c r="AJ466" s="91"/>
      <c r="AK466" s="91"/>
      <c r="AL466" s="91"/>
      <c r="AM466" s="91"/>
    </row>
    <row r="467" spans="1:39" ht="20.25" hidden="1" customHeight="1">
      <c r="A467" s="91"/>
      <c r="B467" s="93" t="s">
        <v>1698</v>
      </c>
      <c r="C467" s="91" t="s">
        <v>36</v>
      </c>
      <c r="D467" s="94" t="s">
        <v>1726</v>
      </c>
      <c r="E467" s="94" t="s">
        <v>1727</v>
      </c>
      <c r="F467" s="95" t="s">
        <v>1728</v>
      </c>
      <c r="G467" s="96">
        <v>37245</v>
      </c>
      <c r="H467" s="97">
        <v>25833</v>
      </c>
      <c r="I467" s="102" t="s">
        <v>1729</v>
      </c>
      <c r="J467" s="94" t="s">
        <v>1730</v>
      </c>
      <c r="K467" s="95">
        <v>942640685</v>
      </c>
      <c r="L467" s="91" t="s">
        <v>60</v>
      </c>
      <c r="M467" s="98">
        <f ca="1">(TODAY()-H467)/365</f>
        <v>55.257534246575339</v>
      </c>
      <c r="N467" s="99">
        <f>(G467-H467)/365</f>
        <v>31.265753424657536</v>
      </c>
      <c r="O467" s="98">
        <f ca="1">(TODAY()-G467)/365</f>
        <v>23.991780821917807</v>
      </c>
      <c r="P467" s="91" t="s">
        <v>43</v>
      </c>
      <c r="Q467" s="91">
        <v>0</v>
      </c>
      <c r="R467" s="91">
        <v>0</v>
      </c>
      <c r="S467" s="91">
        <v>0</v>
      </c>
      <c r="T467" s="91"/>
      <c r="U467" s="91"/>
      <c r="V467" s="91"/>
      <c r="W467" s="91"/>
      <c r="X467" s="91"/>
      <c r="Y467" s="91"/>
      <c r="Z467" s="91"/>
      <c r="AA467" s="91"/>
      <c r="AB467" s="91"/>
      <c r="AC467" s="91"/>
      <c r="AD467" s="91"/>
      <c r="AE467" s="91"/>
      <c r="AF467" s="91"/>
      <c r="AG467" s="91"/>
      <c r="AH467" s="91"/>
      <c r="AI467" s="91"/>
      <c r="AJ467" s="91"/>
      <c r="AK467" s="91"/>
      <c r="AL467" s="91"/>
      <c r="AM467" s="91"/>
    </row>
    <row r="468" spans="1:39" ht="20.25" hidden="1" customHeight="1">
      <c r="A468" s="91"/>
      <c r="B468" s="93" t="s">
        <v>1698</v>
      </c>
      <c r="C468" s="91" t="s">
        <v>36</v>
      </c>
      <c r="D468" s="94" t="s">
        <v>1731</v>
      </c>
      <c r="E468" s="94" t="s">
        <v>1732</v>
      </c>
      <c r="F468" s="95" t="s">
        <v>1733</v>
      </c>
      <c r="G468" s="96">
        <v>38049</v>
      </c>
      <c r="H468" s="97">
        <v>25748</v>
      </c>
      <c r="I468" s="102" t="s">
        <v>1734</v>
      </c>
      <c r="J468" s="94" t="s">
        <v>1730</v>
      </c>
      <c r="K468" s="95">
        <v>984253129</v>
      </c>
      <c r="L468" s="91" t="s">
        <v>60</v>
      </c>
      <c r="M468" s="98">
        <f ca="1">(TODAY()-H468)/365</f>
        <v>55.490410958904107</v>
      </c>
      <c r="N468" s="99">
        <f>(G468-H468)/365</f>
        <v>33.701369863013696</v>
      </c>
      <c r="O468" s="98">
        <f ca="1">(TODAY()-G468)/365</f>
        <v>21.789041095890411</v>
      </c>
      <c r="P468" s="91" t="s">
        <v>272</v>
      </c>
      <c r="Q468" s="91">
        <v>0</v>
      </c>
      <c r="R468" s="91">
        <v>0</v>
      </c>
      <c r="S468" s="91">
        <v>0</v>
      </c>
      <c r="T468" s="91"/>
      <c r="U468" s="91"/>
      <c r="V468" s="91"/>
      <c r="W468" s="91"/>
      <c r="X468" s="91"/>
      <c r="Y468" s="91"/>
      <c r="Z468" s="91"/>
      <c r="AA468" s="91"/>
      <c r="AB468" s="91"/>
      <c r="AC468" s="91"/>
      <c r="AD468" s="91"/>
      <c r="AE468" s="91"/>
      <c r="AF468" s="91"/>
      <c r="AG468" s="91"/>
      <c r="AH468" s="91"/>
      <c r="AI468" s="91"/>
      <c r="AJ468" s="91"/>
      <c r="AK468" s="91"/>
      <c r="AL468" s="91"/>
      <c r="AM468" s="91"/>
    </row>
    <row r="469" spans="1:39" ht="20.25" hidden="1" customHeight="1">
      <c r="A469" s="91"/>
      <c r="B469" s="93" t="s">
        <v>1698</v>
      </c>
      <c r="C469" s="91" t="s">
        <v>36</v>
      </c>
      <c r="D469" s="94" t="s">
        <v>1735</v>
      </c>
      <c r="E469" s="94" t="s">
        <v>1736</v>
      </c>
      <c r="F469" s="95" t="s">
        <v>1737</v>
      </c>
      <c r="G469" s="96">
        <v>33781</v>
      </c>
      <c r="H469" s="97">
        <v>21124</v>
      </c>
      <c r="I469" s="102" t="s">
        <v>1738</v>
      </c>
      <c r="J469" s="94" t="s">
        <v>1739</v>
      </c>
      <c r="K469" s="95">
        <v>976413913</v>
      </c>
      <c r="L469" s="91" t="s">
        <v>60</v>
      </c>
      <c r="M469" s="98">
        <f ca="1">(TODAY()-H469)/365</f>
        <v>68.158904109589045</v>
      </c>
      <c r="N469" s="99">
        <f>(G469-H469)/365</f>
        <v>34.676712328767124</v>
      </c>
      <c r="O469" s="98">
        <f ca="1">(TODAY()-G469)/365</f>
        <v>33.482191780821921</v>
      </c>
      <c r="P469" s="91" t="s">
        <v>43</v>
      </c>
      <c r="Q469" s="91">
        <v>0</v>
      </c>
      <c r="R469" s="91">
        <v>0</v>
      </c>
      <c r="S469" s="91">
        <v>0</v>
      </c>
      <c r="T469" s="91"/>
      <c r="U469" s="91"/>
      <c r="V469" s="91"/>
      <c r="W469" s="91"/>
      <c r="X469" s="91"/>
      <c r="Y469" s="91"/>
      <c r="Z469" s="91"/>
      <c r="AA469" s="91"/>
      <c r="AB469" s="91"/>
      <c r="AC469" s="91"/>
      <c r="AD469" s="91"/>
      <c r="AE469" s="91"/>
      <c r="AF469" s="91"/>
      <c r="AG469" s="91"/>
      <c r="AH469" s="91"/>
      <c r="AI469" s="91"/>
      <c r="AJ469" s="91"/>
      <c r="AK469" s="91"/>
      <c r="AL469" s="91"/>
      <c r="AM469" s="91"/>
    </row>
    <row r="470" spans="1:39" ht="20.25" hidden="1" customHeight="1">
      <c r="A470" s="91"/>
      <c r="B470" s="93" t="s">
        <v>1698</v>
      </c>
      <c r="C470" s="91" t="s">
        <v>36</v>
      </c>
      <c r="D470" s="94" t="s">
        <v>1740</v>
      </c>
      <c r="E470" s="94" t="s">
        <v>1741</v>
      </c>
      <c r="F470" s="95" t="s">
        <v>1742</v>
      </c>
      <c r="G470" s="96">
        <v>28003</v>
      </c>
      <c r="H470" s="97">
        <v>14698</v>
      </c>
      <c r="I470" s="94" t="s">
        <v>58</v>
      </c>
      <c r="J470" s="94" t="s">
        <v>1743</v>
      </c>
      <c r="K470" s="95">
        <v>975282406</v>
      </c>
      <c r="L470" s="91" t="s">
        <v>60</v>
      </c>
      <c r="M470" s="98">
        <f ca="1">(TODAY()-H470)/365</f>
        <v>85.764383561643839</v>
      </c>
      <c r="N470" s="99">
        <f>(G470-H470)/365</f>
        <v>36.452054794520549</v>
      </c>
      <c r="O470" s="98">
        <f ca="1">(TODAY()-G470)/365</f>
        <v>49.31232876712329</v>
      </c>
      <c r="P470" s="91" t="s">
        <v>43</v>
      </c>
      <c r="Q470" s="91">
        <v>0</v>
      </c>
      <c r="R470" s="91">
        <v>0</v>
      </c>
      <c r="S470" s="91">
        <v>0</v>
      </c>
      <c r="T470" s="91"/>
      <c r="U470" s="91"/>
      <c r="V470" s="91"/>
      <c r="W470" s="91"/>
      <c r="X470" s="91"/>
      <c r="Y470" s="91"/>
      <c r="Z470" s="91"/>
      <c r="AA470" s="91"/>
      <c r="AB470" s="91"/>
      <c r="AC470" s="91"/>
      <c r="AD470" s="91"/>
      <c r="AE470" s="91"/>
      <c r="AF470" s="91"/>
      <c r="AG470" s="91"/>
      <c r="AH470" s="91"/>
      <c r="AI470" s="91"/>
      <c r="AJ470" s="91"/>
      <c r="AK470" s="91"/>
      <c r="AL470" s="91"/>
      <c r="AM470" s="91"/>
    </row>
    <row r="471" spans="1:39" ht="20.25" hidden="1" customHeight="1">
      <c r="A471" s="91"/>
      <c r="B471" s="93" t="s">
        <v>1698</v>
      </c>
      <c r="C471" s="91" t="s">
        <v>36</v>
      </c>
      <c r="D471" s="94" t="s">
        <v>1744</v>
      </c>
      <c r="E471" s="94" t="s">
        <v>1705</v>
      </c>
      <c r="F471" s="95" t="s">
        <v>1745</v>
      </c>
      <c r="G471" s="96">
        <v>41387</v>
      </c>
      <c r="H471" s="97">
        <v>27159</v>
      </c>
      <c r="I471" s="102" t="s">
        <v>1746</v>
      </c>
      <c r="J471" s="94" t="s">
        <v>1747</v>
      </c>
      <c r="K471" s="95">
        <v>987060002</v>
      </c>
      <c r="L471" s="91" t="s">
        <v>60</v>
      </c>
      <c r="M471" s="98">
        <f ca="1">(TODAY()-H471)/365</f>
        <v>51.624657534246573</v>
      </c>
      <c r="N471" s="99">
        <f>(G471-H471)/365</f>
        <v>38.980821917808221</v>
      </c>
      <c r="O471" s="98">
        <f ca="1">(TODAY()-G471)/365</f>
        <v>12.643835616438356</v>
      </c>
      <c r="P471" s="91" t="s">
        <v>272</v>
      </c>
      <c r="Q471" s="91">
        <v>0</v>
      </c>
      <c r="R471" s="91">
        <v>0</v>
      </c>
      <c r="S471" s="91">
        <v>0</v>
      </c>
      <c r="T471" s="91"/>
      <c r="U471" s="91"/>
      <c r="V471" s="91"/>
      <c r="W471" s="91"/>
      <c r="X471" s="91"/>
      <c r="Y471" s="91"/>
      <c r="Z471" s="91"/>
      <c r="AA471" s="91"/>
      <c r="AB471" s="91"/>
      <c r="AC471" s="91"/>
      <c r="AD471" s="91"/>
      <c r="AE471" s="91"/>
      <c r="AF471" s="91"/>
      <c r="AG471" s="91"/>
      <c r="AH471" s="91"/>
      <c r="AI471" s="91"/>
      <c r="AJ471" s="91"/>
      <c r="AK471" s="91"/>
      <c r="AL471" s="91"/>
      <c r="AM471" s="91"/>
    </row>
    <row r="472" spans="1:39" ht="20.25" hidden="1" customHeight="1">
      <c r="A472" s="91"/>
      <c r="B472" s="93" t="s">
        <v>1698</v>
      </c>
      <c r="C472" s="91" t="s">
        <v>36</v>
      </c>
      <c r="D472" s="94" t="s">
        <v>893</v>
      </c>
      <c r="E472" s="94" t="s">
        <v>1748</v>
      </c>
      <c r="F472" s="95" t="s">
        <v>1749</v>
      </c>
      <c r="G472" s="96">
        <v>32908</v>
      </c>
      <c r="H472" s="97">
        <v>18186</v>
      </c>
      <c r="I472" s="102" t="s">
        <v>1750</v>
      </c>
      <c r="J472" s="94" t="s">
        <v>1751</v>
      </c>
      <c r="K472" s="95">
        <v>987504663</v>
      </c>
      <c r="L472" s="91" t="s">
        <v>42</v>
      </c>
      <c r="M472" s="98">
        <f ca="1">(TODAY()-H472)/365</f>
        <v>76.208219178082189</v>
      </c>
      <c r="N472" s="99">
        <f>(G472-H472)/365</f>
        <v>40.334246575342469</v>
      </c>
      <c r="O472" s="98">
        <f ca="1">(TODAY()-G472)/365</f>
        <v>35.873972602739727</v>
      </c>
      <c r="P472" s="91" t="s">
        <v>43</v>
      </c>
      <c r="Q472" s="91">
        <v>0</v>
      </c>
      <c r="R472" s="91">
        <v>0</v>
      </c>
      <c r="S472" s="91">
        <v>0</v>
      </c>
      <c r="T472" s="91"/>
      <c r="U472" s="91"/>
      <c r="V472" s="91"/>
      <c r="W472" s="91"/>
      <c r="X472" s="91"/>
      <c r="Y472" s="91"/>
      <c r="Z472" s="91"/>
      <c r="AA472" s="91"/>
      <c r="AB472" s="91"/>
      <c r="AC472" s="91"/>
      <c r="AD472" s="91"/>
      <c r="AE472" s="91"/>
      <c r="AF472" s="91"/>
      <c r="AG472" s="91"/>
      <c r="AH472" s="91"/>
      <c r="AI472" s="91"/>
      <c r="AJ472" s="91"/>
      <c r="AK472" s="91"/>
      <c r="AL472" s="91"/>
      <c r="AM472" s="91"/>
    </row>
    <row r="473" spans="1:39" ht="20.25" hidden="1" customHeight="1">
      <c r="A473" s="91"/>
      <c r="B473" s="93" t="s">
        <v>1698</v>
      </c>
      <c r="C473" s="91" t="s">
        <v>36</v>
      </c>
      <c r="D473" s="94" t="s">
        <v>1752</v>
      </c>
      <c r="E473" s="94" t="s">
        <v>1753</v>
      </c>
      <c r="F473" s="95" t="s">
        <v>1754</v>
      </c>
      <c r="G473" s="96">
        <v>28955</v>
      </c>
      <c r="H473" s="97">
        <v>13850</v>
      </c>
      <c r="I473" s="94" t="s">
        <v>58</v>
      </c>
      <c r="J473" s="94" t="s">
        <v>1755</v>
      </c>
      <c r="K473" s="95">
        <v>998055596</v>
      </c>
      <c r="L473" s="91" t="s">
        <v>60</v>
      </c>
      <c r="M473" s="98">
        <f ca="1">(TODAY()-H473)/365</f>
        <v>88.087671232876716</v>
      </c>
      <c r="N473" s="99">
        <f>(G473-H473)/365</f>
        <v>41.38356164383562</v>
      </c>
      <c r="O473" s="98">
        <f ca="1">(TODAY()-G473)/365</f>
        <v>46.704109589041096</v>
      </c>
      <c r="P473" s="91" t="s">
        <v>43</v>
      </c>
      <c r="Q473" s="91">
        <v>0</v>
      </c>
      <c r="R473" s="91">
        <v>0</v>
      </c>
      <c r="S473" s="91">
        <v>0</v>
      </c>
      <c r="T473" s="91"/>
      <c r="U473" s="91"/>
      <c r="V473" s="91"/>
      <c r="W473" s="91"/>
      <c r="X473" s="91"/>
      <c r="Y473" s="91"/>
      <c r="Z473" s="91"/>
      <c r="AA473" s="91"/>
      <c r="AB473" s="91"/>
      <c r="AC473" s="91"/>
      <c r="AD473" s="91"/>
      <c r="AE473" s="91"/>
      <c r="AF473" s="91"/>
      <c r="AG473" s="91"/>
      <c r="AH473" s="91"/>
      <c r="AI473" s="91"/>
      <c r="AJ473" s="91"/>
      <c r="AK473" s="91"/>
      <c r="AL473" s="91"/>
      <c r="AM473" s="91"/>
    </row>
    <row r="474" spans="1:39" ht="20.25" customHeight="1">
      <c r="A474" s="91"/>
      <c r="B474" s="93" t="s">
        <v>5484</v>
      </c>
      <c r="C474" s="91" t="s">
        <v>73</v>
      </c>
      <c r="D474" s="107" t="s">
        <v>1354</v>
      </c>
      <c r="E474" s="107" t="s">
        <v>5696</v>
      </c>
      <c r="F474" s="91" t="s">
        <v>5697</v>
      </c>
      <c r="G474" s="96">
        <v>44197</v>
      </c>
      <c r="H474" s="97">
        <v>26683</v>
      </c>
      <c r="I474" s="100" t="s">
        <v>58</v>
      </c>
      <c r="J474" s="100" t="s">
        <v>58</v>
      </c>
      <c r="K474" s="91" t="s">
        <v>58</v>
      </c>
      <c r="L474" s="91" t="s">
        <v>60</v>
      </c>
      <c r="M474" s="98">
        <f ca="1">(TODAY()-H474)/365</f>
        <v>52.92876712328767</v>
      </c>
      <c r="N474" s="99">
        <f>(G474-H474)/365</f>
        <v>47.983561643835614</v>
      </c>
      <c r="O474" s="98">
        <f ca="1">(TODAY()-G474)/365</f>
        <v>4.9452054794520546</v>
      </c>
      <c r="P474" s="91" t="s">
        <v>43</v>
      </c>
      <c r="Q474" s="91">
        <v>0</v>
      </c>
      <c r="R474" s="91">
        <v>0</v>
      </c>
      <c r="S474" s="91">
        <v>0</v>
      </c>
      <c r="T474" s="91"/>
      <c r="U474" s="91"/>
      <c r="V474" s="91"/>
      <c r="W474" s="91"/>
      <c r="X474" s="91"/>
      <c r="Y474" s="91"/>
      <c r="Z474" s="91"/>
      <c r="AA474" s="91"/>
      <c r="AB474" s="91"/>
      <c r="AC474" s="91"/>
      <c r="AD474" s="91"/>
      <c r="AE474" s="91"/>
      <c r="AF474" s="91"/>
      <c r="AG474" s="91"/>
      <c r="AH474" s="91"/>
      <c r="AI474" s="91"/>
      <c r="AJ474" s="91"/>
      <c r="AK474" s="91"/>
      <c r="AL474" s="91"/>
      <c r="AM474" s="91"/>
    </row>
    <row r="475" spans="1:39" ht="20.25" hidden="1" customHeight="1">
      <c r="A475" s="91"/>
      <c r="B475" s="93" t="s">
        <v>1698</v>
      </c>
      <c r="C475" s="91" t="s">
        <v>36</v>
      </c>
      <c r="D475" s="94" t="s">
        <v>633</v>
      </c>
      <c r="E475" s="94" t="s">
        <v>1759</v>
      </c>
      <c r="F475" s="95" t="s">
        <v>1760</v>
      </c>
      <c r="G475" s="96">
        <v>32344</v>
      </c>
      <c r="H475" s="97">
        <v>14880</v>
      </c>
      <c r="I475" s="94" t="s">
        <v>58</v>
      </c>
      <c r="J475" s="94" t="s">
        <v>1761</v>
      </c>
      <c r="K475" s="95">
        <v>452811471</v>
      </c>
      <c r="L475" s="91" t="s">
        <v>60</v>
      </c>
      <c r="M475" s="98">
        <f ca="1">(TODAY()-H475)/365</f>
        <v>85.265753424657532</v>
      </c>
      <c r="N475" s="99">
        <f>(G475-H475)/365</f>
        <v>47.846575342465755</v>
      </c>
      <c r="O475" s="98">
        <f ca="1">(TODAY()-G475)/365</f>
        <v>37.419178082191777</v>
      </c>
      <c r="P475" s="91" t="s">
        <v>43</v>
      </c>
      <c r="Q475" s="91">
        <v>0</v>
      </c>
      <c r="R475" s="91">
        <v>0</v>
      </c>
      <c r="S475" s="91">
        <v>0</v>
      </c>
      <c r="T475" s="91"/>
      <c r="U475" s="91"/>
      <c r="V475" s="91"/>
      <c r="W475" s="91"/>
      <c r="X475" s="91"/>
      <c r="Y475" s="91"/>
      <c r="Z475" s="91"/>
      <c r="AA475" s="91"/>
      <c r="AB475" s="91"/>
      <c r="AC475" s="91"/>
      <c r="AD475" s="91"/>
      <c r="AE475" s="91"/>
      <c r="AF475" s="91"/>
      <c r="AG475" s="91"/>
      <c r="AH475" s="91"/>
      <c r="AI475" s="91"/>
      <c r="AJ475" s="91"/>
      <c r="AK475" s="91"/>
      <c r="AL475" s="91"/>
      <c r="AM475" s="91"/>
    </row>
    <row r="476" spans="1:39" ht="20.25" hidden="1" customHeight="1">
      <c r="A476" s="91"/>
      <c r="B476" s="93" t="s">
        <v>1698</v>
      </c>
      <c r="C476" s="91" t="s">
        <v>36</v>
      </c>
      <c r="D476" s="94" t="s">
        <v>1762</v>
      </c>
      <c r="E476" s="94" t="s">
        <v>1763</v>
      </c>
      <c r="F476" s="95" t="s">
        <v>1764</v>
      </c>
      <c r="G476" s="96">
        <v>43239</v>
      </c>
      <c r="H476" s="97">
        <v>25477</v>
      </c>
      <c r="I476" s="102" t="s">
        <v>1765</v>
      </c>
      <c r="J476" s="94" t="s">
        <v>1766</v>
      </c>
      <c r="K476" s="95">
        <v>954548642</v>
      </c>
      <c r="L476" s="91" t="s">
        <v>72</v>
      </c>
      <c r="M476" s="98">
        <f ca="1">(TODAY()-H476)/365</f>
        <v>56.232876712328768</v>
      </c>
      <c r="N476" s="99">
        <f>(G476-H476)/365</f>
        <v>48.663013698630138</v>
      </c>
      <c r="O476" s="98">
        <f ca="1">(TODAY()-G476)/365</f>
        <v>7.5698630136986305</v>
      </c>
      <c r="P476" s="91" t="s">
        <v>43</v>
      </c>
      <c r="Q476" s="91">
        <v>0</v>
      </c>
      <c r="R476" s="91">
        <v>0</v>
      </c>
      <c r="S476" s="91">
        <v>0</v>
      </c>
      <c r="T476" s="91"/>
      <c r="U476" s="91"/>
      <c r="V476" s="91"/>
      <c r="W476" s="91"/>
      <c r="X476" s="91"/>
      <c r="Y476" s="91"/>
      <c r="Z476" s="91"/>
      <c r="AA476" s="91"/>
      <c r="AB476" s="91"/>
      <c r="AC476" s="91"/>
      <c r="AD476" s="91"/>
      <c r="AE476" s="91"/>
      <c r="AF476" s="91"/>
      <c r="AG476" s="91"/>
      <c r="AH476" s="91"/>
      <c r="AI476" s="91"/>
      <c r="AJ476" s="91"/>
      <c r="AK476" s="91"/>
      <c r="AL476" s="91"/>
      <c r="AM476" s="91"/>
    </row>
    <row r="477" spans="1:39" ht="20.25" hidden="1" customHeight="1">
      <c r="A477" s="91"/>
      <c r="B477" s="93" t="s">
        <v>1698</v>
      </c>
      <c r="C477" s="91" t="s">
        <v>36</v>
      </c>
      <c r="D477" s="94" t="s">
        <v>1767</v>
      </c>
      <c r="E477" s="94" t="s">
        <v>1768</v>
      </c>
      <c r="F477" s="95" t="s">
        <v>1769</v>
      </c>
      <c r="G477" s="96">
        <v>33738</v>
      </c>
      <c r="H477" s="97">
        <v>14481</v>
      </c>
      <c r="I477" s="94" t="s">
        <v>58</v>
      </c>
      <c r="J477" s="94" t="s">
        <v>1770</v>
      </c>
      <c r="K477" s="95">
        <v>991017694</v>
      </c>
      <c r="L477" s="91" t="s">
        <v>60</v>
      </c>
      <c r="M477" s="98">
        <f ca="1">(TODAY()-H477)/365</f>
        <v>86.358904109589048</v>
      </c>
      <c r="N477" s="99">
        <f>(G477-H477)/365</f>
        <v>52.758904109589039</v>
      </c>
      <c r="O477" s="98">
        <f ca="1">(TODAY()-G477)/365</f>
        <v>33.6</v>
      </c>
      <c r="P477" s="91" t="s">
        <v>43</v>
      </c>
      <c r="Q477" s="91">
        <v>0</v>
      </c>
      <c r="R477" s="91">
        <v>0</v>
      </c>
      <c r="S477" s="91">
        <v>0</v>
      </c>
      <c r="T477" s="91"/>
      <c r="U477" s="91"/>
      <c r="V477" s="91"/>
      <c r="W477" s="91"/>
      <c r="X477" s="91"/>
      <c r="Y477" s="91"/>
      <c r="Z477" s="91"/>
      <c r="AA477" s="91"/>
      <c r="AB477" s="91"/>
      <c r="AC477" s="91"/>
      <c r="AD477" s="91"/>
      <c r="AE477" s="91"/>
      <c r="AF477" s="91"/>
      <c r="AG477" s="91"/>
      <c r="AH477" s="91"/>
      <c r="AI477" s="91"/>
      <c r="AJ477" s="91"/>
      <c r="AK477" s="91"/>
      <c r="AL477" s="91"/>
      <c r="AM477" s="91"/>
    </row>
    <row r="478" spans="1:39" ht="20.25" hidden="1" customHeight="1">
      <c r="A478" s="91"/>
      <c r="B478" s="93" t="s">
        <v>1698</v>
      </c>
      <c r="C478" s="91" t="s">
        <v>36</v>
      </c>
      <c r="D478" s="94" t="s">
        <v>1771</v>
      </c>
      <c r="E478" s="94" t="s">
        <v>1772</v>
      </c>
      <c r="F478" s="95" t="s">
        <v>1773</v>
      </c>
      <c r="G478" s="96">
        <v>43239</v>
      </c>
      <c r="H478" s="97">
        <v>23454</v>
      </c>
      <c r="I478" s="102" t="s">
        <v>1774</v>
      </c>
      <c r="J478" s="94" t="s">
        <v>1766</v>
      </c>
      <c r="K478" s="95">
        <v>963203116</v>
      </c>
      <c r="L478" s="91" t="s">
        <v>60</v>
      </c>
      <c r="M478" s="98">
        <f ca="1">(TODAY()-H478)/365</f>
        <v>61.775342465753425</v>
      </c>
      <c r="N478" s="99">
        <f>(G478-H478)/365</f>
        <v>54.205479452054796</v>
      </c>
      <c r="O478" s="98">
        <f ca="1">(TODAY()-G478)/365</f>
        <v>7.5698630136986305</v>
      </c>
      <c r="P478" s="91" t="s">
        <v>43</v>
      </c>
      <c r="Q478" s="91">
        <v>0</v>
      </c>
      <c r="R478" s="91">
        <v>0</v>
      </c>
      <c r="S478" s="91">
        <v>0</v>
      </c>
      <c r="T478" s="91"/>
      <c r="U478" s="91"/>
      <c r="V478" s="91"/>
      <c r="W478" s="91"/>
      <c r="X478" s="91"/>
      <c r="Y478" s="91"/>
      <c r="Z478" s="91"/>
      <c r="AA478" s="91"/>
      <c r="AB478" s="91"/>
      <c r="AC478" s="91"/>
      <c r="AD478" s="91"/>
      <c r="AE478" s="91"/>
      <c r="AF478" s="91"/>
      <c r="AG478" s="91"/>
      <c r="AH478" s="91"/>
      <c r="AI478" s="91"/>
      <c r="AJ478" s="91"/>
      <c r="AK478" s="91"/>
      <c r="AL478" s="91"/>
      <c r="AM478" s="91"/>
    </row>
    <row r="479" spans="1:39" ht="20.25" hidden="1" customHeight="1">
      <c r="A479" s="91"/>
      <c r="B479" s="93" t="s">
        <v>1698</v>
      </c>
      <c r="C479" s="91" t="s">
        <v>36</v>
      </c>
      <c r="D479" s="94" t="s">
        <v>384</v>
      </c>
      <c r="E479" s="94" t="s">
        <v>1775</v>
      </c>
      <c r="F479" s="95" t="s">
        <v>1776</v>
      </c>
      <c r="G479" s="96">
        <v>22343</v>
      </c>
      <c r="H479" s="97" t="s">
        <v>58</v>
      </c>
      <c r="I479" s="94" t="s">
        <v>58</v>
      </c>
      <c r="J479" s="94" t="s">
        <v>1777</v>
      </c>
      <c r="K479" s="95" t="s">
        <v>58</v>
      </c>
      <c r="L479" s="91" t="s">
        <v>60</v>
      </c>
      <c r="M479" s="98">
        <v>0</v>
      </c>
      <c r="N479" s="95"/>
      <c r="O479" s="98">
        <f ca="1">(TODAY()-G479)/365</f>
        <v>64.819178082191783</v>
      </c>
      <c r="P479" s="91" t="s">
        <v>43</v>
      </c>
      <c r="Q479" s="91">
        <v>0</v>
      </c>
      <c r="R479" s="91">
        <v>0</v>
      </c>
      <c r="S479" s="91">
        <v>0</v>
      </c>
      <c r="T479" s="91"/>
      <c r="U479" s="91"/>
      <c r="V479" s="91"/>
      <c r="W479" s="91"/>
      <c r="X479" s="91"/>
      <c r="Y479" s="91"/>
      <c r="Z479" s="91"/>
      <c r="AA479" s="91"/>
      <c r="AB479" s="91"/>
      <c r="AC479" s="91"/>
      <c r="AD479" s="91"/>
      <c r="AE479" s="91"/>
      <c r="AF479" s="91"/>
      <c r="AG479" s="91"/>
      <c r="AH479" s="91"/>
      <c r="AI479" s="91"/>
      <c r="AJ479" s="91"/>
      <c r="AK479" s="91"/>
      <c r="AL479" s="91"/>
      <c r="AM479" s="91"/>
    </row>
    <row r="480" spans="1:39" ht="20.25" hidden="1" customHeight="1">
      <c r="A480" s="91"/>
      <c r="B480" s="93" t="s">
        <v>1698</v>
      </c>
      <c r="C480" s="91" t="s">
        <v>36</v>
      </c>
      <c r="D480" s="94" t="s">
        <v>1778</v>
      </c>
      <c r="E480" s="94" t="s">
        <v>1779</v>
      </c>
      <c r="F480" s="95" t="s">
        <v>1780</v>
      </c>
      <c r="G480" s="96">
        <v>26174</v>
      </c>
      <c r="H480" s="103" t="s">
        <v>58</v>
      </c>
      <c r="I480" s="94" t="s">
        <v>58</v>
      </c>
      <c r="J480" s="94" t="s">
        <v>1781</v>
      </c>
      <c r="K480" s="95" t="s">
        <v>1782</v>
      </c>
      <c r="L480" s="91" t="s">
        <v>60</v>
      </c>
      <c r="M480" s="98">
        <v>0</v>
      </c>
      <c r="N480" s="95"/>
      <c r="O480" s="98">
        <f ca="1">(TODAY()-G480)/365</f>
        <v>54.323287671232876</v>
      </c>
      <c r="P480" s="91" t="s">
        <v>43</v>
      </c>
      <c r="Q480" s="91">
        <v>0</v>
      </c>
      <c r="R480" s="91">
        <v>0</v>
      </c>
      <c r="S480" s="91">
        <v>0</v>
      </c>
      <c r="T480" s="91"/>
      <c r="U480" s="91"/>
      <c r="V480" s="91"/>
      <c r="W480" s="91"/>
      <c r="X480" s="91"/>
      <c r="Y480" s="91"/>
      <c r="Z480" s="91"/>
      <c r="AA480" s="91"/>
      <c r="AB480" s="91"/>
      <c r="AC480" s="91"/>
      <c r="AD480" s="91"/>
      <c r="AE480" s="91"/>
      <c r="AF480" s="91"/>
      <c r="AG480" s="91"/>
      <c r="AH480" s="91"/>
      <c r="AI480" s="91"/>
      <c r="AJ480" s="91"/>
      <c r="AK480" s="91"/>
      <c r="AL480" s="91"/>
      <c r="AM480" s="91"/>
    </row>
    <row r="481" spans="1:39" ht="20.25" hidden="1" customHeight="1">
      <c r="A481" s="91"/>
      <c r="B481" s="93" t="s">
        <v>1698</v>
      </c>
      <c r="C481" s="91" t="s">
        <v>36</v>
      </c>
      <c r="D481" s="94" t="s">
        <v>1778</v>
      </c>
      <c r="E481" s="94" t="s">
        <v>1783</v>
      </c>
      <c r="F481" s="95" t="s">
        <v>1784</v>
      </c>
      <c r="G481" s="96">
        <v>39277</v>
      </c>
      <c r="H481" s="97">
        <v>18147</v>
      </c>
      <c r="I481" s="94" t="s">
        <v>58</v>
      </c>
      <c r="J481" s="94" t="s">
        <v>1785</v>
      </c>
      <c r="K481" s="95">
        <v>959057786</v>
      </c>
      <c r="L481" s="91" t="s">
        <v>60</v>
      </c>
      <c r="M481" s="98">
        <f ca="1">(TODAY()-H481)/365</f>
        <v>76.31506849315069</v>
      </c>
      <c r="N481" s="99">
        <f>(G481-H481)/365</f>
        <v>57.890410958904113</v>
      </c>
      <c r="O481" s="98">
        <f ca="1">(TODAY()-G481)/365</f>
        <v>18.424657534246574</v>
      </c>
      <c r="P481" s="91" t="s">
        <v>43</v>
      </c>
      <c r="Q481" s="91">
        <v>0</v>
      </c>
      <c r="R481" s="91">
        <v>0</v>
      </c>
      <c r="S481" s="91">
        <v>0</v>
      </c>
      <c r="T481" s="91"/>
      <c r="U481" s="91"/>
      <c r="V481" s="91"/>
      <c r="W481" s="91"/>
      <c r="X481" s="91"/>
      <c r="Y481" s="91"/>
      <c r="Z481" s="91"/>
      <c r="AA481" s="91"/>
      <c r="AB481" s="91"/>
      <c r="AC481" s="91"/>
      <c r="AD481" s="91"/>
      <c r="AE481" s="91"/>
      <c r="AF481" s="91"/>
      <c r="AG481" s="91"/>
      <c r="AH481" s="91"/>
      <c r="AI481" s="91"/>
      <c r="AJ481" s="91"/>
      <c r="AK481" s="91"/>
      <c r="AL481" s="91"/>
      <c r="AM481" s="91"/>
    </row>
    <row r="482" spans="1:39" ht="20.25" hidden="1" customHeight="1">
      <c r="A482" s="91"/>
      <c r="B482" s="93" t="s">
        <v>1698</v>
      </c>
      <c r="C482" s="91" t="s">
        <v>36</v>
      </c>
      <c r="D482" s="94" t="s">
        <v>1786</v>
      </c>
      <c r="E482" s="94" t="s">
        <v>1787</v>
      </c>
      <c r="F482" s="95" t="s">
        <v>1788</v>
      </c>
      <c r="G482" s="96">
        <v>45480</v>
      </c>
      <c r="H482" s="97">
        <v>23154</v>
      </c>
      <c r="I482" s="102" t="s">
        <v>1789</v>
      </c>
      <c r="J482" s="94" t="s">
        <v>1790</v>
      </c>
      <c r="K482" s="95">
        <v>993594268</v>
      </c>
      <c r="L482" s="91" t="s">
        <v>60</v>
      </c>
      <c r="M482" s="98">
        <f ca="1">(TODAY()-H482)/365</f>
        <v>62.597260273972601</v>
      </c>
      <c r="N482" s="99">
        <f>(G482-H482)/365</f>
        <v>61.167123287671231</v>
      </c>
      <c r="O482" s="98">
        <f ca="1">(TODAY()-G482)/365</f>
        <v>1.4301369863013698</v>
      </c>
      <c r="P482" s="91" t="s">
        <v>43</v>
      </c>
      <c r="Q482" s="91">
        <v>0</v>
      </c>
      <c r="R482" s="91">
        <v>0</v>
      </c>
      <c r="S482" s="91">
        <v>0</v>
      </c>
      <c r="T482" s="91"/>
      <c r="U482" s="91"/>
      <c r="V482" s="91"/>
      <c r="W482" s="91"/>
      <c r="X482" s="91"/>
      <c r="Y482" s="91"/>
      <c r="Z482" s="91"/>
      <c r="AA482" s="91"/>
      <c r="AB482" s="91"/>
      <c r="AC482" s="91"/>
      <c r="AD482" s="91"/>
      <c r="AE482" s="91"/>
      <c r="AF482" s="91"/>
      <c r="AG482" s="91"/>
      <c r="AH482" s="91"/>
      <c r="AI482" s="91"/>
      <c r="AJ482" s="91"/>
      <c r="AK482" s="91"/>
      <c r="AL482" s="91"/>
      <c r="AM482" s="91"/>
    </row>
    <row r="483" spans="1:39" ht="20.25" hidden="1" customHeight="1">
      <c r="A483" s="91"/>
      <c r="B483" s="93" t="s">
        <v>1698</v>
      </c>
      <c r="C483" s="91" t="s">
        <v>36</v>
      </c>
      <c r="D483" s="94" t="s">
        <v>1791</v>
      </c>
      <c r="E483" s="94" t="s">
        <v>1792</v>
      </c>
      <c r="F483" s="95" t="s">
        <v>1793</v>
      </c>
      <c r="G483" s="96">
        <v>45480</v>
      </c>
      <c r="H483" s="97">
        <v>22154</v>
      </c>
      <c r="I483" s="111" t="s">
        <v>1794</v>
      </c>
      <c r="J483" s="94" t="s">
        <v>1795</v>
      </c>
      <c r="K483" s="95">
        <v>974537489</v>
      </c>
      <c r="L483" s="91" t="s">
        <v>60</v>
      </c>
      <c r="M483" s="98">
        <f ca="1">(TODAY()-H483)/365</f>
        <v>65.336986301369862</v>
      </c>
      <c r="N483" s="99">
        <f>(G483-H483)/365</f>
        <v>63.906849315068492</v>
      </c>
      <c r="O483" s="98">
        <f ca="1">(TODAY()-G483)/365</f>
        <v>1.4301369863013698</v>
      </c>
      <c r="P483" s="91" t="s">
        <v>43</v>
      </c>
      <c r="Q483" s="91">
        <v>0</v>
      </c>
      <c r="R483" s="91">
        <v>0</v>
      </c>
      <c r="S483" s="91">
        <v>0</v>
      </c>
      <c r="T483" s="91"/>
      <c r="U483" s="91"/>
      <c r="V483" s="91"/>
      <c r="W483" s="91"/>
      <c r="X483" s="91"/>
      <c r="Y483" s="91"/>
      <c r="Z483" s="91"/>
      <c r="AA483" s="91"/>
      <c r="AB483" s="91"/>
      <c r="AC483" s="91"/>
      <c r="AD483" s="91"/>
      <c r="AE483" s="91"/>
      <c r="AF483" s="91"/>
      <c r="AG483" s="91"/>
      <c r="AH483" s="91"/>
      <c r="AI483" s="91"/>
      <c r="AJ483" s="91"/>
      <c r="AK483" s="91"/>
      <c r="AL483" s="91"/>
      <c r="AM483" s="91"/>
    </row>
    <row r="484" spans="1:39" ht="20.25" hidden="1" customHeight="1">
      <c r="A484" s="91"/>
      <c r="B484" s="93" t="s">
        <v>1698</v>
      </c>
      <c r="C484" s="91" t="s">
        <v>36</v>
      </c>
      <c r="D484" s="94" t="s">
        <v>1796</v>
      </c>
      <c r="E484" s="94" t="s">
        <v>1787</v>
      </c>
      <c r="F484" s="95" t="s">
        <v>1797</v>
      </c>
      <c r="G484" s="96">
        <v>45480</v>
      </c>
      <c r="H484" s="97">
        <v>21940</v>
      </c>
      <c r="I484" s="102" t="s">
        <v>1789</v>
      </c>
      <c r="J484" s="94" t="s">
        <v>1790</v>
      </c>
      <c r="K484" s="95">
        <v>993594268</v>
      </c>
      <c r="L484" s="91" t="s">
        <v>60</v>
      </c>
      <c r="M484" s="98">
        <f ca="1">(TODAY()-H484)/365</f>
        <v>65.92328767123287</v>
      </c>
      <c r="N484" s="99">
        <f>(G484-H484)/365</f>
        <v>64.493150684931507</v>
      </c>
      <c r="O484" s="98">
        <f ca="1">(TODAY()-G484)/365</f>
        <v>1.4301369863013698</v>
      </c>
      <c r="P484" s="91" t="s">
        <v>43</v>
      </c>
      <c r="Q484" s="91">
        <v>0</v>
      </c>
      <c r="R484" s="91">
        <v>0</v>
      </c>
      <c r="S484" s="91">
        <v>0</v>
      </c>
      <c r="T484" s="91"/>
      <c r="U484" s="91"/>
      <c r="V484" s="91"/>
      <c r="W484" s="91"/>
      <c r="X484" s="91"/>
      <c r="Y484" s="91"/>
      <c r="Z484" s="91"/>
      <c r="AA484" s="91"/>
      <c r="AB484" s="91"/>
      <c r="AC484" s="91"/>
      <c r="AD484" s="91"/>
      <c r="AE484" s="91"/>
      <c r="AF484" s="91"/>
      <c r="AG484" s="91"/>
      <c r="AH484" s="91"/>
      <c r="AI484" s="91"/>
      <c r="AJ484" s="91"/>
      <c r="AK484" s="91"/>
      <c r="AL484" s="91"/>
      <c r="AM484" s="91"/>
    </row>
    <row r="485" spans="1:39" ht="20.25" customHeight="1">
      <c r="A485" s="91"/>
      <c r="B485" s="93" t="s">
        <v>8990</v>
      </c>
      <c r="C485" s="91" t="s">
        <v>73</v>
      </c>
      <c r="D485" s="94" t="s">
        <v>9074</v>
      </c>
      <c r="E485" s="94" t="s">
        <v>9075</v>
      </c>
      <c r="F485" s="95" t="s">
        <v>9076</v>
      </c>
      <c r="G485" s="96">
        <v>45234</v>
      </c>
      <c r="H485" s="97">
        <v>22020</v>
      </c>
      <c r="I485" s="94" t="s">
        <v>58</v>
      </c>
      <c r="J485" s="94" t="s">
        <v>58</v>
      </c>
      <c r="K485" s="95" t="s">
        <v>58</v>
      </c>
      <c r="L485" s="91" t="s">
        <v>60</v>
      </c>
      <c r="M485" s="98">
        <f ca="1">(TODAY()-H485)/365</f>
        <v>65.704109589041096</v>
      </c>
      <c r="N485" s="99">
        <f>(G485-H485)/365</f>
        <v>63.6</v>
      </c>
      <c r="O485" s="98">
        <f ca="1">(TODAY()-G485)/365</f>
        <v>2.1041095890410957</v>
      </c>
      <c r="P485" s="91" t="s">
        <v>43</v>
      </c>
      <c r="Q485" s="91">
        <v>0</v>
      </c>
      <c r="R485" s="91">
        <v>0</v>
      </c>
      <c r="S485" s="91">
        <v>0</v>
      </c>
      <c r="T485" s="91"/>
      <c r="U485" s="91"/>
      <c r="V485" s="91"/>
      <c r="W485" s="91"/>
      <c r="X485" s="91"/>
      <c r="Y485" s="91"/>
      <c r="Z485" s="91"/>
      <c r="AA485" s="91"/>
      <c r="AB485" s="91"/>
      <c r="AC485" s="91"/>
      <c r="AD485" s="91"/>
      <c r="AE485" s="91"/>
      <c r="AF485" s="91"/>
      <c r="AG485" s="91"/>
      <c r="AH485" s="91"/>
      <c r="AI485" s="91"/>
      <c r="AJ485" s="91"/>
      <c r="AK485" s="91"/>
      <c r="AL485" s="91"/>
      <c r="AM485" s="91"/>
    </row>
    <row r="486" spans="1:39" ht="20.25" customHeight="1">
      <c r="A486" s="128"/>
      <c r="B486" s="93" t="s">
        <v>11273</v>
      </c>
      <c r="C486" s="91" t="s">
        <v>73</v>
      </c>
      <c r="D486" s="106" t="s">
        <v>11430</v>
      </c>
      <c r="E486" s="106" t="s">
        <v>11431</v>
      </c>
      <c r="F486" s="92" t="s">
        <v>11432</v>
      </c>
      <c r="G486" s="103">
        <v>42492</v>
      </c>
      <c r="H486" s="103">
        <v>28886</v>
      </c>
      <c r="I486" s="94" t="s">
        <v>58</v>
      </c>
      <c r="J486" s="100" t="s">
        <v>58</v>
      </c>
      <c r="K486" s="95" t="s">
        <v>58</v>
      </c>
      <c r="L486" s="91"/>
      <c r="M486" s="98">
        <f ca="1">(TODAY()-H486)/365</f>
        <v>46.893150684931506</v>
      </c>
      <c r="N486" s="99">
        <f>(G486-H486)/365</f>
        <v>37.276712328767125</v>
      </c>
      <c r="O486" s="98">
        <f ca="1">(TODAY()-G486)/365</f>
        <v>9.6164383561643838</v>
      </c>
      <c r="P486" s="91" t="s">
        <v>272</v>
      </c>
      <c r="Q486" s="91"/>
      <c r="R486" s="91"/>
      <c r="S486" s="91"/>
      <c r="T486" s="91"/>
      <c r="U486" s="91"/>
      <c r="V486" s="91"/>
      <c r="W486" s="91"/>
      <c r="X486" s="91"/>
      <c r="Y486" s="91"/>
      <c r="Z486" s="91"/>
      <c r="AA486" s="91"/>
      <c r="AB486" s="91"/>
      <c r="AC486" s="91"/>
      <c r="AD486" s="91"/>
      <c r="AE486" s="91"/>
      <c r="AF486" s="91"/>
      <c r="AG486" s="91"/>
      <c r="AH486" s="91"/>
      <c r="AI486" s="91"/>
      <c r="AJ486" s="91"/>
      <c r="AK486" s="91"/>
      <c r="AL486" s="91"/>
      <c r="AM486" s="91"/>
    </row>
    <row r="487" spans="1:39" ht="20.25" customHeight="1">
      <c r="A487" s="91"/>
      <c r="B487" s="93" t="s">
        <v>1477</v>
      </c>
      <c r="C487" s="91" t="s">
        <v>73</v>
      </c>
      <c r="D487" s="94" t="s">
        <v>1354</v>
      </c>
      <c r="E487" s="94" t="s">
        <v>1590</v>
      </c>
      <c r="F487" s="95" t="s">
        <v>1604</v>
      </c>
      <c r="G487" s="96">
        <v>45219</v>
      </c>
      <c r="H487" s="97">
        <v>33165</v>
      </c>
      <c r="I487" s="94" t="s">
        <v>1605</v>
      </c>
      <c r="J487" s="100" t="s">
        <v>58</v>
      </c>
      <c r="K487" s="91" t="s">
        <v>58</v>
      </c>
      <c r="L487" s="91" t="s">
        <v>60</v>
      </c>
      <c r="M487" s="98">
        <f ca="1">(TODAY()-H487)/365</f>
        <v>35.169863013698631</v>
      </c>
      <c r="N487" s="99">
        <f>(G487-H487)/365</f>
        <v>33.024657534246572</v>
      </c>
      <c r="O487" s="98">
        <f ca="1">(TODAY()-G487)/365</f>
        <v>2.1452054794520548</v>
      </c>
      <c r="P487" s="91" t="s">
        <v>43</v>
      </c>
      <c r="Q487" s="91">
        <v>0</v>
      </c>
      <c r="R487" s="91">
        <v>0</v>
      </c>
      <c r="S487" s="91">
        <v>0</v>
      </c>
      <c r="T487" s="91"/>
      <c r="U487" s="91"/>
      <c r="V487" s="91"/>
      <c r="W487" s="91"/>
      <c r="X487" s="91"/>
      <c r="Y487" s="91"/>
      <c r="Z487" s="91"/>
      <c r="AA487" s="91"/>
      <c r="AB487" s="91"/>
      <c r="AC487" s="91"/>
      <c r="AD487" s="91"/>
      <c r="AE487" s="91"/>
      <c r="AF487" s="91"/>
      <c r="AG487" s="91"/>
      <c r="AH487" s="91"/>
      <c r="AI487" s="91"/>
      <c r="AJ487" s="91"/>
      <c r="AK487" s="91"/>
      <c r="AL487" s="91"/>
      <c r="AM487" s="91"/>
    </row>
    <row r="488" spans="1:39" ht="20.25" hidden="1" customHeight="1">
      <c r="A488" s="91"/>
      <c r="B488" s="93" t="s">
        <v>1698</v>
      </c>
      <c r="C488" s="91" t="s">
        <v>36</v>
      </c>
      <c r="D488" s="94" t="s">
        <v>1806</v>
      </c>
      <c r="E488" s="94" t="s">
        <v>1807</v>
      </c>
      <c r="F488" s="95" t="s">
        <v>1808</v>
      </c>
      <c r="G488" s="96">
        <v>39522</v>
      </c>
      <c r="H488" s="97">
        <v>11164</v>
      </c>
      <c r="I488" s="94" t="s">
        <v>58</v>
      </c>
      <c r="J488" s="94" t="s">
        <v>1809</v>
      </c>
      <c r="K488" s="95" t="s">
        <v>1810</v>
      </c>
      <c r="L488" s="91" t="s">
        <v>60</v>
      </c>
      <c r="M488" s="98">
        <f ca="1">(TODAY()-H488)/365</f>
        <v>95.446575342465749</v>
      </c>
      <c r="N488" s="99">
        <f>(G488-H488)/365</f>
        <v>77.69315068493151</v>
      </c>
      <c r="O488" s="98">
        <f ca="1">(TODAY()-G488)/365</f>
        <v>17.753424657534246</v>
      </c>
      <c r="P488" s="91" t="s">
        <v>43</v>
      </c>
      <c r="Q488" s="91">
        <v>0</v>
      </c>
      <c r="R488" s="91">
        <v>0</v>
      </c>
      <c r="S488" s="91">
        <v>0</v>
      </c>
      <c r="T488" s="91"/>
      <c r="U488" s="91"/>
      <c r="V488" s="91"/>
      <c r="W488" s="91"/>
      <c r="X488" s="91"/>
      <c r="Y488" s="91"/>
      <c r="Z488" s="91"/>
      <c r="AA488" s="91"/>
      <c r="AB488" s="91"/>
      <c r="AC488" s="91"/>
      <c r="AD488" s="91"/>
      <c r="AE488" s="91"/>
      <c r="AF488" s="91"/>
      <c r="AG488" s="91"/>
      <c r="AH488" s="91"/>
      <c r="AI488" s="91"/>
      <c r="AJ488" s="91"/>
      <c r="AK488" s="91"/>
      <c r="AL488" s="91"/>
      <c r="AM488" s="91"/>
    </row>
    <row r="489" spans="1:39" ht="20.25" hidden="1" customHeight="1">
      <c r="A489" s="91"/>
      <c r="B489" s="93" t="s">
        <v>1811</v>
      </c>
      <c r="C489" s="91" t="s">
        <v>36</v>
      </c>
      <c r="D489" s="94" t="s">
        <v>1812</v>
      </c>
      <c r="E489" s="94" t="s">
        <v>1813</v>
      </c>
      <c r="F489" s="95" t="s">
        <v>1814</v>
      </c>
      <c r="G489" s="96">
        <v>45395</v>
      </c>
      <c r="H489" s="97">
        <v>40581</v>
      </c>
      <c r="I489" s="102" t="s">
        <v>1815</v>
      </c>
      <c r="J489" s="94" t="s">
        <v>1816</v>
      </c>
      <c r="K489" s="95" t="s">
        <v>1817</v>
      </c>
      <c r="L489" s="91" t="s">
        <v>60</v>
      </c>
      <c r="M489" s="98">
        <f ca="1">(TODAY()-H489)/365</f>
        <v>14.852054794520548</v>
      </c>
      <c r="N489" s="99">
        <f>(G489-H489)/365</f>
        <v>13.189041095890412</v>
      </c>
      <c r="O489" s="98">
        <f ca="1">(TODAY()-G489)/365</f>
        <v>1.6630136986301369</v>
      </c>
      <c r="P489" s="91" t="s">
        <v>43</v>
      </c>
      <c r="Q489" s="91">
        <v>0</v>
      </c>
      <c r="R489" s="91">
        <v>0</v>
      </c>
      <c r="S489" s="91">
        <v>0</v>
      </c>
      <c r="T489" s="91"/>
      <c r="U489" s="91"/>
      <c r="V489" s="91"/>
      <c r="W489" s="91"/>
      <c r="X489" s="91"/>
      <c r="Y489" s="91"/>
      <c r="Z489" s="91"/>
      <c r="AA489" s="91"/>
      <c r="AB489" s="91"/>
      <c r="AC489" s="91"/>
      <c r="AD489" s="91"/>
      <c r="AE489" s="91"/>
      <c r="AF489" s="91"/>
      <c r="AG489" s="91"/>
      <c r="AH489" s="91"/>
      <c r="AI489" s="91"/>
      <c r="AJ489" s="91"/>
      <c r="AK489" s="91"/>
      <c r="AL489" s="91"/>
      <c r="AM489" s="91"/>
    </row>
    <row r="490" spans="1:39" ht="20.25" hidden="1" customHeight="1">
      <c r="A490" s="91"/>
      <c r="B490" s="93" t="s">
        <v>1811</v>
      </c>
      <c r="C490" s="91" t="s">
        <v>36</v>
      </c>
      <c r="D490" s="94" t="s">
        <v>1818</v>
      </c>
      <c r="E490" s="94" t="s">
        <v>1819</v>
      </c>
      <c r="F490" s="95" t="s">
        <v>1820</v>
      </c>
      <c r="G490" s="96">
        <v>44432</v>
      </c>
      <c r="H490" s="97">
        <v>38528</v>
      </c>
      <c r="I490" s="102" t="s">
        <v>1821</v>
      </c>
      <c r="J490" s="94" t="s">
        <v>1822</v>
      </c>
      <c r="K490" s="95" t="s">
        <v>1823</v>
      </c>
      <c r="L490" s="91" t="s">
        <v>60</v>
      </c>
      <c r="M490" s="98">
        <f ca="1">(TODAY()-H490)/365</f>
        <v>20.476712328767125</v>
      </c>
      <c r="N490" s="99">
        <f>(G490-H490)/365</f>
        <v>16.175342465753424</v>
      </c>
      <c r="O490" s="98">
        <f ca="1">(TODAY()-G490)/365</f>
        <v>4.3013698630136989</v>
      </c>
      <c r="P490" s="91" t="s">
        <v>272</v>
      </c>
      <c r="Q490" s="91">
        <v>0</v>
      </c>
      <c r="R490" s="91">
        <v>0</v>
      </c>
      <c r="S490" s="91">
        <v>0</v>
      </c>
      <c r="T490" s="91"/>
      <c r="U490" s="91"/>
      <c r="V490" s="91"/>
      <c r="W490" s="91"/>
      <c r="X490" s="91"/>
      <c r="Y490" s="91"/>
      <c r="Z490" s="91"/>
      <c r="AA490" s="91"/>
      <c r="AB490" s="91"/>
      <c r="AC490" s="91"/>
      <c r="AD490" s="91"/>
      <c r="AE490" s="91"/>
      <c r="AF490" s="91"/>
      <c r="AG490" s="91"/>
      <c r="AH490" s="91"/>
      <c r="AI490" s="91"/>
      <c r="AJ490" s="91"/>
      <c r="AK490" s="91"/>
      <c r="AL490" s="91"/>
      <c r="AM490" s="91"/>
    </row>
    <row r="491" spans="1:39" ht="20.25" hidden="1" customHeight="1">
      <c r="A491" s="91"/>
      <c r="B491" s="93" t="s">
        <v>1811</v>
      </c>
      <c r="C491" s="91" t="s">
        <v>36</v>
      </c>
      <c r="D491" s="94" t="s">
        <v>1824</v>
      </c>
      <c r="E491" s="94" t="s">
        <v>1825</v>
      </c>
      <c r="F491" s="95" t="s">
        <v>1826</v>
      </c>
      <c r="G491" s="96">
        <v>44520</v>
      </c>
      <c r="H491" s="97">
        <v>38520</v>
      </c>
      <c r="I491" s="102" t="s">
        <v>1827</v>
      </c>
      <c r="J491" s="94" t="s">
        <v>1828</v>
      </c>
      <c r="K491" s="95" t="s">
        <v>1829</v>
      </c>
      <c r="L491" s="91" t="s">
        <v>60</v>
      </c>
      <c r="M491" s="98">
        <f ca="1">(TODAY()-H491)/365</f>
        <v>20.4986301369863</v>
      </c>
      <c r="N491" s="99">
        <f>(G491-H491)/365</f>
        <v>16.438356164383563</v>
      </c>
      <c r="O491" s="98">
        <f ca="1">(TODAY()-G491)/365</f>
        <v>4.0602739726027401</v>
      </c>
      <c r="P491" s="91" t="s">
        <v>43</v>
      </c>
      <c r="Q491" s="91">
        <v>0</v>
      </c>
      <c r="R491" s="91">
        <v>0</v>
      </c>
      <c r="S491" s="91">
        <v>0</v>
      </c>
      <c r="T491" s="91"/>
      <c r="U491" s="91"/>
      <c r="V491" s="91"/>
      <c r="W491" s="91"/>
      <c r="X491" s="91"/>
      <c r="Y491" s="91"/>
      <c r="Z491" s="91"/>
      <c r="AA491" s="91"/>
      <c r="AB491" s="91"/>
      <c r="AC491" s="91"/>
      <c r="AD491" s="91"/>
      <c r="AE491" s="91"/>
      <c r="AF491" s="91"/>
      <c r="AG491" s="91"/>
      <c r="AH491" s="91"/>
      <c r="AI491" s="91"/>
      <c r="AJ491" s="91"/>
      <c r="AK491" s="91"/>
      <c r="AL491" s="91"/>
      <c r="AM491" s="91"/>
    </row>
    <row r="492" spans="1:39" ht="20.25" hidden="1" customHeight="1">
      <c r="A492" s="91"/>
      <c r="B492" s="93" t="s">
        <v>1811</v>
      </c>
      <c r="C492" s="91" t="s">
        <v>36</v>
      </c>
      <c r="D492" s="94" t="s">
        <v>1830</v>
      </c>
      <c r="E492" s="94" t="s">
        <v>1831</v>
      </c>
      <c r="F492" s="95" t="s">
        <v>1832</v>
      </c>
      <c r="G492" s="96">
        <v>41496</v>
      </c>
      <c r="H492" s="97">
        <v>35481</v>
      </c>
      <c r="I492" s="102" t="s">
        <v>1833</v>
      </c>
      <c r="J492" s="94" t="s">
        <v>1834</v>
      </c>
      <c r="K492" s="95" t="s">
        <v>1835</v>
      </c>
      <c r="L492" s="91" t="s">
        <v>60</v>
      </c>
      <c r="M492" s="98">
        <f ca="1">(TODAY()-H492)/365</f>
        <v>28.824657534246576</v>
      </c>
      <c r="N492" s="99">
        <f>(G492-H492)/365</f>
        <v>16.479452054794521</v>
      </c>
      <c r="O492" s="98">
        <f ca="1">(TODAY()-G492)/365</f>
        <v>12.345205479452055</v>
      </c>
      <c r="P492" s="91" t="s">
        <v>272</v>
      </c>
      <c r="Q492" s="91">
        <v>0</v>
      </c>
      <c r="R492" s="91">
        <v>0</v>
      </c>
      <c r="S492" s="91">
        <v>0</v>
      </c>
      <c r="T492" s="91"/>
      <c r="U492" s="91"/>
      <c r="V492" s="91"/>
      <c r="W492" s="91"/>
      <c r="X492" s="91"/>
      <c r="Y492" s="91"/>
      <c r="Z492" s="91"/>
      <c r="AA492" s="91"/>
      <c r="AB492" s="91"/>
      <c r="AC492" s="91"/>
      <c r="AD492" s="91"/>
      <c r="AE492" s="91"/>
      <c r="AF492" s="91"/>
      <c r="AG492" s="91"/>
      <c r="AH492" s="91"/>
      <c r="AI492" s="91"/>
      <c r="AJ492" s="91"/>
      <c r="AK492" s="91"/>
      <c r="AL492" s="91"/>
      <c r="AM492" s="91"/>
    </row>
    <row r="493" spans="1:39" ht="20.25" hidden="1" customHeight="1">
      <c r="A493" s="91"/>
      <c r="B493" s="93" t="s">
        <v>1811</v>
      </c>
      <c r="C493" s="91" t="s">
        <v>36</v>
      </c>
      <c r="D493" s="94" t="s">
        <v>1836</v>
      </c>
      <c r="E493" s="94" t="s">
        <v>1825</v>
      </c>
      <c r="F493" s="95" t="s">
        <v>1837</v>
      </c>
      <c r="G493" s="96">
        <v>42892</v>
      </c>
      <c r="H493" s="97">
        <v>36692</v>
      </c>
      <c r="I493" s="102" t="s">
        <v>1838</v>
      </c>
      <c r="J493" s="94" t="s">
        <v>1828</v>
      </c>
      <c r="K493" s="95" t="s">
        <v>1839</v>
      </c>
      <c r="L493" s="91" t="s">
        <v>60</v>
      </c>
      <c r="M493" s="98">
        <f ca="1">(TODAY()-H493)/365</f>
        <v>25.506849315068493</v>
      </c>
      <c r="N493" s="99">
        <f>(G493-H493)/365</f>
        <v>16.986301369863014</v>
      </c>
      <c r="O493" s="98">
        <f ca="1">(TODAY()-G493)/365</f>
        <v>8.5205479452054789</v>
      </c>
      <c r="P493" s="91" t="s">
        <v>43</v>
      </c>
      <c r="Q493" s="91">
        <v>0</v>
      </c>
      <c r="R493" s="91">
        <v>0</v>
      </c>
      <c r="S493" s="91">
        <v>0</v>
      </c>
      <c r="T493" s="91"/>
      <c r="U493" s="91"/>
      <c r="V493" s="91"/>
      <c r="W493" s="91"/>
      <c r="X493" s="91"/>
      <c r="Y493" s="91"/>
      <c r="Z493" s="91"/>
      <c r="AA493" s="91"/>
      <c r="AB493" s="91"/>
      <c r="AC493" s="91"/>
      <c r="AD493" s="91"/>
      <c r="AE493" s="91"/>
      <c r="AF493" s="91"/>
      <c r="AG493" s="91"/>
      <c r="AH493" s="91"/>
      <c r="AI493" s="91"/>
      <c r="AJ493" s="91"/>
      <c r="AK493" s="91"/>
      <c r="AL493" s="91"/>
      <c r="AM493" s="91"/>
    </row>
    <row r="494" spans="1:39" ht="20.25" hidden="1" customHeight="1">
      <c r="A494" s="91"/>
      <c r="B494" s="93" t="s">
        <v>1811</v>
      </c>
      <c r="C494" s="91" t="s">
        <v>36</v>
      </c>
      <c r="D494" s="94" t="s">
        <v>1840</v>
      </c>
      <c r="E494" s="94" t="s">
        <v>1841</v>
      </c>
      <c r="F494" s="95" t="s">
        <v>1842</v>
      </c>
      <c r="G494" s="96">
        <v>40252</v>
      </c>
      <c r="H494" s="97">
        <v>33911</v>
      </c>
      <c r="I494" s="102" t="s">
        <v>1843</v>
      </c>
      <c r="J494" s="94" t="s">
        <v>1844</v>
      </c>
      <c r="K494" s="95" t="s">
        <v>1845</v>
      </c>
      <c r="L494" s="91" t="s">
        <v>60</v>
      </c>
      <c r="M494" s="98">
        <f ca="1">(TODAY()-H494)/365</f>
        <v>33.126027397260273</v>
      </c>
      <c r="N494" s="99">
        <f>(G494-H494)/365</f>
        <v>17.372602739726027</v>
      </c>
      <c r="O494" s="98">
        <f ca="1">(TODAY()-G494)/365</f>
        <v>15.753424657534246</v>
      </c>
      <c r="P494" s="91" t="s">
        <v>272</v>
      </c>
      <c r="Q494" s="91">
        <v>0</v>
      </c>
      <c r="R494" s="91">
        <v>0</v>
      </c>
      <c r="S494" s="91">
        <v>1</v>
      </c>
      <c r="T494" s="91"/>
      <c r="U494" s="91"/>
      <c r="V494" s="91"/>
      <c r="W494" s="91"/>
      <c r="X494" s="91"/>
      <c r="Y494" s="91"/>
      <c r="Z494" s="91"/>
      <c r="AA494" s="91"/>
      <c r="AB494" s="91"/>
      <c r="AC494" s="91"/>
      <c r="AD494" s="91"/>
      <c r="AE494" s="91"/>
      <c r="AF494" s="91"/>
      <c r="AG494" s="91"/>
      <c r="AH494" s="91"/>
      <c r="AI494" s="91"/>
      <c r="AJ494" s="91"/>
      <c r="AK494" s="91"/>
      <c r="AL494" s="91"/>
      <c r="AM494" s="91"/>
    </row>
    <row r="495" spans="1:39" ht="20.25" hidden="1" customHeight="1">
      <c r="A495" s="91"/>
      <c r="B495" s="93" t="s">
        <v>1811</v>
      </c>
      <c r="C495" s="91" t="s">
        <v>36</v>
      </c>
      <c r="D495" s="94" t="s">
        <v>1846</v>
      </c>
      <c r="E495" s="94" t="s">
        <v>1847</v>
      </c>
      <c r="F495" s="95" t="s">
        <v>1848</v>
      </c>
      <c r="G495" s="96">
        <v>45041</v>
      </c>
      <c r="H495" s="97">
        <v>38645</v>
      </c>
      <c r="I495" s="102" t="s">
        <v>1849</v>
      </c>
      <c r="J495" s="94" t="s">
        <v>1850</v>
      </c>
      <c r="K495" s="95" t="s">
        <v>1851</v>
      </c>
      <c r="L495" s="91" t="s">
        <v>60</v>
      </c>
      <c r="M495" s="98">
        <f ca="1">(TODAY()-H495)/365</f>
        <v>20.156164383561645</v>
      </c>
      <c r="N495" s="99">
        <f>(G495-H495)/365</f>
        <v>17.523287671232875</v>
      </c>
      <c r="O495" s="98">
        <f ca="1">(TODAY()-G495)/365</f>
        <v>2.6328767123287671</v>
      </c>
      <c r="P495" s="91" t="s">
        <v>43</v>
      </c>
      <c r="Q495" s="91">
        <v>0</v>
      </c>
      <c r="R495" s="91">
        <v>0</v>
      </c>
      <c r="S495" s="91">
        <v>0</v>
      </c>
      <c r="T495" s="91"/>
      <c r="U495" s="91"/>
      <c r="V495" s="91"/>
      <c r="W495" s="91"/>
      <c r="X495" s="91"/>
      <c r="Y495" s="91"/>
      <c r="Z495" s="91"/>
      <c r="AA495" s="91"/>
      <c r="AB495" s="91"/>
      <c r="AC495" s="91"/>
      <c r="AD495" s="91"/>
      <c r="AE495" s="91"/>
      <c r="AF495" s="91"/>
      <c r="AG495" s="91"/>
      <c r="AH495" s="91"/>
      <c r="AI495" s="91"/>
      <c r="AJ495" s="91"/>
      <c r="AK495" s="91"/>
      <c r="AL495" s="91"/>
      <c r="AM495" s="91"/>
    </row>
    <row r="496" spans="1:39" ht="20.25" hidden="1" customHeight="1">
      <c r="A496" s="91"/>
      <c r="B496" s="93" t="s">
        <v>1811</v>
      </c>
      <c r="C496" s="91" t="s">
        <v>36</v>
      </c>
      <c r="D496" s="94" t="s">
        <v>1852</v>
      </c>
      <c r="E496" s="94" t="s">
        <v>1853</v>
      </c>
      <c r="F496" s="95" t="s">
        <v>1854</v>
      </c>
      <c r="G496" s="96">
        <v>42552</v>
      </c>
      <c r="H496" s="97">
        <v>36120</v>
      </c>
      <c r="I496" s="102" t="s">
        <v>1855</v>
      </c>
      <c r="J496" s="94" t="s">
        <v>1856</v>
      </c>
      <c r="K496" s="95" t="s">
        <v>1857</v>
      </c>
      <c r="L496" s="91" t="s">
        <v>60</v>
      </c>
      <c r="M496" s="98">
        <f ca="1">(TODAY()-H496)/365</f>
        <v>27.073972602739726</v>
      </c>
      <c r="N496" s="99">
        <f>(G496-H496)/365</f>
        <v>17.621917808219177</v>
      </c>
      <c r="O496" s="98">
        <f ca="1">(TODAY()-G496)/365</f>
        <v>9.4520547945205475</v>
      </c>
      <c r="P496" s="91" t="s">
        <v>272</v>
      </c>
      <c r="Q496" s="91">
        <v>0</v>
      </c>
      <c r="R496" s="91">
        <v>0</v>
      </c>
      <c r="S496" s="91">
        <v>0</v>
      </c>
      <c r="T496" s="91"/>
      <c r="U496" s="91"/>
      <c r="V496" s="91"/>
      <c r="W496" s="91"/>
      <c r="X496" s="91"/>
      <c r="Y496" s="91"/>
      <c r="Z496" s="91"/>
      <c r="AA496" s="91"/>
      <c r="AB496" s="91"/>
      <c r="AC496" s="91"/>
      <c r="AD496" s="91"/>
      <c r="AE496" s="91"/>
      <c r="AF496" s="91"/>
      <c r="AG496" s="91"/>
      <c r="AH496" s="91"/>
      <c r="AI496" s="91"/>
      <c r="AJ496" s="91"/>
      <c r="AK496" s="91"/>
      <c r="AL496" s="91"/>
      <c r="AM496" s="91"/>
    </row>
    <row r="497" spans="1:39" ht="20.25" hidden="1" customHeight="1">
      <c r="A497" s="91"/>
      <c r="B497" s="93" t="s">
        <v>1811</v>
      </c>
      <c r="C497" s="91" t="s">
        <v>36</v>
      </c>
      <c r="D497" s="94" t="s">
        <v>1858</v>
      </c>
      <c r="E497" s="94" t="s">
        <v>1859</v>
      </c>
      <c r="F497" s="95" t="s">
        <v>1860</v>
      </c>
      <c r="G497" s="96">
        <v>45178</v>
      </c>
      <c r="H497" s="97">
        <v>38520</v>
      </c>
      <c r="I497" s="102" t="s">
        <v>1861</v>
      </c>
      <c r="J497" s="94" t="s">
        <v>1862</v>
      </c>
      <c r="K497" s="95" t="s">
        <v>1863</v>
      </c>
      <c r="L497" s="91" t="s">
        <v>60</v>
      </c>
      <c r="M497" s="98">
        <f ca="1">(TODAY()-H497)/365</f>
        <v>20.4986301369863</v>
      </c>
      <c r="N497" s="99">
        <f>(G497-H497)/365</f>
        <v>18.241095890410961</v>
      </c>
      <c r="O497" s="98">
        <f ca="1">(TODAY()-G497)/365</f>
        <v>2.2575342465753425</v>
      </c>
      <c r="P497" s="91" t="s">
        <v>272</v>
      </c>
      <c r="Q497" s="91">
        <v>0</v>
      </c>
      <c r="R497" s="91">
        <v>0</v>
      </c>
      <c r="S497" s="91">
        <v>0</v>
      </c>
      <c r="T497" s="91"/>
      <c r="U497" s="91"/>
      <c r="V497" s="91"/>
      <c r="W497" s="91"/>
      <c r="X497" s="91"/>
      <c r="Y497" s="91"/>
      <c r="Z497" s="91"/>
      <c r="AA497" s="91"/>
      <c r="AB497" s="91"/>
      <c r="AC497" s="91"/>
      <c r="AD497" s="91"/>
      <c r="AE497" s="91"/>
      <c r="AF497" s="91"/>
      <c r="AG497" s="91"/>
      <c r="AH497" s="91"/>
      <c r="AI497" s="91"/>
      <c r="AJ497" s="91"/>
      <c r="AK497" s="91"/>
      <c r="AL497" s="91"/>
      <c r="AM497" s="91"/>
    </row>
    <row r="498" spans="1:39" ht="20.25" customHeight="1">
      <c r="A498" s="91"/>
      <c r="B498" s="93" t="s">
        <v>8714</v>
      </c>
      <c r="C498" s="91" t="s">
        <v>73</v>
      </c>
      <c r="D498" s="106" t="s">
        <v>8790</v>
      </c>
      <c r="E498" s="106" t="s">
        <v>8791</v>
      </c>
      <c r="F498" s="92" t="s">
        <v>8795</v>
      </c>
      <c r="G498" s="96">
        <v>44927</v>
      </c>
      <c r="H498" s="97">
        <v>29789</v>
      </c>
      <c r="I498" s="94" t="s">
        <v>8796</v>
      </c>
      <c r="J498" s="94" t="s">
        <v>58</v>
      </c>
      <c r="K498" s="95" t="s">
        <v>58</v>
      </c>
      <c r="L498" s="91" t="s">
        <v>60</v>
      </c>
      <c r="M498" s="98">
        <f ca="1">(TODAY()-H498)/365</f>
        <v>44.419178082191777</v>
      </c>
      <c r="N498" s="99">
        <f>(G498-H498)/365</f>
        <v>41.473972602739728</v>
      </c>
      <c r="O498" s="98">
        <f ca="1">(TODAY()-G498)/365</f>
        <v>2.9452054794520546</v>
      </c>
      <c r="P498" s="91" t="s">
        <v>43</v>
      </c>
      <c r="Q498" s="91">
        <v>0</v>
      </c>
      <c r="R498" s="91">
        <v>0</v>
      </c>
      <c r="S498" s="91">
        <v>0</v>
      </c>
      <c r="T498" s="91"/>
      <c r="U498" s="91"/>
      <c r="V498" s="91"/>
      <c r="W498" s="91"/>
      <c r="X498" s="91"/>
      <c r="Y498" s="91"/>
      <c r="Z498" s="91"/>
      <c r="AA498" s="91"/>
      <c r="AB498" s="91"/>
      <c r="AC498" s="91"/>
      <c r="AD498" s="91"/>
      <c r="AE498" s="91"/>
      <c r="AF498" s="91"/>
      <c r="AG498" s="91"/>
      <c r="AH498" s="91"/>
      <c r="AI498" s="91"/>
      <c r="AJ498" s="91"/>
      <c r="AK498" s="91"/>
      <c r="AL498" s="91"/>
      <c r="AM498" s="91"/>
    </row>
    <row r="499" spans="1:39" ht="20.25" hidden="1" customHeight="1">
      <c r="A499" s="91"/>
      <c r="B499" s="93" t="s">
        <v>1811</v>
      </c>
      <c r="C499" s="91" t="s">
        <v>36</v>
      </c>
      <c r="D499" s="94" t="s">
        <v>1868</v>
      </c>
      <c r="E499" s="94" t="s">
        <v>1869</v>
      </c>
      <c r="F499" s="95" t="s">
        <v>1870</v>
      </c>
      <c r="G499" s="96">
        <v>45365</v>
      </c>
      <c r="H499" s="97">
        <v>38700</v>
      </c>
      <c r="I499" s="100" t="s">
        <v>58</v>
      </c>
      <c r="J499" s="94" t="s">
        <v>1871</v>
      </c>
      <c r="K499" s="95" t="s">
        <v>1872</v>
      </c>
      <c r="L499" s="91" t="s">
        <v>60</v>
      </c>
      <c r="M499" s="98">
        <f ca="1">(TODAY()-H499)/365</f>
        <v>20.005479452054793</v>
      </c>
      <c r="N499" s="99">
        <f>(G499-H499)/365</f>
        <v>18.260273972602739</v>
      </c>
      <c r="O499" s="98">
        <f ca="1">(TODAY()-G499)/365</f>
        <v>1.7452054794520548</v>
      </c>
      <c r="P499" s="91" t="s">
        <v>272</v>
      </c>
      <c r="Q499" s="91">
        <v>0</v>
      </c>
      <c r="R499" s="91">
        <v>0</v>
      </c>
      <c r="S499" s="91">
        <v>0</v>
      </c>
      <c r="T499" s="91"/>
      <c r="U499" s="91"/>
      <c r="V499" s="91"/>
      <c r="W499" s="91"/>
      <c r="X499" s="91"/>
      <c r="Y499" s="91"/>
      <c r="Z499" s="91"/>
      <c r="AA499" s="91"/>
      <c r="AB499" s="91"/>
      <c r="AC499" s="91"/>
      <c r="AD499" s="91"/>
      <c r="AE499" s="91"/>
      <c r="AF499" s="91"/>
      <c r="AG499" s="91"/>
      <c r="AH499" s="91"/>
      <c r="AI499" s="91"/>
      <c r="AJ499" s="91"/>
      <c r="AK499" s="91"/>
      <c r="AL499" s="91"/>
      <c r="AM499" s="91"/>
    </row>
    <row r="500" spans="1:39" ht="20.25" hidden="1" customHeight="1">
      <c r="A500" s="91"/>
      <c r="B500" s="93" t="s">
        <v>1811</v>
      </c>
      <c r="C500" s="91" t="s">
        <v>36</v>
      </c>
      <c r="D500" s="94" t="s">
        <v>392</v>
      </c>
      <c r="E500" s="94" t="s">
        <v>1873</v>
      </c>
      <c r="F500" s="95" t="s">
        <v>1874</v>
      </c>
      <c r="G500" s="96">
        <v>45164</v>
      </c>
      <c r="H500" s="97">
        <v>38461</v>
      </c>
      <c r="I500" s="102" t="s">
        <v>1875</v>
      </c>
      <c r="J500" s="94" t="s">
        <v>1876</v>
      </c>
      <c r="K500" s="95" t="s">
        <v>1877</v>
      </c>
      <c r="L500" s="91" t="s">
        <v>60</v>
      </c>
      <c r="M500" s="98">
        <f ca="1">(TODAY()-H500)/365</f>
        <v>20.660273972602738</v>
      </c>
      <c r="N500" s="99">
        <f>(G500-H500)/365</f>
        <v>18.364383561643837</v>
      </c>
      <c r="O500" s="98">
        <f ca="1">(TODAY()-G500)/365</f>
        <v>2.2958904109589042</v>
      </c>
      <c r="P500" s="91" t="s">
        <v>43</v>
      </c>
      <c r="Q500" s="91">
        <v>0</v>
      </c>
      <c r="R500" s="91">
        <v>0</v>
      </c>
      <c r="S500" s="91">
        <v>0</v>
      </c>
      <c r="T500" s="91"/>
      <c r="U500" s="91"/>
      <c r="V500" s="91"/>
      <c r="W500" s="91"/>
      <c r="X500" s="91"/>
      <c r="Y500" s="91"/>
      <c r="Z500" s="91"/>
      <c r="AA500" s="91"/>
      <c r="AB500" s="91"/>
      <c r="AC500" s="91"/>
      <c r="AD500" s="91"/>
      <c r="AE500" s="91"/>
      <c r="AF500" s="91"/>
      <c r="AG500" s="91"/>
      <c r="AH500" s="91"/>
      <c r="AI500" s="91"/>
      <c r="AJ500" s="91"/>
      <c r="AK500" s="91"/>
      <c r="AL500" s="91"/>
      <c r="AM500" s="91"/>
    </row>
    <row r="501" spans="1:39" ht="20.25" hidden="1" customHeight="1">
      <c r="A501" s="91"/>
      <c r="B501" s="93" t="s">
        <v>1811</v>
      </c>
      <c r="C501" s="91" t="s">
        <v>36</v>
      </c>
      <c r="D501" s="94" t="s">
        <v>1878</v>
      </c>
      <c r="E501" s="94" t="s">
        <v>1879</v>
      </c>
      <c r="F501" s="95" t="s">
        <v>1880</v>
      </c>
      <c r="G501" s="96">
        <v>44709</v>
      </c>
      <c r="H501" s="97">
        <v>37950</v>
      </c>
      <c r="I501" s="102" t="s">
        <v>1881</v>
      </c>
      <c r="J501" s="94" t="s">
        <v>1882</v>
      </c>
      <c r="K501" s="95" t="s">
        <v>1883</v>
      </c>
      <c r="L501" s="91" t="s">
        <v>60</v>
      </c>
      <c r="M501" s="98">
        <f ca="1">(TODAY()-H501)/365</f>
        <v>22.06027397260274</v>
      </c>
      <c r="N501" s="99">
        <f>(G501-H501)/365</f>
        <v>18.517808219178082</v>
      </c>
      <c r="O501" s="98">
        <f ca="1">(TODAY()-G501)/365</f>
        <v>3.5424657534246577</v>
      </c>
      <c r="P501" s="91" t="s">
        <v>43</v>
      </c>
      <c r="Q501" s="91">
        <v>0</v>
      </c>
      <c r="R501" s="91">
        <v>0</v>
      </c>
      <c r="S501" s="91">
        <v>0</v>
      </c>
      <c r="T501" s="91"/>
      <c r="U501" s="91"/>
      <c r="V501" s="91"/>
      <c r="W501" s="91"/>
      <c r="X501" s="91"/>
      <c r="Y501" s="91"/>
      <c r="Z501" s="91"/>
      <c r="AA501" s="91"/>
      <c r="AB501" s="91"/>
      <c r="AC501" s="91"/>
      <c r="AD501" s="91"/>
      <c r="AE501" s="91"/>
      <c r="AF501" s="91"/>
      <c r="AG501" s="91"/>
      <c r="AH501" s="91"/>
      <c r="AI501" s="91"/>
      <c r="AJ501" s="91"/>
      <c r="AK501" s="91"/>
      <c r="AL501" s="91"/>
      <c r="AM501" s="91"/>
    </row>
    <row r="502" spans="1:39" ht="20.25" hidden="1" customHeight="1">
      <c r="A502" s="91"/>
      <c r="B502" s="93" t="s">
        <v>1811</v>
      </c>
      <c r="C502" s="91" t="s">
        <v>36</v>
      </c>
      <c r="D502" s="94" t="s">
        <v>1884</v>
      </c>
      <c r="E502" s="94" t="s">
        <v>1885</v>
      </c>
      <c r="F502" s="95" t="s">
        <v>1886</v>
      </c>
      <c r="G502" s="96">
        <v>45027</v>
      </c>
      <c r="H502" s="97">
        <v>38227</v>
      </c>
      <c r="I502" s="102" t="s">
        <v>1887</v>
      </c>
      <c r="J502" s="94" t="s">
        <v>1888</v>
      </c>
      <c r="K502" s="95" t="s">
        <v>1889</v>
      </c>
      <c r="L502" s="91" t="s">
        <v>60</v>
      </c>
      <c r="M502" s="98">
        <f ca="1">(TODAY()-H502)/365</f>
        <v>21.301369863013697</v>
      </c>
      <c r="N502" s="99">
        <f>(G502-H502)/365</f>
        <v>18.63013698630137</v>
      </c>
      <c r="O502" s="98">
        <f ca="1">(TODAY()-G502)/365</f>
        <v>2.6712328767123288</v>
      </c>
      <c r="P502" s="91" t="s">
        <v>43</v>
      </c>
      <c r="Q502" s="91">
        <v>0</v>
      </c>
      <c r="R502" s="91">
        <v>0</v>
      </c>
      <c r="S502" s="91">
        <v>0</v>
      </c>
      <c r="T502" s="91"/>
      <c r="U502" s="91"/>
      <c r="V502" s="91"/>
      <c r="W502" s="91"/>
      <c r="X502" s="91"/>
      <c r="Y502" s="91"/>
      <c r="Z502" s="91"/>
      <c r="AA502" s="91"/>
      <c r="AB502" s="91"/>
      <c r="AC502" s="91"/>
      <c r="AD502" s="91"/>
      <c r="AE502" s="91"/>
      <c r="AF502" s="91"/>
      <c r="AG502" s="91"/>
      <c r="AH502" s="91"/>
      <c r="AI502" s="91"/>
      <c r="AJ502" s="91"/>
      <c r="AK502" s="91"/>
      <c r="AL502" s="91"/>
      <c r="AM502" s="91"/>
    </row>
    <row r="503" spans="1:39" ht="20.25" hidden="1" customHeight="1">
      <c r="A503" s="91"/>
      <c r="B503" s="93" t="s">
        <v>1811</v>
      </c>
      <c r="C503" s="91" t="s">
        <v>36</v>
      </c>
      <c r="D503" s="94" t="s">
        <v>1890</v>
      </c>
      <c r="E503" s="94" t="s">
        <v>1891</v>
      </c>
      <c r="F503" s="95" t="s">
        <v>1892</v>
      </c>
      <c r="G503" s="96">
        <v>45458</v>
      </c>
      <c r="H503" s="97">
        <v>38626</v>
      </c>
      <c r="I503" s="102" t="s">
        <v>1893</v>
      </c>
      <c r="J503" s="94" t="s">
        <v>1894</v>
      </c>
      <c r="K503" s="95" t="s">
        <v>1895</v>
      </c>
      <c r="L503" s="91" t="s">
        <v>60</v>
      </c>
      <c r="M503" s="98">
        <f ca="1">(TODAY()-H503)/365</f>
        <v>20.208219178082192</v>
      </c>
      <c r="N503" s="99">
        <f>(G503-H503)/365</f>
        <v>18.717808219178082</v>
      </c>
      <c r="O503" s="98">
        <f ca="1">(TODAY()-G503)/365</f>
        <v>1.4904109589041097</v>
      </c>
      <c r="P503" s="91" t="s">
        <v>43</v>
      </c>
      <c r="Q503" s="91">
        <v>0</v>
      </c>
      <c r="R503" s="91">
        <v>0</v>
      </c>
      <c r="S503" s="91">
        <v>0</v>
      </c>
      <c r="T503" s="91"/>
      <c r="U503" s="91"/>
      <c r="V503" s="91"/>
      <c r="W503" s="91"/>
      <c r="X503" s="91"/>
      <c r="Y503" s="91"/>
      <c r="Z503" s="91"/>
      <c r="AA503" s="91"/>
      <c r="AB503" s="91"/>
      <c r="AC503" s="91"/>
      <c r="AD503" s="91"/>
      <c r="AE503" s="91"/>
      <c r="AF503" s="91"/>
      <c r="AG503" s="91"/>
      <c r="AH503" s="91"/>
      <c r="AI503" s="91"/>
      <c r="AJ503" s="91"/>
      <c r="AK503" s="91"/>
      <c r="AL503" s="91"/>
      <c r="AM503" s="91"/>
    </row>
    <row r="504" spans="1:39" ht="20.25" hidden="1" customHeight="1">
      <c r="A504" s="91"/>
      <c r="B504" s="93" t="s">
        <v>1811</v>
      </c>
      <c r="C504" s="91" t="s">
        <v>36</v>
      </c>
      <c r="D504" s="94" t="s">
        <v>1896</v>
      </c>
      <c r="E504" s="94" t="s">
        <v>1897</v>
      </c>
      <c r="F504" s="95" t="s">
        <v>1898</v>
      </c>
      <c r="G504" s="96">
        <v>39077</v>
      </c>
      <c r="H504" s="97">
        <v>32127</v>
      </c>
      <c r="I504" s="102" t="s">
        <v>1899</v>
      </c>
      <c r="J504" s="94" t="s">
        <v>1900</v>
      </c>
      <c r="K504" s="95" t="s">
        <v>1901</v>
      </c>
      <c r="L504" s="91" t="s">
        <v>60</v>
      </c>
      <c r="M504" s="98">
        <f ca="1">(TODAY()-H504)/365</f>
        <v>38.013698630136986</v>
      </c>
      <c r="N504" s="99">
        <f>(G504-H504)/365</f>
        <v>19.041095890410958</v>
      </c>
      <c r="O504" s="98">
        <f ca="1">(TODAY()-G504)/365</f>
        <v>18.972602739726028</v>
      </c>
      <c r="P504" s="91" t="s">
        <v>272</v>
      </c>
      <c r="Q504" s="91">
        <v>1</v>
      </c>
      <c r="R504" s="91">
        <v>0</v>
      </c>
      <c r="S504" s="91">
        <v>1</v>
      </c>
      <c r="T504" s="91"/>
      <c r="U504" s="91"/>
      <c r="V504" s="91"/>
      <c r="W504" s="91"/>
      <c r="X504" s="91"/>
      <c r="Y504" s="91"/>
      <c r="Z504" s="91"/>
      <c r="AA504" s="91"/>
      <c r="AB504" s="91"/>
      <c r="AC504" s="91"/>
      <c r="AD504" s="91"/>
      <c r="AE504" s="91"/>
      <c r="AF504" s="91"/>
      <c r="AG504" s="91"/>
      <c r="AH504" s="91"/>
      <c r="AI504" s="91"/>
      <c r="AJ504" s="91"/>
      <c r="AK504" s="91"/>
      <c r="AL504" s="91"/>
      <c r="AM504" s="91"/>
    </row>
    <row r="505" spans="1:39" ht="20.25" hidden="1" customHeight="1">
      <c r="A505" s="91"/>
      <c r="B505" s="93" t="s">
        <v>1811</v>
      </c>
      <c r="C505" s="91" t="s">
        <v>36</v>
      </c>
      <c r="D505" s="94" t="s">
        <v>1902</v>
      </c>
      <c r="E505" s="94" t="s">
        <v>1903</v>
      </c>
      <c r="F505" s="95" t="s">
        <v>1904</v>
      </c>
      <c r="G505" s="96">
        <v>40250</v>
      </c>
      <c r="H505" s="97">
        <v>33288</v>
      </c>
      <c r="I505" s="102" t="s">
        <v>1905</v>
      </c>
      <c r="J505" s="94" t="s">
        <v>1906</v>
      </c>
      <c r="K505" s="95" t="s">
        <v>1907</v>
      </c>
      <c r="L505" s="91" t="s">
        <v>60</v>
      </c>
      <c r="M505" s="98">
        <f ca="1">(TODAY()-H505)/365</f>
        <v>34.832876712328769</v>
      </c>
      <c r="N505" s="99">
        <f>(G505-H505)/365</f>
        <v>19.073972602739726</v>
      </c>
      <c r="O505" s="98">
        <f ca="1">(TODAY()-G505)/365</f>
        <v>15.758904109589041</v>
      </c>
      <c r="P505" s="91" t="s">
        <v>43</v>
      </c>
      <c r="Q505" s="91">
        <v>1</v>
      </c>
      <c r="R505" s="91">
        <v>0</v>
      </c>
      <c r="S505" s="91">
        <v>0</v>
      </c>
      <c r="T505" s="91"/>
      <c r="U505" s="91"/>
      <c r="V505" s="91">
        <v>2020</v>
      </c>
      <c r="W505" s="91"/>
      <c r="X505" s="91"/>
      <c r="Y505" s="91"/>
      <c r="Z505" s="91"/>
      <c r="AA505" s="91"/>
      <c r="AB505" s="91"/>
      <c r="AC505" s="91"/>
      <c r="AD505" s="91"/>
      <c r="AE505" s="91"/>
      <c r="AF505" s="91"/>
      <c r="AG505" s="91"/>
      <c r="AH505" s="91"/>
      <c r="AI505" s="91"/>
      <c r="AJ505" s="91"/>
      <c r="AK505" s="91"/>
      <c r="AL505" s="91"/>
      <c r="AM505" s="91"/>
    </row>
    <row r="506" spans="1:39" ht="20.25" hidden="1" customHeight="1">
      <c r="A506" s="91"/>
      <c r="B506" s="93" t="s">
        <v>1811</v>
      </c>
      <c r="C506" s="91" t="s">
        <v>36</v>
      </c>
      <c r="D506" s="94" t="s">
        <v>1908</v>
      </c>
      <c r="E506" s="94" t="s">
        <v>1909</v>
      </c>
      <c r="F506" s="95" t="s">
        <v>1910</v>
      </c>
      <c r="G506" s="96">
        <v>44684</v>
      </c>
      <c r="H506" s="97">
        <v>37653</v>
      </c>
      <c r="I506" s="102" t="s">
        <v>1911</v>
      </c>
      <c r="J506" s="94" t="s">
        <v>1912</v>
      </c>
      <c r="K506" s="95" t="s">
        <v>1913</v>
      </c>
      <c r="L506" s="91" t="s">
        <v>60</v>
      </c>
      <c r="M506" s="98">
        <f ca="1">(TODAY()-H506)/365</f>
        <v>22.873972602739727</v>
      </c>
      <c r="N506" s="99">
        <f>(G506-H506)/365</f>
        <v>19.263013698630136</v>
      </c>
      <c r="O506" s="98">
        <f ca="1">(TODAY()-G506)/365</f>
        <v>3.6109589041095891</v>
      </c>
      <c r="P506" s="91" t="s">
        <v>43</v>
      </c>
      <c r="Q506" s="91">
        <v>0</v>
      </c>
      <c r="R506" s="91">
        <v>0</v>
      </c>
      <c r="S506" s="91">
        <v>0</v>
      </c>
      <c r="T506" s="91"/>
      <c r="U506" s="91"/>
      <c r="V506" s="91"/>
      <c r="W506" s="91"/>
      <c r="X506" s="91"/>
      <c r="Y506" s="91"/>
      <c r="Z506" s="91"/>
      <c r="AA506" s="91"/>
      <c r="AB506" s="91"/>
      <c r="AC506" s="91"/>
      <c r="AD506" s="91"/>
      <c r="AE506" s="91"/>
      <c r="AF506" s="91"/>
      <c r="AG506" s="91"/>
      <c r="AH506" s="91"/>
      <c r="AI506" s="91"/>
      <c r="AJ506" s="91"/>
      <c r="AK506" s="91"/>
      <c r="AL506" s="91"/>
      <c r="AM506" s="91"/>
    </row>
    <row r="507" spans="1:39" ht="20.25" hidden="1" customHeight="1">
      <c r="A507" s="91"/>
      <c r="B507" s="93" t="s">
        <v>1811</v>
      </c>
      <c r="C507" s="91" t="s">
        <v>36</v>
      </c>
      <c r="D507" s="94" t="s">
        <v>1914</v>
      </c>
      <c r="E507" s="94" t="s">
        <v>1915</v>
      </c>
      <c r="F507" s="95" t="s">
        <v>1916</v>
      </c>
      <c r="G507" s="96">
        <v>42594</v>
      </c>
      <c r="H507" s="97">
        <v>35513</v>
      </c>
      <c r="I507" s="100" t="s">
        <v>58</v>
      </c>
      <c r="J507" s="94" t="s">
        <v>1917</v>
      </c>
      <c r="K507" s="95" t="s">
        <v>1918</v>
      </c>
      <c r="L507" s="91" t="s">
        <v>60</v>
      </c>
      <c r="M507" s="98">
        <f ca="1">(TODAY()-H507)/365</f>
        <v>28.736986301369864</v>
      </c>
      <c r="N507" s="99">
        <f>(G507-H507)/365</f>
        <v>19.399999999999999</v>
      </c>
      <c r="O507" s="98">
        <f ca="1">(TODAY()-G507)/365</f>
        <v>9.3369863013698637</v>
      </c>
      <c r="P507" s="91" t="s">
        <v>272</v>
      </c>
      <c r="Q507" s="91">
        <v>0</v>
      </c>
      <c r="R507" s="91">
        <v>0</v>
      </c>
      <c r="S507" s="91">
        <v>0</v>
      </c>
      <c r="T507" s="91"/>
      <c r="U507" s="91"/>
      <c r="V507" s="91"/>
      <c r="W507" s="91"/>
      <c r="X507" s="91"/>
      <c r="Y507" s="91"/>
      <c r="Z507" s="91"/>
      <c r="AA507" s="91"/>
      <c r="AB507" s="91"/>
      <c r="AC507" s="91"/>
      <c r="AD507" s="91"/>
      <c r="AE507" s="91"/>
      <c r="AF507" s="91"/>
      <c r="AG507" s="91"/>
      <c r="AH507" s="91"/>
      <c r="AI507" s="91"/>
      <c r="AJ507" s="91"/>
      <c r="AK507" s="91"/>
      <c r="AL507" s="91"/>
      <c r="AM507" s="91"/>
    </row>
    <row r="508" spans="1:39" ht="20.25" hidden="1" customHeight="1">
      <c r="A508" s="91"/>
      <c r="B508" s="93" t="s">
        <v>1811</v>
      </c>
      <c r="C508" s="91" t="s">
        <v>36</v>
      </c>
      <c r="D508" s="94" t="s">
        <v>1919</v>
      </c>
      <c r="E508" s="94" t="s">
        <v>1920</v>
      </c>
      <c r="F508" s="95" t="s">
        <v>1921</v>
      </c>
      <c r="G508" s="96">
        <v>44863</v>
      </c>
      <c r="H508" s="97">
        <v>37689</v>
      </c>
      <c r="I508" s="102" t="s">
        <v>1922</v>
      </c>
      <c r="J508" s="94" t="s">
        <v>1923</v>
      </c>
      <c r="K508" s="95" t="s">
        <v>1924</v>
      </c>
      <c r="L508" s="91" t="s">
        <v>60</v>
      </c>
      <c r="M508" s="98">
        <f ca="1">(TODAY()-H508)/365</f>
        <v>22.775342465753425</v>
      </c>
      <c r="N508" s="99">
        <f>(G508-H508)/365</f>
        <v>19.654794520547945</v>
      </c>
      <c r="O508" s="98">
        <f ca="1">(TODAY()-G508)/365</f>
        <v>3.1205479452054794</v>
      </c>
      <c r="P508" s="91" t="s">
        <v>272</v>
      </c>
      <c r="Q508" s="91">
        <v>1</v>
      </c>
      <c r="R508" s="91">
        <v>0</v>
      </c>
      <c r="S508" s="91">
        <v>0</v>
      </c>
      <c r="T508" s="91"/>
      <c r="U508" s="91"/>
      <c r="V508" s="91"/>
      <c r="W508" s="91"/>
      <c r="X508" s="91"/>
      <c r="Y508" s="91"/>
      <c r="Z508" s="91"/>
      <c r="AA508" s="91"/>
      <c r="AB508" s="91"/>
      <c r="AC508" s="91"/>
      <c r="AD508" s="91"/>
      <c r="AE508" s="91"/>
      <c r="AF508" s="91"/>
      <c r="AG508" s="91"/>
      <c r="AH508" s="91"/>
      <c r="AI508" s="91"/>
      <c r="AJ508" s="91"/>
      <c r="AK508" s="91"/>
      <c r="AL508" s="91"/>
      <c r="AM508" s="91"/>
    </row>
    <row r="509" spans="1:39" ht="20.25" hidden="1" customHeight="1">
      <c r="A509" s="91"/>
      <c r="B509" s="93" t="s">
        <v>1811</v>
      </c>
      <c r="C509" s="91" t="s">
        <v>36</v>
      </c>
      <c r="D509" s="94" t="s">
        <v>1925</v>
      </c>
      <c r="E509" s="94" t="s">
        <v>1926</v>
      </c>
      <c r="F509" s="95" t="s">
        <v>1927</v>
      </c>
      <c r="G509" s="96">
        <v>44863</v>
      </c>
      <c r="H509" s="97">
        <v>37642</v>
      </c>
      <c r="I509" s="111" t="s">
        <v>1928</v>
      </c>
      <c r="J509" s="94" t="s">
        <v>1929</v>
      </c>
      <c r="K509" s="95" t="s">
        <v>1930</v>
      </c>
      <c r="L509" s="91" t="s">
        <v>60</v>
      </c>
      <c r="M509" s="98">
        <f ca="1">(TODAY()-H509)/365</f>
        <v>22.904109589041095</v>
      </c>
      <c r="N509" s="99">
        <f>(G509-H509)/365</f>
        <v>19.783561643835615</v>
      </c>
      <c r="O509" s="98">
        <f ca="1">(TODAY()-G509)/365</f>
        <v>3.1205479452054794</v>
      </c>
      <c r="P509" s="91" t="s">
        <v>272</v>
      </c>
      <c r="Q509" s="91">
        <v>0</v>
      </c>
      <c r="R509" s="91">
        <v>0</v>
      </c>
      <c r="S509" s="91">
        <v>0</v>
      </c>
      <c r="T509" s="91"/>
      <c r="U509" s="91"/>
      <c r="V509" s="91"/>
      <c r="W509" s="91"/>
      <c r="X509" s="91"/>
      <c r="Y509" s="91"/>
      <c r="Z509" s="91"/>
      <c r="AA509" s="91"/>
      <c r="AB509" s="91"/>
      <c r="AC509" s="91"/>
      <c r="AD509" s="91"/>
      <c r="AE509" s="91"/>
      <c r="AF509" s="91"/>
      <c r="AG509" s="91"/>
      <c r="AH509" s="91"/>
      <c r="AI509" s="91"/>
      <c r="AJ509" s="91"/>
      <c r="AK509" s="91"/>
      <c r="AL509" s="91"/>
      <c r="AM509" s="91"/>
    </row>
    <row r="510" spans="1:39" ht="20.25" hidden="1" customHeight="1">
      <c r="A510" s="91"/>
      <c r="B510" s="93" t="s">
        <v>1811</v>
      </c>
      <c r="C510" s="91" t="s">
        <v>36</v>
      </c>
      <c r="D510" s="94" t="s">
        <v>1931</v>
      </c>
      <c r="E510" s="94" t="s">
        <v>1932</v>
      </c>
      <c r="F510" s="95" t="s">
        <v>1933</v>
      </c>
      <c r="G510" s="96">
        <v>45603</v>
      </c>
      <c r="H510" s="97">
        <v>38287</v>
      </c>
      <c r="I510" s="102" t="s">
        <v>1934</v>
      </c>
      <c r="J510" s="94" t="s">
        <v>1935</v>
      </c>
      <c r="K510" s="95" t="s">
        <v>1936</v>
      </c>
      <c r="L510" s="91" t="s">
        <v>60</v>
      </c>
      <c r="M510" s="98">
        <f ca="1">(TODAY()-H510)/365</f>
        <v>21.136986301369863</v>
      </c>
      <c r="N510" s="99">
        <f>(G510-H510)/365</f>
        <v>20.043835616438358</v>
      </c>
      <c r="O510" s="98">
        <f ca="1">(TODAY()-G510)/365</f>
        <v>1.0931506849315069</v>
      </c>
      <c r="P510" s="91" t="s">
        <v>43</v>
      </c>
      <c r="Q510" s="91">
        <v>0</v>
      </c>
      <c r="R510" s="91">
        <v>0</v>
      </c>
      <c r="S510" s="91">
        <v>0</v>
      </c>
      <c r="T510" s="91"/>
      <c r="U510" s="91"/>
      <c r="V510" s="91"/>
      <c r="W510" s="91"/>
      <c r="X510" s="91"/>
      <c r="Y510" s="91"/>
      <c r="Z510" s="91"/>
      <c r="AA510" s="91"/>
      <c r="AB510" s="91"/>
      <c r="AC510" s="91"/>
      <c r="AD510" s="91"/>
      <c r="AE510" s="91"/>
      <c r="AF510" s="91"/>
      <c r="AG510" s="91"/>
      <c r="AH510" s="91"/>
      <c r="AI510" s="91"/>
      <c r="AJ510" s="91"/>
      <c r="AK510" s="91"/>
      <c r="AL510" s="91"/>
      <c r="AM510" s="91"/>
    </row>
    <row r="511" spans="1:39" ht="20.25" hidden="1" customHeight="1">
      <c r="A511" s="91"/>
      <c r="B511" s="93" t="s">
        <v>1811</v>
      </c>
      <c r="C511" s="91" t="s">
        <v>36</v>
      </c>
      <c r="D511" s="94" t="s">
        <v>1937</v>
      </c>
      <c r="E511" s="94" t="s">
        <v>1938</v>
      </c>
      <c r="F511" s="95" t="s">
        <v>1939</v>
      </c>
      <c r="G511" s="96">
        <v>45216</v>
      </c>
      <c r="H511" s="97">
        <v>37777</v>
      </c>
      <c r="I511" s="102" t="s">
        <v>1940</v>
      </c>
      <c r="J511" s="94" t="s">
        <v>1941</v>
      </c>
      <c r="K511" s="95" t="s">
        <v>1942</v>
      </c>
      <c r="L511" s="91" t="s">
        <v>60</v>
      </c>
      <c r="M511" s="98">
        <f ca="1">(TODAY()-H511)/365</f>
        <v>22.534246575342465</v>
      </c>
      <c r="N511" s="99">
        <f>(G511-H511)/365</f>
        <v>20.38082191780822</v>
      </c>
      <c r="O511" s="98">
        <f ca="1">(TODAY()-G511)/365</f>
        <v>2.1534246575342464</v>
      </c>
      <c r="P511" s="91" t="s">
        <v>272</v>
      </c>
      <c r="Q511" s="91">
        <v>0</v>
      </c>
      <c r="R511" s="91">
        <v>0</v>
      </c>
      <c r="S511" s="91">
        <v>0</v>
      </c>
      <c r="T511" s="91"/>
      <c r="U511" s="91"/>
      <c r="V511" s="91"/>
      <c r="W511" s="91"/>
      <c r="X511" s="91"/>
      <c r="Y511" s="91"/>
      <c r="Z511" s="91"/>
      <c r="AA511" s="91"/>
      <c r="AB511" s="91"/>
      <c r="AC511" s="91"/>
      <c r="AD511" s="91"/>
      <c r="AE511" s="91"/>
      <c r="AF511" s="91"/>
      <c r="AG511" s="91"/>
      <c r="AH511" s="91"/>
      <c r="AI511" s="91"/>
      <c r="AJ511" s="91"/>
      <c r="AK511" s="91"/>
      <c r="AL511" s="91"/>
      <c r="AM511" s="91"/>
    </row>
    <row r="512" spans="1:39" ht="20.25" hidden="1" customHeight="1">
      <c r="A512" s="91"/>
      <c r="B512" s="93" t="s">
        <v>1811</v>
      </c>
      <c r="C512" s="91" t="s">
        <v>36</v>
      </c>
      <c r="D512" s="94" t="s">
        <v>1943</v>
      </c>
      <c r="E512" s="94" t="s">
        <v>1944</v>
      </c>
      <c r="F512" s="95" t="s">
        <v>1945</v>
      </c>
      <c r="G512" s="96">
        <v>45346</v>
      </c>
      <c r="H512" s="97">
        <v>37807</v>
      </c>
      <c r="I512" s="102" t="s">
        <v>1946</v>
      </c>
      <c r="J512" s="94" t="s">
        <v>1947</v>
      </c>
      <c r="K512" s="95" t="s">
        <v>1948</v>
      </c>
      <c r="L512" s="91" t="s">
        <v>60</v>
      </c>
      <c r="M512" s="98">
        <f ca="1">(TODAY()-H512)/365</f>
        <v>22.452054794520549</v>
      </c>
      <c r="N512" s="99">
        <f>(G512-H512)/365</f>
        <v>20.654794520547945</v>
      </c>
      <c r="O512" s="98">
        <f ca="1">(TODAY()-G512)/365</f>
        <v>1.7972602739726027</v>
      </c>
      <c r="P512" s="91" t="s">
        <v>43</v>
      </c>
      <c r="Q512" s="91">
        <v>0</v>
      </c>
      <c r="R512" s="91">
        <v>0</v>
      </c>
      <c r="S512" s="91">
        <v>0</v>
      </c>
      <c r="T512" s="91"/>
      <c r="U512" s="91"/>
      <c r="V512" s="91"/>
      <c r="W512" s="91"/>
      <c r="X512" s="91"/>
      <c r="Y512" s="91"/>
      <c r="Z512" s="91"/>
      <c r="AA512" s="91"/>
      <c r="AB512" s="91"/>
      <c r="AC512" s="91"/>
      <c r="AD512" s="91"/>
      <c r="AE512" s="91"/>
      <c r="AF512" s="91"/>
      <c r="AG512" s="91"/>
      <c r="AH512" s="91"/>
      <c r="AI512" s="91"/>
      <c r="AJ512" s="91"/>
      <c r="AK512" s="91"/>
      <c r="AL512" s="91"/>
      <c r="AM512" s="91"/>
    </row>
    <row r="513" spans="1:39" ht="20.25" hidden="1" customHeight="1">
      <c r="A513" s="91"/>
      <c r="B513" s="93" t="s">
        <v>1811</v>
      </c>
      <c r="C513" s="91" t="s">
        <v>36</v>
      </c>
      <c r="D513" s="94" t="s">
        <v>1949</v>
      </c>
      <c r="E513" s="94" t="s">
        <v>1950</v>
      </c>
      <c r="F513" s="95" t="s">
        <v>1951</v>
      </c>
      <c r="G513" s="96">
        <v>45111</v>
      </c>
      <c r="H513" s="97">
        <v>37486</v>
      </c>
      <c r="I513" s="102" t="s">
        <v>1952</v>
      </c>
      <c r="J513" s="94" t="s">
        <v>1953</v>
      </c>
      <c r="K513" s="95" t="s">
        <v>1954</v>
      </c>
      <c r="L513" s="91" t="s">
        <v>60</v>
      </c>
      <c r="M513" s="98">
        <f ca="1">(TODAY()-H513)/365</f>
        <v>23.331506849315069</v>
      </c>
      <c r="N513" s="99">
        <f>(G513-H513)/365</f>
        <v>20.890410958904109</v>
      </c>
      <c r="O513" s="98">
        <f ca="1">(TODAY()-G513)/365</f>
        <v>2.441095890410959</v>
      </c>
      <c r="P513" s="91" t="s">
        <v>43</v>
      </c>
      <c r="Q513" s="91">
        <v>0</v>
      </c>
      <c r="R513" s="91">
        <v>0</v>
      </c>
      <c r="S513" s="91">
        <v>0</v>
      </c>
      <c r="T513" s="91"/>
      <c r="U513" s="91"/>
      <c r="V513" s="91"/>
      <c r="W513" s="91"/>
      <c r="X513" s="91"/>
      <c r="Y513" s="91"/>
      <c r="Z513" s="91"/>
      <c r="AA513" s="91"/>
      <c r="AB513" s="91"/>
      <c r="AC513" s="91"/>
      <c r="AD513" s="91"/>
      <c r="AE513" s="91"/>
      <c r="AF513" s="91"/>
      <c r="AG513" s="91"/>
      <c r="AH513" s="91"/>
      <c r="AI513" s="91"/>
      <c r="AJ513" s="91"/>
      <c r="AK513" s="91"/>
      <c r="AL513" s="91"/>
      <c r="AM513" s="91"/>
    </row>
    <row r="514" spans="1:39" ht="20.25" hidden="1" customHeight="1">
      <c r="A514" s="91"/>
      <c r="B514" s="93" t="s">
        <v>1811</v>
      </c>
      <c r="C514" s="91" t="s">
        <v>36</v>
      </c>
      <c r="D514" s="94" t="s">
        <v>1955</v>
      </c>
      <c r="E514" s="94" t="s">
        <v>1956</v>
      </c>
      <c r="F514" s="95" t="s">
        <v>1957</v>
      </c>
      <c r="G514" s="96">
        <v>44812</v>
      </c>
      <c r="H514" s="97">
        <v>37079</v>
      </c>
      <c r="I514" s="102" t="s">
        <v>1958</v>
      </c>
      <c r="J514" s="94" t="s">
        <v>1959</v>
      </c>
      <c r="K514" s="95" t="s">
        <v>1960</v>
      </c>
      <c r="L514" s="91" t="s">
        <v>60</v>
      </c>
      <c r="M514" s="98">
        <f ca="1">(TODAY()-H514)/365</f>
        <v>24.446575342465753</v>
      </c>
      <c r="N514" s="99">
        <f>(G514-H514)/365</f>
        <v>21.186301369863013</v>
      </c>
      <c r="O514" s="98">
        <f ca="1">(TODAY()-G514)/365</f>
        <v>3.2602739726027399</v>
      </c>
      <c r="P514" s="91" t="s">
        <v>43</v>
      </c>
      <c r="Q514" s="91">
        <v>0</v>
      </c>
      <c r="R514" s="91">
        <v>0</v>
      </c>
      <c r="S514" s="91">
        <v>0</v>
      </c>
      <c r="T514" s="91"/>
      <c r="U514" s="91"/>
      <c r="V514" s="91"/>
      <c r="W514" s="91"/>
      <c r="X514" s="91"/>
      <c r="Y514" s="91"/>
      <c r="Z514" s="91"/>
      <c r="AA514" s="91"/>
      <c r="AB514" s="91"/>
      <c r="AC514" s="91"/>
      <c r="AD514" s="91"/>
      <c r="AE514" s="91"/>
      <c r="AF514" s="91"/>
      <c r="AG514" s="91"/>
      <c r="AH514" s="91"/>
      <c r="AI514" s="91"/>
      <c r="AJ514" s="91"/>
      <c r="AK514" s="91"/>
      <c r="AL514" s="91"/>
      <c r="AM514" s="91"/>
    </row>
    <row r="515" spans="1:39" ht="20.25" hidden="1" customHeight="1">
      <c r="A515" s="91"/>
      <c r="B515" s="93" t="s">
        <v>1811</v>
      </c>
      <c r="C515" s="91" t="s">
        <v>36</v>
      </c>
      <c r="D515" s="94" t="s">
        <v>1961</v>
      </c>
      <c r="E515" s="94" t="s">
        <v>1962</v>
      </c>
      <c r="F515" s="95" t="s">
        <v>1963</v>
      </c>
      <c r="G515" s="96">
        <v>44814</v>
      </c>
      <c r="H515" s="97">
        <v>37074</v>
      </c>
      <c r="I515" s="102" t="s">
        <v>1964</v>
      </c>
      <c r="J515" s="94" t="s">
        <v>1965</v>
      </c>
      <c r="K515" s="95" t="s">
        <v>1966</v>
      </c>
      <c r="L515" s="91" t="s">
        <v>60</v>
      </c>
      <c r="M515" s="98">
        <f ca="1">(TODAY()-H515)/365</f>
        <v>24.460273972602739</v>
      </c>
      <c r="N515" s="99">
        <f>(G515-H515)/365</f>
        <v>21.205479452054796</v>
      </c>
      <c r="O515" s="98">
        <f ca="1">(TODAY()-G515)/365</f>
        <v>3.2547945205479452</v>
      </c>
      <c r="P515" s="91" t="s">
        <v>272</v>
      </c>
      <c r="Q515" s="91">
        <v>0</v>
      </c>
      <c r="R515" s="91">
        <v>0</v>
      </c>
      <c r="S515" s="91">
        <v>0</v>
      </c>
      <c r="T515" s="91"/>
      <c r="U515" s="91"/>
      <c r="V515" s="91"/>
      <c r="W515" s="91"/>
      <c r="X515" s="91"/>
      <c r="Y515" s="91"/>
      <c r="Z515" s="91"/>
      <c r="AA515" s="91"/>
      <c r="AB515" s="91"/>
      <c r="AC515" s="91"/>
      <c r="AD515" s="91"/>
      <c r="AE515" s="91"/>
      <c r="AF515" s="91"/>
      <c r="AG515" s="91"/>
      <c r="AH515" s="91"/>
      <c r="AI515" s="91"/>
      <c r="AJ515" s="91"/>
      <c r="AK515" s="91"/>
      <c r="AL515" s="91"/>
      <c r="AM515" s="91"/>
    </row>
    <row r="516" spans="1:39" ht="20.25" hidden="1" customHeight="1">
      <c r="A516" s="91"/>
      <c r="B516" s="93" t="s">
        <v>1811</v>
      </c>
      <c r="C516" s="91" t="s">
        <v>36</v>
      </c>
      <c r="D516" s="94" t="s">
        <v>1967</v>
      </c>
      <c r="E516" s="94" t="s">
        <v>1968</v>
      </c>
      <c r="F516" s="95" t="s">
        <v>1969</v>
      </c>
      <c r="G516" s="96">
        <v>45365</v>
      </c>
      <c r="H516" s="97">
        <v>37541</v>
      </c>
      <c r="I516" s="102" t="s">
        <v>1970</v>
      </c>
      <c r="J516" s="94" t="s">
        <v>1971</v>
      </c>
      <c r="K516" s="95" t="s">
        <v>1972</v>
      </c>
      <c r="L516" s="91" t="s">
        <v>60</v>
      </c>
      <c r="M516" s="98">
        <f ca="1">(TODAY()-H516)/365</f>
        <v>23.18082191780822</v>
      </c>
      <c r="N516" s="99">
        <f>(G516-H516)/365</f>
        <v>21.435616438356163</v>
      </c>
      <c r="O516" s="98">
        <f ca="1">(TODAY()-G516)/365</f>
        <v>1.7452054794520548</v>
      </c>
      <c r="P516" s="91" t="s">
        <v>43</v>
      </c>
      <c r="Q516" s="91">
        <v>0</v>
      </c>
      <c r="R516" s="91">
        <v>0</v>
      </c>
      <c r="S516" s="91">
        <v>0</v>
      </c>
      <c r="T516" s="91"/>
      <c r="U516" s="91"/>
      <c r="V516" s="91"/>
      <c r="W516" s="91"/>
      <c r="X516" s="91"/>
      <c r="Y516" s="91"/>
      <c r="Z516" s="91"/>
      <c r="AA516" s="91"/>
      <c r="AB516" s="91"/>
      <c r="AC516" s="91"/>
      <c r="AD516" s="91"/>
      <c r="AE516" s="91"/>
      <c r="AF516" s="91"/>
      <c r="AG516" s="91"/>
      <c r="AH516" s="91"/>
      <c r="AI516" s="91"/>
      <c r="AJ516" s="91"/>
      <c r="AK516" s="91"/>
      <c r="AL516" s="91"/>
      <c r="AM516" s="91"/>
    </row>
    <row r="517" spans="1:39" ht="20.25" hidden="1" customHeight="1">
      <c r="A517" s="91"/>
      <c r="B517" s="93" t="s">
        <v>1811</v>
      </c>
      <c r="C517" s="91" t="s">
        <v>36</v>
      </c>
      <c r="D517" s="94" t="s">
        <v>1973</v>
      </c>
      <c r="E517" s="94" t="s">
        <v>1813</v>
      </c>
      <c r="F517" s="95" t="s">
        <v>1974</v>
      </c>
      <c r="G517" s="96">
        <v>45365</v>
      </c>
      <c r="H517" s="97">
        <v>37538</v>
      </c>
      <c r="I517" s="102" t="s">
        <v>1975</v>
      </c>
      <c r="J517" s="94" t="s">
        <v>1816</v>
      </c>
      <c r="K517" s="95" t="s">
        <v>1976</v>
      </c>
      <c r="L517" s="91" t="s">
        <v>60</v>
      </c>
      <c r="M517" s="98">
        <f ca="1">(TODAY()-H517)/365</f>
        <v>23.18904109589041</v>
      </c>
      <c r="N517" s="99">
        <f>(G517-H517)/365</f>
        <v>21.443835616438356</v>
      </c>
      <c r="O517" s="98">
        <f ca="1">(TODAY()-G517)/365</f>
        <v>1.7452054794520548</v>
      </c>
      <c r="P517" s="91" t="s">
        <v>43</v>
      </c>
      <c r="Q517" s="91">
        <v>0</v>
      </c>
      <c r="R517" s="91">
        <v>0</v>
      </c>
      <c r="S517" s="91">
        <v>0</v>
      </c>
      <c r="T517" s="91"/>
      <c r="U517" s="91"/>
      <c r="V517" s="91"/>
      <c r="W517" s="91"/>
      <c r="X517" s="91"/>
      <c r="Y517" s="91"/>
      <c r="Z517" s="91"/>
      <c r="AA517" s="91"/>
      <c r="AB517" s="91"/>
      <c r="AC517" s="91"/>
      <c r="AD517" s="91"/>
      <c r="AE517" s="91"/>
      <c r="AF517" s="91"/>
      <c r="AG517" s="91"/>
      <c r="AH517" s="91"/>
      <c r="AI517" s="91"/>
      <c r="AJ517" s="91"/>
      <c r="AK517" s="91"/>
      <c r="AL517" s="91"/>
      <c r="AM517" s="91"/>
    </row>
    <row r="518" spans="1:39" ht="20.25" hidden="1" customHeight="1">
      <c r="A518" s="91"/>
      <c r="B518" s="93" t="s">
        <v>1811</v>
      </c>
      <c r="C518" s="91" t="s">
        <v>36</v>
      </c>
      <c r="D518" s="94" t="s">
        <v>1977</v>
      </c>
      <c r="E518" s="94" t="s">
        <v>1978</v>
      </c>
      <c r="F518" s="95" t="s">
        <v>1979</v>
      </c>
      <c r="G518" s="96">
        <v>44940</v>
      </c>
      <c r="H518" s="97">
        <v>37016</v>
      </c>
      <c r="I518" s="102" t="s">
        <v>1980</v>
      </c>
      <c r="J518" s="94" t="s">
        <v>1981</v>
      </c>
      <c r="K518" s="95" t="s">
        <v>1982</v>
      </c>
      <c r="L518" s="91" t="s">
        <v>60</v>
      </c>
      <c r="M518" s="98">
        <f ca="1">(TODAY()-H518)/365</f>
        <v>24.61917808219178</v>
      </c>
      <c r="N518" s="99">
        <f>(G518-H518)/365</f>
        <v>21.709589041095889</v>
      </c>
      <c r="O518" s="98">
        <f ca="1">(TODAY()-G518)/365</f>
        <v>2.9095890410958902</v>
      </c>
      <c r="P518" s="91" t="s">
        <v>43</v>
      </c>
      <c r="Q518" s="91">
        <v>0</v>
      </c>
      <c r="R518" s="91">
        <v>0</v>
      </c>
      <c r="S518" s="91">
        <v>0</v>
      </c>
      <c r="T518" s="91"/>
      <c r="U518" s="91"/>
      <c r="V518" s="91"/>
      <c r="W518" s="91"/>
      <c r="X518" s="91"/>
      <c r="Y518" s="91"/>
      <c r="Z518" s="91"/>
      <c r="AA518" s="91"/>
      <c r="AB518" s="91"/>
      <c r="AC518" s="91"/>
      <c r="AD518" s="91"/>
      <c r="AE518" s="91"/>
      <c r="AF518" s="91"/>
      <c r="AG518" s="91"/>
      <c r="AH518" s="91"/>
      <c r="AI518" s="91"/>
      <c r="AJ518" s="91"/>
      <c r="AK518" s="91"/>
      <c r="AL518" s="91"/>
      <c r="AM518" s="91"/>
    </row>
    <row r="519" spans="1:39" ht="20.25" hidden="1" customHeight="1">
      <c r="A519" s="91"/>
      <c r="B519" s="93" t="s">
        <v>1811</v>
      </c>
      <c r="C519" s="91" t="s">
        <v>36</v>
      </c>
      <c r="D519" s="94" t="s">
        <v>1983</v>
      </c>
      <c r="E519" s="94" t="s">
        <v>1984</v>
      </c>
      <c r="F519" s="95" t="s">
        <v>1985</v>
      </c>
      <c r="G519" s="96">
        <v>44709</v>
      </c>
      <c r="H519" s="97">
        <v>36322</v>
      </c>
      <c r="I519" s="102" t="s">
        <v>1986</v>
      </c>
      <c r="J519" s="94" t="s">
        <v>1987</v>
      </c>
      <c r="K519" s="95" t="s">
        <v>1988</v>
      </c>
      <c r="L519" s="91" t="s">
        <v>60</v>
      </c>
      <c r="M519" s="98">
        <f ca="1">(TODAY()-H519)/365</f>
        <v>26.520547945205479</v>
      </c>
      <c r="N519" s="99">
        <f>(G519-H519)/365</f>
        <v>22.978082191780821</v>
      </c>
      <c r="O519" s="98">
        <f ca="1">(TODAY()-G519)/365</f>
        <v>3.5424657534246577</v>
      </c>
      <c r="P519" s="91" t="s">
        <v>43</v>
      </c>
      <c r="Q519" s="91">
        <v>0</v>
      </c>
      <c r="R519" s="91">
        <v>0</v>
      </c>
      <c r="S519" s="91">
        <v>0</v>
      </c>
      <c r="T519" s="91"/>
      <c r="U519" s="91"/>
      <c r="V519" s="91"/>
      <c r="W519" s="91"/>
      <c r="X519" s="91"/>
      <c r="Y519" s="91"/>
      <c r="Z519" s="91"/>
      <c r="AA519" s="91"/>
      <c r="AB519" s="91"/>
      <c r="AC519" s="91"/>
      <c r="AD519" s="91"/>
      <c r="AE519" s="91"/>
      <c r="AF519" s="91"/>
      <c r="AG519" s="91"/>
      <c r="AH519" s="91"/>
      <c r="AI519" s="91"/>
      <c r="AJ519" s="91"/>
      <c r="AK519" s="91"/>
      <c r="AL519" s="91"/>
      <c r="AM519" s="91"/>
    </row>
    <row r="520" spans="1:39" ht="20.25" hidden="1" customHeight="1">
      <c r="A520" s="91"/>
      <c r="B520" s="93" t="s">
        <v>1811</v>
      </c>
      <c r="C520" s="91" t="s">
        <v>36</v>
      </c>
      <c r="D520" s="94" t="s">
        <v>1989</v>
      </c>
      <c r="E520" s="94" t="s">
        <v>1990</v>
      </c>
      <c r="F520" s="95" t="s">
        <v>1991</v>
      </c>
      <c r="G520" s="96">
        <v>45134</v>
      </c>
      <c r="H520" s="97">
        <v>36684</v>
      </c>
      <c r="I520" s="111" t="s">
        <v>1992</v>
      </c>
      <c r="J520" s="94" t="s">
        <v>1993</v>
      </c>
      <c r="K520" s="95" t="s">
        <v>1994</v>
      </c>
      <c r="L520" s="91" t="s">
        <v>60</v>
      </c>
      <c r="M520" s="98">
        <f ca="1">(TODAY()-H520)/365</f>
        <v>25.528767123287672</v>
      </c>
      <c r="N520" s="99">
        <f>(G520-H520)/365</f>
        <v>23.150684931506849</v>
      </c>
      <c r="O520" s="98">
        <f ca="1">(TODAY()-G520)/365</f>
        <v>2.3780821917808219</v>
      </c>
      <c r="P520" s="91" t="s">
        <v>43</v>
      </c>
      <c r="Q520" s="91">
        <v>0</v>
      </c>
      <c r="R520" s="91">
        <v>0</v>
      </c>
      <c r="S520" s="91">
        <v>0</v>
      </c>
      <c r="T520" s="91"/>
      <c r="U520" s="91"/>
      <c r="V520" s="91"/>
      <c r="W520" s="91"/>
      <c r="X520" s="91"/>
      <c r="Y520" s="91"/>
      <c r="Z520" s="91"/>
      <c r="AA520" s="91"/>
      <c r="AB520" s="91"/>
      <c r="AC520" s="91"/>
      <c r="AD520" s="91"/>
      <c r="AE520" s="91"/>
      <c r="AF520" s="91"/>
      <c r="AG520" s="91"/>
      <c r="AH520" s="91"/>
      <c r="AI520" s="91"/>
      <c r="AJ520" s="91"/>
      <c r="AK520" s="91"/>
      <c r="AL520" s="91"/>
      <c r="AM520" s="91"/>
    </row>
    <row r="521" spans="1:39" ht="20.25" hidden="1" customHeight="1">
      <c r="A521" s="91"/>
      <c r="B521" s="93" t="s">
        <v>1811</v>
      </c>
      <c r="C521" s="91" t="s">
        <v>36</v>
      </c>
      <c r="D521" s="94" t="s">
        <v>1977</v>
      </c>
      <c r="E521" s="94" t="s">
        <v>1995</v>
      </c>
      <c r="F521" s="95" t="s">
        <v>1996</v>
      </c>
      <c r="G521" s="96">
        <v>45122</v>
      </c>
      <c r="H521" s="97">
        <v>36668</v>
      </c>
      <c r="I521" s="102" t="s">
        <v>1997</v>
      </c>
      <c r="J521" s="94" t="s">
        <v>1998</v>
      </c>
      <c r="K521" s="95" t="s">
        <v>1999</v>
      </c>
      <c r="L521" s="91" t="s">
        <v>60</v>
      </c>
      <c r="M521" s="98">
        <f ca="1">(TODAY()-H521)/365</f>
        <v>25.572602739726026</v>
      </c>
      <c r="N521" s="99">
        <f>(G521-H521)/365</f>
        <v>23.161643835616438</v>
      </c>
      <c r="O521" s="98">
        <f ca="1">(TODAY()-G521)/365</f>
        <v>2.4109589041095889</v>
      </c>
      <c r="P521" s="91" t="s">
        <v>43</v>
      </c>
      <c r="Q521" s="91">
        <v>0</v>
      </c>
      <c r="R521" s="91">
        <v>0</v>
      </c>
      <c r="S521" s="91">
        <v>0</v>
      </c>
      <c r="T521" s="91"/>
      <c r="U521" s="91"/>
      <c r="V521" s="91"/>
      <c r="W521" s="91"/>
      <c r="X521" s="91"/>
      <c r="Y521" s="91"/>
      <c r="Z521" s="91"/>
      <c r="AA521" s="91"/>
      <c r="AB521" s="91"/>
      <c r="AC521" s="91"/>
      <c r="AD521" s="91"/>
      <c r="AE521" s="91"/>
      <c r="AF521" s="91"/>
      <c r="AG521" s="91"/>
      <c r="AH521" s="91"/>
      <c r="AI521" s="91"/>
      <c r="AJ521" s="91"/>
      <c r="AK521" s="91"/>
      <c r="AL521" s="91"/>
      <c r="AM521" s="91"/>
    </row>
    <row r="522" spans="1:39" ht="20.25" hidden="1" customHeight="1">
      <c r="A522" s="91"/>
      <c r="B522" s="93" t="s">
        <v>1811</v>
      </c>
      <c r="C522" s="91" t="s">
        <v>36</v>
      </c>
      <c r="D522" s="94" t="s">
        <v>2000</v>
      </c>
      <c r="E522" s="94" t="s">
        <v>2001</v>
      </c>
      <c r="F522" s="95" t="s">
        <v>2002</v>
      </c>
      <c r="G522" s="96">
        <v>40763</v>
      </c>
      <c r="H522" s="97">
        <v>32162</v>
      </c>
      <c r="I522" s="102" t="s">
        <v>2003</v>
      </c>
      <c r="J522" s="94" t="s">
        <v>2004</v>
      </c>
      <c r="K522" s="95" t="s">
        <v>2005</v>
      </c>
      <c r="L522" s="91" t="s">
        <v>60</v>
      </c>
      <c r="M522" s="98">
        <f ca="1">(TODAY()-H522)/365</f>
        <v>37.917808219178085</v>
      </c>
      <c r="N522" s="99">
        <f>(G522-H522)/365</f>
        <v>23.564383561643837</v>
      </c>
      <c r="O522" s="98">
        <f ca="1">(TODAY()-G522)/365</f>
        <v>14.353424657534246</v>
      </c>
      <c r="P522" s="91" t="s">
        <v>272</v>
      </c>
      <c r="Q522" s="91">
        <v>0</v>
      </c>
      <c r="R522" s="91">
        <v>0</v>
      </c>
      <c r="S522" s="91">
        <v>0</v>
      </c>
      <c r="T522" s="91"/>
      <c r="U522" s="91"/>
      <c r="V522" s="91"/>
      <c r="W522" s="91"/>
      <c r="X522" s="91"/>
      <c r="Y522" s="91"/>
      <c r="Z522" s="91"/>
      <c r="AA522" s="91"/>
      <c r="AB522" s="91"/>
      <c r="AC522" s="91"/>
      <c r="AD522" s="91"/>
      <c r="AE522" s="91"/>
      <c r="AF522" s="91"/>
      <c r="AG522" s="91"/>
      <c r="AH522" s="91"/>
      <c r="AI522" s="91"/>
      <c r="AJ522" s="91"/>
      <c r="AK522" s="91"/>
      <c r="AL522" s="91"/>
      <c r="AM522" s="91"/>
    </row>
    <row r="523" spans="1:39" ht="20.25" hidden="1" customHeight="1">
      <c r="A523" s="91"/>
      <c r="B523" s="93" t="s">
        <v>1811</v>
      </c>
      <c r="C523" s="91" t="s">
        <v>36</v>
      </c>
      <c r="D523" s="94" t="s">
        <v>2006</v>
      </c>
      <c r="E523" s="94" t="s">
        <v>2007</v>
      </c>
      <c r="F523" s="95" t="s">
        <v>2008</v>
      </c>
      <c r="G523" s="96">
        <v>44982</v>
      </c>
      <c r="H523" s="97">
        <v>36367</v>
      </c>
      <c r="I523" s="102" t="s">
        <v>2009</v>
      </c>
      <c r="J523" s="94" t="s">
        <v>2010</v>
      </c>
      <c r="K523" s="95" t="s">
        <v>2011</v>
      </c>
      <c r="L523" s="91" t="s">
        <v>60</v>
      </c>
      <c r="M523" s="98">
        <f ca="1">(TODAY()-H523)/365</f>
        <v>26.397260273972602</v>
      </c>
      <c r="N523" s="99">
        <f>(G523-H523)/365</f>
        <v>23.602739726027398</v>
      </c>
      <c r="O523" s="98">
        <f ca="1">(TODAY()-G523)/365</f>
        <v>2.7945205479452055</v>
      </c>
      <c r="P523" s="91" t="s">
        <v>272</v>
      </c>
      <c r="Q523" s="91">
        <v>0</v>
      </c>
      <c r="R523" s="91">
        <v>0</v>
      </c>
      <c r="S523" s="91">
        <v>0</v>
      </c>
      <c r="T523" s="91"/>
      <c r="U523" s="91"/>
      <c r="V523" s="91"/>
      <c r="W523" s="91"/>
      <c r="X523" s="91"/>
      <c r="Y523" s="91"/>
      <c r="Z523" s="91"/>
      <c r="AA523" s="91"/>
      <c r="AB523" s="91"/>
      <c r="AC523" s="91"/>
      <c r="AD523" s="91"/>
      <c r="AE523" s="91"/>
      <c r="AF523" s="91"/>
      <c r="AG523" s="91"/>
      <c r="AH523" s="91"/>
      <c r="AI523" s="91"/>
      <c r="AJ523" s="91"/>
      <c r="AK523" s="91"/>
      <c r="AL523" s="91"/>
      <c r="AM523" s="91"/>
    </row>
    <row r="524" spans="1:39" ht="20.25" hidden="1" customHeight="1">
      <c r="A524" s="91"/>
      <c r="B524" s="93" t="s">
        <v>1811</v>
      </c>
      <c r="C524" s="91" t="s">
        <v>36</v>
      </c>
      <c r="D524" s="94" t="s">
        <v>2012</v>
      </c>
      <c r="E524" s="94" t="s">
        <v>2013</v>
      </c>
      <c r="F524" s="95" t="s">
        <v>2014</v>
      </c>
      <c r="G524" s="96">
        <v>45050</v>
      </c>
      <c r="H524" s="97">
        <v>36376</v>
      </c>
      <c r="I524" s="102" t="s">
        <v>2015</v>
      </c>
      <c r="J524" s="94" t="s">
        <v>2016</v>
      </c>
      <c r="K524" s="95" t="s">
        <v>2017</v>
      </c>
      <c r="L524" s="91" t="s">
        <v>60</v>
      </c>
      <c r="M524" s="98">
        <f ca="1">(TODAY()-H524)/365</f>
        <v>26.372602739726027</v>
      </c>
      <c r="N524" s="99">
        <f>(G524-H524)/365</f>
        <v>23.764383561643836</v>
      </c>
      <c r="O524" s="98">
        <f ca="1">(TODAY()-G524)/365</f>
        <v>2.6082191780821917</v>
      </c>
      <c r="P524" s="91" t="s">
        <v>43</v>
      </c>
      <c r="Q524" s="91">
        <v>0</v>
      </c>
      <c r="R524" s="91">
        <v>0</v>
      </c>
      <c r="S524" s="91">
        <v>0</v>
      </c>
      <c r="T524" s="91"/>
      <c r="U524" s="91"/>
      <c r="V524" s="91"/>
      <c r="W524" s="91"/>
      <c r="X524" s="91"/>
      <c r="Y524" s="91"/>
      <c r="Z524" s="91"/>
      <c r="AA524" s="91"/>
      <c r="AB524" s="91"/>
      <c r="AC524" s="91"/>
      <c r="AD524" s="91"/>
      <c r="AE524" s="91"/>
      <c r="AF524" s="91"/>
      <c r="AG524" s="91"/>
      <c r="AH524" s="91"/>
      <c r="AI524" s="91"/>
      <c r="AJ524" s="91"/>
      <c r="AK524" s="91"/>
      <c r="AL524" s="91"/>
      <c r="AM524" s="91"/>
    </row>
    <row r="525" spans="1:39" ht="20.25" hidden="1" customHeight="1">
      <c r="A525" s="91"/>
      <c r="B525" s="93" t="s">
        <v>1811</v>
      </c>
      <c r="C525" s="91" t="s">
        <v>36</v>
      </c>
      <c r="D525" s="94" t="s">
        <v>2018</v>
      </c>
      <c r="E525" s="94" t="s">
        <v>2019</v>
      </c>
      <c r="F525" s="95" t="s">
        <v>2020</v>
      </c>
      <c r="G525" s="96">
        <v>45603</v>
      </c>
      <c r="H525" s="97">
        <v>36837</v>
      </c>
      <c r="I525" s="102" t="s">
        <v>2021</v>
      </c>
      <c r="J525" s="94" t="s">
        <v>2022</v>
      </c>
      <c r="K525" s="95" t="s">
        <v>2023</v>
      </c>
      <c r="L525" s="91" t="s">
        <v>60</v>
      </c>
      <c r="M525" s="98">
        <f ca="1">(TODAY()-H525)/365</f>
        <v>25.109589041095891</v>
      </c>
      <c r="N525" s="99">
        <f>(G525-H525)/365</f>
        <v>24.016438356164382</v>
      </c>
      <c r="O525" s="98">
        <f ca="1">(TODAY()-G525)/365</f>
        <v>1.0931506849315069</v>
      </c>
      <c r="P525" s="91" t="s">
        <v>43</v>
      </c>
      <c r="Q525" s="91">
        <v>0</v>
      </c>
      <c r="R525" s="91">
        <v>0</v>
      </c>
      <c r="S525" s="91">
        <v>0</v>
      </c>
      <c r="T525" s="91"/>
      <c r="U525" s="91"/>
      <c r="V525" s="91"/>
      <c r="W525" s="91"/>
      <c r="X525" s="91"/>
      <c r="Y525" s="91"/>
      <c r="Z525" s="91"/>
      <c r="AA525" s="91"/>
      <c r="AB525" s="91"/>
      <c r="AC525" s="91"/>
      <c r="AD525" s="91"/>
      <c r="AE525" s="91"/>
      <c r="AF525" s="91"/>
      <c r="AG525" s="91"/>
      <c r="AH525" s="91"/>
      <c r="AI525" s="91"/>
      <c r="AJ525" s="91"/>
      <c r="AK525" s="91"/>
      <c r="AL525" s="91"/>
      <c r="AM525" s="91"/>
    </row>
    <row r="526" spans="1:39" ht="20.25" hidden="1" customHeight="1">
      <c r="A526" s="91"/>
      <c r="B526" s="93" t="s">
        <v>1811</v>
      </c>
      <c r="C526" s="91" t="s">
        <v>36</v>
      </c>
      <c r="D526" s="94" t="s">
        <v>2024</v>
      </c>
      <c r="E526" s="94" t="s">
        <v>2025</v>
      </c>
      <c r="F526" s="95" t="s">
        <v>2026</v>
      </c>
      <c r="G526" s="96">
        <v>45419</v>
      </c>
      <c r="H526" s="97">
        <v>36460</v>
      </c>
      <c r="I526" s="102" t="s">
        <v>2027</v>
      </c>
      <c r="J526" s="94" t="s">
        <v>2028</v>
      </c>
      <c r="K526" s="95" t="s">
        <v>2029</v>
      </c>
      <c r="L526" s="91" t="s">
        <v>60</v>
      </c>
      <c r="M526" s="98">
        <f ca="1">(TODAY()-H526)/365</f>
        <v>26.142465753424659</v>
      </c>
      <c r="N526" s="99">
        <f>(G526-H526)/365</f>
        <v>24.545205479452054</v>
      </c>
      <c r="O526" s="98">
        <f ca="1">(TODAY()-G526)/365</f>
        <v>1.5972602739726027</v>
      </c>
      <c r="P526" s="91" t="s">
        <v>43</v>
      </c>
      <c r="Q526" s="91">
        <v>0</v>
      </c>
      <c r="R526" s="91">
        <v>0</v>
      </c>
      <c r="S526" s="91">
        <v>0</v>
      </c>
      <c r="T526" s="91"/>
      <c r="U526" s="91"/>
      <c r="V526" s="91"/>
      <c r="W526" s="91"/>
      <c r="X526" s="91"/>
      <c r="Y526" s="91"/>
      <c r="Z526" s="91"/>
      <c r="AA526" s="91"/>
      <c r="AB526" s="91"/>
      <c r="AC526" s="91"/>
      <c r="AD526" s="91"/>
      <c r="AE526" s="91"/>
      <c r="AF526" s="91"/>
      <c r="AG526" s="91"/>
      <c r="AH526" s="91"/>
      <c r="AI526" s="91"/>
      <c r="AJ526" s="91"/>
      <c r="AK526" s="91"/>
      <c r="AL526" s="91"/>
      <c r="AM526" s="91"/>
    </row>
    <row r="527" spans="1:39" ht="20.25" hidden="1" customHeight="1">
      <c r="A527" s="91"/>
      <c r="B527" s="93" t="s">
        <v>1811</v>
      </c>
      <c r="C527" s="91" t="s">
        <v>36</v>
      </c>
      <c r="D527" s="94" t="s">
        <v>2030</v>
      </c>
      <c r="E527" s="94" t="s">
        <v>2031</v>
      </c>
      <c r="F527" s="95" t="s">
        <v>2032</v>
      </c>
      <c r="G527" s="96">
        <v>45081</v>
      </c>
      <c r="H527" s="97">
        <v>36118</v>
      </c>
      <c r="I527" s="102" t="s">
        <v>2033</v>
      </c>
      <c r="J527" s="100" t="s">
        <v>58</v>
      </c>
      <c r="K527" s="95" t="s">
        <v>2034</v>
      </c>
      <c r="L527" s="91" t="s">
        <v>60</v>
      </c>
      <c r="M527" s="98">
        <f ca="1">(TODAY()-H527)/365</f>
        <v>27.079452054794519</v>
      </c>
      <c r="N527" s="99">
        <f>(G527-H527)/365</f>
        <v>24.556164383561644</v>
      </c>
      <c r="O527" s="98">
        <f ca="1">(TODAY()-G527)/365</f>
        <v>2.5232876712328767</v>
      </c>
      <c r="P527" s="91" t="s">
        <v>43</v>
      </c>
      <c r="Q527" s="91">
        <v>0</v>
      </c>
      <c r="R527" s="91">
        <v>0</v>
      </c>
      <c r="S527" s="91">
        <v>0</v>
      </c>
      <c r="T527" s="91"/>
      <c r="U527" s="91"/>
      <c r="V527" s="91"/>
      <c r="W527" s="91"/>
      <c r="X527" s="91"/>
      <c r="Y527" s="91"/>
      <c r="Z527" s="91"/>
      <c r="AA527" s="91"/>
      <c r="AB527" s="91"/>
      <c r="AC527" s="91"/>
      <c r="AD527" s="91"/>
      <c r="AE527" s="91"/>
      <c r="AF527" s="91"/>
      <c r="AG527" s="91"/>
      <c r="AH527" s="91"/>
      <c r="AI527" s="91"/>
      <c r="AJ527" s="91"/>
      <c r="AK527" s="91"/>
      <c r="AL527" s="91"/>
      <c r="AM527" s="91"/>
    </row>
    <row r="528" spans="1:39" ht="20.25" hidden="1" customHeight="1">
      <c r="A528" s="91"/>
      <c r="B528" s="93" t="s">
        <v>1811</v>
      </c>
      <c r="C528" s="91" t="s">
        <v>36</v>
      </c>
      <c r="D528" s="94" t="s">
        <v>2035</v>
      </c>
      <c r="E528" s="94" t="s">
        <v>2036</v>
      </c>
      <c r="F528" s="95" t="s">
        <v>2037</v>
      </c>
      <c r="G528" s="96">
        <v>45505</v>
      </c>
      <c r="H528" s="97">
        <v>36529</v>
      </c>
      <c r="I528" s="102" t="s">
        <v>2038</v>
      </c>
      <c r="J528" s="94" t="s">
        <v>2039</v>
      </c>
      <c r="K528" s="95" t="s">
        <v>2040</v>
      </c>
      <c r="L528" s="91" t="s">
        <v>60</v>
      </c>
      <c r="M528" s="98">
        <f ca="1">(TODAY()-H528)/365</f>
        <v>25.953424657534246</v>
      </c>
      <c r="N528" s="99">
        <f>(G528-H528)/365</f>
        <v>24.591780821917808</v>
      </c>
      <c r="O528" s="98">
        <f ca="1">(TODAY()-G528)/365</f>
        <v>1.3616438356164384</v>
      </c>
      <c r="P528" s="91" t="s">
        <v>43</v>
      </c>
      <c r="Q528" s="91">
        <v>0</v>
      </c>
      <c r="R528" s="91">
        <v>0</v>
      </c>
      <c r="S528" s="91">
        <v>0</v>
      </c>
      <c r="T528" s="91"/>
      <c r="U528" s="91"/>
      <c r="V528" s="91"/>
      <c r="W528" s="91"/>
      <c r="X528" s="91"/>
      <c r="Y528" s="91"/>
      <c r="Z528" s="91"/>
      <c r="AA528" s="91"/>
      <c r="AB528" s="91"/>
      <c r="AC528" s="91"/>
      <c r="AD528" s="91"/>
      <c r="AE528" s="91"/>
      <c r="AF528" s="91"/>
      <c r="AG528" s="91"/>
      <c r="AH528" s="91"/>
      <c r="AI528" s="91"/>
      <c r="AJ528" s="91"/>
      <c r="AK528" s="91"/>
      <c r="AL528" s="91"/>
      <c r="AM528" s="91"/>
    </row>
    <row r="529" spans="1:39" ht="20.25" hidden="1" customHeight="1">
      <c r="A529" s="91"/>
      <c r="B529" s="93" t="s">
        <v>1811</v>
      </c>
      <c r="C529" s="91" t="s">
        <v>36</v>
      </c>
      <c r="D529" s="94" t="s">
        <v>2041</v>
      </c>
      <c r="E529" s="94" t="s">
        <v>2042</v>
      </c>
      <c r="F529" s="95" t="s">
        <v>2043</v>
      </c>
      <c r="G529" s="96">
        <v>30076</v>
      </c>
      <c r="H529" s="97">
        <v>20492</v>
      </c>
      <c r="I529" s="102" t="s">
        <v>2044</v>
      </c>
      <c r="J529" s="94" t="s">
        <v>2045</v>
      </c>
      <c r="K529" s="95" t="s">
        <v>2046</v>
      </c>
      <c r="L529" s="91" t="s">
        <v>60</v>
      </c>
      <c r="M529" s="98">
        <f ca="1">(TODAY()-H529)/365</f>
        <v>69.890410958904113</v>
      </c>
      <c r="N529" s="99">
        <f>(G529-H529)/365</f>
        <v>26.257534246575343</v>
      </c>
      <c r="O529" s="98">
        <f ca="1">(TODAY()-G529)/365</f>
        <v>43.632876712328766</v>
      </c>
      <c r="P529" s="91" t="s">
        <v>43</v>
      </c>
      <c r="Q529" s="91">
        <v>0</v>
      </c>
      <c r="R529" s="91">
        <v>0</v>
      </c>
      <c r="S529" s="91">
        <v>0</v>
      </c>
      <c r="T529" s="91"/>
      <c r="U529" s="91"/>
      <c r="V529" s="91"/>
      <c r="W529" s="91"/>
      <c r="X529" s="91"/>
      <c r="Y529" s="91"/>
      <c r="Z529" s="91"/>
      <c r="AA529" s="91"/>
      <c r="AB529" s="91"/>
      <c r="AC529" s="91"/>
      <c r="AD529" s="91"/>
      <c r="AE529" s="91"/>
      <c r="AF529" s="91"/>
      <c r="AG529" s="91"/>
      <c r="AH529" s="91"/>
      <c r="AI529" s="91"/>
      <c r="AJ529" s="91"/>
      <c r="AK529" s="91"/>
      <c r="AL529" s="91"/>
      <c r="AM529" s="91"/>
    </row>
    <row r="530" spans="1:39" ht="20.25" hidden="1" customHeight="1">
      <c r="A530" s="91"/>
      <c r="B530" s="93" t="s">
        <v>1811</v>
      </c>
      <c r="C530" s="91" t="s">
        <v>36</v>
      </c>
      <c r="D530" s="94" t="s">
        <v>2047</v>
      </c>
      <c r="E530" s="94" t="s">
        <v>2048</v>
      </c>
      <c r="F530" s="95" t="s">
        <v>2049</v>
      </c>
      <c r="G530" s="96">
        <v>45582</v>
      </c>
      <c r="H530" s="97">
        <v>35496</v>
      </c>
      <c r="I530" s="102" t="s">
        <v>2050</v>
      </c>
      <c r="J530" s="94" t="s">
        <v>2051</v>
      </c>
      <c r="K530" s="95" t="s">
        <v>2052</v>
      </c>
      <c r="L530" s="91" t="s">
        <v>60</v>
      </c>
      <c r="M530" s="98">
        <f ca="1">(TODAY()-H530)/365</f>
        <v>28.783561643835615</v>
      </c>
      <c r="N530" s="99">
        <f>(G530-H530)/365</f>
        <v>27.632876712328766</v>
      </c>
      <c r="O530" s="98">
        <f ca="1">(TODAY()-G530)/365</f>
        <v>1.1506849315068493</v>
      </c>
      <c r="P530" s="91" t="s">
        <v>43</v>
      </c>
      <c r="Q530" s="91">
        <v>0</v>
      </c>
      <c r="R530" s="91">
        <v>0</v>
      </c>
      <c r="S530" s="91">
        <v>0</v>
      </c>
      <c r="T530" s="91"/>
      <c r="U530" s="91"/>
      <c r="V530" s="91"/>
      <c r="W530" s="91"/>
      <c r="X530" s="91"/>
      <c r="Y530" s="91"/>
      <c r="Z530" s="91"/>
      <c r="AA530" s="91"/>
      <c r="AB530" s="91"/>
      <c r="AC530" s="91"/>
      <c r="AD530" s="91"/>
      <c r="AE530" s="91"/>
      <c r="AF530" s="91"/>
      <c r="AG530" s="91"/>
      <c r="AH530" s="91"/>
      <c r="AI530" s="91"/>
      <c r="AJ530" s="91"/>
      <c r="AK530" s="91"/>
      <c r="AL530" s="91"/>
      <c r="AM530" s="91"/>
    </row>
    <row r="531" spans="1:39" ht="20.25" hidden="1" customHeight="1">
      <c r="A531" s="91"/>
      <c r="B531" s="93" t="s">
        <v>1811</v>
      </c>
      <c r="C531" s="91" t="s">
        <v>36</v>
      </c>
      <c r="D531" s="94" t="s">
        <v>2053</v>
      </c>
      <c r="E531" s="94" t="s">
        <v>2054</v>
      </c>
      <c r="F531" s="95" t="s">
        <v>2055</v>
      </c>
      <c r="G531" s="96">
        <v>44842</v>
      </c>
      <c r="H531" s="97">
        <v>34306</v>
      </c>
      <c r="I531" s="102" t="s">
        <v>2056</v>
      </c>
      <c r="J531" s="94" t="s">
        <v>2057</v>
      </c>
      <c r="K531" s="95" t="s">
        <v>2058</v>
      </c>
      <c r="L531" s="91" t="s">
        <v>60</v>
      </c>
      <c r="M531" s="98">
        <f ca="1">(TODAY()-H531)/365</f>
        <v>32.043835616438358</v>
      </c>
      <c r="N531" s="99">
        <f>(G531-H531)/365</f>
        <v>28.865753424657534</v>
      </c>
      <c r="O531" s="98">
        <f ca="1">(TODAY()-G531)/365</f>
        <v>3.1780821917808217</v>
      </c>
      <c r="P531" s="91" t="s">
        <v>43</v>
      </c>
      <c r="Q531" s="91">
        <v>0</v>
      </c>
      <c r="R531" s="91">
        <v>0</v>
      </c>
      <c r="S531" s="91">
        <v>0</v>
      </c>
      <c r="T531" s="91"/>
      <c r="U531" s="91"/>
      <c r="V531" s="91"/>
      <c r="W531" s="91"/>
      <c r="X531" s="91"/>
      <c r="Y531" s="91"/>
      <c r="Z531" s="91"/>
      <c r="AA531" s="91"/>
      <c r="AB531" s="91"/>
      <c r="AC531" s="91"/>
      <c r="AD531" s="91"/>
      <c r="AE531" s="91"/>
      <c r="AF531" s="91"/>
      <c r="AG531" s="91"/>
      <c r="AH531" s="91"/>
      <c r="AI531" s="91"/>
      <c r="AJ531" s="91"/>
      <c r="AK531" s="91"/>
      <c r="AL531" s="91"/>
      <c r="AM531" s="91"/>
    </row>
    <row r="532" spans="1:39" ht="20.25" hidden="1" customHeight="1">
      <c r="A532" s="91"/>
      <c r="B532" s="93" t="s">
        <v>1811</v>
      </c>
      <c r="C532" s="91" t="s">
        <v>36</v>
      </c>
      <c r="D532" s="94" t="s">
        <v>2059</v>
      </c>
      <c r="E532" s="94" t="s">
        <v>2060</v>
      </c>
      <c r="F532" s="95" t="s">
        <v>2061</v>
      </c>
      <c r="G532" s="96">
        <v>43466</v>
      </c>
      <c r="H532" s="97">
        <v>32597</v>
      </c>
      <c r="I532" s="102" t="s">
        <v>2062</v>
      </c>
      <c r="J532" s="100" t="s">
        <v>58</v>
      </c>
      <c r="K532" s="95" t="s">
        <v>1823</v>
      </c>
      <c r="L532" s="91" t="s">
        <v>60</v>
      </c>
      <c r="M532" s="98">
        <f ca="1">(TODAY()-H532)/365</f>
        <v>36.726027397260275</v>
      </c>
      <c r="N532" s="99">
        <f>(G532-H532)/365</f>
        <v>29.778082191780822</v>
      </c>
      <c r="O532" s="98">
        <f ca="1">(TODAY()-G532)/365</f>
        <v>6.9479452054794519</v>
      </c>
      <c r="P532" s="91" t="s">
        <v>272</v>
      </c>
      <c r="Q532" s="91">
        <v>0</v>
      </c>
      <c r="R532" s="91">
        <v>0</v>
      </c>
      <c r="S532" s="91">
        <v>0</v>
      </c>
      <c r="T532" s="91"/>
      <c r="U532" s="91"/>
      <c r="V532" s="91"/>
      <c r="W532" s="91"/>
      <c r="X532" s="91"/>
      <c r="Y532" s="91"/>
      <c r="Z532" s="91"/>
      <c r="AA532" s="91"/>
      <c r="AB532" s="91"/>
      <c r="AC532" s="91"/>
      <c r="AD532" s="91"/>
      <c r="AE532" s="91"/>
      <c r="AF532" s="91"/>
      <c r="AG532" s="91"/>
      <c r="AH532" s="91"/>
      <c r="AI532" s="91"/>
      <c r="AJ532" s="91"/>
      <c r="AK532" s="91"/>
      <c r="AL532" s="91"/>
      <c r="AM532" s="91"/>
    </row>
    <row r="533" spans="1:39" ht="20.25" hidden="1" customHeight="1">
      <c r="A533" s="91"/>
      <c r="B533" s="93" t="s">
        <v>1811</v>
      </c>
      <c r="C533" s="91" t="s">
        <v>36</v>
      </c>
      <c r="D533" s="94" t="s">
        <v>2063</v>
      </c>
      <c r="E533" s="94" t="s">
        <v>2064</v>
      </c>
      <c r="F533" s="95" t="s">
        <v>2065</v>
      </c>
      <c r="G533" s="96">
        <v>34043</v>
      </c>
      <c r="H533" s="97">
        <v>23121</v>
      </c>
      <c r="I533" s="102" t="s">
        <v>2066</v>
      </c>
      <c r="J533" s="94" t="s">
        <v>2067</v>
      </c>
      <c r="K533" s="95" t="s">
        <v>2068</v>
      </c>
      <c r="L533" s="91" t="s">
        <v>60</v>
      </c>
      <c r="M533" s="98">
        <f ca="1">(TODAY()-H533)/365</f>
        <v>62.68767123287671</v>
      </c>
      <c r="N533" s="99">
        <f>(G533-H533)/365</f>
        <v>29.923287671232877</v>
      </c>
      <c r="O533" s="98">
        <f ca="1">(TODAY()-G533)/365</f>
        <v>32.764383561643832</v>
      </c>
      <c r="P533" s="91" t="s">
        <v>43</v>
      </c>
      <c r="Q533" s="91">
        <v>0</v>
      </c>
      <c r="R533" s="91">
        <v>0</v>
      </c>
      <c r="S533" s="91">
        <v>0</v>
      </c>
      <c r="T533" s="91"/>
      <c r="U533" s="91"/>
      <c r="V533" s="91"/>
      <c r="W533" s="91"/>
      <c r="X533" s="91"/>
      <c r="Y533" s="91"/>
      <c r="Z533" s="91"/>
      <c r="AA533" s="91"/>
      <c r="AB533" s="91"/>
      <c r="AC533" s="91"/>
      <c r="AD533" s="91"/>
      <c r="AE533" s="91"/>
      <c r="AF533" s="91"/>
      <c r="AG533" s="91"/>
      <c r="AH533" s="91"/>
      <c r="AI533" s="91"/>
      <c r="AJ533" s="91"/>
      <c r="AK533" s="91"/>
      <c r="AL533" s="91"/>
      <c r="AM533" s="91"/>
    </row>
    <row r="534" spans="1:39" ht="20.25" hidden="1" customHeight="1">
      <c r="A534" s="91"/>
      <c r="B534" s="93" t="s">
        <v>1811</v>
      </c>
      <c r="C534" s="91" t="s">
        <v>36</v>
      </c>
      <c r="D534" s="94" t="s">
        <v>2069</v>
      </c>
      <c r="E534" s="94" t="s">
        <v>2070</v>
      </c>
      <c r="F534" s="95" t="s">
        <v>2071</v>
      </c>
      <c r="G534" s="96">
        <v>45486</v>
      </c>
      <c r="H534" s="97">
        <v>34545</v>
      </c>
      <c r="I534" s="102" t="s">
        <v>2072</v>
      </c>
      <c r="J534" s="94" t="s">
        <v>2073</v>
      </c>
      <c r="K534" s="95" t="s">
        <v>2074</v>
      </c>
      <c r="L534" s="91" t="s">
        <v>60</v>
      </c>
      <c r="M534" s="98">
        <f ca="1">(TODAY()-H534)/365</f>
        <v>31.389041095890413</v>
      </c>
      <c r="N534" s="99">
        <f>(G534-H534)/365</f>
        <v>29.975342465753425</v>
      </c>
      <c r="O534" s="98">
        <f ca="1">(TODAY()-G534)/365</f>
        <v>1.4136986301369863</v>
      </c>
      <c r="P534" s="91" t="s">
        <v>43</v>
      </c>
      <c r="Q534" s="91">
        <v>0</v>
      </c>
      <c r="R534" s="91">
        <v>0</v>
      </c>
      <c r="S534" s="91">
        <v>0</v>
      </c>
      <c r="T534" s="91"/>
      <c r="U534" s="91"/>
      <c r="V534" s="91"/>
      <c r="W534" s="91"/>
      <c r="X534" s="91"/>
      <c r="Y534" s="91"/>
      <c r="Z534" s="91"/>
      <c r="AA534" s="91"/>
      <c r="AB534" s="91"/>
      <c r="AC534" s="91"/>
      <c r="AD534" s="91"/>
      <c r="AE534" s="91"/>
      <c r="AF534" s="91"/>
      <c r="AG534" s="91"/>
      <c r="AH534" s="91"/>
      <c r="AI534" s="91"/>
      <c r="AJ534" s="91"/>
      <c r="AK534" s="91"/>
      <c r="AL534" s="91"/>
      <c r="AM534" s="91"/>
    </row>
    <row r="535" spans="1:39" ht="20.25" hidden="1" customHeight="1">
      <c r="A535" s="91"/>
      <c r="B535" s="93" t="s">
        <v>1811</v>
      </c>
      <c r="C535" s="91" t="s">
        <v>36</v>
      </c>
      <c r="D535" s="94" t="s">
        <v>126</v>
      </c>
      <c r="E535" s="94" t="s">
        <v>2075</v>
      </c>
      <c r="F535" s="95" t="s">
        <v>2076</v>
      </c>
      <c r="G535" s="96">
        <v>45346</v>
      </c>
      <c r="H535" s="97">
        <v>34227</v>
      </c>
      <c r="I535" s="102" t="s">
        <v>2077</v>
      </c>
      <c r="J535" s="94" t="s">
        <v>2078</v>
      </c>
      <c r="K535" s="95" t="s">
        <v>2079</v>
      </c>
      <c r="L535" s="91" t="s">
        <v>60</v>
      </c>
      <c r="M535" s="98">
        <f ca="1">(TODAY()-H535)/365</f>
        <v>32.260273972602739</v>
      </c>
      <c r="N535" s="99">
        <f>(G535-H535)/365</f>
        <v>30.463013698630139</v>
      </c>
      <c r="O535" s="98">
        <f ca="1">(TODAY()-G535)/365</f>
        <v>1.7972602739726027</v>
      </c>
      <c r="P535" s="91" t="s">
        <v>43</v>
      </c>
      <c r="Q535" s="91">
        <v>0</v>
      </c>
      <c r="R535" s="91">
        <v>0</v>
      </c>
      <c r="S535" s="91">
        <v>0</v>
      </c>
      <c r="T535" s="91"/>
      <c r="U535" s="91"/>
      <c r="V535" s="91"/>
      <c r="W535" s="91"/>
      <c r="X535" s="91"/>
      <c r="Y535" s="91"/>
      <c r="Z535" s="91"/>
      <c r="AA535" s="91"/>
      <c r="AB535" s="91"/>
      <c r="AC535" s="91"/>
      <c r="AD535" s="91"/>
      <c r="AE535" s="91"/>
      <c r="AF535" s="91"/>
      <c r="AG535" s="91"/>
      <c r="AH535" s="91"/>
      <c r="AI535" s="91"/>
      <c r="AJ535" s="91"/>
      <c r="AK535" s="91"/>
      <c r="AL535" s="91"/>
      <c r="AM535" s="91"/>
    </row>
    <row r="536" spans="1:39" ht="20.25" hidden="1" customHeight="1">
      <c r="A536" s="91"/>
      <c r="B536" s="93" t="s">
        <v>1811</v>
      </c>
      <c r="C536" s="91" t="s">
        <v>36</v>
      </c>
      <c r="D536" s="94" t="s">
        <v>2080</v>
      </c>
      <c r="E536" s="94" t="s">
        <v>2081</v>
      </c>
      <c r="F536" s="95" t="s">
        <v>2082</v>
      </c>
      <c r="G536" s="96">
        <v>29325</v>
      </c>
      <c r="H536" s="97">
        <v>16939</v>
      </c>
      <c r="I536" s="102" t="s">
        <v>2083</v>
      </c>
      <c r="J536" s="94" t="s">
        <v>2084</v>
      </c>
      <c r="K536" s="95" t="s">
        <v>2085</v>
      </c>
      <c r="L536" s="91" t="s">
        <v>60</v>
      </c>
      <c r="M536" s="98">
        <f ca="1">(TODAY()-H536)/365</f>
        <v>79.62465753424658</v>
      </c>
      <c r="N536" s="99">
        <f>(G536-H536)/365</f>
        <v>33.934246575342463</v>
      </c>
      <c r="O536" s="98">
        <f ca="1">(TODAY()-G536)/365</f>
        <v>45.69041095890411</v>
      </c>
      <c r="P536" s="91" t="s">
        <v>43</v>
      </c>
      <c r="Q536" s="91">
        <v>0</v>
      </c>
      <c r="R536" s="91">
        <v>0</v>
      </c>
      <c r="S536" s="91">
        <v>0</v>
      </c>
      <c r="T536" s="91"/>
      <c r="U536" s="91"/>
      <c r="V536" s="91"/>
      <c r="W536" s="91"/>
      <c r="X536" s="91"/>
      <c r="Y536" s="91"/>
      <c r="Z536" s="91"/>
      <c r="AA536" s="91"/>
      <c r="AB536" s="91"/>
      <c r="AC536" s="91"/>
      <c r="AD536" s="91"/>
      <c r="AE536" s="91"/>
      <c r="AF536" s="91"/>
      <c r="AG536" s="91"/>
      <c r="AH536" s="91"/>
      <c r="AI536" s="91"/>
      <c r="AJ536" s="91"/>
      <c r="AK536" s="91"/>
      <c r="AL536" s="91"/>
      <c r="AM536" s="91"/>
    </row>
    <row r="537" spans="1:39" ht="20.25" hidden="1" customHeight="1">
      <c r="A537" s="91"/>
      <c r="B537" s="93" t="s">
        <v>1811</v>
      </c>
      <c r="C537" s="91" t="s">
        <v>36</v>
      </c>
      <c r="D537" s="94" t="s">
        <v>2086</v>
      </c>
      <c r="E537" s="94" t="s">
        <v>1903</v>
      </c>
      <c r="F537" s="95" t="s">
        <v>2087</v>
      </c>
      <c r="G537" s="96">
        <v>44527</v>
      </c>
      <c r="H537" s="97">
        <v>32050</v>
      </c>
      <c r="I537" s="102" t="s">
        <v>2088</v>
      </c>
      <c r="J537" s="94" t="s">
        <v>1906</v>
      </c>
      <c r="K537" s="95" t="s">
        <v>2089</v>
      </c>
      <c r="L537" s="91" t="s">
        <v>60</v>
      </c>
      <c r="M537" s="98">
        <f ca="1">(TODAY()-H537)/365</f>
        <v>38.224657534246575</v>
      </c>
      <c r="N537" s="99">
        <f>(G537-H537)/365</f>
        <v>34.183561643835617</v>
      </c>
      <c r="O537" s="98">
        <f ca="1">(TODAY()-G537)/365</f>
        <v>4.0410958904109586</v>
      </c>
      <c r="P537" s="91" t="s">
        <v>272</v>
      </c>
      <c r="Q537" s="91">
        <v>0</v>
      </c>
      <c r="R537" s="91">
        <v>0</v>
      </c>
      <c r="S537" s="91">
        <v>1</v>
      </c>
      <c r="T537" s="91"/>
      <c r="U537" s="91"/>
      <c r="V537" s="91"/>
      <c r="W537" s="91"/>
      <c r="X537" s="91"/>
      <c r="Y537" s="91"/>
      <c r="Z537" s="91"/>
      <c r="AA537" s="91"/>
      <c r="AB537" s="91"/>
      <c r="AC537" s="91"/>
      <c r="AD537" s="91"/>
      <c r="AE537" s="91"/>
      <c r="AF537" s="91"/>
      <c r="AG537" s="91"/>
      <c r="AH537" s="91"/>
      <c r="AI537" s="91"/>
      <c r="AJ537" s="91"/>
      <c r="AK537" s="91"/>
      <c r="AL537" s="91"/>
      <c r="AM537" s="91"/>
    </row>
    <row r="538" spans="1:39" ht="20.25" hidden="1" customHeight="1">
      <c r="A538" s="91"/>
      <c r="B538" s="93" t="s">
        <v>1811</v>
      </c>
      <c r="C538" s="91" t="s">
        <v>36</v>
      </c>
      <c r="D538" s="94" t="s">
        <v>2090</v>
      </c>
      <c r="E538" s="94" t="s">
        <v>2091</v>
      </c>
      <c r="F538" s="95" t="s">
        <v>2092</v>
      </c>
      <c r="G538" s="96">
        <v>42737</v>
      </c>
      <c r="H538" s="97">
        <v>28888</v>
      </c>
      <c r="I538" s="102" t="s">
        <v>2083</v>
      </c>
      <c r="J538" s="94" t="s">
        <v>2093</v>
      </c>
      <c r="K538" s="95" t="s">
        <v>2094</v>
      </c>
      <c r="L538" s="91" t="s">
        <v>60</v>
      </c>
      <c r="M538" s="98">
        <f ca="1">(TODAY()-H538)/365</f>
        <v>46.887671232876713</v>
      </c>
      <c r="N538" s="99">
        <f>(G538-H538)/365</f>
        <v>37.942465753424656</v>
      </c>
      <c r="O538" s="98">
        <f ca="1">(TODAY()-G538)/365</f>
        <v>8.9452054794520546</v>
      </c>
      <c r="P538" s="91" t="s">
        <v>272</v>
      </c>
      <c r="Q538" s="91">
        <v>0</v>
      </c>
      <c r="R538" s="91">
        <v>0</v>
      </c>
      <c r="S538" s="91">
        <v>0</v>
      </c>
      <c r="T538" s="91"/>
      <c r="U538" s="91"/>
      <c r="V538" s="91"/>
      <c r="W538" s="91"/>
      <c r="X538" s="91"/>
      <c r="Y538" s="91"/>
      <c r="Z538" s="91"/>
      <c r="AA538" s="91"/>
      <c r="AB538" s="91"/>
      <c r="AC538" s="91"/>
      <c r="AD538" s="91"/>
      <c r="AE538" s="91"/>
      <c r="AF538" s="91"/>
      <c r="AG538" s="91"/>
      <c r="AH538" s="91"/>
      <c r="AI538" s="91"/>
      <c r="AJ538" s="91"/>
      <c r="AK538" s="91"/>
      <c r="AL538" s="91"/>
      <c r="AM538" s="91"/>
    </row>
    <row r="539" spans="1:39" ht="20.25" customHeight="1">
      <c r="A539" s="91"/>
      <c r="B539" s="93" t="s">
        <v>77</v>
      </c>
      <c r="C539" s="91" t="s">
        <v>73</v>
      </c>
      <c r="D539" s="94" t="s">
        <v>256</v>
      </c>
      <c r="E539" s="94" t="s">
        <v>257</v>
      </c>
      <c r="F539" s="95" t="s">
        <v>258</v>
      </c>
      <c r="G539" s="96">
        <v>45119</v>
      </c>
      <c r="H539" s="97">
        <v>16142</v>
      </c>
      <c r="I539" s="94" t="s">
        <v>259</v>
      </c>
      <c r="J539" s="100" t="s">
        <v>58</v>
      </c>
      <c r="K539" s="91" t="s">
        <v>58</v>
      </c>
      <c r="L539" s="91" t="s">
        <v>60</v>
      </c>
      <c r="M539" s="98">
        <f ca="1">(TODAY()-H539)/365</f>
        <v>81.808219178082197</v>
      </c>
      <c r="N539" s="99">
        <f>(G539-H539)/365</f>
        <v>79.389041095890406</v>
      </c>
      <c r="O539" s="98">
        <f ca="1">(TODAY()-G539)/365</f>
        <v>2.419178082191781</v>
      </c>
      <c r="P539" s="91" t="s">
        <v>43</v>
      </c>
      <c r="Q539" s="91">
        <v>0</v>
      </c>
      <c r="R539" s="91">
        <v>0</v>
      </c>
      <c r="S539" s="91">
        <v>0</v>
      </c>
      <c r="T539" s="91"/>
      <c r="U539" s="91"/>
      <c r="V539" s="91"/>
      <c r="W539" s="91"/>
      <c r="X539" s="91"/>
      <c r="Y539" s="91"/>
      <c r="Z539" s="91"/>
      <c r="AA539" s="91"/>
      <c r="AB539" s="91"/>
      <c r="AC539" s="91"/>
      <c r="AD539" s="91"/>
      <c r="AE539" s="91"/>
      <c r="AF539" s="91"/>
      <c r="AG539" s="91"/>
      <c r="AH539" s="91"/>
      <c r="AI539" s="91"/>
      <c r="AJ539" s="91"/>
      <c r="AK539" s="91"/>
      <c r="AL539" s="91"/>
      <c r="AM539" s="91"/>
    </row>
    <row r="540" spans="1:39" ht="20.25" hidden="1" customHeight="1">
      <c r="A540" s="91"/>
      <c r="B540" s="93" t="s">
        <v>1811</v>
      </c>
      <c r="C540" s="91" t="s">
        <v>36</v>
      </c>
      <c r="D540" s="94" t="s">
        <v>2096</v>
      </c>
      <c r="E540" s="94" t="s">
        <v>2097</v>
      </c>
      <c r="F540" s="95" t="s">
        <v>2098</v>
      </c>
      <c r="G540" s="96">
        <v>44961</v>
      </c>
      <c r="H540" s="97">
        <v>30755</v>
      </c>
      <c r="I540" s="102" t="s">
        <v>2099</v>
      </c>
      <c r="J540" s="94" t="s">
        <v>2100</v>
      </c>
      <c r="K540" s="95" t="s">
        <v>2101</v>
      </c>
      <c r="L540" s="91" t="s">
        <v>60</v>
      </c>
      <c r="M540" s="98">
        <f ca="1">(TODAY()-H540)/365</f>
        <v>41.772602739726025</v>
      </c>
      <c r="N540" s="99">
        <f>(G540-H540)/365</f>
        <v>38.920547945205477</v>
      </c>
      <c r="O540" s="98">
        <f ca="1">(TODAY()-G540)/365</f>
        <v>2.8520547945205479</v>
      </c>
      <c r="P540" s="91" t="s">
        <v>43</v>
      </c>
      <c r="Q540" s="91">
        <v>0</v>
      </c>
      <c r="R540" s="91">
        <v>0</v>
      </c>
      <c r="S540" s="91">
        <v>0</v>
      </c>
      <c r="T540" s="91"/>
      <c r="U540" s="91"/>
      <c r="V540" s="91"/>
      <c r="W540" s="91"/>
      <c r="X540" s="91"/>
      <c r="Y540" s="91"/>
      <c r="Z540" s="91"/>
      <c r="AA540" s="91"/>
      <c r="AB540" s="91"/>
      <c r="AC540" s="91"/>
      <c r="AD540" s="91"/>
      <c r="AE540" s="91"/>
      <c r="AF540" s="91"/>
      <c r="AG540" s="91"/>
      <c r="AH540" s="91"/>
      <c r="AI540" s="91"/>
      <c r="AJ540" s="91"/>
      <c r="AK540" s="91"/>
      <c r="AL540" s="91"/>
      <c r="AM540" s="91"/>
    </row>
    <row r="541" spans="1:39" ht="20.25" hidden="1" customHeight="1">
      <c r="A541" s="91"/>
      <c r="B541" s="93" t="s">
        <v>1811</v>
      </c>
      <c r="C541" s="91" t="s">
        <v>36</v>
      </c>
      <c r="D541" s="94" t="s">
        <v>2102</v>
      </c>
      <c r="E541" s="94" t="s">
        <v>2103</v>
      </c>
      <c r="F541" s="95" t="s">
        <v>2104</v>
      </c>
      <c r="G541" s="96">
        <v>32973</v>
      </c>
      <c r="H541" s="97">
        <v>18008</v>
      </c>
      <c r="I541" s="94" t="s">
        <v>58</v>
      </c>
      <c r="J541" s="94" t="s">
        <v>2105</v>
      </c>
      <c r="K541" s="95" t="s">
        <v>2106</v>
      </c>
      <c r="L541" s="91" t="s">
        <v>60</v>
      </c>
      <c r="M541" s="98">
        <f ca="1">(TODAY()-H541)/365</f>
        <v>76.69589041095891</v>
      </c>
      <c r="N541" s="99">
        <f>(G541-H541)/365</f>
        <v>41</v>
      </c>
      <c r="O541" s="98">
        <f ca="1">(TODAY()-G541)/365</f>
        <v>35.695890410958903</v>
      </c>
      <c r="P541" s="91" t="s">
        <v>43</v>
      </c>
      <c r="Q541" s="91">
        <v>0</v>
      </c>
      <c r="R541" s="91">
        <v>0</v>
      </c>
      <c r="S541" s="91">
        <v>0</v>
      </c>
      <c r="T541" s="91"/>
      <c r="U541" s="91"/>
      <c r="V541" s="91"/>
      <c r="W541" s="91"/>
      <c r="X541" s="91"/>
      <c r="Y541" s="91"/>
      <c r="Z541" s="91"/>
      <c r="AA541" s="91"/>
      <c r="AB541" s="91"/>
      <c r="AC541" s="91"/>
      <c r="AD541" s="91"/>
      <c r="AE541" s="91"/>
      <c r="AF541" s="91"/>
      <c r="AG541" s="91"/>
      <c r="AH541" s="91"/>
      <c r="AI541" s="91"/>
      <c r="AJ541" s="91"/>
      <c r="AK541" s="91"/>
      <c r="AL541" s="91"/>
      <c r="AM541" s="91"/>
    </row>
    <row r="542" spans="1:39" ht="20.25" hidden="1" customHeight="1">
      <c r="A542" s="91"/>
      <c r="B542" s="93" t="s">
        <v>1811</v>
      </c>
      <c r="C542" s="91" t="s">
        <v>36</v>
      </c>
      <c r="D542" s="94" t="s">
        <v>2107</v>
      </c>
      <c r="E542" s="94" t="s">
        <v>2108</v>
      </c>
      <c r="F542" s="95" t="s">
        <v>2109</v>
      </c>
      <c r="G542" s="96">
        <v>44994</v>
      </c>
      <c r="H542" s="97">
        <v>28394</v>
      </c>
      <c r="I542" s="102" t="s">
        <v>2110</v>
      </c>
      <c r="J542" s="94" t="s">
        <v>2111</v>
      </c>
      <c r="K542" s="95" t="s">
        <v>2112</v>
      </c>
      <c r="L542" s="91" t="s">
        <v>60</v>
      </c>
      <c r="M542" s="98">
        <f ca="1">(TODAY()-H542)/365</f>
        <v>48.241095890410961</v>
      </c>
      <c r="N542" s="99">
        <f>(G542-H542)/365</f>
        <v>45.479452054794521</v>
      </c>
      <c r="O542" s="98">
        <f ca="1">(TODAY()-G542)/365</f>
        <v>2.7616438356164386</v>
      </c>
      <c r="P542" s="91" t="s">
        <v>43</v>
      </c>
      <c r="Q542" s="91">
        <v>0</v>
      </c>
      <c r="R542" s="91">
        <v>0</v>
      </c>
      <c r="S542" s="91">
        <v>0</v>
      </c>
      <c r="T542" s="91"/>
      <c r="U542" s="91"/>
      <c r="V542" s="91"/>
      <c r="W542" s="91"/>
      <c r="X542" s="91"/>
      <c r="Y542" s="91"/>
      <c r="Z542" s="91"/>
      <c r="AA542" s="91"/>
      <c r="AB542" s="91"/>
      <c r="AC542" s="91"/>
      <c r="AD542" s="91"/>
      <c r="AE542" s="91"/>
      <c r="AF542" s="91"/>
      <c r="AG542" s="91"/>
      <c r="AH542" s="91"/>
      <c r="AI542" s="91"/>
      <c r="AJ542" s="91"/>
      <c r="AK542" s="91"/>
      <c r="AL542" s="91"/>
      <c r="AM542" s="91"/>
    </row>
    <row r="543" spans="1:39" ht="20.25" hidden="1" customHeight="1">
      <c r="A543" s="91"/>
      <c r="B543" s="93" t="s">
        <v>1811</v>
      </c>
      <c r="C543" s="91" t="s">
        <v>36</v>
      </c>
      <c r="D543" s="94" t="s">
        <v>2113</v>
      </c>
      <c r="E543" s="94" t="s">
        <v>2114</v>
      </c>
      <c r="F543" s="95" t="s">
        <v>2115</v>
      </c>
      <c r="G543" s="96">
        <v>45017</v>
      </c>
      <c r="H543" s="97">
        <v>28368</v>
      </c>
      <c r="I543" s="102" t="s">
        <v>2116</v>
      </c>
      <c r="J543" s="94" t="s">
        <v>2117</v>
      </c>
      <c r="K543" s="95" t="s">
        <v>2118</v>
      </c>
      <c r="L543" s="91" t="s">
        <v>60</v>
      </c>
      <c r="M543" s="98">
        <f ca="1">(TODAY()-H543)/365</f>
        <v>48.31232876712329</v>
      </c>
      <c r="N543" s="99">
        <f>(G543-H543)/365</f>
        <v>45.613698630136987</v>
      </c>
      <c r="O543" s="98">
        <f ca="1">(TODAY()-G543)/365</f>
        <v>2.6986301369863015</v>
      </c>
      <c r="P543" s="91" t="s">
        <v>43</v>
      </c>
      <c r="Q543" s="91">
        <v>0</v>
      </c>
      <c r="R543" s="91">
        <v>0</v>
      </c>
      <c r="S543" s="91">
        <v>0</v>
      </c>
      <c r="T543" s="91"/>
      <c r="U543" s="91"/>
      <c r="V543" s="91"/>
      <c r="W543" s="91"/>
      <c r="X543" s="91"/>
      <c r="Y543" s="91"/>
      <c r="Z543" s="91"/>
      <c r="AA543" s="91"/>
      <c r="AB543" s="91"/>
      <c r="AC543" s="91"/>
      <c r="AD543" s="91"/>
      <c r="AE543" s="91"/>
      <c r="AF543" s="91"/>
      <c r="AG543" s="91"/>
      <c r="AH543" s="91"/>
      <c r="AI543" s="91"/>
      <c r="AJ543" s="91"/>
      <c r="AK543" s="91"/>
      <c r="AL543" s="91"/>
      <c r="AM543" s="91"/>
    </row>
    <row r="544" spans="1:39" ht="20.25" hidden="1" customHeight="1">
      <c r="A544" s="91"/>
      <c r="B544" s="93" t="s">
        <v>1811</v>
      </c>
      <c r="C544" s="91" t="s">
        <v>36</v>
      </c>
      <c r="D544" s="94" t="s">
        <v>67</v>
      </c>
      <c r="E544" s="94" t="s">
        <v>2119</v>
      </c>
      <c r="F544" s="95" t="s">
        <v>2120</v>
      </c>
      <c r="G544" s="96">
        <v>35038</v>
      </c>
      <c r="H544" s="97">
        <v>18296</v>
      </c>
      <c r="I544" s="94" t="s">
        <v>58</v>
      </c>
      <c r="J544" s="94" t="s">
        <v>2121</v>
      </c>
      <c r="K544" s="95" t="s">
        <v>58</v>
      </c>
      <c r="L544" s="91" t="s">
        <v>60</v>
      </c>
      <c r="M544" s="98">
        <f ca="1">(TODAY()-H544)/365</f>
        <v>75.906849315068499</v>
      </c>
      <c r="N544" s="99">
        <f>(G544-H544)/365</f>
        <v>45.868493150684934</v>
      </c>
      <c r="O544" s="98">
        <f ca="1">(TODAY()-G544)/365</f>
        <v>30.038356164383561</v>
      </c>
      <c r="P544" s="91" t="s">
        <v>43</v>
      </c>
      <c r="Q544" s="91">
        <v>0</v>
      </c>
      <c r="R544" s="91">
        <v>0</v>
      </c>
      <c r="S544" s="91">
        <v>0</v>
      </c>
      <c r="T544" s="91"/>
      <c r="U544" s="91"/>
      <c r="V544" s="91"/>
      <c r="W544" s="91"/>
      <c r="X544" s="91"/>
      <c r="Y544" s="91"/>
      <c r="Z544" s="91"/>
      <c r="AA544" s="91"/>
      <c r="AB544" s="91"/>
      <c r="AC544" s="91"/>
      <c r="AD544" s="91"/>
      <c r="AE544" s="91"/>
      <c r="AF544" s="91"/>
      <c r="AG544" s="91"/>
      <c r="AH544" s="91"/>
      <c r="AI544" s="91"/>
      <c r="AJ544" s="91"/>
      <c r="AK544" s="91"/>
      <c r="AL544" s="91"/>
      <c r="AM544" s="91"/>
    </row>
    <row r="545" spans="1:39" ht="20.25" hidden="1" customHeight="1">
      <c r="A545" s="91"/>
      <c r="B545" s="93" t="s">
        <v>1811</v>
      </c>
      <c r="C545" s="91" t="s">
        <v>36</v>
      </c>
      <c r="D545" s="94" t="s">
        <v>2122</v>
      </c>
      <c r="E545" s="94" t="s">
        <v>2123</v>
      </c>
      <c r="F545" s="95" t="s">
        <v>2124</v>
      </c>
      <c r="G545" s="96">
        <v>36899</v>
      </c>
      <c r="H545" s="97">
        <v>19362</v>
      </c>
      <c r="I545" s="94" t="s">
        <v>58</v>
      </c>
      <c r="J545" s="94" t="s">
        <v>2125</v>
      </c>
      <c r="K545" s="95" t="s">
        <v>58</v>
      </c>
      <c r="L545" s="91" t="s">
        <v>60</v>
      </c>
      <c r="M545" s="98">
        <f ca="1">(TODAY()-H545)/365</f>
        <v>72.986301369863014</v>
      </c>
      <c r="N545" s="99">
        <f>(G545-H545)/365</f>
        <v>48.046575342465751</v>
      </c>
      <c r="O545" s="98">
        <f ca="1">(TODAY()-G545)/365</f>
        <v>24.93972602739726</v>
      </c>
      <c r="P545" s="91" t="s">
        <v>43</v>
      </c>
      <c r="Q545" s="91">
        <v>0</v>
      </c>
      <c r="R545" s="91">
        <v>0</v>
      </c>
      <c r="S545" s="91">
        <v>0</v>
      </c>
      <c r="T545" s="91"/>
      <c r="U545" s="91"/>
      <c r="V545" s="91"/>
      <c r="W545" s="91"/>
      <c r="X545" s="91"/>
      <c r="Y545" s="91"/>
      <c r="Z545" s="91"/>
      <c r="AA545" s="91"/>
      <c r="AB545" s="91"/>
      <c r="AC545" s="91"/>
      <c r="AD545" s="91"/>
      <c r="AE545" s="91"/>
      <c r="AF545" s="91"/>
      <c r="AG545" s="91"/>
      <c r="AH545" s="91"/>
      <c r="AI545" s="91"/>
      <c r="AJ545" s="91"/>
      <c r="AK545" s="91"/>
      <c r="AL545" s="91"/>
      <c r="AM545" s="91"/>
    </row>
    <row r="546" spans="1:39" ht="20.25" hidden="1" customHeight="1">
      <c r="A546" s="91"/>
      <c r="B546" s="93" t="s">
        <v>1811</v>
      </c>
      <c r="C546" s="91" t="s">
        <v>36</v>
      </c>
      <c r="D546" s="94" t="s">
        <v>2126</v>
      </c>
      <c r="E546" s="94" t="s">
        <v>2127</v>
      </c>
      <c r="F546" s="95" t="s">
        <v>2128</v>
      </c>
      <c r="G546" s="96">
        <v>37354</v>
      </c>
      <c r="H546" s="97">
        <v>19758</v>
      </c>
      <c r="I546" s="102" t="s">
        <v>2129</v>
      </c>
      <c r="J546" s="94" t="s">
        <v>2130</v>
      </c>
      <c r="K546" s="95" t="s">
        <v>2131</v>
      </c>
      <c r="L546" s="91" t="s">
        <v>60</v>
      </c>
      <c r="M546" s="98">
        <f ca="1">(TODAY()-H546)/365</f>
        <v>71.901369863013699</v>
      </c>
      <c r="N546" s="99">
        <f>(G546-H546)/365</f>
        <v>48.208219178082189</v>
      </c>
      <c r="O546" s="98">
        <f ca="1">(TODAY()-G546)/365</f>
        <v>23.693150684931506</v>
      </c>
      <c r="P546" s="91" t="s">
        <v>43</v>
      </c>
      <c r="Q546" s="91">
        <v>0</v>
      </c>
      <c r="R546" s="91">
        <v>0</v>
      </c>
      <c r="S546" s="91">
        <v>0</v>
      </c>
      <c r="T546" s="91"/>
      <c r="U546" s="91"/>
      <c r="V546" s="91"/>
      <c r="W546" s="91"/>
      <c r="X546" s="91"/>
      <c r="Y546" s="91"/>
      <c r="Z546" s="91"/>
      <c r="AA546" s="91"/>
      <c r="AB546" s="91"/>
      <c r="AC546" s="91"/>
      <c r="AD546" s="91"/>
      <c r="AE546" s="91"/>
      <c r="AF546" s="91"/>
      <c r="AG546" s="91"/>
      <c r="AH546" s="91"/>
      <c r="AI546" s="91"/>
      <c r="AJ546" s="91"/>
      <c r="AK546" s="91"/>
      <c r="AL546" s="91"/>
      <c r="AM546" s="91"/>
    </row>
    <row r="547" spans="1:39" ht="20.25" hidden="1" customHeight="1">
      <c r="A547" s="91"/>
      <c r="B547" s="93" t="s">
        <v>1811</v>
      </c>
      <c r="C547" s="91" t="s">
        <v>36</v>
      </c>
      <c r="D547" s="94" t="s">
        <v>2132</v>
      </c>
      <c r="E547" s="94" t="s">
        <v>2133</v>
      </c>
      <c r="F547" s="95" t="s">
        <v>2134</v>
      </c>
      <c r="G547" s="96">
        <v>37351</v>
      </c>
      <c r="H547" s="97">
        <v>19683</v>
      </c>
      <c r="I547" s="94" t="s">
        <v>58</v>
      </c>
      <c r="J547" s="94" t="s">
        <v>2135</v>
      </c>
      <c r="K547" s="95" t="s">
        <v>58</v>
      </c>
      <c r="L547" s="91" t="s">
        <v>60</v>
      </c>
      <c r="M547" s="98">
        <f ca="1">(TODAY()-H547)/365</f>
        <v>72.106849315068487</v>
      </c>
      <c r="N547" s="99">
        <f>(G547-H547)/365</f>
        <v>48.405479452054792</v>
      </c>
      <c r="O547" s="98">
        <f ca="1">(TODAY()-G547)/365</f>
        <v>23.701369863013699</v>
      </c>
      <c r="P547" s="91" t="s">
        <v>43</v>
      </c>
      <c r="Q547" s="91">
        <v>0</v>
      </c>
      <c r="R547" s="91">
        <v>0</v>
      </c>
      <c r="S547" s="91">
        <v>0</v>
      </c>
      <c r="T547" s="91"/>
      <c r="U547" s="91"/>
      <c r="V547" s="91"/>
      <c r="W547" s="91"/>
      <c r="X547" s="91"/>
      <c r="Y547" s="91"/>
      <c r="Z547" s="91"/>
      <c r="AA547" s="91"/>
      <c r="AB547" s="91"/>
      <c r="AC547" s="91"/>
      <c r="AD547" s="91"/>
      <c r="AE547" s="91"/>
      <c r="AF547" s="91"/>
      <c r="AG547" s="91"/>
      <c r="AH547" s="91"/>
      <c r="AI547" s="91"/>
      <c r="AJ547" s="91"/>
      <c r="AK547" s="91"/>
      <c r="AL547" s="91"/>
      <c r="AM547" s="91"/>
    </row>
    <row r="548" spans="1:39" ht="20.25" hidden="1" customHeight="1">
      <c r="A548" s="91"/>
      <c r="B548" s="93" t="s">
        <v>1811</v>
      </c>
      <c r="C548" s="91" t="s">
        <v>36</v>
      </c>
      <c r="D548" s="94" t="s">
        <v>2136</v>
      </c>
      <c r="E548" s="94" t="s">
        <v>2137</v>
      </c>
      <c r="F548" s="95" t="s">
        <v>2138</v>
      </c>
      <c r="G548" s="96">
        <v>44873</v>
      </c>
      <c r="H548" s="97">
        <v>26883</v>
      </c>
      <c r="I548" s="102" t="s">
        <v>2139</v>
      </c>
      <c r="J548" s="94" t="s">
        <v>1953</v>
      </c>
      <c r="K548" s="95" t="s">
        <v>2140</v>
      </c>
      <c r="L548" s="91" t="s">
        <v>60</v>
      </c>
      <c r="M548" s="98">
        <f ca="1">(TODAY()-H548)/365</f>
        <v>52.38082191780822</v>
      </c>
      <c r="N548" s="99">
        <f>(G548-H548)/365</f>
        <v>49.287671232876711</v>
      </c>
      <c r="O548" s="98">
        <f ca="1">(TODAY()-G548)/365</f>
        <v>3.0931506849315067</v>
      </c>
      <c r="P548" s="91" t="s">
        <v>43</v>
      </c>
      <c r="Q548" s="91">
        <v>0</v>
      </c>
      <c r="R548" s="91">
        <v>0</v>
      </c>
      <c r="S548" s="91">
        <v>0</v>
      </c>
      <c r="T548" s="91"/>
      <c r="U548" s="91"/>
      <c r="V548" s="91"/>
      <c r="W548" s="91"/>
      <c r="X548" s="91"/>
      <c r="Y548" s="91"/>
      <c r="Z548" s="91"/>
      <c r="AA548" s="91"/>
      <c r="AB548" s="91"/>
      <c r="AC548" s="91"/>
      <c r="AD548" s="91"/>
      <c r="AE548" s="91"/>
      <c r="AF548" s="91"/>
      <c r="AG548" s="91"/>
      <c r="AH548" s="91"/>
      <c r="AI548" s="91"/>
      <c r="AJ548" s="91"/>
      <c r="AK548" s="91"/>
      <c r="AL548" s="91"/>
      <c r="AM548" s="91"/>
    </row>
    <row r="549" spans="1:39" ht="20.25" hidden="1" customHeight="1">
      <c r="A549" s="91"/>
      <c r="B549" s="93" t="s">
        <v>1811</v>
      </c>
      <c r="C549" s="91" t="s">
        <v>36</v>
      </c>
      <c r="D549" s="94" t="s">
        <v>2141</v>
      </c>
      <c r="E549" s="94" t="s">
        <v>2142</v>
      </c>
      <c r="F549" s="95" t="s">
        <v>2143</v>
      </c>
      <c r="G549" s="96">
        <v>43466</v>
      </c>
      <c r="H549" s="97">
        <v>24942</v>
      </c>
      <c r="I549" s="102" t="s">
        <v>2144</v>
      </c>
      <c r="J549" s="94" t="s">
        <v>2145</v>
      </c>
      <c r="K549" s="95" t="s">
        <v>2146</v>
      </c>
      <c r="L549" s="91" t="s">
        <v>60</v>
      </c>
      <c r="M549" s="98">
        <f ca="1">(TODAY()-H549)/365</f>
        <v>57.698630136986303</v>
      </c>
      <c r="N549" s="99">
        <f>(G549-H549)/365</f>
        <v>50.750684931506846</v>
      </c>
      <c r="O549" s="98">
        <f ca="1">(TODAY()-G549)/365</f>
        <v>6.9479452054794519</v>
      </c>
      <c r="P549" s="91" t="s">
        <v>43</v>
      </c>
      <c r="Q549" s="91">
        <v>0</v>
      </c>
      <c r="R549" s="91">
        <v>0</v>
      </c>
      <c r="S549" s="91">
        <v>0</v>
      </c>
      <c r="T549" s="91"/>
      <c r="U549" s="91"/>
      <c r="V549" s="91"/>
      <c r="W549" s="91"/>
      <c r="X549" s="91"/>
      <c r="Y549" s="91"/>
      <c r="Z549" s="91"/>
      <c r="AA549" s="91"/>
      <c r="AB549" s="91"/>
      <c r="AC549" s="91"/>
      <c r="AD549" s="91"/>
      <c r="AE549" s="91"/>
      <c r="AF549" s="91"/>
      <c r="AG549" s="91"/>
      <c r="AH549" s="91"/>
      <c r="AI549" s="91"/>
      <c r="AJ549" s="91"/>
      <c r="AK549" s="91"/>
      <c r="AL549" s="91"/>
      <c r="AM549" s="91"/>
    </row>
    <row r="550" spans="1:39" ht="20.25" hidden="1" customHeight="1">
      <c r="A550" s="91"/>
      <c r="B550" s="93" t="s">
        <v>1811</v>
      </c>
      <c r="C550" s="91" t="s">
        <v>36</v>
      </c>
      <c r="D550" s="94" t="s">
        <v>2147</v>
      </c>
      <c r="E550" s="94" t="s">
        <v>2148</v>
      </c>
      <c r="F550" s="95" t="s">
        <v>2149</v>
      </c>
      <c r="G550" s="96">
        <v>39542</v>
      </c>
      <c r="H550" s="97">
        <v>20929</v>
      </c>
      <c r="I550" s="102" t="s">
        <v>2150</v>
      </c>
      <c r="J550" s="94" t="s">
        <v>2151</v>
      </c>
      <c r="K550" s="95" t="s">
        <v>2152</v>
      </c>
      <c r="L550" s="91" t="s">
        <v>60</v>
      </c>
      <c r="M550" s="98">
        <f ca="1">(TODAY()-H550)/365</f>
        <v>68.69315068493151</v>
      </c>
      <c r="N550" s="99">
        <f>(G550-H550)/365</f>
        <v>50.994520547945207</v>
      </c>
      <c r="O550" s="98">
        <f ca="1">(TODAY()-G550)/365</f>
        <v>17.698630136986303</v>
      </c>
      <c r="P550" s="91" t="s">
        <v>43</v>
      </c>
      <c r="Q550" s="91">
        <v>0</v>
      </c>
      <c r="R550" s="91">
        <v>0</v>
      </c>
      <c r="S550" s="91">
        <v>0</v>
      </c>
      <c r="T550" s="91"/>
      <c r="U550" s="91"/>
      <c r="V550" s="91"/>
      <c r="W550" s="91"/>
      <c r="X550" s="91"/>
      <c r="Y550" s="91"/>
      <c r="Z550" s="91"/>
      <c r="AA550" s="91"/>
      <c r="AB550" s="91"/>
      <c r="AC550" s="91"/>
      <c r="AD550" s="91"/>
      <c r="AE550" s="91"/>
      <c r="AF550" s="91"/>
      <c r="AG550" s="91"/>
      <c r="AH550" s="91"/>
      <c r="AI550" s="91"/>
      <c r="AJ550" s="91"/>
      <c r="AK550" s="91"/>
      <c r="AL550" s="91"/>
      <c r="AM550" s="91"/>
    </row>
    <row r="551" spans="1:39" ht="20.25" hidden="1" customHeight="1">
      <c r="A551" s="91"/>
      <c r="B551" s="93" t="s">
        <v>1811</v>
      </c>
      <c r="C551" s="91" t="s">
        <v>36</v>
      </c>
      <c r="D551" s="94" t="s">
        <v>2153</v>
      </c>
      <c r="E551" s="94" t="s">
        <v>2154</v>
      </c>
      <c r="F551" s="95" t="s">
        <v>2155</v>
      </c>
      <c r="G551" s="96">
        <v>31132</v>
      </c>
      <c r="H551" s="97">
        <v>12514</v>
      </c>
      <c r="I551" s="94" t="s">
        <v>58</v>
      </c>
      <c r="J551" s="94" t="s">
        <v>2156</v>
      </c>
      <c r="K551" s="95" t="s">
        <v>58</v>
      </c>
      <c r="L551" s="91" t="s">
        <v>60</v>
      </c>
      <c r="M551" s="98">
        <f ca="1">(TODAY()-H551)/365</f>
        <v>91.747945205479454</v>
      </c>
      <c r="N551" s="99">
        <f>(G551-H551)/365</f>
        <v>51.008219178082193</v>
      </c>
      <c r="O551" s="98">
        <f ca="1">(TODAY()-G551)/365</f>
        <v>40.739726027397261</v>
      </c>
      <c r="P551" s="91" t="s">
        <v>43</v>
      </c>
      <c r="Q551" s="91">
        <v>0</v>
      </c>
      <c r="R551" s="91">
        <v>0</v>
      </c>
      <c r="S551" s="91">
        <v>0</v>
      </c>
      <c r="T551" s="91"/>
      <c r="U551" s="91"/>
      <c r="V551" s="91"/>
      <c r="W551" s="91"/>
      <c r="X551" s="91"/>
      <c r="Y551" s="91"/>
      <c r="Z551" s="91"/>
      <c r="AA551" s="91"/>
      <c r="AB551" s="91"/>
      <c r="AC551" s="91"/>
      <c r="AD551" s="91"/>
      <c r="AE551" s="91"/>
      <c r="AF551" s="91"/>
      <c r="AG551" s="91"/>
      <c r="AH551" s="91"/>
      <c r="AI551" s="91"/>
      <c r="AJ551" s="91"/>
      <c r="AK551" s="91"/>
      <c r="AL551" s="91"/>
      <c r="AM551" s="91"/>
    </row>
    <row r="552" spans="1:39" ht="20.25" hidden="1" customHeight="1">
      <c r="A552" s="91"/>
      <c r="B552" s="93" t="s">
        <v>1811</v>
      </c>
      <c r="C552" s="91" t="s">
        <v>36</v>
      </c>
      <c r="D552" s="94" t="s">
        <v>2157</v>
      </c>
      <c r="E552" s="94" t="s">
        <v>2158</v>
      </c>
      <c r="F552" s="95" t="s">
        <v>2159</v>
      </c>
      <c r="G552" s="96">
        <v>44574</v>
      </c>
      <c r="H552" s="97">
        <v>25744</v>
      </c>
      <c r="I552" s="102" t="s">
        <v>2160</v>
      </c>
      <c r="J552" s="94" t="s">
        <v>2161</v>
      </c>
      <c r="K552" s="95" t="s">
        <v>1823</v>
      </c>
      <c r="L552" s="91" t="s">
        <v>60</v>
      </c>
      <c r="M552" s="98">
        <f ca="1">(TODAY()-H552)/365</f>
        <v>55.5013698630137</v>
      </c>
      <c r="N552" s="99">
        <f>(G552-H552)/365</f>
        <v>51.589041095890408</v>
      </c>
      <c r="O552" s="98">
        <f ca="1">(TODAY()-G552)/365</f>
        <v>3.9123287671232876</v>
      </c>
      <c r="P552" s="91" t="s">
        <v>272</v>
      </c>
      <c r="Q552" s="91">
        <v>0</v>
      </c>
      <c r="R552" s="91">
        <v>0</v>
      </c>
      <c r="S552" s="91">
        <v>0</v>
      </c>
      <c r="T552" s="91"/>
      <c r="U552" s="91"/>
      <c r="V552" s="91"/>
      <c r="W552" s="91"/>
      <c r="X552" s="91"/>
      <c r="Y552" s="91"/>
      <c r="Z552" s="91"/>
      <c r="AA552" s="91"/>
      <c r="AB552" s="91"/>
      <c r="AC552" s="91"/>
      <c r="AD552" s="91"/>
      <c r="AE552" s="91"/>
      <c r="AF552" s="91"/>
      <c r="AG552" s="91"/>
      <c r="AH552" s="91"/>
      <c r="AI552" s="91"/>
      <c r="AJ552" s="91"/>
      <c r="AK552" s="91"/>
      <c r="AL552" s="91"/>
      <c r="AM552" s="91"/>
    </row>
    <row r="553" spans="1:39" ht="20.25" hidden="1" customHeight="1">
      <c r="A553" s="91"/>
      <c r="B553" s="93" t="s">
        <v>1811</v>
      </c>
      <c r="C553" s="91" t="s">
        <v>36</v>
      </c>
      <c r="D553" s="94" t="s">
        <v>2162</v>
      </c>
      <c r="E553" s="94" t="s">
        <v>2163</v>
      </c>
      <c r="F553" s="95" t="s">
        <v>2164</v>
      </c>
      <c r="G553" s="96">
        <v>42915</v>
      </c>
      <c r="H553" s="97">
        <v>23868</v>
      </c>
      <c r="I553" s="102" t="s">
        <v>2165</v>
      </c>
      <c r="J553" s="94" t="s">
        <v>1906</v>
      </c>
      <c r="K553" s="95" t="s">
        <v>2166</v>
      </c>
      <c r="L553" s="91" t="s">
        <v>60</v>
      </c>
      <c r="M553" s="98">
        <f ca="1">(TODAY()-H553)/365</f>
        <v>60.641095890410959</v>
      </c>
      <c r="N553" s="99">
        <f>(G553-H553)/365</f>
        <v>52.183561643835617</v>
      </c>
      <c r="O553" s="98">
        <f ca="1">(TODAY()-G553)/365</f>
        <v>8.4575342465753423</v>
      </c>
      <c r="P553" s="91" t="s">
        <v>43</v>
      </c>
      <c r="Q553" s="91">
        <v>0</v>
      </c>
      <c r="R553" s="91">
        <v>0</v>
      </c>
      <c r="S553" s="91">
        <v>0</v>
      </c>
      <c r="T553" s="91"/>
      <c r="U553" s="91"/>
      <c r="V553" s="91"/>
      <c r="W553" s="91"/>
      <c r="X553" s="91"/>
      <c r="Y553" s="91"/>
      <c r="Z553" s="91"/>
      <c r="AA553" s="91"/>
      <c r="AB553" s="91"/>
      <c r="AC553" s="91"/>
      <c r="AD553" s="91"/>
      <c r="AE553" s="91"/>
      <c r="AF553" s="91"/>
      <c r="AG553" s="91"/>
      <c r="AH553" s="91"/>
      <c r="AI553" s="91"/>
      <c r="AJ553" s="91"/>
      <c r="AK553" s="91"/>
      <c r="AL553" s="91"/>
      <c r="AM553" s="91"/>
    </row>
    <row r="554" spans="1:39" ht="20.25" hidden="1" customHeight="1">
      <c r="A554" s="91"/>
      <c r="B554" s="93" t="s">
        <v>1811</v>
      </c>
      <c r="C554" s="91" t="s">
        <v>36</v>
      </c>
      <c r="D554" s="94" t="s">
        <v>2167</v>
      </c>
      <c r="E554" s="94" t="s">
        <v>2168</v>
      </c>
      <c r="F554" s="95" t="s">
        <v>2169</v>
      </c>
      <c r="G554" s="96">
        <v>44478</v>
      </c>
      <c r="H554" s="97">
        <v>25317</v>
      </c>
      <c r="I554" s="102" t="s">
        <v>2170</v>
      </c>
      <c r="J554" s="94" t="s">
        <v>2171</v>
      </c>
      <c r="K554" s="95" t="s">
        <v>2172</v>
      </c>
      <c r="L554" s="91" t="s">
        <v>60</v>
      </c>
      <c r="M554" s="98">
        <f ca="1">(TODAY()-H554)/365</f>
        <v>56.671232876712331</v>
      </c>
      <c r="N554" s="99">
        <f>(G554-H554)/365</f>
        <v>52.495890410958907</v>
      </c>
      <c r="O554" s="98">
        <f ca="1">(TODAY()-G554)/365</f>
        <v>4.1753424657534248</v>
      </c>
      <c r="P554" s="91" t="s">
        <v>43</v>
      </c>
      <c r="Q554" s="91">
        <v>0</v>
      </c>
      <c r="R554" s="91">
        <v>0</v>
      </c>
      <c r="S554" s="91">
        <v>0</v>
      </c>
      <c r="T554" s="91"/>
      <c r="U554" s="91"/>
      <c r="V554" s="91"/>
      <c r="W554" s="91"/>
      <c r="X554" s="91"/>
      <c r="Y554" s="91"/>
      <c r="Z554" s="91"/>
      <c r="AA554" s="91"/>
      <c r="AB554" s="91"/>
      <c r="AC554" s="91"/>
      <c r="AD554" s="91"/>
      <c r="AE554" s="91"/>
      <c r="AF554" s="91"/>
      <c r="AG554" s="91"/>
      <c r="AH554" s="91"/>
      <c r="AI554" s="91"/>
      <c r="AJ554" s="91"/>
      <c r="AK554" s="91"/>
      <c r="AL554" s="91"/>
      <c r="AM554" s="91"/>
    </row>
    <row r="555" spans="1:39" ht="20.25" hidden="1" customHeight="1">
      <c r="A555" s="91"/>
      <c r="B555" s="93" t="s">
        <v>1811</v>
      </c>
      <c r="C555" s="91" t="s">
        <v>36</v>
      </c>
      <c r="D555" s="94" t="s">
        <v>2173</v>
      </c>
      <c r="E555" s="94" t="s">
        <v>2174</v>
      </c>
      <c r="F555" s="95" t="s">
        <v>2175</v>
      </c>
      <c r="G555" s="96">
        <v>41947</v>
      </c>
      <c r="H555" s="97">
        <v>22317</v>
      </c>
      <c r="I555" s="111" t="s">
        <v>2176</v>
      </c>
      <c r="J555" s="94" t="s">
        <v>2177</v>
      </c>
      <c r="K555" s="95" t="s">
        <v>2178</v>
      </c>
      <c r="L555" s="91" t="s">
        <v>60</v>
      </c>
      <c r="M555" s="98">
        <f ca="1">(TODAY()-H555)/365</f>
        <v>64.890410958904113</v>
      </c>
      <c r="N555" s="99">
        <f>(G555-H555)/365</f>
        <v>53.780821917808218</v>
      </c>
      <c r="O555" s="98">
        <f ca="1">(TODAY()-G555)/365</f>
        <v>11.109589041095891</v>
      </c>
      <c r="P555" s="91" t="s">
        <v>43</v>
      </c>
      <c r="Q555" s="91">
        <v>0</v>
      </c>
      <c r="R555" s="91">
        <v>0</v>
      </c>
      <c r="S555" s="91">
        <v>0</v>
      </c>
      <c r="T555" s="91"/>
      <c r="U555" s="91"/>
      <c r="V555" s="91"/>
      <c r="W555" s="91"/>
      <c r="X555" s="91"/>
      <c r="Y555" s="91"/>
      <c r="Z555" s="91"/>
      <c r="AA555" s="91"/>
      <c r="AB555" s="91"/>
      <c r="AC555" s="91"/>
      <c r="AD555" s="91"/>
      <c r="AE555" s="91"/>
      <c r="AF555" s="91"/>
      <c r="AG555" s="91"/>
      <c r="AH555" s="91"/>
      <c r="AI555" s="91"/>
      <c r="AJ555" s="91"/>
      <c r="AK555" s="91"/>
      <c r="AL555" s="91"/>
      <c r="AM555" s="91"/>
    </row>
    <row r="556" spans="1:39" ht="20.25" hidden="1" customHeight="1">
      <c r="A556" s="91"/>
      <c r="B556" s="93" t="s">
        <v>1811</v>
      </c>
      <c r="C556" s="91" t="s">
        <v>36</v>
      </c>
      <c r="D556" s="94" t="s">
        <v>2179</v>
      </c>
      <c r="E556" s="94" t="s">
        <v>2180</v>
      </c>
      <c r="F556" s="95" t="s">
        <v>2181</v>
      </c>
      <c r="G556" s="96">
        <v>44197</v>
      </c>
      <c r="H556" s="97">
        <v>24513</v>
      </c>
      <c r="I556" s="100" t="s">
        <v>58</v>
      </c>
      <c r="J556" s="94" t="s">
        <v>2182</v>
      </c>
      <c r="K556" s="95" t="s">
        <v>1823</v>
      </c>
      <c r="L556" s="91" t="s">
        <v>60</v>
      </c>
      <c r="M556" s="98">
        <f ca="1">(TODAY()-H556)/365</f>
        <v>58.873972602739727</v>
      </c>
      <c r="N556" s="99">
        <f>(G556-H556)/365</f>
        <v>53.92876712328767</v>
      </c>
      <c r="O556" s="98">
        <f ca="1">(TODAY()-G556)/365</f>
        <v>4.9452054794520546</v>
      </c>
      <c r="P556" s="91" t="s">
        <v>43</v>
      </c>
      <c r="Q556" s="91">
        <v>0</v>
      </c>
      <c r="R556" s="91">
        <v>0</v>
      </c>
      <c r="S556" s="91">
        <v>0</v>
      </c>
      <c r="T556" s="91"/>
      <c r="U556" s="91"/>
      <c r="V556" s="91"/>
      <c r="W556" s="91"/>
      <c r="X556" s="91"/>
      <c r="Y556" s="91"/>
      <c r="Z556" s="91"/>
      <c r="AA556" s="91"/>
      <c r="AB556" s="91"/>
      <c r="AC556" s="91"/>
      <c r="AD556" s="91"/>
      <c r="AE556" s="91"/>
      <c r="AF556" s="91"/>
      <c r="AG556" s="91"/>
      <c r="AH556" s="91"/>
      <c r="AI556" s="91"/>
      <c r="AJ556" s="91"/>
      <c r="AK556" s="91"/>
      <c r="AL556" s="91"/>
      <c r="AM556" s="91"/>
    </row>
    <row r="557" spans="1:39" ht="20.25" hidden="1" customHeight="1">
      <c r="A557" s="91"/>
      <c r="B557" s="93" t="s">
        <v>1811</v>
      </c>
      <c r="C557" s="91" t="s">
        <v>36</v>
      </c>
      <c r="D557" s="94" t="s">
        <v>2183</v>
      </c>
      <c r="E557" s="94" t="s">
        <v>2184</v>
      </c>
      <c r="F557" s="95" t="s">
        <v>2185</v>
      </c>
      <c r="G557" s="96">
        <v>44473</v>
      </c>
      <c r="H557" s="97">
        <v>24506</v>
      </c>
      <c r="I557" s="102" t="s">
        <v>2186</v>
      </c>
      <c r="J557" s="94" t="s">
        <v>2187</v>
      </c>
      <c r="K557" s="95" t="s">
        <v>2188</v>
      </c>
      <c r="L557" s="91" t="s">
        <v>60</v>
      </c>
      <c r="M557" s="98">
        <f ca="1">(TODAY()-H557)/365</f>
        <v>58.893150684931506</v>
      </c>
      <c r="N557" s="99">
        <f>(G557-H557)/365</f>
        <v>54.704109589041096</v>
      </c>
      <c r="O557" s="98">
        <f ca="1">(TODAY()-G557)/365</f>
        <v>4.1890410958904107</v>
      </c>
      <c r="P557" s="91" t="s">
        <v>43</v>
      </c>
      <c r="Q557" s="91">
        <v>0</v>
      </c>
      <c r="R557" s="91">
        <v>0</v>
      </c>
      <c r="S557" s="91">
        <v>0</v>
      </c>
      <c r="T557" s="91"/>
      <c r="U557" s="91"/>
      <c r="V557" s="91"/>
      <c r="W557" s="91"/>
      <c r="X557" s="91"/>
      <c r="Y557" s="91"/>
      <c r="Z557" s="91"/>
      <c r="AA557" s="91"/>
      <c r="AB557" s="91"/>
      <c r="AC557" s="91"/>
      <c r="AD557" s="91"/>
      <c r="AE557" s="91"/>
      <c r="AF557" s="91"/>
      <c r="AG557" s="91"/>
      <c r="AH557" s="91"/>
      <c r="AI557" s="91"/>
      <c r="AJ557" s="91"/>
      <c r="AK557" s="91"/>
      <c r="AL557" s="91"/>
      <c r="AM557" s="91"/>
    </row>
    <row r="558" spans="1:39" ht="20.25" hidden="1" customHeight="1">
      <c r="A558" s="91"/>
      <c r="B558" s="93" t="s">
        <v>1811</v>
      </c>
      <c r="C558" s="91" t="s">
        <v>36</v>
      </c>
      <c r="D558" s="94" t="s">
        <v>2189</v>
      </c>
      <c r="E558" s="94" t="s">
        <v>2190</v>
      </c>
      <c r="F558" s="95" t="s">
        <v>2191</v>
      </c>
      <c r="G558" s="96">
        <v>43479</v>
      </c>
      <c r="H558" s="97">
        <v>22816</v>
      </c>
      <c r="I558" s="102" t="s">
        <v>2192</v>
      </c>
      <c r="J558" s="94" t="s">
        <v>2193</v>
      </c>
      <c r="K558" s="95" t="s">
        <v>2194</v>
      </c>
      <c r="L558" s="91" t="s">
        <v>60</v>
      </c>
      <c r="M558" s="98">
        <f ca="1">(TODAY()-H558)/365</f>
        <v>63.523287671232879</v>
      </c>
      <c r="N558" s="99">
        <f>(G558-H558)/365</f>
        <v>56.610958904109587</v>
      </c>
      <c r="O558" s="98">
        <f ca="1">(TODAY()-G558)/365</f>
        <v>6.912328767123288</v>
      </c>
      <c r="P558" s="91" t="s">
        <v>43</v>
      </c>
      <c r="Q558" s="91">
        <v>0</v>
      </c>
      <c r="R558" s="91">
        <v>0</v>
      </c>
      <c r="S558" s="91">
        <v>0</v>
      </c>
      <c r="T558" s="91"/>
      <c r="U558" s="91"/>
      <c r="V558" s="91"/>
      <c r="W558" s="91"/>
      <c r="X558" s="91"/>
      <c r="Y558" s="91"/>
      <c r="Z558" s="91"/>
      <c r="AA558" s="91"/>
      <c r="AB558" s="91"/>
      <c r="AC558" s="91"/>
      <c r="AD558" s="91"/>
      <c r="AE558" s="91"/>
      <c r="AF558" s="91"/>
      <c r="AG558" s="91"/>
      <c r="AH558" s="91"/>
      <c r="AI558" s="91"/>
      <c r="AJ558" s="91"/>
      <c r="AK558" s="91"/>
      <c r="AL558" s="91"/>
      <c r="AM558" s="91"/>
    </row>
    <row r="559" spans="1:39" ht="20.25" hidden="1" customHeight="1">
      <c r="A559" s="91"/>
      <c r="B559" s="93" t="s">
        <v>1811</v>
      </c>
      <c r="C559" s="91" t="s">
        <v>36</v>
      </c>
      <c r="D559" s="94" t="s">
        <v>2195</v>
      </c>
      <c r="E559" s="94" t="s">
        <v>2196</v>
      </c>
      <c r="F559" s="95" t="s">
        <v>2197</v>
      </c>
      <c r="G559" s="96">
        <v>42737</v>
      </c>
      <c r="H559" s="97">
        <v>21965</v>
      </c>
      <c r="I559" s="102" t="s">
        <v>2198</v>
      </c>
      <c r="J559" s="94" t="s">
        <v>2199</v>
      </c>
      <c r="K559" s="95" t="s">
        <v>2200</v>
      </c>
      <c r="L559" s="91" t="s">
        <v>60</v>
      </c>
      <c r="M559" s="98">
        <f ca="1">(TODAY()-H559)/365</f>
        <v>65.854794520547941</v>
      </c>
      <c r="N559" s="99">
        <f>(G559-H559)/365</f>
        <v>56.909589041095892</v>
      </c>
      <c r="O559" s="98">
        <f ca="1">(TODAY()-G559)/365</f>
        <v>8.9452054794520546</v>
      </c>
      <c r="P559" s="91" t="s">
        <v>43</v>
      </c>
      <c r="Q559" s="91">
        <v>0</v>
      </c>
      <c r="R559" s="91">
        <v>0</v>
      </c>
      <c r="S559" s="91">
        <v>0</v>
      </c>
      <c r="T559" s="91"/>
      <c r="U559" s="91"/>
      <c r="V559" s="91"/>
      <c r="W559" s="91"/>
      <c r="X559" s="91"/>
      <c r="Y559" s="91"/>
      <c r="Z559" s="91"/>
      <c r="AA559" s="91"/>
      <c r="AB559" s="91"/>
      <c r="AC559" s="91"/>
      <c r="AD559" s="91"/>
      <c r="AE559" s="91"/>
      <c r="AF559" s="91"/>
      <c r="AG559" s="91"/>
      <c r="AH559" s="91"/>
      <c r="AI559" s="91"/>
      <c r="AJ559" s="91"/>
      <c r="AK559" s="91"/>
      <c r="AL559" s="91"/>
      <c r="AM559" s="91"/>
    </row>
    <row r="560" spans="1:39" ht="20.25" hidden="1" customHeight="1">
      <c r="A560" s="91"/>
      <c r="B560" s="93" t="s">
        <v>1811</v>
      </c>
      <c r="C560" s="91" t="s">
        <v>36</v>
      </c>
      <c r="D560" s="94" t="s">
        <v>2201</v>
      </c>
      <c r="E560" s="94" t="s">
        <v>2202</v>
      </c>
      <c r="F560" s="95" t="s">
        <v>2203</v>
      </c>
      <c r="G560" s="96">
        <v>34062</v>
      </c>
      <c r="H560" s="97">
        <v>12457</v>
      </c>
      <c r="I560" s="94" t="s">
        <v>58</v>
      </c>
      <c r="J560" s="94" t="s">
        <v>2204</v>
      </c>
      <c r="K560" s="95" t="s">
        <v>58</v>
      </c>
      <c r="L560" s="91" t="s">
        <v>60</v>
      </c>
      <c r="M560" s="98">
        <f ca="1">(TODAY()-H560)/365</f>
        <v>91.904109589041099</v>
      </c>
      <c r="N560" s="99">
        <f>(G560-H560)/365</f>
        <v>59.19178082191781</v>
      </c>
      <c r="O560" s="98">
        <f ca="1">(TODAY()-G560)/365</f>
        <v>32.712328767123289</v>
      </c>
      <c r="P560" s="91" t="s">
        <v>43</v>
      </c>
      <c r="Q560" s="91">
        <v>0</v>
      </c>
      <c r="R560" s="91">
        <v>0</v>
      </c>
      <c r="S560" s="91">
        <v>0</v>
      </c>
      <c r="T560" s="91"/>
      <c r="U560" s="91"/>
      <c r="V560" s="91"/>
      <c r="W560" s="91"/>
      <c r="X560" s="91"/>
      <c r="Y560" s="91"/>
      <c r="Z560" s="91"/>
      <c r="AA560" s="91"/>
      <c r="AB560" s="91"/>
      <c r="AC560" s="91"/>
      <c r="AD560" s="91"/>
      <c r="AE560" s="91"/>
      <c r="AF560" s="91"/>
      <c r="AG560" s="91"/>
      <c r="AH560" s="91"/>
      <c r="AI560" s="91"/>
      <c r="AJ560" s="91"/>
      <c r="AK560" s="91"/>
      <c r="AL560" s="91"/>
      <c r="AM560" s="91"/>
    </row>
    <row r="561" spans="1:39" ht="20.25" hidden="1" customHeight="1">
      <c r="A561" s="91"/>
      <c r="B561" s="93" t="s">
        <v>1811</v>
      </c>
      <c r="C561" s="91" t="s">
        <v>36</v>
      </c>
      <c r="D561" s="94" t="s">
        <v>2205</v>
      </c>
      <c r="E561" s="94" t="s">
        <v>2206</v>
      </c>
      <c r="F561" s="95" t="s">
        <v>2207</v>
      </c>
      <c r="G561" s="96">
        <v>44478</v>
      </c>
      <c r="H561" s="97">
        <v>22269</v>
      </c>
      <c r="I561" s="102" t="s">
        <v>2208</v>
      </c>
      <c r="J561" s="94" t="s">
        <v>2209</v>
      </c>
      <c r="K561" s="95" t="s">
        <v>2210</v>
      </c>
      <c r="L561" s="91" t="s">
        <v>60</v>
      </c>
      <c r="M561" s="98">
        <f ca="1">(TODAY()-H561)/365</f>
        <v>65.021917808219172</v>
      </c>
      <c r="N561" s="99">
        <f>(G561-H561)/365</f>
        <v>60.846575342465755</v>
      </c>
      <c r="O561" s="98">
        <f ca="1">(TODAY()-G561)/365</f>
        <v>4.1753424657534248</v>
      </c>
      <c r="P561" s="91" t="s">
        <v>272</v>
      </c>
      <c r="Q561" s="91">
        <v>0</v>
      </c>
      <c r="R561" s="91">
        <v>0</v>
      </c>
      <c r="S561" s="91">
        <v>0</v>
      </c>
      <c r="T561" s="91"/>
      <c r="U561" s="91"/>
      <c r="V561" s="91"/>
      <c r="W561" s="91"/>
      <c r="X561" s="91"/>
      <c r="Y561" s="91"/>
      <c r="Z561" s="91"/>
      <c r="AA561" s="91"/>
      <c r="AB561" s="91"/>
      <c r="AC561" s="91"/>
      <c r="AD561" s="91"/>
      <c r="AE561" s="91"/>
      <c r="AF561" s="91"/>
      <c r="AG561" s="91"/>
      <c r="AH561" s="91"/>
      <c r="AI561" s="91"/>
      <c r="AJ561" s="91"/>
      <c r="AK561" s="91"/>
      <c r="AL561" s="91"/>
      <c r="AM561" s="91"/>
    </row>
    <row r="562" spans="1:39" ht="20.25" hidden="1" customHeight="1">
      <c r="A562" s="91"/>
      <c r="B562" s="93" t="s">
        <v>1811</v>
      </c>
      <c r="C562" s="91" t="s">
        <v>36</v>
      </c>
      <c r="D562" s="94" t="s">
        <v>2211</v>
      </c>
      <c r="E562" s="94" t="s">
        <v>2212</v>
      </c>
      <c r="F562" s="95" t="s">
        <v>2213</v>
      </c>
      <c r="G562" s="96">
        <v>38513</v>
      </c>
      <c r="H562" s="97">
        <v>15970</v>
      </c>
      <c r="I562" s="94" t="s">
        <v>58</v>
      </c>
      <c r="J562" s="94" t="s">
        <v>2214</v>
      </c>
      <c r="K562" s="95" t="s">
        <v>58</v>
      </c>
      <c r="L562" s="91" t="s">
        <v>60</v>
      </c>
      <c r="M562" s="98">
        <f ca="1">(TODAY()-H562)/365</f>
        <v>82.279452054794518</v>
      </c>
      <c r="N562" s="99">
        <f>(G562-H562)/365</f>
        <v>61.761643835616439</v>
      </c>
      <c r="O562" s="98">
        <f ca="1">(TODAY()-G562)/365</f>
        <v>20.517808219178082</v>
      </c>
      <c r="P562" s="91" t="s">
        <v>43</v>
      </c>
      <c r="Q562" s="91">
        <v>0</v>
      </c>
      <c r="R562" s="91">
        <v>0</v>
      </c>
      <c r="S562" s="91">
        <v>0</v>
      </c>
      <c r="T562" s="91"/>
      <c r="U562" s="91"/>
      <c r="V562" s="91"/>
      <c r="W562" s="91"/>
      <c r="X562" s="91"/>
      <c r="Y562" s="91"/>
      <c r="Z562" s="91"/>
      <c r="AA562" s="91"/>
      <c r="AB562" s="91"/>
      <c r="AC562" s="91"/>
      <c r="AD562" s="91"/>
      <c r="AE562" s="91"/>
      <c r="AF562" s="91"/>
      <c r="AG562" s="91"/>
      <c r="AH562" s="91"/>
      <c r="AI562" s="91"/>
      <c r="AJ562" s="91"/>
      <c r="AK562" s="91"/>
      <c r="AL562" s="91"/>
      <c r="AM562" s="91"/>
    </row>
    <row r="563" spans="1:39" ht="20.25" hidden="1" customHeight="1">
      <c r="A563" s="91"/>
      <c r="B563" s="93" t="s">
        <v>1811</v>
      </c>
      <c r="C563" s="91" t="s">
        <v>36</v>
      </c>
      <c r="D563" s="94" t="s">
        <v>86</v>
      </c>
      <c r="E563" s="94" t="s">
        <v>2215</v>
      </c>
      <c r="F563" s="95" t="s">
        <v>2216</v>
      </c>
      <c r="G563" s="96">
        <v>40466</v>
      </c>
      <c r="H563" s="97">
        <v>17761</v>
      </c>
      <c r="I563" s="102" t="s">
        <v>2217</v>
      </c>
      <c r="J563" s="94" t="s">
        <v>2218</v>
      </c>
      <c r="K563" s="95" t="s">
        <v>2219</v>
      </c>
      <c r="L563" s="91" t="s">
        <v>60</v>
      </c>
      <c r="M563" s="98">
        <f ca="1">(TODAY()-H563)/365</f>
        <v>77.372602739726034</v>
      </c>
      <c r="N563" s="99">
        <f>(G563-H563)/365</f>
        <v>62.205479452054796</v>
      </c>
      <c r="O563" s="98">
        <f ca="1">(TODAY()-G563)/365</f>
        <v>15.167123287671233</v>
      </c>
      <c r="P563" s="91" t="s">
        <v>43</v>
      </c>
      <c r="Q563" s="91">
        <v>0</v>
      </c>
      <c r="R563" s="91">
        <v>0</v>
      </c>
      <c r="S563" s="91">
        <v>0</v>
      </c>
      <c r="T563" s="91"/>
      <c r="U563" s="91"/>
      <c r="V563" s="91"/>
      <c r="W563" s="91"/>
      <c r="X563" s="91"/>
      <c r="Y563" s="91"/>
      <c r="Z563" s="91"/>
      <c r="AA563" s="91"/>
      <c r="AB563" s="91"/>
      <c r="AC563" s="91"/>
      <c r="AD563" s="91"/>
      <c r="AE563" s="91"/>
      <c r="AF563" s="91"/>
      <c r="AG563" s="91"/>
      <c r="AH563" s="91"/>
      <c r="AI563" s="91"/>
      <c r="AJ563" s="91"/>
      <c r="AK563" s="91"/>
      <c r="AL563" s="91"/>
      <c r="AM563" s="91"/>
    </row>
    <row r="564" spans="1:39" ht="20.25" hidden="1" customHeight="1">
      <c r="A564" s="91"/>
      <c r="B564" s="93" t="s">
        <v>1811</v>
      </c>
      <c r="C564" s="91" t="s">
        <v>36</v>
      </c>
      <c r="D564" s="94" t="s">
        <v>1021</v>
      </c>
      <c r="E564" s="94" t="s">
        <v>2220</v>
      </c>
      <c r="F564" s="95" t="s">
        <v>2221</v>
      </c>
      <c r="G564" s="96">
        <v>43700</v>
      </c>
      <c r="H564" s="97">
        <v>20034</v>
      </c>
      <c r="I564" s="102" t="s">
        <v>2222</v>
      </c>
      <c r="J564" s="94" t="s">
        <v>2223</v>
      </c>
      <c r="K564" s="95" t="s">
        <v>2224</v>
      </c>
      <c r="L564" s="91" t="s">
        <v>60</v>
      </c>
      <c r="M564" s="98">
        <f ca="1">(TODAY()-H564)/365</f>
        <v>71.145205479452059</v>
      </c>
      <c r="N564" s="99">
        <f>(G564-H564)/365</f>
        <v>64.838356164383555</v>
      </c>
      <c r="O564" s="98">
        <f ca="1">(TODAY()-G564)/365</f>
        <v>6.3068493150684928</v>
      </c>
      <c r="P564" s="91" t="s">
        <v>43</v>
      </c>
      <c r="Q564" s="91">
        <v>0</v>
      </c>
      <c r="R564" s="91">
        <v>0</v>
      </c>
      <c r="S564" s="91">
        <v>0</v>
      </c>
      <c r="T564" s="91"/>
      <c r="U564" s="91"/>
      <c r="V564" s="91"/>
      <c r="W564" s="91"/>
      <c r="X564" s="91"/>
      <c r="Y564" s="91"/>
      <c r="Z564" s="91"/>
      <c r="AA564" s="91"/>
      <c r="AB564" s="91"/>
      <c r="AC564" s="91"/>
      <c r="AD564" s="91"/>
      <c r="AE564" s="91"/>
      <c r="AF564" s="91"/>
      <c r="AG564" s="91"/>
      <c r="AH564" s="91"/>
      <c r="AI564" s="91"/>
      <c r="AJ564" s="91"/>
      <c r="AK564" s="91"/>
      <c r="AL564" s="91"/>
      <c r="AM564" s="91"/>
    </row>
    <row r="565" spans="1:39" ht="20.25" hidden="1" customHeight="1">
      <c r="A565" s="91"/>
      <c r="B565" s="93" t="s">
        <v>1811</v>
      </c>
      <c r="C565" s="91" t="s">
        <v>36</v>
      </c>
      <c r="D565" s="94" t="s">
        <v>2225</v>
      </c>
      <c r="E565" s="94" t="s">
        <v>2226</v>
      </c>
      <c r="F565" s="95" t="s">
        <v>2227</v>
      </c>
      <c r="G565" s="96">
        <v>42620</v>
      </c>
      <c r="H565" s="97">
        <v>17726</v>
      </c>
      <c r="I565" s="100" t="s">
        <v>58</v>
      </c>
      <c r="J565" s="94" t="s">
        <v>2228</v>
      </c>
      <c r="K565" s="95" t="s">
        <v>2229</v>
      </c>
      <c r="L565" s="91" t="s">
        <v>60</v>
      </c>
      <c r="M565" s="98">
        <f ca="1">(TODAY()-H565)/365</f>
        <v>77.468493150684935</v>
      </c>
      <c r="N565" s="99">
        <f>(G565-H565)/365</f>
        <v>68.202739726027403</v>
      </c>
      <c r="O565" s="98">
        <f ca="1">(TODAY()-G565)/365</f>
        <v>9.2657534246575342</v>
      </c>
      <c r="P565" s="91" t="s">
        <v>43</v>
      </c>
      <c r="Q565" s="91">
        <v>0</v>
      </c>
      <c r="R565" s="91">
        <v>0</v>
      </c>
      <c r="S565" s="91">
        <v>0</v>
      </c>
      <c r="T565" s="91"/>
      <c r="U565" s="91"/>
      <c r="V565" s="91"/>
      <c r="W565" s="91"/>
      <c r="X565" s="91"/>
      <c r="Y565" s="91"/>
      <c r="Z565" s="91"/>
      <c r="AA565" s="91"/>
      <c r="AB565" s="91"/>
      <c r="AC565" s="91"/>
      <c r="AD565" s="91"/>
      <c r="AE565" s="91"/>
      <c r="AF565" s="91"/>
      <c r="AG565" s="91"/>
      <c r="AH565" s="91"/>
      <c r="AI565" s="91"/>
      <c r="AJ565" s="91"/>
      <c r="AK565" s="91"/>
      <c r="AL565" s="91"/>
      <c r="AM565" s="91"/>
    </row>
    <row r="566" spans="1:39" ht="20.25" hidden="1" customHeight="1">
      <c r="A566" s="91"/>
      <c r="B566" s="93" t="s">
        <v>1811</v>
      </c>
      <c r="C566" s="91" t="s">
        <v>36</v>
      </c>
      <c r="D566" s="94" t="s">
        <v>2230</v>
      </c>
      <c r="E566" s="94" t="s">
        <v>2231</v>
      </c>
      <c r="F566" s="95" t="s">
        <v>2232</v>
      </c>
      <c r="G566" s="96">
        <v>39638</v>
      </c>
      <c r="H566" s="97">
        <v>12386</v>
      </c>
      <c r="I566" s="100" t="s">
        <v>58</v>
      </c>
      <c r="J566" s="94" t="s">
        <v>2233</v>
      </c>
      <c r="K566" s="95" t="s">
        <v>2234</v>
      </c>
      <c r="L566" s="91" t="s">
        <v>60</v>
      </c>
      <c r="M566" s="98">
        <f ca="1">(TODAY()-H566)/365</f>
        <v>92.098630136986301</v>
      </c>
      <c r="N566" s="99">
        <f>(G566-H566)/365</f>
        <v>74.663013698630138</v>
      </c>
      <c r="O566" s="98">
        <f ca="1">(TODAY()-G566)/365</f>
        <v>17.435616438356163</v>
      </c>
      <c r="P566" s="91" t="s">
        <v>43</v>
      </c>
      <c r="Q566" s="91">
        <v>0</v>
      </c>
      <c r="R566" s="91">
        <v>0</v>
      </c>
      <c r="S566" s="91">
        <v>0</v>
      </c>
      <c r="T566" s="91"/>
      <c r="U566" s="91"/>
      <c r="V566" s="91"/>
      <c r="W566" s="91"/>
      <c r="X566" s="91"/>
      <c r="Y566" s="91"/>
      <c r="Z566" s="91"/>
      <c r="AA566" s="91"/>
      <c r="AB566" s="91"/>
      <c r="AC566" s="91"/>
      <c r="AD566" s="91"/>
      <c r="AE566" s="91"/>
      <c r="AF566" s="91"/>
      <c r="AG566" s="91"/>
      <c r="AH566" s="91"/>
      <c r="AI566" s="91"/>
      <c r="AJ566" s="91"/>
      <c r="AK566" s="91"/>
      <c r="AL566" s="91"/>
      <c r="AM566" s="91"/>
    </row>
    <row r="567" spans="1:39" ht="20.25" hidden="1" customHeight="1">
      <c r="A567" s="91"/>
      <c r="B567" s="93" t="s">
        <v>2235</v>
      </c>
      <c r="C567" s="91" t="s">
        <v>36</v>
      </c>
      <c r="D567" s="94" t="s">
        <v>2236</v>
      </c>
      <c r="E567" s="94" t="s">
        <v>2237</v>
      </c>
      <c r="F567" s="95" t="s">
        <v>2238</v>
      </c>
      <c r="G567" s="96">
        <v>45513</v>
      </c>
      <c r="H567" s="97">
        <v>40058</v>
      </c>
      <c r="I567" s="94" t="s">
        <v>2239</v>
      </c>
      <c r="J567" s="100" t="s">
        <v>58</v>
      </c>
      <c r="K567" s="92">
        <v>998755893</v>
      </c>
      <c r="L567" s="91" t="s">
        <v>60</v>
      </c>
      <c r="M567" s="98">
        <f ca="1">(TODAY()-H567)/365</f>
        <v>16.284931506849315</v>
      </c>
      <c r="N567" s="99">
        <f>(G567-H567)/365</f>
        <v>14.945205479452055</v>
      </c>
      <c r="O567" s="98">
        <f ca="1">(TODAY()-G567)/365</f>
        <v>1.3397260273972602</v>
      </c>
      <c r="P567" s="91" t="s">
        <v>43</v>
      </c>
      <c r="Q567" s="91">
        <v>0</v>
      </c>
      <c r="R567" s="91">
        <v>0</v>
      </c>
      <c r="S567" s="91">
        <v>0</v>
      </c>
      <c r="T567" s="91"/>
      <c r="U567" s="91"/>
      <c r="V567" s="91"/>
      <c r="W567" s="91"/>
      <c r="X567" s="91"/>
      <c r="Y567" s="91"/>
      <c r="Z567" s="91"/>
      <c r="AA567" s="91"/>
      <c r="AB567" s="91"/>
      <c r="AC567" s="91"/>
      <c r="AD567" s="91"/>
      <c r="AE567" s="91"/>
      <c r="AF567" s="91"/>
      <c r="AG567" s="91"/>
      <c r="AH567" s="91"/>
      <c r="AI567" s="91"/>
      <c r="AJ567" s="91"/>
      <c r="AK567" s="91"/>
      <c r="AL567" s="91"/>
      <c r="AM567" s="91"/>
    </row>
    <row r="568" spans="1:39" ht="20.25" hidden="1" customHeight="1">
      <c r="A568" s="91"/>
      <c r="B568" s="93" t="s">
        <v>2235</v>
      </c>
      <c r="C568" s="91" t="s">
        <v>36</v>
      </c>
      <c r="D568" s="94" t="s">
        <v>2240</v>
      </c>
      <c r="E568" s="94" t="s">
        <v>2241</v>
      </c>
      <c r="F568" s="95" t="s">
        <v>2242</v>
      </c>
      <c r="G568" s="96">
        <v>44937</v>
      </c>
      <c r="H568" s="97">
        <v>39079</v>
      </c>
      <c r="I568" s="94" t="s">
        <v>2243</v>
      </c>
      <c r="J568" s="100" t="s">
        <v>58</v>
      </c>
      <c r="K568" s="92">
        <v>932189515</v>
      </c>
      <c r="L568" s="91" t="s">
        <v>60</v>
      </c>
      <c r="M568" s="98">
        <f ca="1">(TODAY()-H568)/365</f>
        <v>18.967123287671232</v>
      </c>
      <c r="N568" s="99">
        <f>(G568-H568)/365</f>
        <v>16.049315068493151</v>
      </c>
      <c r="O568" s="98">
        <f ca="1">(TODAY()-G568)/365</f>
        <v>2.9178082191780823</v>
      </c>
      <c r="P568" s="91" t="s">
        <v>43</v>
      </c>
      <c r="Q568" s="91">
        <v>0</v>
      </c>
      <c r="R568" s="91">
        <v>0</v>
      </c>
      <c r="S568" s="91">
        <v>0</v>
      </c>
      <c r="T568" s="91"/>
      <c r="U568" s="91"/>
      <c r="V568" s="91"/>
      <c r="W568" s="91"/>
      <c r="X568" s="91"/>
      <c r="Y568" s="91"/>
      <c r="Z568" s="91"/>
      <c r="AA568" s="91"/>
      <c r="AB568" s="91"/>
      <c r="AC568" s="91"/>
      <c r="AD568" s="91"/>
      <c r="AE568" s="91"/>
      <c r="AF568" s="91"/>
      <c r="AG568" s="91"/>
      <c r="AH568" s="91"/>
      <c r="AI568" s="91"/>
      <c r="AJ568" s="91"/>
      <c r="AK568" s="91"/>
      <c r="AL568" s="91"/>
      <c r="AM568" s="91"/>
    </row>
    <row r="569" spans="1:39" ht="20.25" customHeight="1">
      <c r="A569" s="91"/>
      <c r="B569" s="93" t="s">
        <v>2320</v>
      </c>
      <c r="C569" s="91" t="s">
        <v>73</v>
      </c>
      <c r="D569" s="94" t="s">
        <v>1183</v>
      </c>
      <c r="E569" s="94" t="s">
        <v>2344</v>
      </c>
      <c r="F569" s="95" t="s">
        <v>2345</v>
      </c>
      <c r="G569" s="96">
        <v>45073</v>
      </c>
      <c r="H569" s="97">
        <v>37155</v>
      </c>
      <c r="I569" s="100" t="s">
        <v>2346</v>
      </c>
      <c r="J569" s="94" t="s">
        <v>58</v>
      </c>
      <c r="K569" s="95">
        <v>45247020</v>
      </c>
      <c r="L569" s="91" t="s">
        <v>60</v>
      </c>
      <c r="M569" s="98">
        <f ca="1">(TODAY()-H569)/365</f>
        <v>24.238356164383561</v>
      </c>
      <c r="N569" s="99">
        <f>(G569-H569)/365</f>
        <v>21.693150684931506</v>
      </c>
      <c r="O569" s="98">
        <f ca="1">(TODAY()-G569)/365</f>
        <v>2.5452054794520547</v>
      </c>
      <c r="P569" s="91" t="s">
        <v>272</v>
      </c>
      <c r="Q569" s="91">
        <v>0</v>
      </c>
      <c r="R569" s="91">
        <v>0</v>
      </c>
      <c r="S569" s="91">
        <v>0</v>
      </c>
      <c r="T569" s="91"/>
      <c r="U569" s="91"/>
      <c r="V569" s="91"/>
      <c r="W569" s="91"/>
      <c r="X569" s="91"/>
      <c r="Y569" s="91"/>
      <c r="Z569" s="91"/>
      <c r="AA569" s="91"/>
      <c r="AB569" s="91"/>
      <c r="AC569" s="91"/>
      <c r="AD569" s="91"/>
      <c r="AE569" s="91"/>
      <c r="AF569" s="91"/>
      <c r="AG569" s="91"/>
      <c r="AH569" s="91"/>
      <c r="AI569" s="91"/>
      <c r="AJ569" s="91"/>
      <c r="AK569" s="91"/>
      <c r="AL569" s="91"/>
      <c r="AM569" s="91"/>
    </row>
    <row r="570" spans="1:39" ht="20.25" customHeight="1">
      <c r="A570" s="91"/>
      <c r="B570" s="93" t="s">
        <v>7270</v>
      </c>
      <c r="C570" s="91" t="s">
        <v>73</v>
      </c>
      <c r="D570" s="94" t="s">
        <v>7313</v>
      </c>
      <c r="E570" s="94" t="s">
        <v>7314</v>
      </c>
      <c r="F570" s="95" t="s">
        <v>7315</v>
      </c>
      <c r="G570" s="96">
        <v>35083</v>
      </c>
      <c r="H570" s="97">
        <v>17115</v>
      </c>
      <c r="I570" s="100" t="s">
        <v>58</v>
      </c>
      <c r="J570" s="100" t="s">
        <v>58</v>
      </c>
      <c r="K570" s="91" t="s">
        <v>58</v>
      </c>
      <c r="L570" s="91" t="s">
        <v>60</v>
      </c>
      <c r="M570" s="98">
        <f ca="1">(TODAY()-H570)/365</f>
        <v>79.142465753424659</v>
      </c>
      <c r="N570" s="99">
        <f>(G570-H570)/365</f>
        <v>49.227397260273975</v>
      </c>
      <c r="O570" s="98">
        <f ca="1">(TODAY()-G570)/365</f>
        <v>29.915068493150685</v>
      </c>
      <c r="P570" s="91" t="s">
        <v>43</v>
      </c>
      <c r="Q570" s="91">
        <v>0</v>
      </c>
      <c r="R570" s="91">
        <v>0</v>
      </c>
      <c r="S570" s="91">
        <v>0</v>
      </c>
      <c r="T570" s="91"/>
      <c r="U570" s="91"/>
      <c r="V570" s="91"/>
      <c r="W570" s="91"/>
      <c r="X570" s="91"/>
      <c r="Y570" s="91"/>
      <c r="Z570" s="91"/>
      <c r="AA570" s="91"/>
      <c r="AB570" s="91"/>
      <c r="AC570" s="91"/>
      <c r="AD570" s="91"/>
      <c r="AE570" s="91"/>
      <c r="AF570" s="91"/>
      <c r="AG570" s="91"/>
      <c r="AH570" s="91"/>
      <c r="AI570" s="91"/>
      <c r="AJ570" s="91"/>
      <c r="AK570" s="91"/>
      <c r="AL570" s="91"/>
      <c r="AM570" s="91"/>
    </row>
    <row r="571" spans="1:39" ht="20.25" customHeight="1">
      <c r="A571" s="91"/>
      <c r="B571" s="93" t="s">
        <v>6041</v>
      </c>
      <c r="C571" s="91" t="s">
        <v>73</v>
      </c>
      <c r="D571" s="107" t="s">
        <v>291</v>
      </c>
      <c r="E571" s="107" t="s">
        <v>6069</v>
      </c>
      <c r="F571" s="91" t="s">
        <v>6070</v>
      </c>
      <c r="G571" s="96">
        <v>40544</v>
      </c>
      <c r="H571" s="97">
        <v>23274</v>
      </c>
      <c r="I571" s="100" t="s">
        <v>58</v>
      </c>
      <c r="J571" s="100" t="s">
        <v>58</v>
      </c>
      <c r="K571" s="91" t="s">
        <v>58</v>
      </c>
      <c r="L571" s="91" t="s">
        <v>60</v>
      </c>
      <c r="M571" s="98">
        <f ca="1">(TODAY()-H571)/365</f>
        <v>62.268493150684932</v>
      </c>
      <c r="N571" s="99">
        <f>(G571-H571)/365</f>
        <v>47.315068493150683</v>
      </c>
      <c r="O571" s="98">
        <f ca="1">(TODAY()-G571)/365</f>
        <v>14.953424657534246</v>
      </c>
      <c r="P571" s="91" t="s">
        <v>43</v>
      </c>
      <c r="Q571" s="91">
        <v>0</v>
      </c>
      <c r="R571" s="91">
        <v>0</v>
      </c>
      <c r="S571" s="91">
        <v>0</v>
      </c>
      <c r="T571" s="91"/>
      <c r="U571" s="91">
        <v>1</v>
      </c>
      <c r="V571" s="91"/>
      <c r="W571" s="91"/>
      <c r="X571" s="91"/>
      <c r="Y571" s="91"/>
      <c r="Z571" s="91"/>
      <c r="AA571" s="91"/>
      <c r="AB571" s="91"/>
      <c r="AC571" s="91"/>
      <c r="AD571" s="91"/>
      <c r="AE571" s="91"/>
      <c r="AF571" s="91"/>
      <c r="AG571" s="91"/>
      <c r="AH571" s="91"/>
      <c r="AI571" s="91"/>
      <c r="AJ571" s="91"/>
      <c r="AK571" s="91"/>
      <c r="AL571" s="91"/>
      <c r="AM571" s="91"/>
    </row>
    <row r="572" spans="1:39" ht="20.25" customHeight="1">
      <c r="A572" s="91"/>
      <c r="B572" s="93" t="s">
        <v>4896</v>
      </c>
      <c r="C572" s="91" t="s">
        <v>73</v>
      </c>
      <c r="D572" s="107" t="s">
        <v>4961</v>
      </c>
      <c r="E572" s="107" t="s">
        <v>4962</v>
      </c>
      <c r="F572" s="91" t="s">
        <v>4963</v>
      </c>
      <c r="G572" s="96">
        <v>41163</v>
      </c>
      <c r="H572" s="97">
        <v>32961</v>
      </c>
      <c r="I572" s="94" t="s">
        <v>58</v>
      </c>
      <c r="J572" s="94" t="s">
        <v>58</v>
      </c>
      <c r="K572" s="91">
        <v>993697161</v>
      </c>
      <c r="L572" s="91" t="s">
        <v>60</v>
      </c>
      <c r="M572" s="98">
        <f ca="1">(TODAY()-H572)/365</f>
        <v>35.728767123287675</v>
      </c>
      <c r="N572" s="99">
        <f>(G572-H572)/365</f>
        <v>22.471232876712328</v>
      </c>
      <c r="O572" s="98">
        <f ca="1">(TODAY()-G572)/365</f>
        <v>13.257534246575343</v>
      </c>
      <c r="P572" s="91" t="s">
        <v>43</v>
      </c>
      <c r="Q572" s="91">
        <v>0</v>
      </c>
      <c r="R572" s="91">
        <v>0</v>
      </c>
      <c r="S572" s="91">
        <v>0</v>
      </c>
      <c r="T572" s="91"/>
      <c r="U572" s="91"/>
      <c r="V572" s="91"/>
      <c r="W572" s="91"/>
      <c r="X572" s="91"/>
      <c r="Y572" s="91"/>
      <c r="Z572" s="91"/>
      <c r="AA572" s="91"/>
      <c r="AB572" s="91"/>
      <c r="AC572" s="91"/>
      <c r="AD572" s="91"/>
      <c r="AE572" s="91"/>
      <c r="AF572" s="91"/>
      <c r="AG572" s="91"/>
      <c r="AH572" s="91"/>
      <c r="AI572" s="91"/>
      <c r="AJ572" s="91"/>
      <c r="AK572" s="91"/>
      <c r="AL572" s="91"/>
      <c r="AM572" s="91"/>
    </row>
    <row r="573" spans="1:39" ht="20.25" hidden="1" customHeight="1">
      <c r="A573" s="91"/>
      <c r="B573" s="93" t="s">
        <v>2235</v>
      </c>
      <c r="C573" s="91" t="s">
        <v>36</v>
      </c>
      <c r="D573" s="94" t="s">
        <v>2259</v>
      </c>
      <c r="E573" s="94" t="s">
        <v>2237</v>
      </c>
      <c r="F573" s="95" t="s">
        <v>2260</v>
      </c>
      <c r="G573" s="96">
        <v>45521</v>
      </c>
      <c r="H573" s="97">
        <v>37720</v>
      </c>
      <c r="I573" s="94" t="s">
        <v>2261</v>
      </c>
      <c r="J573" s="100" t="s">
        <v>58</v>
      </c>
      <c r="K573" s="92">
        <v>967405176</v>
      </c>
      <c r="L573" s="91" t="s">
        <v>60</v>
      </c>
      <c r="M573" s="98">
        <f ca="1">(TODAY()-H573)/365</f>
        <v>22.69041095890411</v>
      </c>
      <c r="N573" s="99">
        <f>(G573-H573)/365</f>
        <v>21.372602739726027</v>
      </c>
      <c r="O573" s="98">
        <f ca="1">(TODAY()-G573)/365</f>
        <v>1.3178082191780822</v>
      </c>
      <c r="P573" s="91" t="s">
        <v>272</v>
      </c>
      <c r="Q573" s="91">
        <v>0</v>
      </c>
      <c r="R573" s="91">
        <v>0</v>
      </c>
      <c r="S573" s="91">
        <v>0</v>
      </c>
      <c r="T573" s="91"/>
      <c r="U573" s="91"/>
      <c r="V573" s="91"/>
      <c r="W573" s="91"/>
      <c r="X573" s="91"/>
      <c r="Y573" s="91"/>
      <c r="Z573" s="91"/>
      <c r="AA573" s="91"/>
      <c r="AB573" s="91"/>
      <c r="AC573" s="91"/>
      <c r="AD573" s="91"/>
      <c r="AE573" s="91"/>
      <c r="AF573" s="91"/>
      <c r="AG573" s="91"/>
      <c r="AH573" s="91"/>
      <c r="AI573" s="91"/>
      <c r="AJ573" s="91"/>
      <c r="AK573" s="91"/>
      <c r="AL573" s="91"/>
      <c r="AM573" s="91"/>
    </row>
    <row r="574" spans="1:39" ht="20.25" customHeight="1">
      <c r="A574" s="91"/>
      <c r="B574" s="93" t="s">
        <v>580</v>
      </c>
      <c r="C574" s="91" t="s">
        <v>73</v>
      </c>
      <c r="D574" s="94" t="s">
        <v>623</v>
      </c>
      <c r="E574" s="94" t="s">
        <v>624</v>
      </c>
      <c r="F574" s="95" t="s">
        <v>625</v>
      </c>
      <c r="G574" s="96">
        <v>36161</v>
      </c>
      <c r="H574" s="97">
        <v>20049</v>
      </c>
      <c r="I574" s="108" t="s">
        <v>12320</v>
      </c>
      <c r="J574" s="100" t="s">
        <v>58</v>
      </c>
      <c r="K574" s="91" t="s">
        <v>58</v>
      </c>
      <c r="L574" s="91" t="s">
        <v>60</v>
      </c>
      <c r="M574" s="98">
        <f ca="1">(TODAY()-H574)/365</f>
        <v>71.104109589041101</v>
      </c>
      <c r="N574" s="99">
        <f>(G574-H574)/365</f>
        <v>44.142465753424659</v>
      </c>
      <c r="O574" s="98">
        <f ca="1">(TODAY()-G574)/365</f>
        <v>26.961643835616439</v>
      </c>
      <c r="P574" s="91" t="s">
        <v>43</v>
      </c>
      <c r="Q574" s="91">
        <v>0</v>
      </c>
      <c r="R574" s="91">
        <v>0</v>
      </c>
      <c r="S574" s="91">
        <v>0</v>
      </c>
      <c r="T574" s="91"/>
      <c r="U574" s="91"/>
      <c r="V574" s="91"/>
      <c r="W574" s="91"/>
      <c r="X574" s="91"/>
      <c r="Y574" s="91"/>
      <c r="Z574" s="91"/>
      <c r="AA574" s="91"/>
      <c r="AB574" s="91"/>
      <c r="AC574" s="91"/>
      <c r="AD574" s="91"/>
      <c r="AE574" s="91"/>
      <c r="AF574" s="91"/>
      <c r="AG574" s="91"/>
      <c r="AH574" s="91"/>
      <c r="AI574" s="91"/>
      <c r="AJ574" s="91"/>
      <c r="AK574" s="91"/>
      <c r="AL574" s="91"/>
      <c r="AM574" s="91"/>
    </row>
    <row r="575" spans="1:39" ht="20.25" customHeight="1">
      <c r="A575" s="91"/>
      <c r="B575" s="93" t="s">
        <v>5846</v>
      </c>
      <c r="C575" s="91" t="s">
        <v>73</v>
      </c>
      <c r="D575" s="94" t="s">
        <v>5896</v>
      </c>
      <c r="E575" s="94" t="s">
        <v>5897</v>
      </c>
      <c r="F575" s="95" t="s">
        <v>5898</v>
      </c>
      <c r="G575" s="96">
        <v>42515</v>
      </c>
      <c r="H575" s="97">
        <v>24104</v>
      </c>
      <c r="I575" s="100" t="s">
        <v>58</v>
      </c>
      <c r="J575" s="100" t="s">
        <v>58</v>
      </c>
      <c r="K575" s="91" t="s">
        <v>58</v>
      </c>
      <c r="L575" s="91" t="s">
        <v>60</v>
      </c>
      <c r="M575" s="98">
        <f ca="1">(TODAY()-H575)/365</f>
        <v>59.994520547945207</v>
      </c>
      <c r="N575" s="99">
        <f>(G575-H575)/365</f>
        <v>50.441095890410956</v>
      </c>
      <c r="O575" s="98">
        <f ca="1">(TODAY()-G575)/365</f>
        <v>9.5534246575342472</v>
      </c>
      <c r="P575" s="91" t="s">
        <v>272</v>
      </c>
      <c r="Q575" s="91">
        <v>0</v>
      </c>
      <c r="R575" s="91">
        <v>0</v>
      </c>
      <c r="S575" s="91">
        <v>0</v>
      </c>
      <c r="T575" s="91"/>
      <c r="U575" s="91"/>
      <c r="V575" s="91"/>
      <c r="W575" s="91"/>
      <c r="X575" s="91"/>
      <c r="Y575" s="91"/>
      <c r="Z575" s="91"/>
      <c r="AA575" s="91"/>
      <c r="AB575" s="91"/>
      <c r="AC575" s="91"/>
      <c r="AD575" s="91"/>
      <c r="AE575" s="91"/>
      <c r="AF575" s="91"/>
      <c r="AG575" s="91"/>
      <c r="AH575" s="91"/>
      <c r="AI575" s="91"/>
      <c r="AJ575" s="91"/>
      <c r="AK575" s="91"/>
      <c r="AL575" s="91"/>
      <c r="AM575" s="91"/>
    </row>
    <row r="576" spans="1:39" ht="20.25" hidden="1" customHeight="1">
      <c r="A576" s="91"/>
      <c r="B576" s="93" t="s">
        <v>2235</v>
      </c>
      <c r="C576" s="91" t="s">
        <v>36</v>
      </c>
      <c r="D576" s="94" t="s">
        <v>2270</v>
      </c>
      <c r="E576" s="94" t="s">
        <v>2271</v>
      </c>
      <c r="F576" s="95" t="s">
        <v>2272</v>
      </c>
      <c r="G576" s="96">
        <v>45584</v>
      </c>
      <c r="H576" s="97">
        <v>36143</v>
      </c>
      <c r="I576" s="100" t="s">
        <v>2273</v>
      </c>
      <c r="J576" s="100" t="s">
        <v>58</v>
      </c>
      <c r="K576" s="92">
        <v>976579939</v>
      </c>
      <c r="L576" s="91" t="s">
        <v>60</v>
      </c>
      <c r="M576" s="98">
        <f ca="1">(TODAY()-H576)/365</f>
        <v>27.010958904109589</v>
      </c>
      <c r="N576" s="99">
        <f>(G576-H576)/365</f>
        <v>25.865753424657534</v>
      </c>
      <c r="O576" s="98">
        <f ca="1">(TODAY()-G576)/365</f>
        <v>1.1452054794520548</v>
      </c>
      <c r="P576" s="91" t="s">
        <v>43</v>
      </c>
      <c r="Q576" s="91">
        <v>0</v>
      </c>
      <c r="R576" s="91">
        <v>0</v>
      </c>
      <c r="S576" s="91">
        <v>0</v>
      </c>
      <c r="T576" s="91"/>
      <c r="U576" s="91"/>
      <c r="V576" s="91"/>
      <c r="W576" s="91"/>
      <c r="X576" s="91"/>
      <c r="Y576" s="91"/>
      <c r="Z576" s="91"/>
      <c r="AA576" s="91"/>
      <c r="AB576" s="91"/>
      <c r="AC576" s="91"/>
      <c r="AD576" s="91"/>
      <c r="AE576" s="91"/>
      <c r="AF576" s="91"/>
      <c r="AG576" s="91"/>
      <c r="AH576" s="91"/>
      <c r="AI576" s="91"/>
      <c r="AJ576" s="91"/>
      <c r="AK576" s="91"/>
      <c r="AL576" s="91"/>
      <c r="AM576" s="91"/>
    </row>
    <row r="577" spans="1:39" ht="20.25" hidden="1" customHeight="1">
      <c r="A577" s="91"/>
      <c r="B577" s="93" t="s">
        <v>2235</v>
      </c>
      <c r="C577" s="91" t="s">
        <v>36</v>
      </c>
      <c r="D577" s="94" t="s">
        <v>2274</v>
      </c>
      <c r="E577" s="94" t="s">
        <v>2275</v>
      </c>
      <c r="F577" s="95" t="s">
        <v>2276</v>
      </c>
      <c r="G577" s="96">
        <v>32952</v>
      </c>
      <c r="H577" s="97">
        <v>19710</v>
      </c>
      <c r="I577" s="100" t="s">
        <v>2277</v>
      </c>
      <c r="J577" s="100" t="s">
        <v>58</v>
      </c>
      <c r="K577" s="92">
        <v>979454453</v>
      </c>
      <c r="L577" s="91" t="s">
        <v>72</v>
      </c>
      <c r="M577" s="98">
        <f ca="1">(TODAY()-H577)/365</f>
        <v>72.032876712328772</v>
      </c>
      <c r="N577" s="99">
        <f>(G577-H577)/365</f>
        <v>36.279452054794518</v>
      </c>
      <c r="O577" s="98">
        <f ca="1">(TODAY()-G577)/365</f>
        <v>35.753424657534246</v>
      </c>
      <c r="P577" s="91" t="s">
        <v>43</v>
      </c>
      <c r="Q577" s="91">
        <v>0</v>
      </c>
      <c r="R577" s="91">
        <v>0</v>
      </c>
      <c r="S577" s="91">
        <v>0</v>
      </c>
      <c r="T577" s="91"/>
      <c r="U577" s="91"/>
      <c r="V577" s="91"/>
      <c r="W577" s="91"/>
      <c r="X577" s="91"/>
      <c r="Y577" s="91"/>
      <c r="Z577" s="91"/>
      <c r="AA577" s="91"/>
      <c r="AB577" s="91"/>
      <c r="AC577" s="91"/>
      <c r="AD577" s="91"/>
      <c r="AE577" s="91"/>
      <c r="AF577" s="91"/>
      <c r="AG577" s="91"/>
      <c r="AH577" s="91"/>
      <c r="AI577" s="91"/>
      <c r="AJ577" s="91"/>
      <c r="AK577" s="91"/>
      <c r="AL577" s="91"/>
      <c r="AM577" s="91"/>
    </row>
    <row r="578" spans="1:39" ht="20.25" hidden="1" customHeight="1">
      <c r="A578" s="91"/>
      <c r="B578" s="93" t="s">
        <v>2235</v>
      </c>
      <c r="C578" s="91" t="s">
        <v>36</v>
      </c>
      <c r="D578" s="94" t="s">
        <v>2278</v>
      </c>
      <c r="E578" s="94" t="s">
        <v>2279</v>
      </c>
      <c r="F578" s="95" t="s">
        <v>2280</v>
      </c>
      <c r="G578" s="96">
        <v>34442</v>
      </c>
      <c r="H578" s="97">
        <v>20421</v>
      </c>
      <c r="I578" s="94" t="s">
        <v>2281</v>
      </c>
      <c r="J578" s="100" t="s">
        <v>58</v>
      </c>
      <c r="K578" s="92">
        <v>996701668</v>
      </c>
      <c r="L578" s="91" t="s">
        <v>60</v>
      </c>
      <c r="M578" s="98">
        <f ca="1">(TODAY()-H578)/365</f>
        <v>70.084931506849315</v>
      </c>
      <c r="N578" s="99">
        <f>(G578-H578)/365</f>
        <v>38.413698630136984</v>
      </c>
      <c r="O578" s="98">
        <f ca="1">(TODAY()-G578)/365</f>
        <v>31.671232876712327</v>
      </c>
      <c r="P578" s="91" t="s">
        <v>43</v>
      </c>
      <c r="Q578" s="91">
        <v>0</v>
      </c>
      <c r="R578" s="91">
        <v>0</v>
      </c>
      <c r="S578" s="91">
        <v>0</v>
      </c>
      <c r="T578" s="91"/>
      <c r="U578" s="91"/>
      <c r="V578" s="91"/>
      <c r="W578" s="91"/>
      <c r="X578" s="91"/>
      <c r="Y578" s="91"/>
      <c r="Z578" s="91"/>
      <c r="AA578" s="91"/>
      <c r="AB578" s="91"/>
      <c r="AC578" s="91"/>
      <c r="AD578" s="91"/>
      <c r="AE578" s="91"/>
      <c r="AF578" s="91"/>
      <c r="AG578" s="91"/>
      <c r="AH578" s="91"/>
      <c r="AI578" s="91"/>
      <c r="AJ578" s="91"/>
      <c r="AK578" s="91"/>
      <c r="AL578" s="91"/>
      <c r="AM578" s="91"/>
    </row>
    <row r="579" spans="1:39" ht="20.25" hidden="1" customHeight="1">
      <c r="A579" s="91"/>
      <c r="B579" s="93" t="s">
        <v>2235</v>
      </c>
      <c r="C579" s="91" t="s">
        <v>36</v>
      </c>
      <c r="D579" s="94" t="s">
        <v>2282</v>
      </c>
      <c r="E579" s="94" t="s">
        <v>2283</v>
      </c>
      <c r="F579" s="95" t="s">
        <v>2284</v>
      </c>
      <c r="G579" s="96">
        <v>34815</v>
      </c>
      <c r="H579" s="97">
        <v>20374</v>
      </c>
      <c r="I579" s="94" t="s">
        <v>2285</v>
      </c>
      <c r="J579" s="100" t="s">
        <v>58</v>
      </c>
      <c r="K579" s="92">
        <v>982472544</v>
      </c>
      <c r="L579" s="91" t="s">
        <v>60</v>
      </c>
      <c r="M579" s="98">
        <f ca="1">(TODAY()-H579)/365</f>
        <v>70.213698630136989</v>
      </c>
      <c r="N579" s="99">
        <f>(G579-H579)/365</f>
        <v>39.564383561643837</v>
      </c>
      <c r="O579" s="98">
        <f ca="1">(TODAY()-G579)/365</f>
        <v>30.649315068493152</v>
      </c>
      <c r="P579" s="91" t="s">
        <v>43</v>
      </c>
      <c r="Q579" s="91">
        <v>0</v>
      </c>
      <c r="R579" s="91">
        <v>0</v>
      </c>
      <c r="S579" s="91">
        <v>0</v>
      </c>
      <c r="T579" s="91"/>
      <c r="U579" s="91"/>
      <c r="V579" s="91"/>
      <c r="W579" s="91"/>
      <c r="X579" s="91"/>
      <c r="Y579" s="91"/>
      <c r="Z579" s="91"/>
      <c r="AA579" s="91"/>
      <c r="AB579" s="91"/>
      <c r="AC579" s="91"/>
      <c r="AD579" s="91"/>
      <c r="AE579" s="91"/>
      <c r="AF579" s="91"/>
      <c r="AG579" s="91"/>
      <c r="AH579" s="91"/>
      <c r="AI579" s="91"/>
      <c r="AJ579" s="91"/>
      <c r="AK579" s="91"/>
      <c r="AL579" s="91"/>
      <c r="AM579" s="91"/>
    </row>
    <row r="580" spans="1:39" ht="20.25" hidden="1" customHeight="1">
      <c r="A580" s="91"/>
      <c r="B580" s="93" t="s">
        <v>2235</v>
      </c>
      <c r="C580" s="91" t="s">
        <v>36</v>
      </c>
      <c r="D580" s="94" t="s">
        <v>2286</v>
      </c>
      <c r="E580" s="94" t="s">
        <v>2287</v>
      </c>
      <c r="F580" s="95" t="s">
        <v>2288</v>
      </c>
      <c r="G580" s="96">
        <v>41546</v>
      </c>
      <c r="H580" s="97">
        <v>26972</v>
      </c>
      <c r="I580" s="94" t="s">
        <v>2289</v>
      </c>
      <c r="J580" s="100" t="s">
        <v>58</v>
      </c>
      <c r="K580" s="92">
        <v>966647884</v>
      </c>
      <c r="L580" s="91" t="s">
        <v>60</v>
      </c>
      <c r="M580" s="98">
        <f ca="1">(TODAY()-H580)/365</f>
        <v>52.136986301369866</v>
      </c>
      <c r="N580" s="99">
        <f>(G580-H580)/365</f>
        <v>39.92876712328767</v>
      </c>
      <c r="O580" s="98">
        <f ca="1">(TODAY()-G580)/365</f>
        <v>12.208219178082192</v>
      </c>
      <c r="P580" s="91" t="s">
        <v>272</v>
      </c>
      <c r="Q580" s="91">
        <v>0</v>
      </c>
      <c r="R580" s="91">
        <v>0</v>
      </c>
      <c r="S580" s="91">
        <v>0</v>
      </c>
      <c r="T580" s="91"/>
      <c r="U580" s="91"/>
      <c r="V580" s="91"/>
      <c r="W580" s="91"/>
      <c r="X580" s="91"/>
      <c r="Y580" s="91"/>
      <c r="Z580" s="91"/>
      <c r="AA580" s="91"/>
      <c r="AB580" s="91"/>
      <c r="AC580" s="91"/>
      <c r="AD580" s="91"/>
      <c r="AE580" s="91"/>
      <c r="AF580" s="91"/>
      <c r="AG580" s="91"/>
      <c r="AH580" s="91"/>
      <c r="AI580" s="91"/>
      <c r="AJ580" s="91"/>
      <c r="AK580" s="91"/>
      <c r="AL580" s="91"/>
      <c r="AM580" s="91"/>
    </row>
    <row r="581" spans="1:39" ht="20.25" customHeight="1">
      <c r="A581" s="91"/>
      <c r="B581" s="93" t="s">
        <v>3935</v>
      </c>
      <c r="C581" s="91" t="s">
        <v>73</v>
      </c>
      <c r="D581" s="94" t="s">
        <v>3971</v>
      </c>
      <c r="E581" s="94" t="s">
        <v>3972</v>
      </c>
      <c r="F581" s="95" t="s">
        <v>3973</v>
      </c>
      <c r="G581" s="96">
        <v>45464</v>
      </c>
      <c r="H581" s="97">
        <v>31394</v>
      </c>
      <c r="I581" s="94" t="s">
        <v>3974</v>
      </c>
      <c r="J581" s="100" t="s">
        <v>58</v>
      </c>
      <c r="K581" s="91" t="s">
        <v>58</v>
      </c>
      <c r="L581" s="91" t="s">
        <v>60</v>
      </c>
      <c r="M581" s="98">
        <f ca="1">(TODAY()-H581)/365</f>
        <v>40.021917808219179</v>
      </c>
      <c r="N581" s="99">
        <f>(G581-H581)/365</f>
        <v>38.547945205479451</v>
      </c>
      <c r="O581" s="98">
        <f ca="1">(TODAY()-G581)/365</f>
        <v>1.473972602739726</v>
      </c>
      <c r="P581" s="91" t="s">
        <v>272</v>
      </c>
      <c r="Q581" s="91">
        <v>0</v>
      </c>
      <c r="R581" s="91">
        <v>0</v>
      </c>
      <c r="S581" s="91">
        <v>0</v>
      </c>
      <c r="T581" s="91"/>
      <c r="U581" s="91"/>
      <c r="V581" s="91"/>
      <c r="W581" s="91"/>
      <c r="X581" s="91"/>
      <c r="Y581" s="91"/>
      <c r="Z581" s="91"/>
      <c r="AA581" s="91"/>
      <c r="AB581" s="91"/>
      <c r="AC581" s="91"/>
      <c r="AD581" s="91"/>
      <c r="AE581" s="91"/>
      <c r="AF581" s="91"/>
      <c r="AG581" s="91"/>
      <c r="AH581" s="91"/>
      <c r="AI581" s="91"/>
      <c r="AJ581" s="91"/>
      <c r="AK581" s="91"/>
      <c r="AL581" s="91"/>
      <c r="AM581" s="91"/>
    </row>
    <row r="582" spans="1:39" ht="20.25" hidden="1" customHeight="1">
      <c r="A582" s="91"/>
      <c r="B582" s="93" t="s">
        <v>2235</v>
      </c>
      <c r="C582" s="91" t="s">
        <v>36</v>
      </c>
      <c r="D582" s="94" t="s">
        <v>2294</v>
      </c>
      <c r="E582" s="94" t="s">
        <v>2295</v>
      </c>
      <c r="F582" s="95" t="s">
        <v>2296</v>
      </c>
      <c r="G582" s="96">
        <v>41568</v>
      </c>
      <c r="H582" s="97">
        <v>25510</v>
      </c>
      <c r="I582" s="94" t="s">
        <v>2297</v>
      </c>
      <c r="J582" s="100" t="s">
        <v>58</v>
      </c>
      <c r="K582" s="92">
        <v>993240965</v>
      </c>
      <c r="L582" s="91" t="s">
        <v>66</v>
      </c>
      <c r="M582" s="98">
        <f ca="1">(TODAY()-H582)/365</f>
        <v>56.142465753424659</v>
      </c>
      <c r="N582" s="99">
        <f>(G582-H582)/365</f>
        <v>43.994520547945207</v>
      </c>
      <c r="O582" s="98">
        <f ca="1">(TODAY()-G582)/365</f>
        <v>12.147945205479452</v>
      </c>
      <c r="P582" s="91" t="s">
        <v>43</v>
      </c>
      <c r="Q582" s="91">
        <v>0</v>
      </c>
      <c r="R582" s="91">
        <v>0</v>
      </c>
      <c r="S582" s="91">
        <v>0</v>
      </c>
      <c r="T582" s="91"/>
      <c r="U582" s="91"/>
      <c r="V582" s="91"/>
      <c r="W582" s="91"/>
      <c r="X582" s="91"/>
      <c r="Y582" s="91"/>
      <c r="Z582" s="91"/>
      <c r="AA582" s="91"/>
      <c r="AB582" s="91"/>
      <c r="AC582" s="91"/>
      <c r="AD582" s="91"/>
      <c r="AE582" s="91"/>
      <c r="AF582" s="91"/>
      <c r="AG582" s="91"/>
      <c r="AH582" s="91"/>
      <c r="AI582" s="91"/>
      <c r="AJ582" s="91"/>
      <c r="AK582" s="91"/>
      <c r="AL582" s="91"/>
      <c r="AM582" s="91"/>
    </row>
    <row r="583" spans="1:39" ht="20.25" hidden="1" customHeight="1">
      <c r="A583" s="91"/>
      <c r="B583" s="93" t="s">
        <v>2235</v>
      </c>
      <c r="C583" s="91" t="s">
        <v>36</v>
      </c>
      <c r="D583" s="94" t="s">
        <v>2298</v>
      </c>
      <c r="E583" s="94" t="s">
        <v>2299</v>
      </c>
      <c r="F583" s="95" t="s">
        <v>2300</v>
      </c>
      <c r="G583" s="96">
        <v>34813</v>
      </c>
      <c r="H583" s="97">
        <v>18354</v>
      </c>
      <c r="I583" s="94" t="s">
        <v>2301</v>
      </c>
      <c r="J583" s="100" t="s">
        <v>58</v>
      </c>
      <c r="K583" s="92">
        <v>996414667</v>
      </c>
      <c r="L583" s="91" t="s">
        <v>60</v>
      </c>
      <c r="M583" s="98">
        <f ca="1">(TODAY()-H583)/365</f>
        <v>75.747945205479454</v>
      </c>
      <c r="N583" s="99">
        <f>(G583-H583)/365</f>
        <v>45.093150684931508</v>
      </c>
      <c r="O583" s="98">
        <f ca="1">(TODAY()-G583)/365</f>
        <v>30.654794520547945</v>
      </c>
      <c r="P583" s="91" t="s">
        <v>43</v>
      </c>
      <c r="Q583" s="91">
        <v>0</v>
      </c>
      <c r="R583" s="91">
        <v>0</v>
      </c>
      <c r="S583" s="91">
        <v>0</v>
      </c>
      <c r="T583" s="91"/>
      <c r="U583" s="91"/>
      <c r="V583" s="91"/>
      <c r="W583" s="91"/>
      <c r="X583" s="91"/>
      <c r="Y583" s="91"/>
      <c r="Z583" s="91"/>
      <c r="AA583" s="91"/>
      <c r="AB583" s="91"/>
      <c r="AC583" s="91"/>
      <c r="AD583" s="91"/>
      <c r="AE583" s="91"/>
      <c r="AF583" s="91"/>
      <c r="AG583" s="91"/>
      <c r="AH583" s="91"/>
      <c r="AI583" s="91"/>
      <c r="AJ583" s="91"/>
      <c r="AK583" s="91"/>
      <c r="AL583" s="91"/>
      <c r="AM583" s="91"/>
    </row>
    <row r="584" spans="1:39" ht="20.25" hidden="1" customHeight="1">
      <c r="A584" s="91"/>
      <c r="B584" s="93" t="s">
        <v>2235</v>
      </c>
      <c r="C584" s="91" t="s">
        <v>36</v>
      </c>
      <c r="D584" s="94" t="s">
        <v>2302</v>
      </c>
      <c r="E584" s="94" t="s">
        <v>2303</v>
      </c>
      <c r="F584" s="95" t="s">
        <v>2304</v>
      </c>
      <c r="G584" s="96">
        <v>45539</v>
      </c>
      <c r="H584" s="97">
        <v>27326</v>
      </c>
      <c r="I584" s="94" t="s">
        <v>2261</v>
      </c>
      <c r="J584" s="100" t="s">
        <v>58</v>
      </c>
      <c r="K584" s="92">
        <v>942101294</v>
      </c>
      <c r="L584" s="91" t="s">
        <v>60</v>
      </c>
      <c r="M584" s="98">
        <f ca="1">(TODAY()-H584)/365</f>
        <v>51.167123287671231</v>
      </c>
      <c r="N584" s="99">
        <f>(G584-H584)/365</f>
        <v>49.898630136986299</v>
      </c>
      <c r="O584" s="98">
        <f ca="1">(TODAY()-G584)/365</f>
        <v>1.2684931506849315</v>
      </c>
      <c r="P584" s="91" t="s">
        <v>43</v>
      </c>
      <c r="Q584" s="91">
        <v>0</v>
      </c>
      <c r="R584" s="91">
        <v>0</v>
      </c>
      <c r="S584" s="91">
        <v>0</v>
      </c>
      <c r="T584" s="91"/>
      <c r="U584" s="91"/>
      <c r="V584" s="91"/>
      <c r="W584" s="91"/>
      <c r="X584" s="91"/>
      <c r="Y584" s="91"/>
      <c r="Z584" s="91"/>
      <c r="AA584" s="91"/>
      <c r="AB584" s="91"/>
      <c r="AC584" s="91"/>
      <c r="AD584" s="91"/>
      <c r="AE584" s="91"/>
      <c r="AF584" s="91"/>
      <c r="AG584" s="91"/>
      <c r="AH584" s="91"/>
      <c r="AI584" s="91"/>
      <c r="AJ584" s="91"/>
      <c r="AK584" s="91"/>
      <c r="AL584" s="91"/>
      <c r="AM584" s="91"/>
    </row>
    <row r="585" spans="1:39" ht="20.25" customHeight="1">
      <c r="A585" s="91"/>
      <c r="B585" s="93" t="s">
        <v>2419</v>
      </c>
      <c r="C585" s="91" t="s">
        <v>73</v>
      </c>
      <c r="D585" s="94" t="s">
        <v>2481</v>
      </c>
      <c r="E585" s="94" t="s">
        <v>2482</v>
      </c>
      <c r="F585" s="95" t="s">
        <v>2483</v>
      </c>
      <c r="G585" s="96">
        <v>41275</v>
      </c>
      <c r="H585" s="97">
        <v>23426</v>
      </c>
      <c r="I585" s="108" t="s">
        <v>12347</v>
      </c>
      <c r="J585" s="94" t="s">
        <v>58</v>
      </c>
      <c r="K585" s="95" t="s">
        <v>58</v>
      </c>
      <c r="L585" s="91" t="s">
        <v>60</v>
      </c>
      <c r="M585" s="98">
        <f ca="1">(TODAY()-H585)/365</f>
        <v>61.852054794520548</v>
      </c>
      <c r="N585" s="99">
        <f>(G585-H585)/365</f>
        <v>48.901369863013699</v>
      </c>
      <c r="O585" s="98">
        <f ca="1">(TODAY()-G585)/365</f>
        <v>12.950684931506849</v>
      </c>
      <c r="P585" s="91" t="s">
        <v>43</v>
      </c>
      <c r="Q585" s="91">
        <v>0</v>
      </c>
      <c r="R585" s="91">
        <v>0</v>
      </c>
      <c r="S585" s="91">
        <v>0</v>
      </c>
      <c r="T585" s="91"/>
      <c r="U585" s="91"/>
      <c r="V585" s="91"/>
      <c r="W585" s="91"/>
      <c r="X585" s="91"/>
      <c r="Y585" s="91"/>
      <c r="Z585" s="91"/>
      <c r="AA585" s="91"/>
      <c r="AB585" s="91"/>
      <c r="AC585" s="91"/>
      <c r="AD585" s="91"/>
      <c r="AE585" s="91"/>
      <c r="AF585" s="91"/>
      <c r="AG585" s="91"/>
      <c r="AH585" s="91"/>
      <c r="AI585" s="91"/>
      <c r="AJ585" s="91"/>
      <c r="AK585" s="91"/>
      <c r="AL585" s="91"/>
      <c r="AM585" s="91"/>
    </row>
    <row r="586" spans="1:39" ht="20.25" hidden="1" customHeight="1">
      <c r="A586" s="91"/>
      <c r="B586" s="93" t="s">
        <v>2235</v>
      </c>
      <c r="C586" s="91" t="s">
        <v>36</v>
      </c>
      <c r="D586" s="94" t="s">
        <v>2309</v>
      </c>
      <c r="E586" s="94" t="s">
        <v>2310</v>
      </c>
      <c r="F586" s="95" t="s">
        <v>2311</v>
      </c>
      <c r="G586" s="96">
        <v>44811</v>
      </c>
      <c r="H586" s="97">
        <v>25635</v>
      </c>
      <c r="I586" s="94" t="s">
        <v>2312</v>
      </c>
      <c r="J586" s="100" t="s">
        <v>58</v>
      </c>
      <c r="K586" s="92">
        <v>958379786</v>
      </c>
      <c r="L586" s="91" t="s">
        <v>167</v>
      </c>
      <c r="M586" s="98">
        <f ca="1">(TODAY()-H586)/365</f>
        <v>55.8</v>
      </c>
      <c r="N586" s="99">
        <f>(G586-H586)/365</f>
        <v>52.536986301369865</v>
      </c>
      <c r="O586" s="98">
        <f ca="1">(TODAY()-G586)/365</f>
        <v>3.2630136986301368</v>
      </c>
      <c r="P586" s="91" t="s">
        <v>272</v>
      </c>
      <c r="Q586" s="91">
        <v>0</v>
      </c>
      <c r="R586" s="91">
        <v>0</v>
      </c>
      <c r="S586" s="91">
        <v>0</v>
      </c>
      <c r="T586" s="91"/>
      <c r="U586" s="91"/>
      <c r="V586" s="91"/>
      <c r="W586" s="91"/>
      <c r="X586" s="91"/>
      <c r="Y586" s="91"/>
      <c r="Z586" s="91"/>
      <c r="AA586" s="91"/>
      <c r="AB586" s="91"/>
      <c r="AC586" s="91"/>
      <c r="AD586" s="91"/>
      <c r="AE586" s="91"/>
      <c r="AF586" s="91"/>
      <c r="AG586" s="91"/>
      <c r="AH586" s="91"/>
      <c r="AI586" s="91"/>
      <c r="AJ586" s="91"/>
      <c r="AK586" s="91"/>
      <c r="AL586" s="91"/>
      <c r="AM586" s="91"/>
    </row>
    <row r="587" spans="1:39" ht="20.25" hidden="1" customHeight="1">
      <c r="A587" s="91"/>
      <c r="B587" s="93" t="s">
        <v>2235</v>
      </c>
      <c r="C587" s="91" t="s">
        <v>36</v>
      </c>
      <c r="D587" s="94" t="s">
        <v>2313</v>
      </c>
      <c r="E587" s="94" t="s">
        <v>2314</v>
      </c>
      <c r="F587" s="95" t="s">
        <v>2315</v>
      </c>
      <c r="G587" s="96">
        <v>45100</v>
      </c>
      <c r="H587" s="97">
        <v>21217</v>
      </c>
      <c r="I587" s="94" t="s">
        <v>2316</v>
      </c>
      <c r="J587" s="100" t="s">
        <v>58</v>
      </c>
      <c r="K587" s="92">
        <v>939639785</v>
      </c>
      <c r="L587" s="91" t="s">
        <v>60</v>
      </c>
      <c r="M587" s="98">
        <f ca="1">(TODAY()-H587)/365</f>
        <v>67.904109589041099</v>
      </c>
      <c r="N587" s="99">
        <f>(G587-H587)/365</f>
        <v>65.432876712328763</v>
      </c>
      <c r="O587" s="98">
        <f ca="1">(TODAY()-G587)/365</f>
        <v>2.4712328767123286</v>
      </c>
      <c r="P587" s="91" t="s">
        <v>272</v>
      </c>
      <c r="Q587" s="91">
        <v>0</v>
      </c>
      <c r="R587" s="91">
        <v>0</v>
      </c>
      <c r="S587" s="91">
        <v>0</v>
      </c>
      <c r="T587" s="91"/>
      <c r="U587" s="91"/>
      <c r="V587" s="91"/>
      <c r="W587" s="91"/>
      <c r="X587" s="91"/>
      <c r="Y587" s="91"/>
      <c r="Z587" s="91"/>
      <c r="AA587" s="91"/>
      <c r="AB587" s="91"/>
      <c r="AC587" s="91"/>
      <c r="AD587" s="91"/>
      <c r="AE587" s="91"/>
      <c r="AF587" s="91"/>
      <c r="AG587" s="91"/>
      <c r="AH587" s="91"/>
      <c r="AI587" s="91"/>
      <c r="AJ587" s="91"/>
      <c r="AK587" s="91"/>
      <c r="AL587" s="91"/>
      <c r="AM587" s="91"/>
    </row>
    <row r="588" spans="1:39" ht="20.25" hidden="1" customHeight="1">
      <c r="A588" s="91"/>
      <c r="B588" s="93" t="s">
        <v>2235</v>
      </c>
      <c r="C588" s="91" t="s">
        <v>36</v>
      </c>
      <c r="D588" s="94" t="s">
        <v>2317</v>
      </c>
      <c r="E588" s="94" t="s">
        <v>2318</v>
      </c>
      <c r="F588" s="95" t="s">
        <v>2319</v>
      </c>
      <c r="G588" s="96">
        <v>42739</v>
      </c>
      <c r="H588" s="97">
        <v>18319</v>
      </c>
      <c r="I588" s="94" t="s">
        <v>2301</v>
      </c>
      <c r="J588" s="100" t="s">
        <v>58</v>
      </c>
      <c r="K588" s="92">
        <v>985768450</v>
      </c>
      <c r="L588" s="91" t="s">
        <v>42</v>
      </c>
      <c r="M588" s="98">
        <f ca="1">(TODAY()-H588)/365</f>
        <v>75.843835616438355</v>
      </c>
      <c r="N588" s="99">
        <f>(G588-H588)/365</f>
        <v>66.904109589041099</v>
      </c>
      <c r="O588" s="98">
        <f ca="1">(TODAY()-G588)/365</f>
        <v>8.9397260273972599</v>
      </c>
      <c r="P588" s="91" t="s">
        <v>272</v>
      </c>
      <c r="Q588" s="91">
        <v>0</v>
      </c>
      <c r="R588" s="91">
        <v>0</v>
      </c>
      <c r="S588" s="91">
        <v>0</v>
      </c>
      <c r="T588" s="91"/>
      <c r="U588" s="91"/>
      <c r="V588" s="91"/>
      <c r="W588" s="91"/>
      <c r="X588" s="91"/>
      <c r="Y588" s="91"/>
      <c r="Z588" s="91"/>
      <c r="AA588" s="91"/>
      <c r="AB588" s="91"/>
      <c r="AC588" s="91"/>
      <c r="AD588" s="91"/>
      <c r="AE588" s="91"/>
      <c r="AF588" s="91"/>
      <c r="AG588" s="91"/>
      <c r="AH588" s="91"/>
      <c r="AI588" s="91"/>
      <c r="AJ588" s="91"/>
      <c r="AK588" s="91"/>
      <c r="AL588" s="91"/>
      <c r="AM588" s="91"/>
    </row>
    <row r="589" spans="1:39" ht="20.25" hidden="1" customHeight="1">
      <c r="A589" s="91"/>
      <c r="B589" s="93" t="s">
        <v>12263</v>
      </c>
      <c r="C589" s="91" t="s">
        <v>36</v>
      </c>
      <c r="D589" s="106" t="s">
        <v>4315</v>
      </c>
      <c r="E589" s="106" t="s">
        <v>11171</v>
      </c>
      <c r="F589" s="92" t="s">
        <v>11172</v>
      </c>
      <c r="G589" s="103">
        <v>36045</v>
      </c>
      <c r="H589" s="103">
        <v>23504</v>
      </c>
      <c r="I589" s="94" t="s">
        <v>58</v>
      </c>
      <c r="J589" s="100" t="s">
        <v>58</v>
      </c>
      <c r="K589" s="95" t="s">
        <v>58</v>
      </c>
      <c r="L589" s="91"/>
      <c r="M589" s="98">
        <f ca="1">(TODAY()-H589)/365</f>
        <v>61.638356164383559</v>
      </c>
      <c r="N589" s="99">
        <f>(G589-H589)/365</f>
        <v>34.358904109589041</v>
      </c>
      <c r="O589" s="98">
        <f ca="1">(TODAY()-G589)/365</f>
        <v>27.279452054794522</v>
      </c>
      <c r="P589" s="91" t="s">
        <v>43</v>
      </c>
      <c r="Q589" s="91"/>
      <c r="R589" s="91"/>
      <c r="S589" s="91"/>
      <c r="T589" s="91"/>
      <c r="U589" s="91"/>
      <c r="V589" s="91"/>
      <c r="W589" s="91"/>
      <c r="X589" s="91"/>
      <c r="Y589" s="91"/>
      <c r="Z589" s="91"/>
      <c r="AA589" s="91"/>
      <c r="AB589" s="91"/>
      <c r="AC589" s="91"/>
      <c r="AD589" s="91"/>
      <c r="AE589" s="91"/>
      <c r="AF589" s="91"/>
      <c r="AG589" s="91"/>
      <c r="AH589" s="91"/>
      <c r="AI589" s="91"/>
      <c r="AJ589" s="91"/>
      <c r="AK589" s="91"/>
      <c r="AL589" s="91"/>
      <c r="AM589" s="91"/>
    </row>
    <row r="590" spans="1:39" ht="20.25" hidden="1" customHeight="1">
      <c r="A590" s="91"/>
      <c r="B590" s="93" t="s">
        <v>12263</v>
      </c>
      <c r="C590" s="91" t="s">
        <v>36</v>
      </c>
      <c r="D590" s="106" t="s">
        <v>4623</v>
      </c>
      <c r="E590" s="106" t="s">
        <v>11173</v>
      </c>
      <c r="F590" s="92" t="s">
        <v>11174</v>
      </c>
      <c r="G590" s="103">
        <v>41250</v>
      </c>
      <c r="H590" s="103">
        <v>28595</v>
      </c>
      <c r="I590" s="94" t="s">
        <v>58</v>
      </c>
      <c r="J590" s="100" t="s">
        <v>58</v>
      </c>
      <c r="K590" s="95" t="s">
        <v>58</v>
      </c>
      <c r="L590" s="91"/>
      <c r="M590" s="98">
        <f ca="1">(TODAY()-H590)/365</f>
        <v>47.69041095890411</v>
      </c>
      <c r="N590" s="99">
        <f>(G590-H590)/365</f>
        <v>34.671232876712331</v>
      </c>
      <c r="O590" s="98">
        <f ca="1">(TODAY()-G590)/365</f>
        <v>13.019178082191781</v>
      </c>
      <c r="P590" s="91" t="s">
        <v>43</v>
      </c>
      <c r="Q590" s="91"/>
      <c r="R590" s="91"/>
      <c r="S590" s="91"/>
      <c r="T590" s="91"/>
      <c r="U590" s="91"/>
      <c r="V590" s="91"/>
      <c r="W590" s="91"/>
      <c r="X590" s="91"/>
      <c r="Y590" s="91"/>
      <c r="Z590" s="91"/>
      <c r="AA590" s="91"/>
      <c r="AB590" s="91"/>
      <c r="AC590" s="91"/>
      <c r="AD590" s="91"/>
      <c r="AE590" s="91"/>
      <c r="AF590" s="91"/>
      <c r="AG590" s="91"/>
      <c r="AH590" s="91"/>
      <c r="AI590" s="91"/>
      <c r="AJ590" s="91"/>
      <c r="AK590" s="91"/>
      <c r="AL590" s="91"/>
      <c r="AM590" s="91"/>
    </row>
    <row r="591" spans="1:39" ht="20.25" hidden="1" customHeight="1">
      <c r="A591" s="91"/>
      <c r="B591" s="93" t="s">
        <v>12263</v>
      </c>
      <c r="C591" s="91" t="s">
        <v>36</v>
      </c>
      <c r="D591" s="106" t="s">
        <v>11175</v>
      </c>
      <c r="E591" s="106" t="s">
        <v>11176</v>
      </c>
      <c r="F591" s="92" t="s">
        <v>11177</v>
      </c>
      <c r="G591" s="103">
        <v>43297</v>
      </c>
      <c r="H591" s="103">
        <v>21509</v>
      </c>
      <c r="I591" s="94" t="s">
        <v>58</v>
      </c>
      <c r="J591" s="100" t="s">
        <v>58</v>
      </c>
      <c r="K591" s="95" t="s">
        <v>58</v>
      </c>
      <c r="L591" s="91"/>
      <c r="M591" s="98">
        <f ca="1">(TODAY()-H591)/365</f>
        <v>67.104109589041101</v>
      </c>
      <c r="N591" s="99">
        <f>(G591-H591)/365</f>
        <v>59.69315068493151</v>
      </c>
      <c r="O591" s="98">
        <f ca="1">(TODAY()-G591)/365</f>
        <v>7.4109589041095889</v>
      </c>
      <c r="P591" s="91" t="s">
        <v>43</v>
      </c>
      <c r="Q591" s="91"/>
      <c r="R591" s="91"/>
      <c r="S591" s="91"/>
      <c r="T591" s="91"/>
      <c r="U591" s="91"/>
      <c r="V591" s="91"/>
      <c r="W591" s="91"/>
      <c r="X591" s="91"/>
      <c r="Y591" s="91"/>
      <c r="Z591" s="91"/>
      <c r="AA591" s="91"/>
      <c r="AB591" s="91"/>
      <c r="AC591" s="91"/>
      <c r="AD591" s="91"/>
      <c r="AE591" s="91"/>
      <c r="AF591" s="91"/>
      <c r="AG591" s="91"/>
      <c r="AH591" s="91"/>
      <c r="AI591" s="91"/>
      <c r="AJ591" s="91"/>
      <c r="AK591" s="91"/>
      <c r="AL591" s="91"/>
      <c r="AM591" s="91"/>
    </row>
    <row r="592" spans="1:39" ht="20.25" hidden="1" customHeight="1">
      <c r="A592" s="91"/>
      <c r="B592" s="93" t="s">
        <v>12263</v>
      </c>
      <c r="C592" s="91" t="s">
        <v>36</v>
      </c>
      <c r="D592" s="106" t="s">
        <v>11178</v>
      </c>
      <c r="E592" s="106" t="s">
        <v>11179</v>
      </c>
      <c r="F592" s="92" t="s">
        <v>11180</v>
      </c>
      <c r="G592" s="103">
        <v>45551</v>
      </c>
      <c r="H592" s="103">
        <v>38639</v>
      </c>
      <c r="I592" s="94" t="s">
        <v>58</v>
      </c>
      <c r="J592" s="100" t="s">
        <v>58</v>
      </c>
      <c r="K592" s="95" t="s">
        <v>58</v>
      </c>
      <c r="L592" s="91"/>
      <c r="M592" s="98">
        <f ca="1">(TODAY()-H592)/365</f>
        <v>20.172602739726027</v>
      </c>
      <c r="N592" s="99">
        <f>(G592-H592)/365</f>
        <v>18.936986301369863</v>
      </c>
      <c r="O592" s="98">
        <f ca="1">(TODAY()-G592)/365</f>
        <v>1.2356164383561643</v>
      </c>
      <c r="P592" s="91" t="s">
        <v>272</v>
      </c>
      <c r="Q592" s="91"/>
      <c r="R592" s="91"/>
      <c r="S592" s="91"/>
      <c r="T592" s="91"/>
      <c r="U592" s="91"/>
      <c r="V592" s="91"/>
      <c r="W592" s="91"/>
      <c r="X592" s="91"/>
      <c r="Y592" s="91"/>
      <c r="Z592" s="91"/>
      <c r="AA592" s="91"/>
      <c r="AB592" s="91"/>
      <c r="AC592" s="91"/>
      <c r="AD592" s="91"/>
      <c r="AE592" s="91"/>
      <c r="AF592" s="91"/>
      <c r="AG592" s="91"/>
      <c r="AH592" s="91"/>
      <c r="AI592" s="91"/>
      <c r="AJ592" s="91"/>
      <c r="AK592" s="91"/>
      <c r="AL592" s="91"/>
      <c r="AM592" s="91"/>
    </row>
    <row r="593" spans="1:39" ht="20.25" hidden="1" customHeight="1">
      <c r="A593" s="91"/>
      <c r="B593" s="93" t="s">
        <v>12263</v>
      </c>
      <c r="C593" s="91" t="s">
        <v>36</v>
      </c>
      <c r="D593" s="106" t="s">
        <v>2767</v>
      </c>
      <c r="E593" s="106" t="s">
        <v>11181</v>
      </c>
      <c r="F593" s="92" t="s">
        <v>11182</v>
      </c>
      <c r="G593" s="103">
        <v>39671</v>
      </c>
      <c r="H593" s="103">
        <v>32454</v>
      </c>
      <c r="I593" s="94" t="s">
        <v>58</v>
      </c>
      <c r="J593" s="100" t="s">
        <v>58</v>
      </c>
      <c r="K593" s="95" t="s">
        <v>58</v>
      </c>
      <c r="L593" s="91"/>
      <c r="M593" s="98">
        <f ca="1">(TODAY()-H593)/365</f>
        <v>37.11780821917808</v>
      </c>
      <c r="N593" s="99">
        <f>(G593-H593)/365</f>
        <v>19.772602739726029</v>
      </c>
      <c r="O593" s="98">
        <f ca="1">(TODAY()-G593)/365</f>
        <v>17.345205479452055</v>
      </c>
      <c r="P593" s="91" t="s">
        <v>43</v>
      </c>
      <c r="Q593" s="91"/>
      <c r="R593" s="91"/>
      <c r="S593" s="91"/>
      <c r="T593" s="91"/>
      <c r="U593" s="91"/>
      <c r="V593" s="91"/>
      <c r="W593" s="91"/>
      <c r="X593" s="91"/>
      <c r="Y593" s="91"/>
      <c r="Z593" s="91"/>
      <c r="AA593" s="91"/>
      <c r="AB593" s="91"/>
      <c r="AC593" s="91"/>
      <c r="AD593" s="91"/>
      <c r="AE593" s="91"/>
      <c r="AF593" s="91"/>
      <c r="AG593" s="91"/>
      <c r="AH593" s="91"/>
      <c r="AI593" s="91"/>
      <c r="AJ593" s="91"/>
      <c r="AK593" s="91"/>
      <c r="AL593" s="91"/>
      <c r="AM593" s="91"/>
    </row>
    <row r="594" spans="1:39" ht="20.25" hidden="1" customHeight="1">
      <c r="A594" s="91"/>
      <c r="B594" s="93" t="s">
        <v>12263</v>
      </c>
      <c r="C594" s="91" t="s">
        <v>36</v>
      </c>
      <c r="D594" s="106" t="s">
        <v>1349</v>
      </c>
      <c r="E594" s="106" t="s">
        <v>11183</v>
      </c>
      <c r="F594" s="92" t="s">
        <v>11184</v>
      </c>
      <c r="G594" s="103">
        <v>41643</v>
      </c>
      <c r="H594" s="103">
        <v>36728</v>
      </c>
      <c r="I594" s="94" t="s">
        <v>58</v>
      </c>
      <c r="J594" s="100" t="s">
        <v>58</v>
      </c>
      <c r="K594" s="95" t="s">
        <v>58</v>
      </c>
      <c r="L594" s="91"/>
      <c r="M594" s="98">
        <f ca="1">(TODAY()-H594)/365</f>
        <v>25.408219178082192</v>
      </c>
      <c r="N594" s="99">
        <f>(G594-H594)/365</f>
        <v>13.465753424657533</v>
      </c>
      <c r="O594" s="98">
        <f ca="1">(TODAY()-G594)/365</f>
        <v>11.942465753424658</v>
      </c>
      <c r="P594" s="91" t="s">
        <v>272</v>
      </c>
      <c r="Q594" s="91"/>
      <c r="R594" s="91"/>
      <c r="S594" s="91"/>
      <c r="T594" s="91"/>
      <c r="U594" s="91"/>
      <c r="V594" s="91"/>
      <c r="W594" s="91"/>
      <c r="X594" s="91"/>
      <c r="Y594" s="91"/>
      <c r="Z594" s="91"/>
      <c r="AA594" s="91"/>
      <c r="AB594" s="91"/>
      <c r="AC594" s="91"/>
      <c r="AD594" s="91"/>
      <c r="AE594" s="91"/>
      <c r="AF594" s="91"/>
      <c r="AG594" s="91"/>
      <c r="AH594" s="91"/>
      <c r="AI594" s="91"/>
      <c r="AJ594" s="91"/>
      <c r="AK594" s="91"/>
      <c r="AL594" s="91"/>
      <c r="AM594" s="91"/>
    </row>
    <row r="595" spans="1:39" ht="20.25" hidden="1" customHeight="1">
      <c r="A595" s="91"/>
      <c r="B595" s="93" t="s">
        <v>12263</v>
      </c>
      <c r="C595" s="91" t="s">
        <v>36</v>
      </c>
      <c r="D595" s="106" t="s">
        <v>416</v>
      </c>
      <c r="E595" s="106" t="s">
        <v>11183</v>
      </c>
      <c r="F595" s="92" t="s">
        <v>11185</v>
      </c>
      <c r="G595" s="103">
        <v>42373</v>
      </c>
      <c r="H595" s="103">
        <v>37470</v>
      </c>
      <c r="I595" s="94" t="s">
        <v>58</v>
      </c>
      <c r="J595" s="100" t="s">
        <v>58</v>
      </c>
      <c r="K595" s="95" t="s">
        <v>58</v>
      </c>
      <c r="L595" s="91"/>
      <c r="M595" s="98">
        <f ca="1">(TODAY()-H595)/365</f>
        <v>23.375342465753423</v>
      </c>
      <c r="N595" s="99">
        <f>(G595-H595)/365</f>
        <v>13.432876712328767</v>
      </c>
      <c r="O595" s="98">
        <f ca="1">(TODAY()-G595)/365</f>
        <v>9.9424657534246581</v>
      </c>
      <c r="P595" s="91" t="s">
        <v>43</v>
      </c>
      <c r="Q595" s="91"/>
      <c r="R595" s="91"/>
      <c r="S595" s="91"/>
      <c r="T595" s="91"/>
      <c r="U595" s="91"/>
      <c r="V595" s="91"/>
      <c r="W595" s="91"/>
      <c r="X595" s="91"/>
      <c r="Y595" s="91"/>
      <c r="Z595" s="91"/>
      <c r="AA595" s="91"/>
      <c r="AB595" s="91"/>
      <c r="AC595" s="91"/>
      <c r="AD595" s="91"/>
      <c r="AE595" s="91"/>
      <c r="AF595" s="91"/>
      <c r="AG595" s="91"/>
      <c r="AH595" s="91"/>
      <c r="AI595" s="91"/>
      <c r="AJ595" s="91"/>
      <c r="AK595" s="91"/>
      <c r="AL595" s="91"/>
      <c r="AM595" s="91"/>
    </row>
    <row r="596" spans="1:39" ht="20.25" hidden="1" customHeight="1">
      <c r="A596" s="91"/>
      <c r="B596" s="93" t="s">
        <v>12263</v>
      </c>
      <c r="C596" s="91" t="s">
        <v>36</v>
      </c>
      <c r="D596" s="106" t="s">
        <v>10932</v>
      </c>
      <c r="E596" s="106" t="s">
        <v>11186</v>
      </c>
      <c r="F596" s="92" t="s">
        <v>11187</v>
      </c>
      <c r="G596" s="103">
        <v>44421</v>
      </c>
      <c r="H596" s="103">
        <v>38356</v>
      </c>
      <c r="I596" s="94" t="s">
        <v>58</v>
      </c>
      <c r="J596" s="100" t="s">
        <v>58</v>
      </c>
      <c r="K596" s="95" t="s">
        <v>58</v>
      </c>
      <c r="L596" s="91"/>
      <c r="M596" s="98">
        <f ca="1">(TODAY()-H596)/365</f>
        <v>20.947945205479453</v>
      </c>
      <c r="N596" s="99">
        <f>(G596-H596)/365</f>
        <v>16.616438356164384</v>
      </c>
      <c r="O596" s="98">
        <f ca="1">(TODAY()-G596)/365</f>
        <v>4.3315068493150681</v>
      </c>
      <c r="P596" s="91" t="s">
        <v>272</v>
      </c>
      <c r="Q596" s="91"/>
      <c r="R596" s="91"/>
      <c r="S596" s="91"/>
      <c r="T596" s="91"/>
      <c r="U596" s="91"/>
      <c r="V596" s="91"/>
      <c r="W596" s="91"/>
      <c r="X596" s="91"/>
      <c r="Y596" s="91"/>
      <c r="Z596" s="91"/>
      <c r="AA596" s="91"/>
      <c r="AB596" s="91"/>
      <c r="AC596" s="91"/>
      <c r="AD596" s="91"/>
      <c r="AE596" s="91"/>
      <c r="AF596" s="91"/>
      <c r="AG596" s="91"/>
      <c r="AH596" s="91"/>
      <c r="AI596" s="91"/>
      <c r="AJ596" s="91"/>
      <c r="AK596" s="91"/>
      <c r="AL596" s="91"/>
      <c r="AM596" s="91"/>
    </row>
    <row r="597" spans="1:39" ht="20.25" hidden="1" customHeight="1">
      <c r="A597" s="91"/>
      <c r="B597" s="93" t="s">
        <v>12263</v>
      </c>
      <c r="C597" s="91" t="s">
        <v>36</v>
      </c>
      <c r="D597" s="106" t="s">
        <v>416</v>
      </c>
      <c r="E597" s="106" t="s">
        <v>11188</v>
      </c>
      <c r="F597" s="92" t="s">
        <v>11189</v>
      </c>
      <c r="G597" s="103">
        <v>45381</v>
      </c>
      <c r="H597" s="103">
        <v>22767</v>
      </c>
      <c r="I597" s="94" t="s">
        <v>58</v>
      </c>
      <c r="J597" s="100" t="s">
        <v>58</v>
      </c>
      <c r="K597" s="95" t="s">
        <v>58</v>
      </c>
      <c r="L597" s="91"/>
      <c r="M597" s="98">
        <f ca="1">(TODAY()-H597)/365</f>
        <v>63.657534246575345</v>
      </c>
      <c r="N597" s="99">
        <f>(G597-H597)/365</f>
        <v>61.956164383561642</v>
      </c>
      <c r="O597" s="98">
        <f ca="1">(TODAY()-G597)/365</f>
        <v>1.7013698630136986</v>
      </c>
      <c r="P597" s="91" t="s">
        <v>43</v>
      </c>
      <c r="Q597" s="91"/>
      <c r="R597" s="91"/>
      <c r="S597" s="91"/>
      <c r="T597" s="91"/>
      <c r="U597" s="91"/>
      <c r="V597" s="91"/>
      <c r="W597" s="91"/>
      <c r="X597" s="91"/>
      <c r="Y597" s="91"/>
      <c r="Z597" s="91"/>
      <c r="AA597" s="91"/>
      <c r="AB597" s="91"/>
      <c r="AC597" s="91"/>
      <c r="AD597" s="91"/>
      <c r="AE597" s="91"/>
      <c r="AF597" s="91"/>
      <c r="AG597" s="91"/>
      <c r="AH597" s="91"/>
      <c r="AI597" s="91"/>
      <c r="AJ597" s="91"/>
      <c r="AK597" s="91"/>
      <c r="AL597" s="91"/>
      <c r="AM597" s="91"/>
    </row>
    <row r="598" spans="1:39" ht="20.25" hidden="1" customHeight="1">
      <c r="A598" s="91"/>
      <c r="B598" s="93" t="s">
        <v>12263</v>
      </c>
      <c r="C598" s="91" t="s">
        <v>36</v>
      </c>
      <c r="D598" s="106" t="s">
        <v>11190</v>
      </c>
      <c r="E598" s="106" t="s">
        <v>11191</v>
      </c>
      <c r="F598" s="92" t="s">
        <v>11192</v>
      </c>
      <c r="G598" s="103">
        <v>45542</v>
      </c>
      <c r="H598" s="103">
        <v>39303</v>
      </c>
      <c r="I598" s="94" t="s">
        <v>58</v>
      </c>
      <c r="J598" s="100" t="s">
        <v>58</v>
      </c>
      <c r="K598" s="95" t="s">
        <v>58</v>
      </c>
      <c r="L598" s="91"/>
      <c r="M598" s="98">
        <f ca="1">(TODAY()-H598)/365</f>
        <v>18.353424657534248</v>
      </c>
      <c r="N598" s="99">
        <f>(G598-H598)/365</f>
        <v>17.093150684931508</v>
      </c>
      <c r="O598" s="98">
        <f ca="1">(TODAY()-G598)/365</f>
        <v>1.2602739726027397</v>
      </c>
      <c r="P598" s="91" t="s">
        <v>43</v>
      </c>
      <c r="Q598" s="91"/>
      <c r="R598" s="91"/>
      <c r="S598" s="91"/>
      <c r="T598" s="91"/>
      <c r="U598" s="91"/>
      <c r="V598" s="91"/>
      <c r="W598" s="91"/>
      <c r="X598" s="91"/>
      <c r="Y598" s="91"/>
      <c r="Z598" s="91"/>
      <c r="AA598" s="91"/>
      <c r="AB598" s="91"/>
      <c r="AC598" s="91"/>
      <c r="AD598" s="91"/>
      <c r="AE598" s="91"/>
      <c r="AF598" s="91"/>
      <c r="AG598" s="91"/>
      <c r="AH598" s="91"/>
      <c r="AI598" s="91"/>
      <c r="AJ598" s="91"/>
      <c r="AK598" s="91"/>
      <c r="AL598" s="91"/>
      <c r="AM598" s="91"/>
    </row>
    <row r="599" spans="1:39" ht="20.25" hidden="1" customHeight="1">
      <c r="A599" s="91"/>
      <c r="B599" s="93" t="s">
        <v>12263</v>
      </c>
      <c r="C599" s="91" t="s">
        <v>36</v>
      </c>
      <c r="D599" s="106" t="s">
        <v>11193</v>
      </c>
      <c r="E599" s="106" t="s">
        <v>11194</v>
      </c>
      <c r="F599" s="92" t="s">
        <v>11195</v>
      </c>
      <c r="G599" s="103">
        <v>45542</v>
      </c>
      <c r="H599" s="103">
        <v>39488</v>
      </c>
      <c r="I599" s="94" t="s">
        <v>58</v>
      </c>
      <c r="J599" s="100" t="s">
        <v>58</v>
      </c>
      <c r="K599" s="95" t="s">
        <v>58</v>
      </c>
      <c r="L599" s="91"/>
      <c r="M599" s="98">
        <f ca="1">(TODAY()-H599)/365</f>
        <v>17.846575342465755</v>
      </c>
      <c r="N599" s="99">
        <f>(G599-H599)/365</f>
        <v>16.586301369863012</v>
      </c>
      <c r="O599" s="98">
        <f ca="1">(TODAY()-G599)/365</f>
        <v>1.2602739726027397</v>
      </c>
      <c r="P599" s="91" t="s">
        <v>43</v>
      </c>
      <c r="Q599" s="91"/>
      <c r="R599" s="91"/>
      <c r="S599" s="91"/>
      <c r="T599" s="91"/>
      <c r="U599" s="91"/>
      <c r="V599" s="91"/>
      <c r="W599" s="91"/>
      <c r="X599" s="91"/>
      <c r="Y599" s="91"/>
      <c r="Z599" s="91"/>
      <c r="AA599" s="91"/>
      <c r="AB599" s="91"/>
      <c r="AC599" s="91"/>
      <c r="AD599" s="91"/>
      <c r="AE599" s="91"/>
      <c r="AF599" s="91"/>
      <c r="AG599" s="91"/>
      <c r="AH599" s="91"/>
      <c r="AI599" s="91"/>
      <c r="AJ599" s="91"/>
      <c r="AK599" s="91"/>
      <c r="AL599" s="91"/>
      <c r="AM599" s="91"/>
    </row>
    <row r="600" spans="1:39" ht="20.25" hidden="1" customHeight="1">
      <c r="A600" s="91"/>
      <c r="B600" s="93" t="s">
        <v>12263</v>
      </c>
      <c r="C600" s="91" t="s">
        <v>36</v>
      </c>
      <c r="D600" s="106" t="s">
        <v>11196</v>
      </c>
      <c r="E600" s="106" t="s">
        <v>11197</v>
      </c>
      <c r="F600" s="92" t="s">
        <v>11198</v>
      </c>
      <c r="G600" s="103">
        <v>45542</v>
      </c>
      <c r="H600" s="103">
        <v>30216</v>
      </c>
      <c r="I600" s="94" t="s">
        <v>58</v>
      </c>
      <c r="J600" s="100" t="s">
        <v>58</v>
      </c>
      <c r="K600" s="95" t="s">
        <v>58</v>
      </c>
      <c r="L600" s="91"/>
      <c r="M600" s="98">
        <f ca="1">(TODAY()-H600)/365</f>
        <v>43.249315068493154</v>
      </c>
      <c r="N600" s="99">
        <f>(G600-H600)/365</f>
        <v>41.989041095890414</v>
      </c>
      <c r="O600" s="98">
        <f ca="1">(TODAY()-G600)/365</f>
        <v>1.2602739726027397</v>
      </c>
      <c r="P600" s="91" t="s">
        <v>43</v>
      </c>
      <c r="Q600" s="91"/>
      <c r="R600" s="91"/>
      <c r="S600" s="91"/>
      <c r="T600" s="91"/>
      <c r="U600" s="91"/>
      <c r="V600" s="91"/>
      <c r="W600" s="91"/>
      <c r="X600" s="91"/>
      <c r="Y600" s="91"/>
      <c r="Z600" s="91"/>
      <c r="AA600" s="91"/>
      <c r="AB600" s="91"/>
      <c r="AC600" s="91"/>
      <c r="AD600" s="91"/>
      <c r="AE600" s="91"/>
      <c r="AF600" s="91"/>
      <c r="AG600" s="91"/>
      <c r="AH600" s="91"/>
      <c r="AI600" s="91"/>
      <c r="AJ600" s="91"/>
      <c r="AK600" s="91"/>
      <c r="AL600" s="91"/>
      <c r="AM600" s="91"/>
    </row>
    <row r="601" spans="1:39" ht="20.25" hidden="1" customHeight="1">
      <c r="A601" s="91"/>
      <c r="B601" s="93" t="s">
        <v>12263</v>
      </c>
      <c r="C601" s="91" t="s">
        <v>36</v>
      </c>
      <c r="D601" s="106" t="s">
        <v>9114</v>
      </c>
      <c r="E601" s="106" t="s">
        <v>11199</v>
      </c>
      <c r="F601" s="92" t="s">
        <v>11200</v>
      </c>
      <c r="G601" s="103">
        <v>43297</v>
      </c>
      <c r="H601" s="103">
        <v>36846</v>
      </c>
      <c r="I601" s="94" t="s">
        <v>58</v>
      </c>
      <c r="J601" s="100" t="s">
        <v>58</v>
      </c>
      <c r="K601" s="95" t="s">
        <v>58</v>
      </c>
      <c r="L601" s="91"/>
      <c r="M601" s="98">
        <f ca="1">(TODAY()-H601)/365</f>
        <v>25.084931506849315</v>
      </c>
      <c r="N601" s="99">
        <f>(G601-H601)/365</f>
        <v>17.673972602739727</v>
      </c>
      <c r="O601" s="98">
        <f ca="1">(TODAY()-G601)/365</f>
        <v>7.4109589041095889</v>
      </c>
      <c r="P601" s="91" t="s">
        <v>43</v>
      </c>
      <c r="Q601" s="91"/>
      <c r="R601" s="91"/>
      <c r="S601" s="91"/>
      <c r="T601" s="91"/>
      <c r="U601" s="91"/>
      <c r="V601" s="91"/>
      <c r="W601" s="91"/>
      <c r="X601" s="91"/>
      <c r="Y601" s="91"/>
      <c r="Z601" s="91"/>
      <c r="AA601" s="91"/>
      <c r="AB601" s="91"/>
      <c r="AC601" s="91"/>
      <c r="AD601" s="91"/>
      <c r="AE601" s="91"/>
      <c r="AF601" s="91"/>
      <c r="AG601" s="91"/>
      <c r="AH601" s="91"/>
      <c r="AI601" s="91"/>
      <c r="AJ601" s="91"/>
      <c r="AK601" s="91"/>
      <c r="AL601" s="91"/>
      <c r="AM601" s="91"/>
    </row>
    <row r="602" spans="1:39" ht="20.25" hidden="1" customHeight="1">
      <c r="A602" s="91"/>
      <c r="B602" s="93" t="s">
        <v>12263</v>
      </c>
      <c r="C602" s="91" t="s">
        <v>36</v>
      </c>
      <c r="D602" s="106" t="s">
        <v>11201</v>
      </c>
      <c r="E602" s="106" t="s">
        <v>11202</v>
      </c>
      <c r="F602" s="92" t="s">
        <v>11203</v>
      </c>
      <c r="G602" s="103">
        <v>34735</v>
      </c>
      <c r="H602" s="103">
        <v>23819</v>
      </c>
      <c r="I602" s="94" t="s">
        <v>58</v>
      </c>
      <c r="J602" s="100" t="s">
        <v>58</v>
      </c>
      <c r="K602" s="95" t="s">
        <v>58</v>
      </c>
      <c r="L602" s="91"/>
      <c r="M602" s="98">
        <f ca="1">(TODAY()-H602)/365</f>
        <v>60.775342465753425</v>
      </c>
      <c r="N602" s="99">
        <f>(G602-H602)/365</f>
        <v>29.906849315068492</v>
      </c>
      <c r="O602" s="98">
        <f ca="1">(TODAY()-G602)/365</f>
        <v>30.86849315068493</v>
      </c>
      <c r="P602" s="91" t="s">
        <v>43</v>
      </c>
      <c r="Q602" s="91"/>
      <c r="R602" s="91"/>
      <c r="S602" s="91"/>
      <c r="T602" s="91"/>
      <c r="U602" s="91"/>
      <c r="V602" s="91"/>
      <c r="W602" s="91"/>
      <c r="X602" s="91"/>
      <c r="Y602" s="91"/>
      <c r="Z602" s="91"/>
      <c r="AA602" s="91"/>
      <c r="AB602" s="91"/>
      <c r="AC602" s="91"/>
      <c r="AD602" s="91"/>
      <c r="AE602" s="91"/>
      <c r="AF602" s="91"/>
      <c r="AG602" s="91"/>
      <c r="AH602" s="91"/>
      <c r="AI602" s="91"/>
      <c r="AJ602" s="91"/>
      <c r="AK602" s="91"/>
      <c r="AL602" s="91"/>
      <c r="AM602" s="91"/>
    </row>
    <row r="603" spans="1:39" ht="20.25" customHeight="1">
      <c r="A603" s="91"/>
      <c r="B603" s="93" t="s">
        <v>2419</v>
      </c>
      <c r="C603" s="91" t="s">
        <v>73</v>
      </c>
      <c r="D603" s="94" t="s">
        <v>2455</v>
      </c>
      <c r="E603" s="94" t="s">
        <v>2456</v>
      </c>
      <c r="F603" s="95" t="s">
        <v>2457</v>
      </c>
      <c r="G603" s="96">
        <v>45383</v>
      </c>
      <c r="H603" s="97">
        <v>32444</v>
      </c>
      <c r="I603" s="108" t="s">
        <v>12340</v>
      </c>
      <c r="J603" s="94" t="s">
        <v>58</v>
      </c>
      <c r="K603" s="95" t="s">
        <v>58</v>
      </c>
      <c r="L603" s="91" t="s">
        <v>60</v>
      </c>
      <c r="M603" s="98">
        <f ca="1">(TODAY()-H603)/365</f>
        <v>37.145205479452052</v>
      </c>
      <c r="N603" s="99">
        <f>(G603-H603)/365</f>
        <v>35.449315068493149</v>
      </c>
      <c r="O603" s="98">
        <f ca="1">(TODAY()-G603)/365</f>
        <v>1.6958904109589041</v>
      </c>
      <c r="P603" s="91" t="s">
        <v>43</v>
      </c>
      <c r="Q603" s="91">
        <v>0</v>
      </c>
      <c r="R603" s="91">
        <v>0</v>
      </c>
      <c r="S603" s="91">
        <v>0</v>
      </c>
      <c r="T603" s="91"/>
      <c r="U603" s="91"/>
      <c r="V603" s="91"/>
      <c r="W603" s="91"/>
      <c r="X603" s="91"/>
      <c r="Y603" s="91"/>
      <c r="Z603" s="91"/>
      <c r="AA603" s="91"/>
      <c r="AB603" s="91"/>
      <c r="AC603" s="91"/>
      <c r="AD603" s="91"/>
      <c r="AE603" s="91"/>
      <c r="AF603" s="91"/>
      <c r="AG603" s="91"/>
      <c r="AH603" s="91"/>
      <c r="AI603" s="91"/>
      <c r="AJ603" s="91"/>
      <c r="AK603" s="91"/>
      <c r="AL603" s="91"/>
      <c r="AM603" s="91"/>
    </row>
    <row r="604" spans="1:39" ht="20.25" customHeight="1">
      <c r="A604" s="91"/>
      <c r="B604" s="93" t="s">
        <v>2235</v>
      </c>
      <c r="C604" s="91" t="s">
        <v>73</v>
      </c>
      <c r="D604" s="94" t="s">
        <v>2248</v>
      </c>
      <c r="E604" s="94" t="s">
        <v>2249</v>
      </c>
      <c r="F604" s="95" t="s">
        <v>2250</v>
      </c>
      <c r="G604" s="96">
        <v>35509</v>
      </c>
      <c r="H604" s="97">
        <v>28735</v>
      </c>
      <c r="I604" s="94" t="s">
        <v>2251</v>
      </c>
      <c r="J604" s="100" t="s">
        <v>58</v>
      </c>
      <c r="K604" s="91" t="s">
        <v>58</v>
      </c>
      <c r="L604" s="91" t="s">
        <v>60</v>
      </c>
      <c r="M604" s="98">
        <f ca="1">(TODAY()-H604)/365</f>
        <v>47.30684931506849</v>
      </c>
      <c r="N604" s="99">
        <f>(G604-H604)/365</f>
        <v>18.55890410958904</v>
      </c>
      <c r="O604" s="98">
        <f ca="1">(TODAY()-G604)/365</f>
        <v>28.747945205479454</v>
      </c>
      <c r="P604" s="91" t="s">
        <v>43</v>
      </c>
      <c r="Q604" s="91">
        <v>0</v>
      </c>
      <c r="R604" s="91">
        <v>0</v>
      </c>
      <c r="S604" s="91">
        <v>0</v>
      </c>
      <c r="T604" s="91"/>
      <c r="U604" s="91"/>
      <c r="V604" s="91"/>
      <c r="W604" s="91"/>
      <c r="X604" s="91"/>
      <c r="Y604" s="91"/>
      <c r="Z604" s="91"/>
      <c r="AA604" s="91"/>
      <c r="AB604" s="91"/>
      <c r="AC604" s="91"/>
      <c r="AD604" s="91"/>
      <c r="AE604" s="91"/>
      <c r="AF604" s="91"/>
      <c r="AG604" s="91"/>
      <c r="AH604" s="91"/>
      <c r="AI604" s="91"/>
      <c r="AJ604" s="91"/>
      <c r="AK604" s="91"/>
      <c r="AL604" s="91"/>
      <c r="AM604" s="91"/>
    </row>
    <row r="605" spans="1:39" ht="20.25" customHeight="1">
      <c r="A605" s="91"/>
      <c r="B605" s="93" t="s">
        <v>5023</v>
      </c>
      <c r="C605" s="91" t="s">
        <v>73</v>
      </c>
      <c r="D605" s="107" t="s">
        <v>3692</v>
      </c>
      <c r="E605" s="107" t="s">
        <v>5038</v>
      </c>
      <c r="F605" s="91" t="s">
        <v>5039</v>
      </c>
      <c r="G605" s="96">
        <v>40591</v>
      </c>
      <c r="H605" s="97">
        <v>34618</v>
      </c>
      <c r="I605" s="100" t="s">
        <v>5040</v>
      </c>
      <c r="J605" s="94" t="s">
        <v>58</v>
      </c>
      <c r="K605" s="95" t="s">
        <v>58</v>
      </c>
      <c r="L605" s="91" t="s">
        <v>60</v>
      </c>
      <c r="M605" s="98">
        <f ca="1">(TODAY()-H605)/365</f>
        <v>31.18904109589041</v>
      </c>
      <c r="N605" s="99">
        <f>(G605-H605)/365</f>
        <v>16.364383561643837</v>
      </c>
      <c r="O605" s="98">
        <f ca="1">(TODAY()-G605)/365</f>
        <v>14.824657534246576</v>
      </c>
      <c r="P605" s="91" t="s">
        <v>43</v>
      </c>
      <c r="Q605" s="91">
        <v>0</v>
      </c>
      <c r="R605" s="91">
        <v>0</v>
      </c>
      <c r="S605" s="91">
        <v>0</v>
      </c>
      <c r="T605" s="91"/>
      <c r="U605" s="91"/>
      <c r="V605" s="91"/>
      <c r="W605" s="91"/>
      <c r="X605" s="91"/>
      <c r="Y605" s="91"/>
      <c r="Z605" s="91"/>
      <c r="AA605" s="91"/>
      <c r="AB605" s="91"/>
      <c r="AC605" s="91"/>
      <c r="AD605" s="91"/>
      <c r="AE605" s="91"/>
      <c r="AF605" s="91"/>
      <c r="AG605" s="91"/>
      <c r="AH605" s="91"/>
      <c r="AI605" s="91"/>
      <c r="AJ605" s="91"/>
      <c r="AK605" s="91"/>
      <c r="AL605" s="91"/>
      <c r="AM605" s="91"/>
    </row>
    <row r="606" spans="1:39" ht="20.25" customHeight="1">
      <c r="A606" s="91"/>
      <c r="B606" s="93" t="s">
        <v>8630</v>
      </c>
      <c r="C606" s="91" t="s">
        <v>73</v>
      </c>
      <c r="D606" s="94" t="s">
        <v>875</v>
      </c>
      <c r="E606" s="94" t="s">
        <v>8698</v>
      </c>
      <c r="F606" s="95" t="s">
        <v>8699</v>
      </c>
      <c r="G606" s="96">
        <v>39663</v>
      </c>
      <c r="H606" s="97">
        <v>17289</v>
      </c>
      <c r="I606" s="94" t="s">
        <v>58</v>
      </c>
      <c r="J606" s="94" t="s">
        <v>58</v>
      </c>
      <c r="K606" s="95" t="s">
        <v>58</v>
      </c>
      <c r="L606" s="91" t="s">
        <v>66</v>
      </c>
      <c r="M606" s="98">
        <f ca="1">(TODAY()-H606)/365</f>
        <v>78.665753424657538</v>
      </c>
      <c r="N606" s="99">
        <f>(G606-H606)/365</f>
        <v>61.298630136986304</v>
      </c>
      <c r="O606" s="98">
        <f ca="1">(TODAY()-G606)/365</f>
        <v>17.367123287671234</v>
      </c>
      <c r="P606" s="91" t="s">
        <v>43</v>
      </c>
      <c r="Q606" s="91">
        <v>0</v>
      </c>
      <c r="R606" s="91">
        <v>0</v>
      </c>
      <c r="S606" s="91">
        <v>0</v>
      </c>
      <c r="T606" s="91"/>
      <c r="U606" s="91"/>
      <c r="V606" s="91"/>
      <c r="W606" s="91"/>
      <c r="X606" s="91"/>
      <c r="Y606" s="91"/>
      <c r="Z606" s="91"/>
      <c r="AA606" s="91"/>
      <c r="AB606" s="91"/>
      <c r="AC606" s="91"/>
      <c r="AD606" s="91"/>
      <c r="AE606" s="91"/>
      <c r="AF606" s="91"/>
      <c r="AG606" s="91"/>
      <c r="AH606" s="91"/>
      <c r="AI606" s="91"/>
      <c r="AJ606" s="91"/>
      <c r="AK606" s="91"/>
      <c r="AL606" s="91"/>
      <c r="AM606" s="91"/>
    </row>
    <row r="607" spans="1:39" ht="20.25" customHeight="1">
      <c r="A607" s="91"/>
      <c r="B607" s="93" t="s">
        <v>2419</v>
      </c>
      <c r="C607" s="91" t="s">
        <v>73</v>
      </c>
      <c r="D607" s="94" t="s">
        <v>2429</v>
      </c>
      <c r="E607" s="94" t="s">
        <v>2430</v>
      </c>
      <c r="F607" s="95" t="s">
        <v>2431</v>
      </c>
      <c r="G607" s="96">
        <v>41640</v>
      </c>
      <c r="H607" s="97">
        <v>36119</v>
      </c>
      <c r="I607" s="108" t="s">
        <v>12332</v>
      </c>
      <c r="J607" s="94" t="s">
        <v>58</v>
      </c>
      <c r="K607" s="95" t="s">
        <v>58</v>
      </c>
      <c r="L607" s="91" t="s">
        <v>60</v>
      </c>
      <c r="M607" s="98">
        <f ca="1">(TODAY()-H607)/365</f>
        <v>27.076712328767123</v>
      </c>
      <c r="N607" s="99">
        <f>(G607-H607)/365</f>
        <v>15.126027397260273</v>
      </c>
      <c r="O607" s="98">
        <f ca="1">(TODAY()-G607)/365</f>
        <v>11.950684931506849</v>
      </c>
      <c r="P607" s="91" t="s">
        <v>43</v>
      </c>
      <c r="Q607" s="91">
        <v>0</v>
      </c>
      <c r="R607" s="91">
        <v>0</v>
      </c>
      <c r="S607" s="91">
        <v>0</v>
      </c>
      <c r="T607" s="91"/>
      <c r="U607" s="91"/>
      <c r="V607" s="91"/>
      <c r="W607" s="91"/>
      <c r="X607" s="91"/>
      <c r="Y607" s="91"/>
      <c r="Z607" s="91"/>
      <c r="AA607" s="91"/>
      <c r="AB607" s="91"/>
      <c r="AC607" s="91"/>
      <c r="AD607" s="91"/>
      <c r="AE607" s="91"/>
      <c r="AF607" s="91"/>
      <c r="AG607" s="91"/>
      <c r="AH607" s="91"/>
      <c r="AI607" s="91"/>
      <c r="AJ607" s="91"/>
      <c r="AK607" s="91"/>
      <c r="AL607" s="91"/>
      <c r="AM607" s="91"/>
    </row>
    <row r="608" spans="1:39" ht="20.25" customHeight="1">
      <c r="A608" s="91"/>
      <c r="B608" s="93" t="s">
        <v>2320</v>
      </c>
      <c r="C608" s="91" t="s">
        <v>73</v>
      </c>
      <c r="D608" s="94" t="s">
        <v>2411</v>
      </c>
      <c r="E608" s="94" t="s">
        <v>2412</v>
      </c>
      <c r="F608" s="95" t="s">
        <v>2413</v>
      </c>
      <c r="G608" s="96">
        <v>45276</v>
      </c>
      <c r="H608" s="97">
        <v>22579</v>
      </c>
      <c r="I608" s="100" t="s">
        <v>2414</v>
      </c>
      <c r="J608" s="94" t="s">
        <v>58</v>
      </c>
      <c r="K608" s="95">
        <v>94173536</v>
      </c>
      <c r="L608" s="91" t="s">
        <v>60</v>
      </c>
      <c r="M608" s="98">
        <f ca="1">(TODAY()-H608)/365</f>
        <v>64.172602739726031</v>
      </c>
      <c r="N608" s="99">
        <f>(G608-H608)/365</f>
        <v>62.183561643835617</v>
      </c>
      <c r="O608" s="98">
        <f ca="1">(TODAY()-G608)/365</f>
        <v>1.989041095890411</v>
      </c>
      <c r="P608" s="91" t="s">
        <v>43</v>
      </c>
      <c r="Q608" s="91">
        <v>0</v>
      </c>
      <c r="R608" s="91">
        <v>0</v>
      </c>
      <c r="S608" s="91">
        <v>0</v>
      </c>
      <c r="T608" s="91"/>
      <c r="U608" s="91"/>
      <c r="V608" s="91"/>
      <c r="W608" s="91"/>
      <c r="X608" s="91"/>
      <c r="Y608" s="91"/>
      <c r="Z608" s="91"/>
      <c r="AA608" s="91"/>
      <c r="AB608" s="91"/>
      <c r="AC608" s="91"/>
      <c r="AD608" s="91"/>
      <c r="AE608" s="91"/>
      <c r="AF608" s="91"/>
      <c r="AG608" s="91"/>
      <c r="AH608" s="91"/>
      <c r="AI608" s="91"/>
      <c r="AJ608" s="91"/>
      <c r="AK608" s="91"/>
      <c r="AL608" s="91"/>
      <c r="AM608" s="91"/>
    </row>
    <row r="609" spans="1:39" ht="20.25" customHeight="1">
      <c r="A609" s="91"/>
      <c r="B609" s="93" t="s">
        <v>738</v>
      </c>
      <c r="C609" s="91" t="s">
        <v>73</v>
      </c>
      <c r="D609" s="94" t="s">
        <v>666</v>
      </c>
      <c r="E609" s="94" t="s">
        <v>854</v>
      </c>
      <c r="F609" s="95" t="s">
        <v>855</v>
      </c>
      <c r="G609" s="96">
        <v>44467</v>
      </c>
      <c r="H609" s="97">
        <v>25364</v>
      </c>
      <c r="I609" s="94" t="s">
        <v>856</v>
      </c>
      <c r="J609" s="100" t="s">
        <v>58</v>
      </c>
      <c r="K609" s="91" t="s">
        <v>58</v>
      </c>
      <c r="L609" s="91" t="s">
        <v>60</v>
      </c>
      <c r="M609" s="98">
        <f ca="1">(TODAY()-H609)/365</f>
        <v>56.542465753424658</v>
      </c>
      <c r="N609" s="99">
        <f>(G609-H609)/365</f>
        <v>52.336986301369862</v>
      </c>
      <c r="O609" s="98">
        <f ca="1">(TODAY()-G609)/365</f>
        <v>4.2054794520547949</v>
      </c>
      <c r="P609" s="91" t="s">
        <v>43</v>
      </c>
      <c r="Q609" s="91">
        <v>0</v>
      </c>
      <c r="R609" s="91">
        <v>0</v>
      </c>
      <c r="S609" s="91">
        <v>0</v>
      </c>
      <c r="T609" s="91"/>
      <c r="U609" s="91"/>
      <c r="V609" s="91"/>
      <c r="W609" s="91"/>
      <c r="X609" s="91"/>
      <c r="Y609" s="91"/>
      <c r="Z609" s="91"/>
      <c r="AA609" s="91"/>
      <c r="AB609" s="91"/>
      <c r="AC609" s="91"/>
      <c r="AD609" s="91"/>
      <c r="AE609" s="91"/>
      <c r="AF609" s="91"/>
      <c r="AG609" s="91"/>
      <c r="AH609" s="91"/>
      <c r="AI609" s="91"/>
      <c r="AJ609" s="91"/>
      <c r="AK609" s="91"/>
      <c r="AL609" s="91"/>
      <c r="AM609" s="91"/>
    </row>
    <row r="610" spans="1:39" ht="20.25" customHeight="1">
      <c r="A610" s="128"/>
      <c r="B610" s="93" t="s">
        <v>11240</v>
      </c>
      <c r="C610" s="91" t="s">
        <v>73</v>
      </c>
      <c r="D610" s="106" t="s">
        <v>249</v>
      </c>
      <c r="E610" s="106" t="s">
        <v>11266</v>
      </c>
      <c r="F610" s="92" t="s">
        <v>11267</v>
      </c>
      <c r="G610" s="103">
        <v>44927</v>
      </c>
      <c r="H610" s="103">
        <v>23908</v>
      </c>
      <c r="I610" s="94" t="s">
        <v>58</v>
      </c>
      <c r="J610" s="100" t="s">
        <v>58</v>
      </c>
      <c r="K610" s="95" t="s">
        <v>58</v>
      </c>
      <c r="L610" s="91"/>
      <c r="M610" s="98">
        <f ca="1">(TODAY()-H610)/365</f>
        <v>60.531506849315072</v>
      </c>
      <c r="N610" s="99">
        <f>(G610-H610)/365</f>
        <v>57.586301369863016</v>
      </c>
      <c r="O610" s="98">
        <f ca="1">(TODAY()-G610)/365</f>
        <v>2.9452054794520546</v>
      </c>
      <c r="P610" s="91" t="s">
        <v>272</v>
      </c>
      <c r="Q610" s="91"/>
      <c r="R610" s="91"/>
      <c r="S610" s="91"/>
      <c r="T610" s="91"/>
      <c r="U610" s="91"/>
      <c r="V610" s="91"/>
      <c r="W610" s="91"/>
      <c r="X610" s="91"/>
      <c r="Y610" s="91"/>
      <c r="Z610" s="91"/>
      <c r="AA610" s="91"/>
      <c r="AB610" s="91"/>
      <c r="AC610" s="91"/>
      <c r="AD610" s="91"/>
      <c r="AE610" s="91"/>
      <c r="AF610" s="91"/>
      <c r="AG610" s="91"/>
      <c r="AH610" s="91"/>
      <c r="AI610" s="91"/>
      <c r="AJ610" s="91"/>
      <c r="AK610" s="91"/>
      <c r="AL610" s="91"/>
      <c r="AM610" s="91"/>
    </row>
    <row r="611" spans="1:39" ht="20.25" customHeight="1">
      <c r="A611" s="91"/>
      <c r="B611" s="93" t="s">
        <v>371</v>
      </c>
      <c r="C611" s="91" t="s">
        <v>73</v>
      </c>
      <c r="D611" s="94" t="s">
        <v>525</v>
      </c>
      <c r="E611" s="94" t="s">
        <v>526</v>
      </c>
      <c r="F611" s="95" t="s">
        <v>527</v>
      </c>
      <c r="G611" s="96">
        <v>45644</v>
      </c>
      <c r="H611" s="96" t="s">
        <v>58</v>
      </c>
      <c r="I611" s="100" t="s">
        <v>528</v>
      </c>
      <c r="J611" s="100" t="s">
        <v>58</v>
      </c>
      <c r="K611" s="91" t="s">
        <v>58</v>
      </c>
      <c r="L611" s="91" t="s">
        <v>60</v>
      </c>
      <c r="M611" s="98">
        <v>0</v>
      </c>
      <c r="N611" s="91"/>
      <c r="O611" s="98">
        <f ca="1">(TODAY()-G611)/365</f>
        <v>0.98082191780821915</v>
      </c>
      <c r="P611" s="91" t="s">
        <v>43</v>
      </c>
      <c r="Q611" s="91">
        <v>0</v>
      </c>
      <c r="R611" s="91">
        <v>0</v>
      </c>
      <c r="S611" s="91">
        <v>0</v>
      </c>
      <c r="T611" s="91"/>
      <c r="U611" s="91"/>
      <c r="V611" s="91"/>
      <c r="W611" s="91"/>
      <c r="X611" s="91"/>
      <c r="Y611" s="91"/>
      <c r="Z611" s="91"/>
      <c r="AA611" s="91"/>
      <c r="AB611" s="91"/>
      <c r="AC611" s="91"/>
      <c r="AD611" s="91"/>
      <c r="AE611" s="91"/>
      <c r="AF611" s="91"/>
      <c r="AG611" s="91"/>
      <c r="AH611" s="91"/>
      <c r="AI611" s="91"/>
      <c r="AJ611" s="91"/>
      <c r="AK611" s="91"/>
      <c r="AL611" s="91"/>
      <c r="AM611" s="91"/>
    </row>
    <row r="612" spans="1:39" ht="20.25" hidden="1" customHeight="1">
      <c r="A612" s="91"/>
      <c r="B612" s="93" t="s">
        <v>2320</v>
      </c>
      <c r="C612" s="91" t="s">
        <v>36</v>
      </c>
      <c r="D612" s="94" t="s">
        <v>2321</v>
      </c>
      <c r="E612" s="94" t="s">
        <v>2322</v>
      </c>
      <c r="F612" s="95" t="s">
        <v>2323</v>
      </c>
      <c r="G612" s="96">
        <v>44716</v>
      </c>
      <c r="H612" s="97">
        <v>39899</v>
      </c>
      <c r="I612" s="105" t="s">
        <v>12326</v>
      </c>
      <c r="J612" s="94" t="s">
        <v>58</v>
      </c>
      <c r="K612" s="95">
        <v>99230613</v>
      </c>
      <c r="L612" s="91" t="s">
        <v>60</v>
      </c>
      <c r="M612" s="98">
        <f ca="1">(TODAY()-H612)/365</f>
        <v>16.720547945205478</v>
      </c>
      <c r="N612" s="99">
        <f>(G612-H612)/365</f>
        <v>13.197260273972603</v>
      </c>
      <c r="O612" s="98">
        <f ca="1">(TODAY()-G612)/365</f>
        <v>3.5232876712328767</v>
      </c>
      <c r="P612" s="91" t="s">
        <v>43</v>
      </c>
      <c r="Q612" s="91">
        <v>0</v>
      </c>
      <c r="R612" s="91">
        <v>0</v>
      </c>
      <c r="S612" s="91">
        <v>0</v>
      </c>
      <c r="T612" s="91"/>
      <c r="U612" s="91"/>
      <c r="V612" s="91"/>
      <c r="W612" s="91"/>
      <c r="X612" s="91"/>
      <c r="Y612" s="91"/>
      <c r="Z612" s="91"/>
      <c r="AA612" s="91"/>
      <c r="AB612" s="91"/>
      <c r="AC612" s="91"/>
      <c r="AD612" s="91"/>
      <c r="AE612" s="91"/>
      <c r="AF612" s="91"/>
      <c r="AG612" s="91"/>
      <c r="AH612" s="91"/>
      <c r="AI612" s="91"/>
      <c r="AJ612" s="91"/>
      <c r="AK612" s="91"/>
      <c r="AL612" s="91"/>
      <c r="AM612" s="91"/>
    </row>
    <row r="613" spans="1:39" ht="20.25" customHeight="1">
      <c r="A613" s="91"/>
      <c r="B613" s="93" t="s">
        <v>7270</v>
      </c>
      <c r="C613" s="91" t="s">
        <v>73</v>
      </c>
      <c r="D613" s="94" t="s">
        <v>7320</v>
      </c>
      <c r="E613" s="94" t="s">
        <v>7321</v>
      </c>
      <c r="F613" s="95" t="s">
        <v>7322</v>
      </c>
      <c r="G613" s="96">
        <v>39535</v>
      </c>
      <c r="H613" s="97">
        <v>20486</v>
      </c>
      <c r="I613" s="100" t="s">
        <v>58</v>
      </c>
      <c r="J613" s="100" t="s">
        <v>58</v>
      </c>
      <c r="K613" s="91" t="s">
        <v>58</v>
      </c>
      <c r="L613" s="91" t="s">
        <v>60</v>
      </c>
      <c r="M613" s="98">
        <f ca="1">(TODAY()-H613)/365</f>
        <v>69.906849315068499</v>
      </c>
      <c r="N613" s="99">
        <f>(G613-H613)/365</f>
        <v>52.18904109589041</v>
      </c>
      <c r="O613" s="98">
        <f ca="1">(TODAY()-G613)/365</f>
        <v>17.717808219178082</v>
      </c>
      <c r="P613" s="91" t="s">
        <v>272</v>
      </c>
      <c r="Q613" s="91">
        <v>0</v>
      </c>
      <c r="R613" s="91">
        <v>0</v>
      </c>
      <c r="S613" s="91">
        <v>0</v>
      </c>
      <c r="T613" s="91"/>
      <c r="U613" s="91"/>
      <c r="V613" s="91"/>
      <c r="W613" s="91"/>
      <c r="X613" s="91"/>
      <c r="Y613" s="91"/>
      <c r="Z613" s="91"/>
      <c r="AA613" s="91"/>
      <c r="AB613" s="91"/>
      <c r="AC613" s="91"/>
      <c r="AD613" s="91"/>
      <c r="AE613" s="91"/>
      <c r="AF613" s="91"/>
      <c r="AG613" s="91"/>
      <c r="AH613" s="91"/>
      <c r="AI613" s="91"/>
      <c r="AJ613" s="91"/>
      <c r="AK613" s="91"/>
      <c r="AL613" s="91"/>
      <c r="AM613" s="91"/>
    </row>
    <row r="614" spans="1:39" ht="20.25" customHeight="1">
      <c r="A614" s="91"/>
      <c r="B614" s="93" t="s">
        <v>5023</v>
      </c>
      <c r="C614" s="91" t="s">
        <v>73</v>
      </c>
      <c r="D614" s="107" t="s">
        <v>5051</v>
      </c>
      <c r="E614" s="107" t="s">
        <v>5052</v>
      </c>
      <c r="F614" s="91" t="s">
        <v>5053</v>
      </c>
      <c r="G614" s="96">
        <v>39624</v>
      </c>
      <c r="H614" s="97">
        <v>33194</v>
      </c>
      <c r="I614" s="100" t="s">
        <v>5054</v>
      </c>
      <c r="J614" s="94" t="s">
        <v>58</v>
      </c>
      <c r="K614" s="95" t="s">
        <v>58</v>
      </c>
      <c r="L614" s="91" t="s">
        <v>60</v>
      </c>
      <c r="M614" s="98">
        <f ca="1">(TODAY()-H614)/365</f>
        <v>35.090410958904108</v>
      </c>
      <c r="N614" s="99">
        <f>(G614-H614)/365</f>
        <v>17.616438356164384</v>
      </c>
      <c r="O614" s="98">
        <f ca="1">(TODAY()-G614)/365</f>
        <v>17.473972602739725</v>
      </c>
      <c r="P614" s="91" t="s">
        <v>43</v>
      </c>
      <c r="Q614" s="91">
        <v>0</v>
      </c>
      <c r="R614" s="91">
        <v>0</v>
      </c>
      <c r="S614" s="91">
        <v>0</v>
      </c>
      <c r="T614" s="91"/>
      <c r="U614" s="91"/>
      <c r="V614" s="91"/>
      <c r="W614" s="91"/>
      <c r="X614" s="91"/>
      <c r="Y614" s="91"/>
      <c r="Z614" s="91"/>
      <c r="AA614" s="91"/>
      <c r="AB614" s="91"/>
      <c r="AC614" s="91"/>
      <c r="AD614" s="91"/>
      <c r="AE614" s="91"/>
      <c r="AF614" s="91"/>
      <c r="AG614" s="91"/>
      <c r="AH614" s="91"/>
      <c r="AI614" s="91"/>
      <c r="AJ614" s="91"/>
      <c r="AK614" s="91"/>
      <c r="AL614" s="91"/>
      <c r="AM614" s="91"/>
    </row>
    <row r="615" spans="1:39" ht="20.25" hidden="1" customHeight="1">
      <c r="A615" s="91"/>
      <c r="B615" s="93" t="s">
        <v>2320</v>
      </c>
      <c r="C615" s="91" t="s">
        <v>36</v>
      </c>
      <c r="D615" s="94" t="s">
        <v>2332</v>
      </c>
      <c r="E615" s="94" t="s">
        <v>2333</v>
      </c>
      <c r="F615" s="95" t="s">
        <v>2334</v>
      </c>
      <c r="G615" s="96">
        <v>45013</v>
      </c>
      <c r="H615" s="97">
        <v>38000</v>
      </c>
      <c r="I615" s="94" t="s">
        <v>2335</v>
      </c>
      <c r="J615" s="94" t="s">
        <v>58</v>
      </c>
      <c r="K615" s="95">
        <v>85898411</v>
      </c>
      <c r="L615" s="91" t="s">
        <v>60</v>
      </c>
      <c r="M615" s="98">
        <f ca="1">(TODAY()-H615)/365</f>
        <v>21.923287671232877</v>
      </c>
      <c r="N615" s="99">
        <f>(G615-H615)/365</f>
        <v>19.213698630136985</v>
      </c>
      <c r="O615" s="98">
        <f ca="1">(TODAY()-G615)/365</f>
        <v>2.7095890410958905</v>
      </c>
      <c r="P615" s="91" t="s">
        <v>43</v>
      </c>
      <c r="Q615" s="91">
        <v>0</v>
      </c>
      <c r="R615" s="91">
        <v>0</v>
      </c>
      <c r="S615" s="91">
        <v>0</v>
      </c>
      <c r="T615" s="91"/>
      <c r="U615" s="91"/>
      <c r="V615" s="91"/>
      <c r="W615" s="91"/>
      <c r="X615" s="91"/>
      <c r="Y615" s="91"/>
      <c r="Z615" s="91"/>
      <c r="AA615" s="91"/>
      <c r="AB615" s="91"/>
      <c r="AC615" s="91"/>
      <c r="AD615" s="91"/>
      <c r="AE615" s="91"/>
      <c r="AF615" s="91"/>
      <c r="AG615" s="91"/>
      <c r="AH615" s="91"/>
      <c r="AI615" s="91"/>
      <c r="AJ615" s="91"/>
      <c r="AK615" s="91"/>
      <c r="AL615" s="91"/>
      <c r="AM615" s="91"/>
    </row>
    <row r="616" spans="1:39" ht="20.25" customHeight="1">
      <c r="A616" s="91"/>
      <c r="B616" s="93" t="s">
        <v>1245</v>
      </c>
      <c r="C616" s="91" t="s">
        <v>73</v>
      </c>
      <c r="D616" s="107" t="s">
        <v>1257</v>
      </c>
      <c r="E616" s="107" t="s">
        <v>1258</v>
      </c>
      <c r="F616" s="91" t="s">
        <v>1259</v>
      </c>
      <c r="G616" s="96">
        <v>43451</v>
      </c>
      <c r="H616" s="97">
        <v>38338</v>
      </c>
      <c r="I616" s="100" t="s">
        <v>1260</v>
      </c>
      <c r="J616" s="100" t="s">
        <v>1261</v>
      </c>
      <c r="K616" s="91">
        <v>966371561</v>
      </c>
      <c r="L616" s="91" t="s">
        <v>60</v>
      </c>
      <c r="M616" s="98">
        <f ca="1">(TODAY()-H616)/365</f>
        <v>20.997260273972604</v>
      </c>
      <c r="N616" s="99">
        <f>(G616-H616)/365</f>
        <v>14.008219178082191</v>
      </c>
      <c r="O616" s="98">
        <f ca="1">(TODAY()-G616)/365</f>
        <v>6.9890410958904106</v>
      </c>
      <c r="P616" s="91" t="s">
        <v>43</v>
      </c>
      <c r="Q616" s="91">
        <v>0</v>
      </c>
      <c r="R616" s="91">
        <v>0</v>
      </c>
      <c r="S616" s="91">
        <v>0</v>
      </c>
      <c r="T616" s="91"/>
      <c r="U616" s="91"/>
      <c r="V616" s="91"/>
      <c r="W616" s="91"/>
      <c r="X616" s="91"/>
      <c r="Y616" s="91"/>
      <c r="Z616" s="91"/>
      <c r="AA616" s="91"/>
      <c r="AB616" s="91"/>
      <c r="AC616" s="91"/>
      <c r="AD616" s="91"/>
      <c r="AE616" s="91"/>
      <c r="AF616" s="91"/>
      <c r="AG616" s="91"/>
      <c r="AH616" s="91"/>
      <c r="AI616" s="91"/>
      <c r="AJ616" s="91"/>
      <c r="AK616" s="91"/>
      <c r="AL616" s="91"/>
      <c r="AM616" s="91"/>
    </row>
    <row r="617" spans="1:39" ht="20.25" customHeight="1">
      <c r="A617" s="91"/>
      <c r="B617" s="93" t="s">
        <v>1477</v>
      </c>
      <c r="C617" s="91" t="s">
        <v>73</v>
      </c>
      <c r="D617" s="94" t="s">
        <v>1622</v>
      </c>
      <c r="E617" s="94" t="s">
        <v>1623</v>
      </c>
      <c r="F617" s="95" t="s">
        <v>1624</v>
      </c>
      <c r="G617" s="96">
        <v>43775</v>
      </c>
      <c r="H617" s="97">
        <v>26184</v>
      </c>
      <c r="I617" s="94" t="s">
        <v>1625</v>
      </c>
      <c r="J617" s="100" t="s">
        <v>58</v>
      </c>
      <c r="K617" s="91" t="s">
        <v>58</v>
      </c>
      <c r="L617" s="91" t="s">
        <v>60</v>
      </c>
      <c r="M617" s="98">
        <f ca="1">(TODAY()-H617)/365</f>
        <v>54.295890410958904</v>
      </c>
      <c r="N617" s="99">
        <f>(G617-H617)/365</f>
        <v>48.194520547945203</v>
      </c>
      <c r="O617" s="98">
        <f ca="1">(TODAY()-G617)/365</f>
        <v>6.1013698630136988</v>
      </c>
      <c r="P617" s="91" t="s">
        <v>272</v>
      </c>
      <c r="Q617" s="91">
        <v>0</v>
      </c>
      <c r="R617" s="91">
        <v>0</v>
      </c>
      <c r="S617" s="91">
        <v>0</v>
      </c>
      <c r="T617" s="91"/>
      <c r="U617" s="91"/>
      <c r="V617" s="91"/>
      <c r="W617" s="91"/>
      <c r="X617" s="91"/>
      <c r="Y617" s="91"/>
      <c r="Z617" s="91"/>
      <c r="AA617" s="91"/>
      <c r="AB617" s="91"/>
      <c r="AC617" s="91"/>
      <c r="AD617" s="91"/>
      <c r="AE617" s="91"/>
      <c r="AF617" s="91"/>
      <c r="AG617" s="91"/>
      <c r="AH617" s="91"/>
      <c r="AI617" s="91"/>
      <c r="AJ617" s="91"/>
      <c r="AK617" s="91"/>
      <c r="AL617" s="91"/>
      <c r="AM617" s="91"/>
    </row>
    <row r="618" spans="1:39" ht="20.25" customHeight="1">
      <c r="A618" s="91"/>
      <c r="B618" s="93" t="s">
        <v>4702</v>
      </c>
      <c r="C618" s="91" t="s">
        <v>73</v>
      </c>
      <c r="D618" s="107" t="s">
        <v>4777</v>
      </c>
      <c r="E618" s="107" t="s">
        <v>4708</v>
      </c>
      <c r="F618" s="91" t="s">
        <v>4778</v>
      </c>
      <c r="G618" s="96">
        <v>43221</v>
      </c>
      <c r="H618" s="97">
        <v>17978</v>
      </c>
      <c r="I618" s="100" t="s">
        <v>4779</v>
      </c>
      <c r="J618" s="94" t="s">
        <v>58</v>
      </c>
      <c r="K618" s="95" t="s">
        <v>58</v>
      </c>
      <c r="L618" s="91" t="s">
        <v>60</v>
      </c>
      <c r="M618" s="98">
        <f ca="1">(TODAY()-H618)/365</f>
        <v>76.778082191780825</v>
      </c>
      <c r="N618" s="99">
        <f>(G618-H618)/365</f>
        <v>69.158904109589045</v>
      </c>
      <c r="O618" s="98">
        <f ca="1">(TODAY()-G618)/365</f>
        <v>7.6191780821917812</v>
      </c>
      <c r="P618" s="91" t="s">
        <v>272</v>
      </c>
      <c r="Q618" s="91">
        <v>0</v>
      </c>
      <c r="R618" s="91">
        <v>0</v>
      </c>
      <c r="S618" s="91">
        <v>0</v>
      </c>
      <c r="T618" s="91"/>
      <c r="U618" s="91"/>
      <c r="V618" s="91"/>
      <c r="W618" s="91"/>
      <c r="X618" s="91"/>
      <c r="Y618" s="91"/>
      <c r="Z618" s="91"/>
      <c r="AA618" s="91"/>
      <c r="AB618" s="91"/>
      <c r="AC618" s="91"/>
      <c r="AD618" s="91"/>
      <c r="AE618" s="91"/>
      <c r="AF618" s="91"/>
      <c r="AG618" s="91"/>
      <c r="AH618" s="91"/>
      <c r="AI618" s="91"/>
      <c r="AJ618" s="91"/>
      <c r="AK618" s="91"/>
      <c r="AL618" s="91"/>
      <c r="AM618" s="91"/>
    </row>
    <row r="619" spans="1:39" ht="20.25" hidden="1" customHeight="1">
      <c r="A619" s="91"/>
      <c r="B619" s="93" t="s">
        <v>2320</v>
      </c>
      <c r="C619" s="91" t="s">
        <v>36</v>
      </c>
      <c r="D619" s="94" t="s">
        <v>2347</v>
      </c>
      <c r="E619" s="94" t="s">
        <v>2348</v>
      </c>
      <c r="F619" s="95" t="s">
        <v>2349</v>
      </c>
      <c r="G619" s="96">
        <v>45176</v>
      </c>
      <c r="H619" s="97">
        <v>36663</v>
      </c>
      <c r="I619" s="94" t="s">
        <v>2350</v>
      </c>
      <c r="J619" s="94" t="s">
        <v>58</v>
      </c>
      <c r="K619" s="95">
        <v>94166473</v>
      </c>
      <c r="L619" s="91" t="s">
        <v>60</v>
      </c>
      <c r="M619" s="98">
        <f ca="1">(TODAY()-H619)/365</f>
        <v>25.586301369863012</v>
      </c>
      <c r="N619" s="99">
        <f>(G619-H619)/365</f>
        <v>23.323287671232876</v>
      </c>
      <c r="O619" s="98">
        <f ca="1">(TODAY()-G619)/365</f>
        <v>2.2630136986301368</v>
      </c>
      <c r="P619" s="91" t="s">
        <v>43</v>
      </c>
      <c r="Q619" s="91">
        <v>0</v>
      </c>
      <c r="R619" s="91">
        <v>0</v>
      </c>
      <c r="S619" s="91">
        <v>0</v>
      </c>
      <c r="T619" s="91"/>
      <c r="U619" s="91"/>
      <c r="V619" s="91"/>
      <c r="W619" s="91"/>
      <c r="X619" s="91"/>
      <c r="Y619" s="91"/>
      <c r="Z619" s="91"/>
      <c r="AA619" s="91"/>
      <c r="AB619" s="91"/>
      <c r="AC619" s="91"/>
      <c r="AD619" s="91"/>
      <c r="AE619" s="91">
        <v>2024</v>
      </c>
      <c r="AF619" s="91"/>
      <c r="AG619" s="91"/>
      <c r="AH619" s="91"/>
      <c r="AI619" s="91"/>
      <c r="AJ619" s="91"/>
      <c r="AK619" s="91"/>
      <c r="AL619" s="91"/>
      <c r="AM619" s="91"/>
    </row>
    <row r="620" spans="1:39" ht="20.25" hidden="1" customHeight="1">
      <c r="A620" s="91"/>
      <c r="B620" s="93" t="s">
        <v>2320</v>
      </c>
      <c r="C620" s="91" t="s">
        <v>36</v>
      </c>
      <c r="D620" s="94" t="s">
        <v>2351</v>
      </c>
      <c r="E620" s="94" t="s">
        <v>2352</v>
      </c>
      <c r="F620" s="95" t="s">
        <v>2353</v>
      </c>
      <c r="G620" s="96">
        <v>41129</v>
      </c>
      <c r="H620" s="97">
        <v>30846</v>
      </c>
      <c r="I620" s="100" t="s">
        <v>2354</v>
      </c>
      <c r="J620" s="94" t="s">
        <v>58</v>
      </c>
      <c r="K620" s="95">
        <v>81820329</v>
      </c>
      <c r="L620" s="91" t="s">
        <v>42</v>
      </c>
      <c r="M620" s="98">
        <f ca="1">(TODAY()-H620)/365</f>
        <v>41.523287671232879</v>
      </c>
      <c r="N620" s="99">
        <f>(G620-H620)/365</f>
        <v>28.172602739726027</v>
      </c>
      <c r="O620" s="98">
        <f ca="1">(TODAY()-G620)/365</f>
        <v>13.35068493150685</v>
      </c>
      <c r="P620" s="91" t="s">
        <v>43</v>
      </c>
      <c r="Q620" s="91">
        <v>1</v>
      </c>
      <c r="R620" s="91">
        <v>0</v>
      </c>
      <c r="S620" s="91">
        <v>1</v>
      </c>
      <c r="T620" s="91"/>
      <c r="U620" s="91">
        <v>2014</v>
      </c>
      <c r="V620" s="91"/>
      <c r="W620" s="91"/>
      <c r="X620" s="91"/>
      <c r="Y620" s="91"/>
      <c r="Z620" s="91"/>
      <c r="AA620" s="91"/>
      <c r="AB620" s="91"/>
      <c r="AC620" s="91"/>
      <c r="AD620" s="91">
        <v>2022</v>
      </c>
      <c r="AE620" s="91"/>
      <c r="AF620" s="91"/>
      <c r="AG620" s="91"/>
      <c r="AH620" s="91"/>
      <c r="AI620" s="91"/>
      <c r="AJ620" s="91"/>
      <c r="AK620" s="91"/>
      <c r="AL620" s="91"/>
      <c r="AM620" s="91"/>
    </row>
    <row r="621" spans="1:39" ht="20.25" hidden="1" customHeight="1">
      <c r="A621" s="91"/>
      <c r="B621" s="93" t="s">
        <v>2320</v>
      </c>
      <c r="C621" s="91" t="s">
        <v>36</v>
      </c>
      <c r="D621" s="94" t="s">
        <v>2355</v>
      </c>
      <c r="E621" s="94" t="s">
        <v>2356</v>
      </c>
      <c r="F621" s="95" t="s">
        <v>2357</v>
      </c>
      <c r="G621" s="96">
        <v>44987</v>
      </c>
      <c r="H621" s="97">
        <v>34672</v>
      </c>
      <c r="I621" s="94" t="s">
        <v>2358</v>
      </c>
      <c r="J621" s="94" t="s">
        <v>58</v>
      </c>
      <c r="K621" s="95">
        <v>37540975</v>
      </c>
      <c r="L621" s="91" t="s">
        <v>60</v>
      </c>
      <c r="M621" s="98">
        <f ca="1">(TODAY()-H621)/365</f>
        <v>31.041095890410958</v>
      </c>
      <c r="N621" s="99">
        <f>(G621-H621)/365</f>
        <v>28.260273972602739</v>
      </c>
      <c r="O621" s="98">
        <f ca="1">(TODAY()-G621)/365</f>
        <v>2.7808219178082192</v>
      </c>
      <c r="P621" s="91" t="s">
        <v>43</v>
      </c>
      <c r="Q621" s="91">
        <v>0</v>
      </c>
      <c r="R621" s="91">
        <v>0</v>
      </c>
      <c r="S621" s="91">
        <v>0</v>
      </c>
      <c r="T621" s="91"/>
      <c r="U621" s="91"/>
      <c r="V621" s="91"/>
      <c r="W621" s="91"/>
      <c r="X621" s="91"/>
      <c r="Y621" s="91"/>
      <c r="Z621" s="91"/>
      <c r="AA621" s="91"/>
      <c r="AB621" s="91"/>
      <c r="AC621" s="91"/>
      <c r="AD621" s="91"/>
      <c r="AE621" s="91">
        <v>2024</v>
      </c>
      <c r="AF621" s="91"/>
      <c r="AG621" s="91"/>
      <c r="AH621" s="91"/>
      <c r="AI621" s="91"/>
      <c r="AJ621" s="91"/>
      <c r="AK621" s="91"/>
      <c r="AL621" s="91"/>
      <c r="AM621" s="91"/>
    </row>
    <row r="622" spans="1:39" ht="20.25" hidden="1" customHeight="1">
      <c r="A622" s="91"/>
      <c r="B622" s="93" t="s">
        <v>2320</v>
      </c>
      <c r="C622" s="91" t="s">
        <v>36</v>
      </c>
      <c r="D622" s="94" t="s">
        <v>2359</v>
      </c>
      <c r="E622" s="94" t="s">
        <v>2360</v>
      </c>
      <c r="F622" s="95" t="s">
        <v>2361</v>
      </c>
      <c r="G622" s="96">
        <v>44894</v>
      </c>
      <c r="H622" s="97">
        <v>33798</v>
      </c>
      <c r="I622" s="105" t="s">
        <v>12327</v>
      </c>
      <c r="J622" s="94" t="s">
        <v>58</v>
      </c>
      <c r="K622" s="95">
        <v>75116846</v>
      </c>
      <c r="L622" s="91" t="s">
        <v>167</v>
      </c>
      <c r="M622" s="98">
        <f ca="1">(TODAY()-H622)/365</f>
        <v>33.435616438356163</v>
      </c>
      <c r="N622" s="99">
        <f>(G622-H622)/365</f>
        <v>30.4</v>
      </c>
      <c r="O622" s="98">
        <f ca="1">(TODAY()-G622)/365</f>
        <v>3.0356164383561643</v>
      </c>
      <c r="P622" s="91" t="s">
        <v>272</v>
      </c>
      <c r="Q622" s="91">
        <v>0</v>
      </c>
      <c r="R622" s="91">
        <v>0</v>
      </c>
      <c r="S622" s="91">
        <v>0</v>
      </c>
      <c r="T622" s="91"/>
      <c r="U622" s="91"/>
      <c r="V622" s="91"/>
      <c r="W622" s="91"/>
      <c r="X622" s="91"/>
      <c r="Y622" s="91"/>
      <c r="Z622" s="91"/>
      <c r="AA622" s="91"/>
      <c r="AB622" s="91"/>
      <c r="AC622" s="91"/>
      <c r="AD622" s="91"/>
      <c r="AE622" s="91"/>
      <c r="AF622" s="91"/>
      <c r="AG622" s="91"/>
      <c r="AH622" s="91"/>
      <c r="AI622" s="91"/>
      <c r="AJ622" s="91"/>
      <c r="AK622" s="91"/>
      <c r="AL622" s="91"/>
      <c r="AM622" s="91"/>
    </row>
    <row r="623" spans="1:39" ht="20.25" hidden="1" customHeight="1">
      <c r="A623" s="91"/>
      <c r="B623" s="93" t="s">
        <v>2320</v>
      </c>
      <c r="C623" s="91" t="s">
        <v>36</v>
      </c>
      <c r="D623" s="94" t="s">
        <v>1731</v>
      </c>
      <c r="E623" s="94" t="s">
        <v>2362</v>
      </c>
      <c r="F623" s="95" t="s">
        <v>2363</v>
      </c>
      <c r="G623" s="96">
        <v>40116</v>
      </c>
      <c r="H623" s="97">
        <v>27680</v>
      </c>
      <c r="I623" s="100" t="s">
        <v>2364</v>
      </c>
      <c r="J623" s="94" t="s">
        <v>58</v>
      </c>
      <c r="K623" s="95">
        <v>94130603</v>
      </c>
      <c r="L623" s="91" t="s">
        <v>151</v>
      </c>
      <c r="M623" s="98">
        <f ca="1">(TODAY()-H623)/365</f>
        <v>50.197260273972603</v>
      </c>
      <c r="N623" s="99">
        <f>(G623-H623)/365</f>
        <v>34.07123287671233</v>
      </c>
      <c r="O623" s="98">
        <f ca="1">(TODAY()-G623)/365</f>
        <v>16.126027397260273</v>
      </c>
      <c r="P623" s="91" t="s">
        <v>272</v>
      </c>
      <c r="Q623" s="91">
        <v>0</v>
      </c>
      <c r="R623" s="91">
        <v>0</v>
      </c>
      <c r="S623" s="91">
        <v>0</v>
      </c>
      <c r="T623" s="91"/>
      <c r="U623" s="91"/>
      <c r="V623" s="91"/>
      <c r="W623" s="91"/>
      <c r="X623" s="91"/>
      <c r="Y623" s="91"/>
      <c r="Z623" s="91"/>
      <c r="AA623" s="91"/>
      <c r="AB623" s="91"/>
      <c r="AC623" s="91"/>
      <c r="AD623" s="91"/>
      <c r="AE623" s="91"/>
      <c r="AF623" s="91"/>
      <c r="AG623" s="91"/>
      <c r="AH623" s="91"/>
      <c r="AI623" s="91"/>
      <c r="AJ623" s="91"/>
      <c r="AK623" s="91"/>
      <c r="AL623" s="91"/>
      <c r="AM623" s="91"/>
    </row>
    <row r="624" spans="1:39" ht="20.25" hidden="1" customHeight="1">
      <c r="A624" s="91"/>
      <c r="B624" s="93" t="s">
        <v>2320</v>
      </c>
      <c r="C624" s="91" t="s">
        <v>36</v>
      </c>
      <c r="D624" s="94" t="s">
        <v>2365</v>
      </c>
      <c r="E624" s="94" t="s">
        <v>2352</v>
      </c>
      <c r="F624" s="95" t="s">
        <v>2366</v>
      </c>
      <c r="G624" s="96">
        <v>41129</v>
      </c>
      <c r="H624" s="97">
        <v>28557</v>
      </c>
      <c r="I624" s="94" t="s">
        <v>2367</v>
      </c>
      <c r="J624" s="94" t="s">
        <v>58</v>
      </c>
      <c r="K624" s="95">
        <v>84271979</v>
      </c>
      <c r="L624" s="91" t="s">
        <v>60</v>
      </c>
      <c r="M624" s="98">
        <f ca="1">(TODAY()-H624)/365</f>
        <v>47.794520547945204</v>
      </c>
      <c r="N624" s="99">
        <f>(G624-H624)/365</f>
        <v>34.443835616438356</v>
      </c>
      <c r="O624" s="98">
        <f ca="1">(TODAY()-G624)/365</f>
        <v>13.35068493150685</v>
      </c>
      <c r="P624" s="91" t="s">
        <v>43</v>
      </c>
      <c r="Q624" s="91">
        <v>0</v>
      </c>
      <c r="R624" s="91">
        <v>0</v>
      </c>
      <c r="S624" s="91">
        <v>0</v>
      </c>
      <c r="T624" s="91"/>
      <c r="U624" s="91"/>
      <c r="V624" s="91"/>
      <c r="W624" s="91"/>
      <c r="X624" s="91"/>
      <c r="Y624" s="91"/>
      <c r="Z624" s="91"/>
      <c r="AA624" s="91"/>
      <c r="AB624" s="91"/>
      <c r="AC624" s="91"/>
      <c r="AD624" s="91"/>
      <c r="AE624" s="91"/>
      <c r="AF624" s="91"/>
      <c r="AG624" s="91"/>
      <c r="AH624" s="91"/>
      <c r="AI624" s="91"/>
      <c r="AJ624" s="91"/>
      <c r="AK624" s="91"/>
      <c r="AL624" s="91"/>
      <c r="AM624" s="91"/>
    </row>
    <row r="625" spans="1:39" ht="20.25" hidden="1" customHeight="1">
      <c r="A625" s="91"/>
      <c r="B625" s="93" t="s">
        <v>2320</v>
      </c>
      <c r="C625" s="91" t="s">
        <v>36</v>
      </c>
      <c r="D625" s="94" t="s">
        <v>2368</v>
      </c>
      <c r="E625" s="94" t="s">
        <v>2369</v>
      </c>
      <c r="F625" s="95" t="s">
        <v>2370</v>
      </c>
      <c r="G625" s="96">
        <v>45234</v>
      </c>
      <c r="H625" s="97">
        <v>31711</v>
      </c>
      <c r="I625" s="94" t="s">
        <v>2371</v>
      </c>
      <c r="J625" s="94" t="s">
        <v>58</v>
      </c>
      <c r="K625" s="95">
        <v>87599683</v>
      </c>
      <c r="L625" s="91" t="s">
        <v>60</v>
      </c>
      <c r="M625" s="98">
        <f ca="1">(TODAY()-H625)/365</f>
        <v>39.153424657534245</v>
      </c>
      <c r="N625" s="99">
        <f>(G625-H625)/365</f>
        <v>37.049315068493151</v>
      </c>
      <c r="O625" s="98">
        <f ca="1">(TODAY()-G625)/365</f>
        <v>2.1041095890410957</v>
      </c>
      <c r="P625" s="91" t="s">
        <v>43</v>
      </c>
      <c r="Q625" s="91">
        <v>0</v>
      </c>
      <c r="R625" s="91">
        <v>0</v>
      </c>
      <c r="S625" s="91">
        <v>0</v>
      </c>
      <c r="T625" s="91"/>
      <c r="U625" s="91"/>
      <c r="V625" s="91"/>
      <c r="W625" s="91"/>
      <c r="X625" s="91"/>
      <c r="Y625" s="91"/>
      <c r="Z625" s="91"/>
      <c r="AA625" s="91"/>
      <c r="AB625" s="91"/>
      <c r="AC625" s="91"/>
      <c r="AD625" s="91"/>
      <c r="AE625" s="91"/>
      <c r="AF625" s="91"/>
      <c r="AG625" s="91"/>
      <c r="AH625" s="91"/>
      <c r="AI625" s="91"/>
      <c r="AJ625" s="91"/>
      <c r="AK625" s="91"/>
      <c r="AL625" s="91"/>
      <c r="AM625" s="91"/>
    </row>
    <row r="626" spans="1:39" ht="20.25" hidden="1" customHeight="1">
      <c r="A626" s="91"/>
      <c r="B626" s="93" t="s">
        <v>2320</v>
      </c>
      <c r="C626" s="91" t="s">
        <v>36</v>
      </c>
      <c r="D626" s="94" t="s">
        <v>2372</v>
      </c>
      <c r="E626" s="94" t="s">
        <v>2373</v>
      </c>
      <c r="F626" s="95" t="s">
        <v>2374</v>
      </c>
      <c r="G626" s="96">
        <v>44718</v>
      </c>
      <c r="H626" s="97">
        <v>30639</v>
      </c>
      <c r="I626" s="105" t="s">
        <v>12328</v>
      </c>
      <c r="J626" s="94" t="s">
        <v>58</v>
      </c>
      <c r="K626" s="95">
        <v>34381688</v>
      </c>
      <c r="L626" s="91" t="s">
        <v>60</v>
      </c>
      <c r="M626" s="98">
        <f ca="1">(TODAY()-H626)/365</f>
        <v>42.090410958904108</v>
      </c>
      <c r="N626" s="99">
        <f>(G626-H626)/365</f>
        <v>38.57260273972603</v>
      </c>
      <c r="O626" s="98">
        <f ca="1">(TODAY()-G626)/365</f>
        <v>3.5178082191780824</v>
      </c>
      <c r="P626" s="91" t="s">
        <v>43</v>
      </c>
      <c r="Q626" s="91">
        <v>0</v>
      </c>
      <c r="R626" s="91">
        <v>0</v>
      </c>
      <c r="S626" s="91">
        <v>0</v>
      </c>
      <c r="T626" s="91"/>
      <c r="U626" s="91"/>
      <c r="V626" s="91"/>
      <c r="W626" s="91"/>
      <c r="X626" s="91"/>
      <c r="Y626" s="91"/>
      <c r="Z626" s="91"/>
      <c r="AA626" s="91"/>
      <c r="AB626" s="91"/>
      <c r="AC626" s="91"/>
      <c r="AD626" s="91"/>
      <c r="AE626" s="91"/>
      <c r="AF626" s="91"/>
      <c r="AG626" s="91"/>
      <c r="AH626" s="91"/>
      <c r="AI626" s="91"/>
      <c r="AJ626" s="91"/>
      <c r="AK626" s="91"/>
      <c r="AL626" s="91"/>
      <c r="AM626" s="91"/>
    </row>
    <row r="627" spans="1:39" ht="20.25" hidden="1" customHeight="1">
      <c r="A627" s="91"/>
      <c r="B627" s="93" t="s">
        <v>2320</v>
      </c>
      <c r="C627" s="91" t="s">
        <v>36</v>
      </c>
      <c r="D627" s="94" t="s">
        <v>2375</v>
      </c>
      <c r="E627" s="94" t="s">
        <v>2376</v>
      </c>
      <c r="F627" s="95" t="s">
        <v>2377</v>
      </c>
      <c r="G627" s="96">
        <v>45263</v>
      </c>
      <c r="H627" s="97">
        <v>30408</v>
      </c>
      <c r="I627" s="105" t="s">
        <v>12329</v>
      </c>
      <c r="J627" s="94" t="s">
        <v>58</v>
      </c>
      <c r="K627" s="95">
        <v>76178414</v>
      </c>
      <c r="L627" s="91" t="s">
        <v>60</v>
      </c>
      <c r="M627" s="98">
        <f ca="1">(TODAY()-H627)/365</f>
        <v>42.723287671232875</v>
      </c>
      <c r="N627" s="99">
        <f>(G627-H627)/365</f>
        <v>40.698630136986303</v>
      </c>
      <c r="O627" s="98">
        <f ca="1">(TODAY()-G627)/365</f>
        <v>2.0246575342465754</v>
      </c>
      <c r="P627" s="91" t="s">
        <v>43</v>
      </c>
      <c r="Q627" s="91">
        <v>0</v>
      </c>
      <c r="R627" s="91">
        <v>0</v>
      </c>
      <c r="S627" s="91">
        <v>0</v>
      </c>
      <c r="T627" s="91"/>
      <c r="U627" s="91"/>
      <c r="V627" s="91"/>
      <c r="W627" s="91"/>
      <c r="X627" s="91"/>
      <c r="Y627" s="91"/>
      <c r="Z627" s="91"/>
      <c r="AA627" s="91"/>
      <c r="AB627" s="91"/>
      <c r="AC627" s="91"/>
      <c r="AD627" s="91"/>
      <c r="AE627" s="91"/>
      <c r="AF627" s="91"/>
      <c r="AG627" s="91"/>
      <c r="AH627" s="91"/>
      <c r="AI627" s="91"/>
      <c r="AJ627" s="91"/>
      <c r="AK627" s="91"/>
      <c r="AL627" s="91"/>
      <c r="AM627" s="91"/>
    </row>
    <row r="628" spans="1:39" ht="20.25" hidden="1" customHeight="1">
      <c r="A628" s="91"/>
      <c r="B628" s="93" t="s">
        <v>2320</v>
      </c>
      <c r="C628" s="91" t="s">
        <v>36</v>
      </c>
      <c r="D628" s="94" t="s">
        <v>2378</v>
      </c>
      <c r="E628" s="94" t="s">
        <v>2379</v>
      </c>
      <c r="F628" s="95" t="s">
        <v>2380</v>
      </c>
      <c r="G628" s="96">
        <v>30921</v>
      </c>
      <c r="H628" s="97">
        <v>15822</v>
      </c>
      <c r="I628" s="100" t="s">
        <v>2381</v>
      </c>
      <c r="J628" s="94" t="s">
        <v>2382</v>
      </c>
      <c r="K628" s="95" t="s">
        <v>2383</v>
      </c>
      <c r="L628" s="91" t="s">
        <v>54</v>
      </c>
      <c r="M628" s="98">
        <f ca="1">(TODAY()-H628)/365</f>
        <v>82.68493150684931</v>
      </c>
      <c r="N628" s="99">
        <f>(G628-H628)/365</f>
        <v>41.367123287671234</v>
      </c>
      <c r="O628" s="98">
        <f ca="1">(TODAY()-G628)/365</f>
        <v>41.317808219178083</v>
      </c>
      <c r="P628" s="91" t="s">
        <v>43</v>
      </c>
      <c r="Q628" s="91">
        <v>0</v>
      </c>
      <c r="R628" s="91">
        <v>0</v>
      </c>
      <c r="S628" s="91">
        <v>0</v>
      </c>
      <c r="T628" s="91"/>
      <c r="U628" s="91"/>
      <c r="V628" s="91"/>
      <c r="W628" s="91"/>
      <c r="X628" s="91"/>
      <c r="Y628" s="91"/>
      <c r="Z628" s="91"/>
      <c r="AA628" s="91"/>
      <c r="AB628" s="91"/>
      <c r="AC628" s="91"/>
      <c r="AD628" s="91"/>
      <c r="AE628" s="91"/>
      <c r="AF628" s="91"/>
      <c r="AG628" s="91"/>
      <c r="AH628" s="91"/>
      <c r="AI628" s="91"/>
      <c r="AJ628" s="91"/>
      <c r="AK628" s="91"/>
      <c r="AL628" s="91"/>
      <c r="AM628" s="91"/>
    </row>
    <row r="629" spans="1:39" ht="20.25" hidden="1" customHeight="1">
      <c r="A629" s="91"/>
      <c r="B629" s="93" t="s">
        <v>2320</v>
      </c>
      <c r="C629" s="91" t="s">
        <v>36</v>
      </c>
      <c r="D629" s="94" t="s">
        <v>2384</v>
      </c>
      <c r="E629" s="94" t="s">
        <v>2385</v>
      </c>
      <c r="F629" s="95" t="s">
        <v>2386</v>
      </c>
      <c r="G629" s="96">
        <v>45095</v>
      </c>
      <c r="H629" s="97">
        <v>28313</v>
      </c>
      <c r="I629" s="94" t="s">
        <v>2387</v>
      </c>
      <c r="J629" s="94" t="s">
        <v>58</v>
      </c>
      <c r="K629" s="95">
        <v>73982016</v>
      </c>
      <c r="L629" s="91" t="s">
        <v>60</v>
      </c>
      <c r="M629" s="98">
        <f ca="1">(TODAY()-H629)/365</f>
        <v>48.463013698630135</v>
      </c>
      <c r="N629" s="99">
        <f>(G629-H629)/365</f>
        <v>45.978082191780821</v>
      </c>
      <c r="O629" s="98">
        <f ca="1">(TODAY()-G629)/365</f>
        <v>2.484931506849315</v>
      </c>
      <c r="P629" s="91" t="s">
        <v>43</v>
      </c>
      <c r="Q629" s="91">
        <v>0</v>
      </c>
      <c r="R629" s="91">
        <v>0</v>
      </c>
      <c r="S629" s="91">
        <v>0</v>
      </c>
      <c r="T629" s="91"/>
      <c r="U629" s="91"/>
      <c r="V629" s="91"/>
      <c r="W629" s="91"/>
      <c r="X629" s="91"/>
      <c r="Y629" s="91"/>
      <c r="Z629" s="91"/>
      <c r="AA629" s="91"/>
      <c r="AB629" s="91"/>
      <c r="AC629" s="91"/>
      <c r="AD629" s="91"/>
      <c r="AE629" s="91"/>
      <c r="AF629" s="91"/>
      <c r="AG629" s="91"/>
      <c r="AH629" s="91"/>
      <c r="AI629" s="91"/>
      <c r="AJ629" s="91"/>
      <c r="AK629" s="91"/>
      <c r="AL629" s="91"/>
      <c r="AM629" s="91"/>
    </row>
    <row r="630" spans="1:39" ht="20.25" hidden="1" customHeight="1">
      <c r="A630" s="91"/>
      <c r="B630" s="93" t="s">
        <v>2320</v>
      </c>
      <c r="C630" s="91" t="s">
        <v>36</v>
      </c>
      <c r="D630" s="94" t="s">
        <v>2388</v>
      </c>
      <c r="E630" s="94" t="s">
        <v>2389</v>
      </c>
      <c r="F630" s="95" t="s">
        <v>2390</v>
      </c>
      <c r="G630" s="96">
        <v>38098</v>
      </c>
      <c r="H630" s="97">
        <v>21020</v>
      </c>
      <c r="I630" s="94" t="s">
        <v>2391</v>
      </c>
      <c r="J630" s="94" t="s">
        <v>2392</v>
      </c>
      <c r="K630" s="95">
        <v>81820329</v>
      </c>
      <c r="L630" s="91" t="s">
        <v>49</v>
      </c>
      <c r="M630" s="98">
        <f ca="1">(TODAY()-H630)/365</f>
        <v>68.443835616438349</v>
      </c>
      <c r="N630" s="99">
        <f>(G630-H630)/365</f>
        <v>46.789041095890411</v>
      </c>
      <c r="O630" s="98">
        <f ca="1">(TODAY()-G630)/365</f>
        <v>21.654794520547945</v>
      </c>
      <c r="P630" s="91" t="s">
        <v>43</v>
      </c>
      <c r="Q630" s="91">
        <v>0</v>
      </c>
      <c r="R630" s="91">
        <v>0</v>
      </c>
      <c r="S630" s="91">
        <v>1</v>
      </c>
      <c r="T630" s="91"/>
      <c r="U630" s="91">
        <v>2014</v>
      </c>
      <c r="V630" s="91"/>
      <c r="W630" s="91"/>
      <c r="X630" s="91"/>
      <c r="Y630" s="91"/>
      <c r="Z630" s="91"/>
      <c r="AA630" s="91"/>
      <c r="AB630" s="91"/>
      <c r="AC630" s="91"/>
      <c r="AD630" s="91">
        <v>2022</v>
      </c>
      <c r="AE630" s="91"/>
      <c r="AF630" s="91"/>
      <c r="AG630" s="91"/>
      <c r="AH630" s="91"/>
      <c r="AI630" s="91"/>
      <c r="AJ630" s="91"/>
      <c r="AK630" s="91"/>
      <c r="AL630" s="91"/>
      <c r="AM630" s="91"/>
    </row>
    <row r="631" spans="1:39" ht="20.25" hidden="1" customHeight="1">
      <c r="A631" s="91"/>
      <c r="B631" s="93" t="s">
        <v>2320</v>
      </c>
      <c r="C631" s="91" t="s">
        <v>36</v>
      </c>
      <c r="D631" s="94" t="s">
        <v>357</v>
      </c>
      <c r="E631" s="94" t="s">
        <v>2393</v>
      </c>
      <c r="F631" s="95" t="s">
        <v>2394</v>
      </c>
      <c r="G631" s="96">
        <v>38476</v>
      </c>
      <c r="H631" s="97">
        <v>21199</v>
      </c>
      <c r="I631" s="100" t="s">
        <v>2395</v>
      </c>
      <c r="J631" s="94" t="s">
        <v>2396</v>
      </c>
      <c r="K631" s="95">
        <v>68793783</v>
      </c>
      <c r="L631" s="91" t="s">
        <v>66</v>
      </c>
      <c r="M631" s="98">
        <f ca="1">(TODAY()-H631)/365</f>
        <v>67.953424657534242</v>
      </c>
      <c r="N631" s="99">
        <f>(G631-H631)/365</f>
        <v>47.334246575342469</v>
      </c>
      <c r="O631" s="98">
        <f ca="1">(TODAY()-G631)/365</f>
        <v>20.61917808219178</v>
      </c>
      <c r="P631" s="91" t="s">
        <v>43</v>
      </c>
      <c r="Q631" s="91">
        <v>0</v>
      </c>
      <c r="R631" s="91">
        <v>0</v>
      </c>
      <c r="S631" s="91">
        <v>0</v>
      </c>
      <c r="T631" s="91"/>
      <c r="U631" s="91"/>
      <c r="V631" s="91"/>
      <c r="W631" s="91"/>
      <c r="X631" s="91"/>
      <c r="Y631" s="91"/>
      <c r="Z631" s="91"/>
      <c r="AA631" s="91"/>
      <c r="AB631" s="91"/>
      <c r="AC631" s="91"/>
      <c r="AD631" s="91"/>
      <c r="AE631" s="91"/>
      <c r="AF631" s="91"/>
      <c r="AG631" s="91"/>
      <c r="AH631" s="91"/>
      <c r="AI631" s="91"/>
      <c r="AJ631" s="91"/>
      <c r="AK631" s="91"/>
      <c r="AL631" s="91"/>
      <c r="AM631" s="91"/>
    </row>
    <row r="632" spans="1:39" ht="20.25" hidden="1" customHeight="1">
      <c r="A632" s="91"/>
      <c r="B632" s="93" t="s">
        <v>2320</v>
      </c>
      <c r="C632" s="91" t="s">
        <v>36</v>
      </c>
      <c r="D632" s="94" t="s">
        <v>180</v>
      </c>
      <c r="E632" s="94" t="s">
        <v>2397</v>
      </c>
      <c r="F632" s="95" t="s">
        <v>2398</v>
      </c>
      <c r="G632" s="96">
        <v>38466</v>
      </c>
      <c r="H632" s="97">
        <v>20911</v>
      </c>
      <c r="I632" s="100" t="s">
        <v>2399</v>
      </c>
      <c r="J632" s="94" t="s">
        <v>58</v>
      </c>
      <c r="K632" s="95">
        <v>82389472</v>
      </c>
      <c r="L632" s="91" t="s">
        <v>72</v>
      </c>
      <c r="M632" s="98">
        <f ca="1">(TODAY()-H632)/365</f>
        <v>68.742465753424653</v>
      </c>
      <c r="N632" s="99">
        <f>(G632-H632)/365</f>
        <v>48.095890410958901</v>
      </c>
      <c r="O632" s="98">
        <f ca="1">(TODAY()-G632)/365</f>
        <v>20.646575342465752</v>
      </c>
      <c r="P632" s="91" t="s">
        <v>43</v>
      </c>
      <c r="Q632" s="91">
        <v>0</v>
      </c>
      <c r="R632" s="91">
        <v>0</v>
      </c>
      <c r="S632" s="91">
        <v>0</v>
      </c>
      <c r="T632" s="91"/>
      <c r="U632" s="91"/>
      <c r="V632" s="91"/>
      <c r="W632" s="91"/>
      <c r="X632" s="91"/>
      <c r="Y632" s="91"/>
      <c r="Z632" s="91"/>
      <c r="AA632" s="91"/>
      <c r="AB632" s="91"/>
      <c r="AC632" s="91"/>
      <c r="AD632" s="91"/>
      <c r="AE632" s="91"/>
      <c r="AF632" s="91"/>
      <c r="AG632" s="91"/>
      <c r="AH632" s="91"/>
      <c r="AI632" s="91"/>
      <c r="AJ632" s="91"/>
      <c r="AK632" s="91"/>
      <c r="AL632" s="91"/>
      <c r="AM632" s="91"/>
    </row>
    <row r="633" spans="1:39" ht="20.25" hidden="1" customHeight="1">
      <c r="A633" s="91"/>
      <c r="B633" s="93" t="s">
        <v>2320</v>
      </c>
      <c r="C633" s="91" t="s">
        <v>36</v>
      </c>
      <c r="D633" s="94" t="s">
        <v>2400</v>
      </c>
      <c r="E633" s="94" t="s">
        <v>2401</v>
      </c>
      <c r="F633" s="95" t="s">
        <v>2402</v>
      </c>
      <c r="G633" s="96">
        <v>44718</v>
      </c>
      <c r="H633" s="97">
        <v>27126</v>
      </c>
      <c r="I633" s="94" t="s">
        <v>2403</v>
      </c>
      <c r="J633" s="94" t="s">
        <v>58</v>
      </c>
      <c r="K633" s="95">
        <v>54315980</v>
      </c>
      <c r="L633" s="91" t="s">
        <v>60</v>
      </c>
      <c r="M633" s="98">
        <f ca="1">(TODAY()-H633)/365</f>
        <v>51.715068493150682</v>
      </c>
      <c r="N633" s="99">
        <f>(G633-H633)/365</f>
        <v>48.197260273972603</v>
      </c>
      <c r="O633" s="98">
        <f ca="1">(TODAY()-G633)/365</f>
        <v>3.5178082191780824</v>
      </c>
      <c r="P633" s="91" t="s">
        <v>43</v>
      </c>
      <c r="Q633" s="91">
        <v>0</v>
      </c>
      <c r="R633" s="91">
        <v>0</v>
      </c>
      <c r="S633" s="91">
        <v>0</v>
      </c>
      <c r="T633" s="91"/>
      <c r="U633" s="91"/>
      <c r="V633" s="91"/>
      <c r="W633" s="91"/>
      <c r="X633" s="91"/>
      <c r="Y633" s="91"/>
      <c r="Z633" s="91"/>
      <c r="AA633" s="91"/>
      <c r="AB633" s="91"/>
      <c r="AC633" s="91"/>
      <c r="AD633" s="91"/>
      <c r="AE633" s="91"/>
      <c r="AF633" s="91"/>
      <c r="AG633" s="91"/>
      <c r="AH633" s="91"/>
      <c r="AI633" s="91"/>
      <c r="AJ633" s="91"/>
      <c r="AK633" s="91"/>
      <c r="AL633" s="91"/>
      <c r="AM633" s="91"/>
    </row>
    <row r="634" spans="1:39" ht="20.25" hidden="1" customHeight="1">
      <c r="A634" s="91"/>
      <c r="B634" s="93" t="s">
        <v>2320</v>
      </c>
      <c r="C634" s="91" t="s">
        <v>36</v>
      </c>
      <c r="D634" s="94" t="s">
        <v>2404</v>
      </c>
      <c r="E634" s="112" t="s">
        <v>2405</v>
      </c>
      <c r="F634" s="95" t="s">
        <v>2406</v>
      </c>
      <c r="G634" s="96">
        <v>45276</v>
      </c>
      <c r="H634" s="97">
        <v>27483</v>
      </c>
      <c r="I634" s="100" t="s">
        <v>2407</v>
      </c>
      <c r="J634" s="94" t="s">
        <v>58</v>
      </c>
      <c r="K634" s="95">
        <v>32667422</v>
      </c>
      <c r="L634" s="91" t="s">
        <v>60</v>
      </c>
      <c r="M634" s="98">
        <f ca="1">(TODAY()-H634)/365</f>
        <v>50.736986301369861</v>
      </c>
      <c r="N634" s="99">
        <f>(G634-H634)/365</f>
        <v>48.747945205479454</v>
      </c>
      <c r="O634" s="98">
        <f ca="1">(TODAY()-G634)/365</f>
        <v>1.989041095890411</v>
      </c>
      <c r="P634" s="91" t="s">
        <v>43</v>
      </c>
      <c r="Q634" s="91">
        <v>0</v>
      </c>
      <c r="R634" s="91">
        <v>0</v>
      </c>
      <c r="S634" s="91">
        <v>0</v>
      </c>
      <c r="T634" s="91"/>
      <c r="U634" s="91"/>
      <c r="V634" s="91"/>
      <c r="W634" s="91"/>
      <c r="X634" s="91"/>
      <c r="Y634" s="91"/>
      <c r="Z634" s="91"/>
      <c r="AA634" s="91"/>
      <c r="AB634" s="91"/>
      <c r="AC634" s="91"/>
      <c r="AD634" s="91"/>
      <c r="AE634" s="91"/>
      <c r="AF634" s="91"/>
      <c r="AG634" s="91"/>
      <c r="AH634" s="91"/>
      <c r="AI634" s="91"/>
      <c r="AJ634" s="91"/>
      <c r="AK634" s="91"/>
      <c r="AL634" s="91"/>
      <c r="AM634" s="91"/>
    </row>
    <row r="635" spans="1:39" ht="20.25" hidden="1" customHeight="1">
      <c r="A635" s="91"/>
      <c r="B635" s="93" t="s">
        <v>2320</v>
      </c>
      <c r="C635" s="91" t="s">
        <v>36</v>
      </c>
      <c r="D635" s="94" t="s">
        <v>2408</v>
      </c>
      <c r="E635" s="94" t="s">
        <v>2409</v>
      </c>
      <c r="F635" s="95" t="s">
        <v>2410</v>
      </c>
      <c r="G635" s="96">
        <v>44792</v>
      </c>
      <c r="H635" s="97">
        <v>25268</v>
      </c>
      <c r="I635" s="105" t="s">
        <v>12330</v>
      </c>
      <c r="J635" s="94" t="s">
        <v>58</v>
      </c>
      <c r="K635" s="95">
        <v>82908927</v>
      </c>
      <c r="L635" s="91" t="s">
        <v>216</v>
      </c>
      <c r="M635" s="98">
        <f ca="1">(TODAY()-H635)/365</f>
        <v>56.805479452054797</v>
      </c>
      <c r="N635" s="99">
        <f>(G635-H635)/365</f>
        <v>53.490410958904107</v>
      </c>
      <c r="O635" s="98">
        <f ca="1">(TODAY()-G635)/365</f>
        <v>3.3150684931506849</v>
      </c>
      <c r="P635" s="91" t="s">
        <v>43</v>
      </c>
      <c r="Q635" s="91">
        <v>0</v>
      </c>
      <c r="R635" s="91">
        <v>0</v>
      </c>
      <c r="S635" s="91">
        <v>0</v>
      </c>
      <c r="T635" s="91"/>
      <c r="U635" s="91"/>
      <c r="V635" s="91"/>
      <c r="W635" s="91"/>
      <c r="X635" s="91"/>
      <c r="Y635" s="91"/>
      <c r="Z635" s="91"/>
      <c r="AA635" s="91"/>
      <c r="AB635" s="91"/>
      <c r="AC635" s="91"/>
      <c r="AD635" s="91"/>
      <c r="AE635" s="91"/>
      <c r="AF635" s="91"/>
      <c r="AG635" s="91"/>
      <c r="AH635" s="91"/>
      <c r="AI635" s="91"/>
      <c r="AJ635" s="91"/>
      <c r="AK635" s="91"/>
      <c r="AL635" s="91"/>
      <c r="AM635" s="91"/>
    </row>
    <row r="636" spans="1:39" ht="20.25" customHeight="1">
      <c r="A636" s="91"/>
      <c r="B636" s="93" t="s">
        <v>4702</v>
      </c>
      <c r="C636" s="91" t="s">
        <v>73</v>
      </c>
      <c r="D636" s="107" t="s">
        <v>4707</v>
      </c>
      <c r="E636" s="107" t="s">
        <v>4708</v>
      </c>
      <c r="F636" s="91" t="s">
        <v>4709</v>
      </c>
      <c r="G636" s="96">
        <v>42979</v>
      </c>
      <c r="H636" s="97">
        <v>31078</v>
      </c>
      <c r="I636" s="100" t="s">
        <v>4710</v>
      </c>
      <c r="J636" s="94" t="s">
        <v>58</v>
      </c>
      <c r="K636" s="95" t="s">
        <v>58</v>
      </c>
      <c r="L636" s="91" t="s">
        <v>60</v>
      </c>
      <c r="M636" s="98">
        <f ca="1">(TODAY()-H636)/365</f>
        <v>40.887671232876713</v>
      </c>
      <c r="N636" s="99">
        <f>(G636-H636)/365</f>
        <v>32.605479452054794</v>
      </c>
      <c r="O636" s="98">
        <f ca="1">(TODAY()-G636)/365</f>
        <v>8.2821917808219183</v>
      </c>
      <c r="P636" s="91" t="s">
        <v>43</v>
      </c>
      <c r="Q636" s="91">
        <v>0</v>
      </c>
      <c r="R636" s="91">
        <v>0</v>
      </c>
      <c r="S636" s="91">
        <v>0</v>
      </c>
      <c r="T636" s="91"/>
      <c r="U636" s="91"/>
      <c r="V636" s="91"/>
      <c r="W636" s="91"/>
      <c r="X636" s="91"/>
      <c r="Y636" s="91"/>
      <c r="Z636" s="91"/>
      <c r="AA636" s="91"/>
      <c r="AB636" s="91"/>
      <c r="AC636" s="91"/>
      <c r="AD636" s="91"/>
      <c r="AE636" s="91"/>
      <c r="AF636" s="91"/>
      <c r="AG636" s="91"/>
      <c r="AH636" s="91"/>
      <c r="AI636" s="91"/>
      <c r="AJ636" s="91"/>
      <c r="AK636" s="91"/>
      <c r="AL636" s="91"/>
      <c r="AM636" s="91"/>
    </row>
    <row r="637" spans="1:39" ht="20.25" hidden="1" customHeight="1">
      <c r="A637" s="91"/>
      <c r="B637" s="93" t="s">
        <v>2320</v>
      </c>
      <c r="C637" s="91" t="s">
        <v>36</v>
      </c>
      <c r="D637" s="94" t="s">
        <v>2415</v>
      </c>
      <c r="E637" s="94" t="s">
        <v>2416</v>
      </c>
      <c r="F637" s="95" t="s">
        <v>2417</v>
      </c>
      <c r="G637" s="96">
        <v>45360</v>
      </c>
      <c r="H637" s="97">
        <v>19707</v>
      </c>
      <c r="I637" s="100" t="s">
        <v>2418</v>
      </c>
      <c r="J637" s="94" t="s">
        <v>58</v>
      </c>
      <c r="K637" s="95">
        <v>67525512</v>
      </c>
      <c r="L637" s="91" t="s">
        <v>60</v>
      </c>
      <c r="M637" s="98">
        <f ca="1">(TODAY()-H637)/365</f>
        <v>72.041095890410958</v>
      </c>
      <c r="N637" s="99">
        <f>(G637-H637)/365</f>
        <v>70.282191780821918</v>
      </c>
      <c r="O637" s="98">
        <f ca="1">(TODAY()-G637)/365</f>
        <v>1.7589041095890412</v>
      </c>
      <c r="P637" s="91" t="s">
        <v>43</v>
      </c>
      <c r="Q637" s="91">
        <v>0</v>
      </c>
      <c r="R637" s="91">
        <v>0</v>
      </c>
      <c r="S637" s="91">
        <v>0</v>
      </c>
      <c r="T637" s="91"/>
      <c r="U637" s="91"/>
      <c r="V637" s="91"/>
      <c r="W637" s="91"/>
      <c r="X637" s="91"/>
      <c r="Y637" s="91"/>
      <c r="Z637" s="91"/>
      <c r="AA637" s="91"/>
      <c r="AB637" s="91"/>
      <c r="AC637" s="91"/>
      <c r="AD637" s="91"/>
      <c r="AE637" s="91"/>
      <c r="AF637" s="91"/>
      <c r="AG637" s="91"/>
      <c r="AH637" s="91"/>
      <c r="AI637" s="91"/>
      <c r="AJ637" s="91"/>
      <c r="AK637" s="91"/>
      <c r="AL637" s="91"/>
      <c r="AM637" s="91"/>
    </row>
    <row r="638" spans="1:39" ht="20.25" hidden="1" customHeight="1">
      <c r="A638" s="91"/>
      <c r="B638" s="93" t="s">
        <v>2419</v>
      </c>
      <c r="C638" s="91" t="s">
        <v>36</v>
      </c>
      <c r="D638" s="94" t="s">
        <v>2420</v>
      </c>
      <c r="E638" s="94" t="s">
        <v>2421</v>
      </c>
      <c r="F638" s="95" t="s">
        <v>2422</v>
      </c>
      <c r="G638" s="96">
        <v>42005</v>
      </c>
      <c r="H638" s="97">
        <v>37384</v>
      </c>
      <c r="I638" s="108" t="s">
        <v>12331</v>
      </c>
      <c r="J638" s="94" t="s">
        <v>2423</v>
      </c>
      <c r="K638" s="95">
        <v>973638644</v>
      </c>
      <c r="L638" s="91" t="s">
        <v>167</v>
      </c>
      <c r="M638" s="98">
        <f ca="1">(TODAY()-H638)/365</f>
        <v>23.610958904109587</v>
      </c>
      <c r="N638" s="99">
        <f>(G638-H638)/365</f>
        <v>12.66027397260274</v>
      </c>
      <c r="O638" s="98">
        <f ca="1">(TODAY()-G638)/365</f>
        <v>10.950684931506849</v>
      </c>
      <c r="P638" s="91" t="s">
        <v>43</v>
      </c>
      <c r="Q638" s="91">
        <v>0</v>
      </c>
      <c r="R638" s="91">
        <v>0</v>
      </c>
      <c r="S638" s="91">
        <v>0</v>
      </c>
      <c r="T638" s="91"/>
      <c r="U638" s="91"/>
      <c r="V638" s="91"/>
      <c r="W638" s="91"/>
      <c r="X638" s="91"/>
      <c r="Y638" s="91"/>
      <c r="Z638" s="91"/>
      <c r="AA638" s="91"/>
      <c r="AB638" s="91"/>
      <c r="AC638" s="91"/>
      <c r="AD638" s="91"/>
      <c r="AE638" s="91"/>
      <c r="AF638" s="91"/>
      <c r="AG638" s="91"/>
      <c r="AH638" s="91"/>
      <c r="AI638" s="91"/>
      <c r="AJ638" s="91"/>
      <c r="AK638" s="91"/>
      <c r="AL638" s="91"/>
      <c r="AM638" s="91"/>
    </row>
    <row r="639" spans="1:39" ht="20.25" hidden="1" customHeight="1">
      <c r="A639" s="91"/>
      <c r="B639" s="93" t="s">
        <v>2419</v>
      </c>
      <c r="C639" s="91" t="s">
        <v>36</v>
      </c>
      <c r="D639" s="94" t="s">
        <v>2424</v>
      </c>
      <c r="E639" s="94" t="s">
        <v>2425</v>
      </c>
      <c r="F639" s="95" t="s">
        <v>2426</v>
      </c>
      <c r="G639" s="96">
        <v>39814</v>
      </c>
      <c r="H639" s="97">
        <v>34657</v>
      </c>
      <c r="I639" s="94" t="s">
        <v>2427</v>
      </c>
      <c r="J639" s="94" t="s">
        <v>2428</v>
      </c>
      <c r="K639" s="95">
        <v>984444356</v>
      </c>
      <c r="L639" s="91" t="s">
        <v>197</v>
      </c>
      <c r="M639" s="98">
        <f ca="1">(TODAY()-H639)/365</f>
        <v>31.082191780821919</v>
      </c>
      <c r="N639" s="99">
        <f>(G639-H639)/365</f>
        <v>14.128767123287671</v>
      </c>
      <c r="O639" s="98">
        <f ca="1">(TODAY()-G639)/365</f>
        <v>16.953424657534246</v>
      </c>
      <c r="P639" s="91" t="s">
        <v>272</v>
      </c>
      <c r="Q639" s="91">
        <v>0</v>
      </c>
      <c r="R639" s="91">
        <v>0</v>
      </c>
      <c r="S639" s="91">
        <v>0</v>
      </c>
      <c r="T639" s="91"/>
      <c r="U639" s="91"/>
      <c r="V639" s="91"/>
      <c r="W639" s="91"/>
      <c r="X639" s="91"/>
      <c r="Y639" s="91"/>
      <c r="Z639" s="91"/>
      <c r="AA639" s="91"/>
      <c r="AB639" s="91"/>
      <c r="AC639" s="91"/>
      <c r="AD639" s="91"/>
      <c r="AE639" s="91"/>
      <c r="AF639" s="91"/>
      <c r="AG639" s="91"/>
      <c r="AH639" s="91"/>
      <c r="AI639" s="91"/>
      <c r="AJ639" s="91"/>
      <c r="AK639" s="91"/>
      <c r="AL639" s="91"/>
      <c r="AM639" s="91"/>
    </row>
    <row r="640" spans="1:39" ht="20.25" customHeight="1">
      <c r="A640" s="128"/>
      <c r="B640" s="93" t="s">
        <v>11273</v>
      </c>
      <c r="C640" s="91" t="s">
        <v>73</v>
      </c>
      <c r="D640" s="106" t="s">
        <v>11422</v>
      </c>
      <c r="E640" s="106" t="s">
        <v>11423</v>
      </c>
      <c r="F640" s="92" t="s">
        <v>11424</v>
      </c>
      <c r="G640" s="103">
        <v>42553</v>
      </c>
      <c r="H640" s="103">
        <v>36781</v>
      </c>
      <c r="I640" s="94" t="s">
        <v>58</v>
      </c>
      <c r="J640" s="100" t="s">
        <v>58</v>
      </c>
      <c r="K640" s="95" t="s">
        <v>58</v>
      </c>
      <c r="L640" s="91"/>
      <c r="M640" s="98">
        <f ca="1">(TODAY()-H640)/365</f>
        <v>25.263013698630136</v>
      </c>
      <c r="N640" s="99">
        <f>(G640-H640)/365</f>
        <v>15.813698630136987</v>
      </c>
      <c r="O640" s="98">
        <f ca="1">(TODAY()-G640)/365</f>
        <v>9.4493150684931511</v>
      </c>
      <c r="P640" s="91" t="s">
        <v>272</v>
      </c>
      <c r="Q640" s="91"/>
      <c r="R640" s="91"/>
      <c r="S640" s="91"/>
      <c r="T640" s="91"/>
      <c r="U640" s="91"/>
      <c r="V640" s="91"/>
      <c r="W640" s="91"/>
      <c r="X640" s="91"/>
      <c r="Y640" s="91"/>
      <c r="Z640" s="91"/>
      <c r="AA640" s="91"/>
      <c r="AB640" s="91"/>
      <c r="AC640" s="91"/>
      <c r="AD640" s="91"/>
      <c r="AE640" s="91"/>
      <c r="AF640" s="91"/>
      <c r="AG640" s="91"/>
      <c r="AH640" s="91"/>
      <c r="AI640" s="91"/>
      <c r="AJ640" s="91"/>
      <c r="AK640" s="91"/>
      <c r="AL640" s="91"/>
      <c r="AM640" s="91"/>
    </row>
    <row r="641" spans="1:39" ht="20.25" hidden="1" customHeight="1">
      <c r="A641" s="91"/>
      <c r="B641" s="93" t="s">
        <v>2419</v>
      </c>
      <c r="C641" s="91" t="s">
        <v>36</v>
      </c>
      <c r="D641" s="94" t="s">
        <v>2432</v>
      </c>
      <c r="E641" s="94" t="s">
        <v>2433</v>
      </c>
      <c r="F641" s="95" t="s">
        <v>2434</v>
      </c>
      <c r="G641" s="96">
        <v>45566</v>
      </c>
      <c r="H641" s="97">
        <v>39380</v>
      </c>
      <c r="I641" s="108" t="s">
        <v>12333</v>
      </c>
      <c r="J641" s="94" t="s">
        <v>2435</v>
      </c>
      <c r="K641" s="95">
        <v>990473783</v>
      </c>
      <c r="L641" s="91" t="s">
        <v>60</v>
      </c>
      <c r="M641" s="98">
        <f ca="1">(TODAY()-H641)/365</f>
        <v>18.142465753424659</v>
      </c>
      <c r="N641" s="99">
        <f>(G641-H641)/365</f>
        <v>16.947945205479453</v>
      </c>
      <c r="O641" s="98">
        <f ca="1">(TODAY()-G641)/365</f>
        <v>1.1945205479452055</v>
      </c>
      <c r="P641" s="91" t="s">
        <v>43</v>
      </c>
      <c r="Q641" s="91">
        <v>0</v>
      </c>
      <c r="R641" s="91">
        <v>0</v>
      </c>
      <c r="S641" s="91">
        <v>0</v>
      </c>
      <c r="T641" s="91"/>
      <c r="U641" s="91"/>
      <c r="V641" s="91"/>
      <c r="W641" s="91"/>
      <c r="X641" s="91"/>
      <c r="Y641" s="91"/>
      <c r="Z641" s="91"/>
      <c r="AA641" s="91"/>
      <c r="AB641" s="91"/>
      <c r="AC641" s="91"/>
      <c r="AD641" s="91"/>
      <c r="AE641" s="91"/>
      <c r="AF641" s="91"/>
      <c r="AG641" s="91"/>
      <c r="AH641" s="91"/>
      <c r="AI641" s="91"/>
      <c r="AJ641" s="91"/>
      <c r="AK641" s="91"/>
      <c r="AL641" s="91"/>
      <c r="AM641" s="91"/>
    </row>
    <row r="642" spans="1:39" ht="20.25" customHeight="1">
      <c r="A642" s="128"/>
      <c r="B642" s="93" t="s">
        <v>11273</v>
      </c>
      <c r="C642" s="91" t="s">
        <v>73</v>
      </c>
      <c r="D642" s="106" t="s">
        <v>11441</v>
      </c>
      <c r="E642" s="106" t="s">
        <v>11442</v>
      </c>
      <c r="F642" s="92" t="s">
        <v>12701</v>
      </c>
      <c r="G642" s="103">
        <v>37684</v>
      </c>
      <c r="H642" s="103">
        <v>23030</v>
      </c>
      <c r="I642" s="100" t="s">
        <v>11443</v>
      </c>
      <c r="J642" s="100" t="s">
        <v>58</v>
      </c>
      <c r="K642" s="95" t="s">
        <v>58</v>
      </c>
      <c r="L642" s="91"/>
      <c r="M642" s="98">
        <f ca="1">(TODAY()-H642)/365</f>
        <v>62.936986301369863</v>
      </c>
      <c r="N642" s="99">
        <f>(G642-H642)/365</f>
        <v>40.147945205479452</v>
      </c>
      <c r="O642" s="98">
        <f ca="1">(TODAY()-G642)/365</f>
        <v>22.789041095890411</v>
      </c>
      <c r="P642" s="91" t="s">
        <v>43</v>
      </c>
      <c r="Q642" s="91"/>
      <c r="R642" s="91"/>
      <c r="S642" s="91"/>
      <c r="T642" s="91"/>
      <c r="U642" s="91"/>
      <c r="V642" s="91"/>
      <c r="W642" s="91"/>
      <c r="X642" s="91"/>
      <c r="Y642" s="91"/>
      <c r="Z642" s="91"/>
      <c r="AA642" s="91"/>
      <c r="AB642" s="91"/>
      <c r="AC642" s="91"/>
      <c r="AD642" s="91"/>
      <c r="AE642" s="91"/>
      <c r="AF642" s="91"/>
      <c r="AG642" s="91"/>
      <c r="AH642" s="91"/>
      <c r="AI642" s="91"/>
      <c r="AJ642" s="91"/>
      <c r="AK642" s="91"/>
      <c r="AL642" s="91"/>
      <c r="AM642" s="91"/>
    </row>
    <row r="643" spans="1:39" ht="20.25" customHeight="1">
      <c r="A643" s="128"/>
      <c r="B643" s="93" t="s">
        <v>11273</v>
      </c>
      <c r="C643" s="91" t="s">
        <v>73</v>
      </c>
      <c r="D643" s="106" t="s">
        <v>1660</v>
      </c>
      <c r="E643" s="106" t="s">
        <v>11425</v>
      </c>
      <c r="F643" s="92" t="s">
        <v>11426</v>
      </c>
      <c r="G643" s="103">
        <v>42127</v>
      </c>
      <c r="H643" s="103">
        <v>36542</v>
      </c>
      <c r="I643" s="100" t="s">
        <v>11427</v>
      </c>
      <c r="J643" s="100" t="s">
        <v>58</v>
      </c>
      <c r="K643" s="95" t="s">
        <v>58</v>
      </c>
      <c r="L643" s="91"/>
      <c r="M643" s="98">
        <f ca="1">(TODAY()-H643)/365</f>
        <v>25.917808219178081</v>
      </c>
      <c r="N643" s="99">
        <f>(G643-H643)/365</f>
        <v>15.301369863013699</v>
      </c>
      <c r="O643" s="98">
        <f ca="1">(TODAY()-G643)/365</f>
        <v>10.616438356164384</v>
      </c>
      <c r="P643" s="91" t="s">
        <v>43</v>
      </c>
      <c r="Q643" s="91"/>
      <c r="R643" s="91"/>
      <c r="S643" s="91"/>
      <c r="T643" s="91"/>
      <c r="U643" s="91"/>
      <c r="V643" s="91"/>
      <c r="W643" s="91"/>
      <c r="X643" s="91"/>
      <c r="Y643" s="91"/>
      <c r="Z643" s="91"/>
      <c r="AA643" s="91"/>
      <c r="AB643" s="91"/>
      <c r="AC643" s="91"/>
      <c r="AD643" s="91"/>
      <c r="AE643" s="91"/>
      <c r="AF643" s="91"/>
      <c r="AG643" s="91"/>
      <c r="AH643" s="91"/>
      <c r="AI643" s="91"/>
      <c r="AJ643" s="91"/>
      <c r="AK643" s="91"/>
      <c r="AL643" s="91"/>
      <c r="AM643" s="91"/>
    </row>
    <row r="644" spans="1:39" ht="20.25" hidden="1" customHeight="1">
      <c r="A644" s="91"/>
      <c r="B644" s="93" t="s">
        <v>2419</v>
      </c>
      <c r="C644" s="91" t="s">
        <v>36</v>
      </c>
      <c r="D644" s="94" t="s">
        <v>2442</v>
      </c>
      <c r="E644" s="94" t="s">
        <v>2433</v>
      </c>
      <c r="F644" s="95" t="s">
        <v>2443</v>
      </c>
      <c r="G644" s="96">
        <v>45566</v>
      </c>
      <c r="H644" s="97">
        <v>38393</v>
      </c>
      <c r="I644" s="108" t="s">
        <v>12336</v>
      </c>
      <c r="J644" s="94" t="s">
        <v>2435</v>
      </c>
      <c r="K644" s="95">
        <v>948095519</v>
      </c>
      <c r="L644" s="91" t="s">
        <v>60</v>
      </c>
      <c r="M644" s="98">
        <f ca="1">(TODAY()-H644)/365</f>
        <v>20.846575342465755</v>
      </c>
      <c r="N644" s="99">
        <f>(G644-H644)/365</f>
        <v>19.652054794520549</v>
      </c>
      <c r="O644" s="98">
        <f ca="1">(TODAY()-G644)/365</f>
        <v>1.1945205479452055</v>
      </c>
      <c r="P644" s="91" t="s">
        <v>43</v>
      </c>
      <c r="Q644" s="91">
        <v>0</v>
      </c>
      <c r="R644" s="91">
        <v>0</v>
      </c>
      <c r="S644" s="91">
        <v>0</v>
      </c>
      <c r="T644" s="91"/>
      <c r="U644" s="91"/>
      <c r="V644" s="91"/>
      <c r="W644" s="91"/>
      <c r="X644" s="91"/>
      <c r="Y644" s="91"/>
      <c r="Z644" s="91"/>
      <c r="AA644" s="91"/>
      <c r="AB644" s="91"/>
      <c r="AC644" s="91"/>
      <c r="AD644" s="91"/>
      <c r="AE644" s="91"/>
      <c r="AF644" s="91"/>
      <c r="AG644" s="91"/>
      <c r="AH644" s="91"/>
      <c r="AI644" s="91"/>
      <c r="AJ644" s="91"/>
      <c r="AK644" s="91"/>
      <c r="AL644" s="91"/>
      <c r="AM644" s="91"/>
    </row>
    <row r="645" spans="1:39" ht="20.25" hidden="1" customHeight="1">
      <c r="A645" s="91"/>
      <c r="B645" s="93" t="s">
        <v>2419</v>
      </c>
      <c r="C645" s="91" t="s">
        <v>36</v>
      </c>
      <c r="D645" s="94" t="s">
        <v>2444</v>
      </c>
      <c r="E645" s="94" t="s">
        <v>2445</v>
      </c>
      <c r="F645" s="95" t="s">
        <v>2446</v>
      </c>
      <c r="G645" s="96">
        <v>44927</v>
      </c>
      <c r="H645" s="97">
        <v>37329</v>
      </c>
      <c r="I645" s="108" t="s">
        <v>12337</v>
      </c>
      <c r="J645" s="94" t="s">
        <v>2447</v>
      </c>
      <c r="K645" s="95">
        <v>964943252</v>
      </c>
      <c r="L645" s="91" t="s">
        <v>60</v>
      </c>
      <c r="M645" s="98">
        <f ca="1">(TODAY()-H645)/365</f>
        <v>23.761643835616439</v>
      </c>
      <c r="N645" s="99">
        <f>(G645-H645)/365</f>
        <v>20.816438356164383</v>
      </c>
      <c r="O645" s="98">
        <f ca="1">(TODAY()-G645)/365</f>
        <v>2.9452054794520546</v>
      </c>
      <c r="P645" s="91" t="s">
        <v>43</v>
      </c>
      <c r="Q645" s="91">
        <v>0</v>
      </c>
      <c r="R645" s="91">
        <v>0</v>
      </c>
      <c r="S645" s="91">
        <v>0</v>
      </c>
      <c r="T645" s="91"/>
      <c r="U645" s="91"/>
      <c r="V645" s="91"/>
      <c r="W645" s="91"/>
      <c r="X645" s="91"/>
      <c r="Y645" s="91"/>
      <c r="Z645" s="91"/>
      <c r="AA645" s="91"/>
      <c r="AB645" s="91"/>
      <c r="AC645" s="91"/>
      <c r="AD645" s="91"/>
      <c r="AE645" s="91"/>
      <c r="AF645" s="91"/>
      <c r="AG645" s="91"/>
      <c r="AH645" s="91"/>
      <c r="AI645" s="91"/>
      <c r="AJ645" s="91"/>
      <c r="AK645" s="91"/>
      <c r="AL645" s="91"/>
      <c r="AM645" s="91"/>
    </row>
    <row r="646" spans="1:39" ht="20.25" hidden="1" customHeight="1">
      <c r="A646" s="91"/>
      <c r="B646" s="93" t="s">
        <v>2419</v>
      </c>
      <c r="C646" s="91" t="s">
        <v>36</v>
      </c>
      <c r="D646" s="94" t="s">
        <v>675</v>
      </c>
      <c r="E646" s="94" t="s">
        <v>2448</v>
      </c>
      <c r="F646" s="95" t="s">
        <v>2449</v>
      </c>
      <c r="G646" s="96">
        <v>42736</v>
      </c>
      <c r="H646" s="97">
        <v>34723</v>
      </c>
      <c r="I646" s="108" t="s">
        <v>12338</v>
      </c>
      <c r="J646" s="94" t="s">
        <v>2450</v>
      </c>
      <c r="K646" s="95">
        <v>957949190</v>
      </c>
      <c r="L646" s="91" t="s">
        <v>54</v>
      </c>
      <c r="M646" s="98">
        <f ca="1">(TODAY()-H646)/365</f>
        <v>30.901369863013699</v>
      </c>
      <c r="N646" s="99">
        <f>(G646-H646)/365</f>
        <v>21.953424657534246</v>
      </c>
      <c r="O646" s="98">
        <f ca="1">(TODAY()-G646)/365</f>
        <v>8.9479452054794528</v>
      </c>
      <c r="P646" s="91" t="s">
        <v>43</v>
      </c>
      <c r="Q646" s="91">
        <v>0</v>
      </c>
      <c r="R646" s="91">
        <v>0</v>
      </c>
      <c r="S646" s="91">
        <v>0</v>
      </c>
      <c r="T646" s="91"/>
      <c r="U646" s="91"/>
      <c r="V646" s="91"/>
      <c r="W646" s="91"/>
      <c r="X646" s="91"/>
      <c r="Y646" s="91"/>
      <c r="Z646" s="91"/>
      <c r="AA646" s="91"/>
      <c r="AB646" s="91"/>
      <c r="AC646" s="91"/>
      <c r="AD646" s="91"/>
      <c r="AE646" s="91"/>
      <c r="AF646" s="91"/>
      <c r="AG646" s="91"/>
      <c r="AH646" s="91"/>
      <c r="AI646" s="91"/>
      <c r="AJ646" s="91"/>
      <c r="AK646" s="91"/>
      <c r="AL646" s="91"/>
      <c r="AM646" s="91"/>
    </row>
    <row r="647" spans="1:39" ht="20.25" hidden="1" customHeight="1">
      <c r="A647" s="91"/>
      <c r="B647" s="93" t="s">
        <v>2419</v>
      </c>
      <c r="C647" s="91" t="s">
        <v>36</v>
      </c>
      <c r="D647" s="94" t="s">
        <v>2451</v>
      </c>
      <c r="E647" s="94" t="s">
        <v>2452</v>
      </c>
      <c r="F647" s="95" t="s">
        <v>2453</v>
      </c>
      <c r="G647" s="96">
        <v>40210</v>
      </c>
      <c r="H647" s="97">
        <v>27802</v>
      </c>
      <c r="I647" s="108" t="s">
        <v>12339</v>
      </c>
      <c r="J647" s="94" t="s">
        <v>2454</v>
      </c>
      <c r="K647" s="95">
        <v>950936337</v>
      </c>
      <c r="L647" s="91" t="s">
        <v>42</v>
      </c>
      <c r="M647" s="98">
        <f ca="1">(TODAY()-H647)/365</f>
        <v>49.863013698630134</v>
      </c>
      <c r="N647" s="99">
        <f>(G647-H647)/365</f>
        <v>33.994520547945207</v>
      </c>
      <c r="O647" s="98">
        <f ca="1">(TODAY()-G647)/365</f>
        <v>15.868493150684932</v>
      </c>
      <c r="P647" s="91" t="s">
        <v>43</v>
      </c>
      <c r="Q647" s="91">
        <v>0</v>
      </c>
      <c r="R647" s="91">
        <v>0</v>
      </c>
      <c r="S647" s="91">
        <v>0</v>
      </c>
      <c r="T647" s="91"/>
      <c r="U647" s="91"/>
      <c r="V647" s="91"/>
      <c r="W647" s="91"/>
      <c r="X647" s="91"/>
      <c r="Y647" s="91"/>
      <c r="Z647" s="91"/>
      <c r="AA647" s="91"/>
      <c r="AB647" s="91"/>
      <c r="AC647" s="91"/>
      <c r="AD647" s="91"/>
      <c r="AE647" s="91"/>
      <c r="AF647" s="91"/>
      <c r="AG647" s="91"/>
      <c r="AH647" s="91"/>
      <c r="AI647" s="91"/>
      <c r="AJ647" s="91"/>
      <c r="AK647" s="91"/>
      <c r="AL647" s="91"/>
      <c r="AM647" s="91"/>
    </row>
    <row r="648" spans="1:39" ht="20.25" customHeight="1">
      <c r="A648" s="91"/>
      <c r="B648" s="93" t="s">
        <v>3374</v>
      </c>
      <c r="C648" s="91" t="s">
        <v>73</v>
      </c>
      <c r="D648" s="107" t="s">
        <v>3399</v>
      </c>
      <c r="E648" s="107" t="s">
        <v>3400</v>
      </c>
      <c r="F648" s="91" t="s">
        <v>3401</v>
      </c>
      <c r="G648" s="96">
        <v>45597</v>
      </c>
      <c r="H648" s="97">
        <v>38187</v>
      </c>
      <c r="I648" s="100" t="s">
        <v>3402</v>
      </c>
      <c r="J648" s="94" t="s">
        <v>58</v>
      </c>
      <c r="K648" s="95" t="s">
        <v>58</v>
      </c>
      <c r="L648" s="91" t="s">
        <v>60</v>
      </c>
      <c r="M648" s="98">
        <f ca="1">(TODAY()-H648)/365</f>
        <v>21.410958904109588</v>
      </c>
      <c r="N648" s="99">
        <f>(G648-H648)/365</f>
        <v>20.301369863013697</v>
      </c>
      <c r="O648" s="98">
        <f ca="1">(TODAY()-G648)/365</f>
        <v>1.1095890410958904</v>
      </c>
      <c r="P648" s="91" t="s">
        <v>272</v>
      </c>
      <c r="Q648" s="91"/>
      <c r="R648" s="91"/>
      <c r="S648" s="91"/>
      <c r="T648" s="91"/>
      <c r="U648" s="91"/>
      <c r="V648" s="91"/>
      <c r="W648" s="91"/>
      <c r="X648" s="91"/>
      <c r="Y648" s="91"/>
      <c r="Z648" s="91"/>
      <c r="AA648" s="91"/>
      <c r="AB648" s="91"/>
      <c r="AC648" s="91"/>
      <c r="AD648" s="91"/>
      <c r="AE648" s="91"/>
      <c r="AF648" s="91"/>
      <c r="AG648" s="91"/>
      <c r="AH648" s="91"/>
      <c r="AI648" s="91"/>
      <c r="AJ648" s="91"/>
      <c r="AK648" s="91"/>
      <c r="AL648" s="91"/>
      <c r="AM648" s="91"/>
    </row>
    <row r="649" spans="1:39" ht="20.25" hidden="1" customHeight="1">
      <c r="A649" s="91"/>
      <c r="B649" s="93" t="s">
        <v>2419</v>
      </c>
      <c r="C649" s="91" t="s">
        <v>36</v>
      </c>
      <c r="D649" s="94" t="s">
        <v>447</v>
      </c>
      <c r="E649" s="94" t="s">
        <v>2458</v>
      </c>
      <c r="F649" s="95" t="s">
        <v>2459</v>
      </c>
      <c r="G649" s="96">
        <v>45352</v>
      </c>
      <c r="H649" s="97">
        <v>31420</v>
      </c>
      <c r="I649" s="108" t="s">
        <v>12341</v>
      </c>
      <c r="J649" s="94" t="s">
        <v>2460</v>
      </c>
      <c r="K649" s="95">
        <v>983261999</v>
      </c>
      <c r="L649" s="91" t="s">
        <v>60</v>
      </c>
      <c r="M649" s="98">
        <f ca="1">(TODAY()-H649)/365</f>
        <v>39.950684931506849</v>
      </c>
      <c r="N649" s="99">
        <f>(G649-H649)/365</f>
        <v>38.169863013698631</v>
      </c>
      <c r="O649" s="98">
        <f ca="1">(TODAY()-G649)/365</f>
        <v>1.7808219178082192</v>
      </c>
      <c r="P649" s="91" t="s">
        <v>43</v>
      </c>
      <c r="Q649" s="91">
        <v>0</v>
      </c>
      <c r="R649" s="91">
        <v>0</v>
      </c>
      <c r="S649" s="91">
        <v>0</v>
      </c>
      <c r="T649" s="91"/>
      <c r="U649" s="91"/>
      <c r="V649" s="91"/>
      <c r="W649" s="91"/>
      <c r="X649" s="91"/>
      <c r="Y649" s="91"/>
      <c r="Z649" s="91"/>
      <c r="AA649" s="91"/>
      <c r="AB649" s="91"/>
      <c r="AC649" s="91"/>
      <c r="AD649" s="91"/>
      <c r="AE649" s="91"/>
      <c r="AF649" s="91"/>
      <c r="AG649" s="91"/>
      <c r="AH649" s="91"/>
      <c r="AI649" s="91"/>
      <c r="AJ649" s="91"/>
      <c r="AK649" s="91"/>
      <c r="AL649" s="91"/>
      <c r="AM649" s="91"/>
    </row>
    <row r="650" spans="1:39" ht="20.25" customHeight="1">
      <c r="A650" s="91"/>
      <c r="B650" s="93" t="s">
        <v>3610</v>
      </c>
      <c r="C650" s="91" t="s">
        <v>73</v>
      </c>
      <c r="D650" s="94" t="s">
        <v>698</v>
      </c>
      <c r="E650" s="94" t="s">
        <v>3672</v>
      </c>
      <c r="F650" s="95" t="s">
        <v>3673</v>
      </c>
      <c r="G650" s="96">
        <v>42339</v>
      </c>
      <c r="H650" s="97">
        <v>24625</v>
      </c>
      <c r="I650" s="94" t="s">
        <v>3674</v>
      </c>
      <c r="J650" s="100" t="s">
        <v>58</v>
      </c>
      <c r="K650" s="91" t="s">
        <v>58</v>
      </c>
      <c r="L650" s="91" t="s">
        <v>60</v>
      </c>
      <c r="M650" s="98">
        <f ca="1">(TODAY()-H650)/365</f>
        <v>58.56712328767123</v>
      </c>
      <c r="N650" s="99">
        <f>(G650-H650)/365</f>
        <v>48.531506849315072</v>
      </c>
      <c r="O650" s="98">
        <f ca="1">(TODAY()-G650)/365</f>
        <v>10.035616438356165</v>
      </c>
      <c r="P650" s="91" t="s">
        <v>43</v>
      </c>
      <c r="Q650" s="91">
        <v>0</v>
      </c>
      <c r="R650" s="91">
        <v>0</v>
      </c>
      <c r="S650" s="91">
        <v>0</v>
      </c>
      <c r="T650" s="91"/>
      <c r="U650" s="91"/>
      <c r="V650" s="91"/>
      <c r="W650" s="91"/>
      <c r="X650" s="91"/>
      <c r="Y650" s="91"/>
      <c r="Z650" s="91"/>
      <c r="AA650" s="91"/>
      <c r="AB650" s="91"/>
      <c r="AC650" s="91"/>
      <c r="AD650" s="91"/>
      <c r="AE650" s="91"/>
      <c r="AF650" s="91"/>
      <c r="AG650" s="91"/>
      <c r="AH650" s="91"/>
      <c r="AI650" s="91"/>
      <c r="AJ650" s="91"/>
      <c r="AK650" s="91"/>
      <c r="AL650" s="91"/>
      <c r="AM650" s="91"/>
    </row>
    <row r="651" spans="1:39" ht="20.25" customHeight="1">
      <c r="A651" s="91"/>
      <c r="B651" s="93" t="s">
        <v>3610</v>
      </c>
      <c r="C651" s="91" t="s">
        <v>73</v>
      </c>
      <c r="D651" s="94" t="s">
        <v>2683</v>
      </c>
      <c r="E651" s="94" t="s">
        <v>3633</v>
      </c>
      <c r="F651" s="95" t="s">
        <v>3634</v>
      </c>
      <c r="G651" s="96">
        <v>45196</v>
      </c>
      <c r="H651" s="97">
        <v>37945</v>
      </c>
      <c r="I651" s="94" t="s">
        <v>3635</v>
      </c>
      <c r="J651" s="100" t="s">
        <v>58</v>
      </c>
      <c r="K651" s="91" t="s">
        <v>58</v>
      </c>
      <c r="L651" s="91" t="s">
        <v>60</v>
      </c>
      <c r="M651" s="98">
        <f ca="1">(TODAY()-H651)/365</f>
        <v>22.073972602739726</v>
      </c>
      <c r="N651" s="99">
        <f>(G651-H651)/365</f>
        <v>19.865753424657534</v>
      </c>
      <c r="O651" s="98">
        <f ca="1">(TODAY()-G651)/365</f>
        <v>2.2082191780821918</v>
      </c>
      <c r="P651" s="91" t="s">
        <v>43</v>
      </c>
      <c r="Q651" s="91">
        <v>0</v>
      </c>
      <c r="R651" s="91">
        <v>0</v>
      </c>
      <c r="S651" s="91">
        <v>0</v>
      </c>
      <c r="T651" s="91"/>
      <c r="U651" s="91"/>
      <c r="V651" s="91"/>
      <c r="W651" s="91"/>
      <c r="X651" s="91"/>
      <c r="Y651" s="91"/>
      <c r="Z651" s="91"/>
      <c r="AA651" s="91"/>
      <c r="AB651" s="91"/>
      <c r="AC651" s="91"/>
      <c r="AD651" s="91"/>
      <c r="AE651" s="91"/>
      <c r="AF651" s="91"/>
      <c r="AG651" s="91"/>
      <c r="AH651" s="91"/>
      <c r="AI651" s="91"/>
      <c r="AJ651" s="91"/>
      <c r="AK651" s="91"/>
      <c r="AL651" s="91"/>
      <c r="AM651" s="91"/>
    </row>
    <row r="652" spans="1:39" ht="20.25" customHeight="1">
      <c r="A652" s="91"/>
      <c r="B652" s="93" t="s">
        <v>371</v>
      </c>
      <c r="C652" s="91" t="s">
        <v>73</v>
      </c>
      <c r="D652" s="94" t="s">
        <v>490</v>
      </c>
      <c r="E652" s="94" t="s">
        <v>491</v>
      </c>
      <c r="F652" s="95" t="s">
        <v>492</v>
      </c>
      <c r="G652" s="96">
        <v>45293</v>
      </c>
      <c r="H652" s="97">
        <v>33152</v>
      </c>
      <c r="I652" s="100" t="s">
        <v>493</v>
      </c>
      <c r="J652" s="100" t="s">
        <v>58</v>
      </c>
      <c r="K652" s="91" t="s">
        <v>58</v>
      </c>
      <c r="L652" s="91" t="s">
        <v>60</v>
      </c>
      <c r="M652" s="98">
        <f ca="1">(TODAY()-H652)/365</f>
        <v>35.205479452054796</v>
      </c>
      <c r="N652" s="99">
        <f>(G652-H652)/365</f>
        <v>33.263013698630139</v>
      </c>
      <c r="O652" s="98">
        <f ca="1">(TODAY()-G652)/365</f>
        <v>1.9424657534246574</v>
      </c>
      <c r="P652" s="91" t="s">
        <v>272</v>
      </c>
      <c r="Q652" s="91">
        <v>0</v>
      </c>
      <c r="R652" s="91">
        <v>0</v>
      </c>
      <c r="S652" s="91">
        <v>0</v>
      </c>
      <c r="T652" s="91"/>
      <c r="U652" s="91"/>
      <c r="V652" s="91"/>
      <c r="W652" s="91"/>
      <c r="X652" s="91"/>
      <c r="Y652" s="91"/>
      <c r="Z652" s="91"/>
      <c r="AA652" s="91"/>
      <c r="AB652" s="91"/>
      <c r="AC652" s="91"/>
      <c r="AD652" s="91"/>
      <c r="AE652" s="91"/>
      <c r="AF652" s="91"/>
      <c r="AG652" s="91"/>
      <c r="AH652" s="91"/>
      <c r="AI652" s="91"/>
      <c r="AJ652" s="91"/>
      <c r="AK652" s="91"/>
      <c r="AL652" s="91"/>
      <c r="AM652" s="91"/>
    </row>
    <row r="653" spans="1:39" ht="20.25" hidden="1" customHeight="1">
      <c r="A653" s="91"/>
      <c r="B653" s="93" t="s">
        <v>2419</v>
      </c>
      <c r="C653" s="91" t="s">
        <v>36</v>
      </c>
      <c r="D653" s="94" t="s">
        <v>2469</v>
      </c>
      <c r="E653" s="94" t="s">
        <v>2470</v>
      </c>
      <c r="F653" s="95" t="s">
        <v>2471</v>
      </c>
      <c r="G653" s="96">
        <v>45505</v>
      </c>
      <c r="H653" s="97">
        <v>28585</v>
      </c>
      <c r="I653" s="108" t="s">
        <v>12345</v>
      </c>
      <c r="J653" s="94" t="s">
        <v>2472</v>
      </c>
      <c r="K653" s="95">
        <v>979619011</v>
      </c>
      <c r="L653" s="91" t="s">
        <v>60</v>
      </c>
      <c r="M653" s="98">
        <f ca="1">(TODAY()-H653)/365</f>
        <v>47.717808219178082</v>
      </c>
      <c r="N653" s="99">
        <f>(G653-H653)/365</f>
        <v>46.356164383561641</v>
      </c>
      <c r="O653" s="98">
        <f ca="1">(TODAY()-G653)/365</f>
        <v>1.3616438356164384</v>
      </c>
      <c r="P653" s="91" t="s">
        <v>43</v>
      </c>
      <c r="Q653" s="91">
        <v>0</v>
      </c>
      <c r="R653" s="91">
        <v>0</v>
      </c>
      <c r="S653" s="91">
        <v>0</v>
      </c>
      <c r="T653" s="91"/>
      <c r="U653" s="91"/>
      <c r="V653" s="91"/>
      <c r="W653" s="91"/>
      <c r="X653" s="91"/>
      <c r="Y653" s="91"/>
      <c r="Z653" s="91"/>
      <c r="AA653" s="91"/>
      <c r="AB653" s="91"/>
      <c r="AC653" s="91"/>
      <c r="AD653" s="91"/>
      <c r="AE653" s="91"/>
      <c r="AF653" s="91"/>
      <c r="AG653" s="91"/>
      <c r="AH653" s="91"/>
      <c r="AI653" s="91"/>
      <c r="AJ653" s="91"/>
      <c r="AK653" s="91"/>
      <c r="AL653" s="91"/>
      <c r="AM653" s="91"/>
    </row>
    <row r="654" spans="1:39" ht="20.25" hidden="1" customHeight="1">
      <c r="A654" s="91"/>
      <c r="B654" s="93" t="s">
        <v>2419</v>
      </c>
      <c r="C654" s="91" t="s">
        <v>36</v>
      </c>
      <c r="D654" s="94" t="s">
        <v>2473</v>
      </c>
      <c r="E654" s="94" t="s">
        <v>2474</v>
      </c>
      <c r="F654" s="95" t="s">
        <v>2475</v>
      </c>
      <c r="G654" s="96">
        <v>36526</v>
      </c>
      <c r="H654" s="97">
        <v>19577</v>
      </c>
      <c r="I654" s="108" t="s">
        <v>12346</v>
      </c>
      <c r="J654" s="94" t="s">
        <v>2476</v>
      </c>
      <c r="K654" s="95">
        <v>956451297</v>
      </c>
      <c r="L654" s="91" t="s">
        <v>60</v>
      </c>
      <c r="M654" s="98">
        <f ca="1">(TODAY()-H654)/365</f>
        <v>72.397260273972606</v>
      </c>
      <c r="N654" s="99">
        <f>(G654-H654)/365</f>
        <v>46.435616438356163</v>
      </c>
      <c r="O654" s="98">
        <f ca="1">(TODAY()-G654)/365</f>
        <v>25.961643835616439</v>
      </c>
      <c r="P654" s="91" t="s">
        <v>43</v>
      </c>
      <c r="Q654" s="91">
        <v>0</v>
      </c>
      <c r="R654" s="91">
        <v>0</v>
      </c>
      <c r="S654" s="91">
        <v>0</v>
      </c>
      <c r="T654" s="91"/>
      <c r="U654" s="91"/>
      <c r="V654" s="91"/>
      <c r="W654" s="91"/>
      <c r="X654" s="91"/>
      <c r="Y654" s="91"/>
      <c r="Z654" s="91"/>
      <c r="AA654" s="91"/>
      <c r="AB654" s="91"/>
      <c r="AC654" s="91"/>
      <c r="AD654" s="91"/>
      <c r="AE654" s="91"/>
      <c r="AF654" s="91"/>
      <c r="AG654" s="91"/>
      <c r="AH654" s="91"/>
      <c r="AI654" s="91"/>
      <c r="AJ654" s="91"/>
      <c r="AK654" s="91"/>
      <c r="AL654" s="91"/>
      <c r="AM654" s="91"/>
    </row>
    <row r="655" spans="1:39" ht="20.25" customHeight="1">
      <c r="A655" s="91"/>
      <c r="B655" s="93" t="s">
        <v>77</v>
      </c>
      <c r="C655" s="91" t="s">
        <v>73</v>
      </c>
      <c r="D655" s="94" t="s">
        <v>117</v>
      </c>
      <c r="E655" s="94" t="s">
        <v>118</v>
      </c>
      <c r="F655" s="95" t="s">
        <v>119</v>
      </c>
      <c r="G655" s="96">
        <v>44747</v>
      </c>
      <c r="H655" s="97">
        <v>34198</v>
      </c>
      <c r="I655" s="94" t="s">
        <v>120</v>
      </c>
      <c r="J655" s="100" t="s">
        <v>58</v>
      </c>
      <c r="K655" s="91" t="s">
        <v>58</v>
      </c>
      <c r="L655" s="91" t="s">
        <v>121</v>
      </c>
      <c r="M655" s="98">
        <f ca="1">(TODAY()-H655)/365</f>
        <v>32.339726027397262</v>
      </c>
      <c r="N655" s="99">
        <f>(G655-H655)/365</f>
        <v>28.901369863013699</v>
      </c>
      <c r="O655" s="98">
        <f ca="1">(TODAY()-G655)/365</f>
        <v>3.4383561643835616</v>
      </c>
      <c r="P655" s="91" t="s">
        <v>43</v>
      </c>
      <c r="Q655" s="91">
        <v>0</v>
      </c>
      <c r="R655" s="91">
        <v>0</v>
      </c>
      <c r="S655" s="91">
        <v>0</v>
      </c>
      <c r="T655" s="91"/>
      <c r="U655" s="91"/>
      <c r="V655" s="91"/>
      <c r="W655" s="91"/>
      <c r="X655" s="91"/>
      <c r="Y655" s="91"/>
      <c r="Z655" s="91"/>
      <c r="AA655" s="91"/>
      <c r="AB655" s="91"/>
      <c r="AC655" s="91"/>
      <c r="AD655" s="91"/>
      <c r="AE655" s="91"/>
      <c r="AF655" s="91"/>
      <c r="AG655" s="91"/>
      <c r="AH655" s="91"/>
      <c r="AI655" s="91"/>
      <c r="AJ655" s="91"/>
      <c r="AK655" s="91"/>
      <c r="AL655" s="91"/>
      <c r="AM655" s="91"/>
    </row>
    <row r="656" spans="1:39" ht="20.25" customHeight="1">
      <c r="A656" s="91"/>
      <c r="B656" s="93" t="s">
        <v>77</v>
      </c>
      <c r="C656" s="91" t="s">
        <v>73</v>
      </c>
      <c r="D656" s="94" t="s">
        <v>176</v>
      </c>
      <c r="E656" s="94" t="s">
        <v>177</v>
      </c>
      <c r="F656" s="95" t="s">
        <v>178</v>
      </c>
      <c r="G656" s="96">
        <v>45119</v>
      </c>
      <c r="H656" s="97">
        <v>28635</v>
      </c>
      <c r="I656" s="94" t="s">
        <v>179</v>
      </c>
      <c r="J656" s="100" t="s">
        <v>58</v>
      </c>
      <c r="K656" s="91" t="s">
        <v>58</v>
      </c>
      <c r="L656" s="91" t="s">
        <v>60</v>
      </c>
      <c r="M656" s="98">
        <f ca="1">(TODAY()-H656)/365</f>
        <v>47.580821917808223</v>
      </c>
      <c r="N656" s="99">
        <f>(G656-H656)/365</f>
        <v>45.161643835616438</v>
      </c>
      <c r="O656" s="98">
        <f ca="1">(TODAY()-G656)/365</f>
        <v>2.419178082191781</v>
      </c>
      <c r="P656" s="91" t="s">
        <v>43</v>
      </c>
      <c r="Q656" s="91">
        <v>0</v>
      </c>
      <c r="R656" s="91">
        <v>0</v>
      </c>
      <c r="S656" s="91">
        <v>0</v>
      </c>
      <c r="T656" s="91"/>
      <c r="U656" s="91"/>
      <c r="V656" s="91"/>
      <c r="W656" s="91"/>
      <c r="X656" s="91"/>
      <c r="Y656" s="91"/>
      <c r="Z656" s="91"/>
      <c r="AA656" s="91"/>
      <c r="AB656" s="91"/>
      <c r="AC656" s="91"/>
      <c r="AD656" s="91"/>
      <c r="AE656" s="91"/>
      <c r="AF656" s="91"/>
      <c r="AG656" s="91"/>
      <c r="AH656" s="91"/>
      <c r="AI656" s="91"/>
      <c r="AJ656" s="91"/>
      <c r="AK656" s="91"/>
      <c r="AL656" s="91"/>
      <c r="AM656" s="91"/>
    </row>
    <row r="657" spans="1:39" ht="20.25" hidden="1" customHeight="1">
      <c r="A657" s="91"/>
      <c r="B657" s="93" t="s">
        <v>2419</v>
      </c>
      <c r="C657" s="91" t="s">
        <v>36</v>
      </c>
      <c r="D657" s="94" t="s">
        <v>2484</v>
      </c>
      <c r="E657" s="94" t="s">
        <v>2485</v>
      </c>
      <c r="F657" s="95" t="s">
        <v>2486</v>
      </c>
      <c r="G657" s="96">
        <v>38078</v>
      </c>
      <c r="H657" s="97">
        <v>19132</v>
      </c>
      <c r="I657" s="94" t="s">
        <v>2487</v>
      </c>
      <c r="J657" s="94" t="s">
        <v>2488</v>
      </c>
      <c r="K657" s="95" t="s">
        <v>2489</v>
      </c>
      <c r="L657" s="91" t="s">
        <v>60</v>
      </c>
      <c r="M657" s="98">
        <f ca="1">(TODAY()-H657)/365</f>
        <v>73.61643835616438</v>
      </c>
      <c r="N657" s="99">
        <f>(G657-H657)/365</f>
        <v>51.906849315068492</v>
      </c>
      <c r="O657" s="98">
        <f ca="1">(TODAY()-G657)/365</f>
        <v>21.709589041095889</v>
      </c>
      <c r="P657" s="91" t="s">
        <v>43</v>
      </c>
      <c r="Q657" s="91">
        <v>0</v>
      </c>
      <c r="R657" s="91">
        <v>0</v>
      </c>
      <c r="S657" s="91">
        <v>0</v>
      </c>
      <c r="T657" s="91"/>
      <c r="U657" s="91"/>
      <c r="V657" s="91"/>
      <c r="W657" s="91"/>
      <c r="X657" s="91"/>
      <c r="Y657" s="91"/>
      <c r="Z657" s="91"/>
      <c r="AA657" s="91"/>
      <c r="AB657" s="91"/>
      <c r="AC657" s="91"/>
      <c r="AD657" s="91"/>
      <c r="AE657" s="91"/>
      <c r="AF657" s="91"/>
      <c r="AG657" s="91"/>
      <c r="AH657" s="91"/>
      <c r="AI657" s="91"/>
      <c r="AJ657" s="91"/>
      <c r="AK657" s="91"/>
      <c r="AL657" s="91"/>
      <c r="AM657" s="91"/>
    </row>
    <row r="658" spans="1:39" ht="20.25" hidden="1" customHeight="1">
      <c r="A658" s="91"/>
      <c r="B658" s="93" t="s">
        <v>2419</v>
      </c>
      <c r="C658" s="91" t="s">
        <v>36</v>
      </c>
      <c r="D658" s="94" t="s">
        <v>2490</v>
      </c>
      <c r="E658" s="94" t="s">
        <v>2491</v>
      </c>
      <c r="F658" s="95" t="s">
        <v>2492</v>
      </c>
      <c r="G658" s="96">
        <v>38353</v>
      </c>
      <c r="H658" s="97">
        <v>18680</v>
      </c>
      <c r="I658" s="108" t="s">
        <v>12348</v>
      </c>
      <c r="J658" s="94" t="s">
        <v>2493</v>
      </c>
      <c r="K658" s="95">
        <v>942847593</v>
      </c>
      <c r="L658" s="91" t="s">
        <v>60</v>
      </c>
      <c r="M658" s="98">
        <f ca="1">(TODAY()-H658)/365</f>
        <v>74.854794520547941</v>
      </c>
      <c r="N658" s="99">
        <f>(G658-H658)/365</f>
        <v>53.898630136986299</v>
      </c>
      <c r="O658" s="98">
        <f ca="1">(TODAY()-G658)/365</f>
        <v>20.956164383561642</v>
      </c>
      <c r="P658" s="91" t="s">
        <v>272</v>
      </c>
      <c r="Q658" s="91">
        <v>0</v>
      </c>
      <c r="R658" s="91">
        <v>0</v>
      </c>
      <c r="S658" s="91">
        <v>0</v>
      </c>
      <c r="T658" s="91"/>
      <c r="U658" s="91"/>
      <c r="V658" s="91"/>
      <c r="W658" s="91"/>
      <c r="X658" s="91"/>
      <c r="Y658" s="91"/>
      <c r="Z658" s="91"/>
      <c r="AA658" s="91"/>
      <c r="AB658" s="91"/>
      <c r="AC658" s="91"/>
      <c r="AD658" s="91"/>
      <c r="AE658" s="91"/>
      <c r="AF658" s="91"/>
      <c r="AG658" s="91"/>
      <c r="AH658" s="91"/>
      <c r="AI658" s="91"/>
      <c r="AJ658" s="91"/>
      <c r="AK658" s="91"/>
      <c r="AL658" s="91"/>
      <c r="AM658" s="91"/>
    </row>
    <row r="659" spans="1:39" ht="20.25" hidden="1" customHeight="1">
      <c r="A659" s="91"/>
      <c r="B659" s="93" t="s">
        <v>2419</v>
      </c>
      <c r="C659" s="91" t="s">
        <v>36</v>
      </c>
      <c r="D659" s="94" t="s">
        <v>513</v>
      </c>
      <c r="E659" s="94" t="s">
        <v>2494</v>
      </c>
      <c r="F659" s="95" t="s">
        <v>2495</v>
      </c>
      <c r="G659" s="96">
        <v>42370</v>
      </c>
      <c r="H659" s="97">
        <v>22572</v>
      </c>
      <c r="I659" s="108" t="s">
        <v>12349</v>
      </c>
      <c r="J659" s="94" t="s">
        <v>2496</v>
      </c>
      <c r="K659" s="95">
        <v>983602396</v>
      </c>
      <c r="L659" s="91" t="s">
        <v>60</v>
      </c>
      <c r="M659" s="98">
        <f ca="1">(TODAY()-H659)/365</f>
        <v>64.191780821917803</v>
      </c>
      <c r="N659" s="99">
        <f>(G659-H659)/365</f>
        <v>54.241095890410961</v>
      </c>
      <c r="O659" s="98">
        <f ca="1">(TODAY()-G659)/365</f>
        <v>9.9506849315068493</v>
      </c>
      <c r="P659" s="91" t="s">
        <v>43</v>
      </c>
      <c r="Q659" s="91">
        <v>0</v>
      </c>
      <c r="R659" s="91">
        <v>0</v>
      </c>
      <c r="S659" s="91">
        <v>0</v>
      </c>
      <c r="T659" s="91"/>
      <c r="U659" s="91"/>
      <c r="V659" s="91"/>
      <c r="W659" s="91"/>
      <c r="X659" s="91"/>
      <c r="Y659" s="91"/>
      <c r="Z659" s="91"/>
      <c r="AA659" s="91"/>
      <c r="AB659" s="91"/>
      <c r="AC659" s="91"/>
      <c r="AD659" s="91"/>
      <c r="AE659" s="91"/>
      <c r="AF659" s="91"/>
      <c r="AG659" s="91"/>
      <c r="AH659" s="91"/>
      <c r="AI659" s="91"/>
      <c r="AJ659" s="91"/>
      <c r="AK659" s="91"/>
      <c r="AL659" s="91"/>
      <c r="AM659" s="91"/>
    </row>
    <row r="660" spans="1:39" ht="20.25" hidden="1" customHeight="1">
      <c r="A660" s="91"/>
      <c r="B660" s="93" t="s">
        <v>2419</v>
      </c>
      <c r="C660" s="91" t="s">
        <v>36</v>
      </c>
      <c r="D660" s="94" t="s">
        <v>2497</v>
      </c>
      <c r="E660" s="94" t="s">
        <v>2498</v>
      </c>
      <c r="F660" s="95" t="s">
        <v>2499</v>
      </c>
      <c r="G660" s="96">
        <v>42370</v>
      </c>
      <c r="H660" s="97">
        <v>21705</v>
      </c>
      <c r="I660" s="108" t="s">
        <v>12350</v>
      </c>
      <c r="J660" s="94" t="s">
        <v>58</v>
      </c>
      <c r="K660" s="95">
        <v>954220668</v>
      </c>
      <c r="L660" s="91" t="s">
        <v>60</v>
      </c>
      <c r="M660" s="98">
        <f ca="1">(TODAY()-H660)/365</f>
        <v>66.567123287671237</v>
      </c>
      <c r="N660" s="99">
        <f>(G660-H660)/365</f>
        <v>56.61643835616438</v>
      </c>
      <c r="O660" s="98">
        <f ca="1">(TODAY()-G660)/365</f>
        <v>9.9506849315068493</v>
      </c>
      <c r="P660" s="91" t="s">
        <v>43</v>
      </c>
      <c r="Q660" s="91">
        <v>0</v>
      </c>
      <c r="R660" s="91">
        <v>0</v>
      </c>
      <c r="S660" s="91">
        <v>0</v>
      </c>
      <c r="T660" s="91"/>
      <c r="U660" s="91"/>
      <c r="V660" s="91"/>
      <c r="W660" s="91"/>
      <c r="X660" s="91"/>
      <c r="Y660" s="91"/>
      <c r="Z660" s="91"/>
      <c r="AA660" s="91"/>
      <c r="AB660" s="91"/>
      <c r="AC660" s="91"/>
      <c r="AD660" s="91"/>
      <c r="AE660" s="91"/>
      <c r="AF660" s="91"/>
      <c r="AG660" s="91"/>
      <c r="AH660" s="91"/>
      <c r="AI660" s="91"/>
      <c r="AJ660" s="91"/>
      <c r="AK660" s="91"/>
      <c r="AL660" s="91"/>
      <c r="AM660" s="91"/>
    </row>
    <row r="661" spans="1:39" ht="20.25" hidden="1" customHeight="1">
      <c r="A661" s="91"/>
      <c r="B661" s="93" t="s">
        <v>2419</v>
      </c>
      <c r="C661" s="91" t="s">
        <v>36</v>
      </c>
      <c r="D661" s="94" t="s">
        <v>2500</v>
      </c>
      <c r="E661" s="94" t="s">
        <v>2501</v>
      </c>
      <c r="F661" s="95" t="s">
        <v>2502</v>
      </c>
      <c r="G661" s="96">
        <v>39814</v>
      </c>
      <c r="H661" s="97">
        <v>18128</v>
      </c>
      <c r="I661" s="94" t="s">
        <v>2503</v>
      </c>
      <c r="J661" s="94" t="s">
        <v>2504</v>
      </c>
      <c r="K661" s="95">
        <v>956556019</v>
      </c>
      <c r="L661" s="91" t="s">
        <v>60</v>
      </c>
      <c r="M661" s="98">
        <f ca="1">(TODAY()-H661)/365</f>
        <v>76.367123287671234</v>
      </c>
      <c r="N661" s="99">
        <f>(G661-H661)/365</f>
        <v>59.413698630136984</v>
      </c>
      <c r="O661" s="98">
        <f ca="1">(TODAY()-G661)/365</f>
        <v>16.953424657534246</v>
      </c>
      <c r="P661" s="91" t="s">
        <v>43</v>
      </c>
      <c r="Q661" s="91">
        <v>0</v>
      </c>
      <c r="R661" s="91">
        <v>0</v>
      </c>
      <c r="S661" s="91">
        <v>0</v>
      </c>
      <c r="T661" s="91"/>
      <c r="U661" s="91"/>
      <c r="V661" s="91"/>
      <c r="W661" s="91"/>
      <c r="X661" s="91"/>
      <c r="Y661" s="91"/>
      <c r="Z661" s="91"/>
      <c r="AA661" s="91"/>
      <c r="AB661" s="91"/>
      <c r="AC661" s="91"/>
      <c r="AD661" s="91"/>
      <c r="AE661" s="91"/>
      <c r="AF661" s="91"/>
      <c r="AG661" s="91"/>
      <c r="AH661" s="91"/>
      <c r="AI661" s="91"/>
      <c r="AJ661" s="91"/>
      <c r="AK661" s="91"/>
      <c r="AL661" s="91"/>
      <c r="AM661" s="91"/>
    </row>
    <row r="662" spans="1:39" ht="20.25" hidden="1" customHeight="1">
      <c r="A662" s="91"/>
      <c r="B662" s="93" t="s">
        <v>2419</v>
      </c>
      <c r="C662" s="91" t="s">
        <v>36</v>
      </c>
      <c r="D662" s="94" t="s">
        <v>728</v>
      </c>
      <c r="E662" s="94" t="s">
        <v>2505</v>
      </c>
      <c r="F662" s="95" t="s">
        <v>2506</v>
      </c>
      <c r="G662" s="96">
        <v>40544</v>
      </c>
      <c r="H662" s="97">
        <v>18744</v>
      </c>
      <c r="I662" s="108" t="s">
        <v>12351</v>
      </c>
      <c r="J662" s="94" t="s">
        <v>58</v>
      </c>
      <c r="K662" s="95">
        <v>994988943</v>
      </c>
      <c r="L662" s="91" t="s">
        <v>60</v>
      </c>
      <c r="M662" s="98">
        <f ca="1">(TODAY()-H662)/365</f>
        <v>74.679452054794524</v>
      </c>
      <c r="N662" s="99">
        <f>(G662-H662)/365</f>
        <v>59.726027397260275</v>
      </c>
      <c r="O662" s="98">
        <f ca="1">(TODAY()-G662)/365</f>
        <v>14.953424657534246</v>
      </c>
      <c r="P662" s="91" t="s">
        <v>43</v>
      </c>
      <c r="Q662" s="91">
        <v>0</v>
      </c>
      <c r="R662" s="91">
        <v>0</v>
      </c>
      <c r="S662" s="91">
        <v>0</v>
      </c>
      <c r="T662" s="91"/>
      <c r="U662" s="91"/>
      <c r="V662" s="91"/>
      <c r="W662" s="91"/>
      <c r="X662" s="91"/>
      <c r="Y662" s="91"/>
      <c r="Z662" s="91"/>
      <c r="AA662" s="91"/>
      <c r="AB662" s="91"/>
      <c r="AC662" s="91"/>
      <c r="AD662" s="91"/>
      <c r="AE662" s="91"/>
      <c r="AF662" s="91"/>
      <c r="AG662" s="91"/>
      <c r="AH662" s="91"/>
      <c r="AI662" s="91"/>
      <c r="AJ662" s="91"/>
      <c r="AK662" s="91"/>
      <c r="AL662" s="91"/>
      <c r="AM662" s="91"/>
    </row>
    <row r="663" spans="1:39" ht="20.25" hidden="1" customHeight="1">
      <c r="A663" s="91"/>
      <c r="B663" s="93" t="s">
        <v>2419</v>
      </c>
      <c r="C663" s="91" t="s">
        <v>36</v>
      </c>
      <c r="D663" s="94" t="s">
        <v>2507</v>
      </c>
      <c r="E663" s="94" t="s">
        <v>2508</v>
      </c>
      <c r="F663" s="95" t="s">
        <v>2509</v>
      </c>
      <c r="G663" s="96">
        <v>45658</v>
      </c>
      <c r="H663" s="97">
        <v>16540</v>
      </c>
      <c r="I663" s="108" t="s">
        <v>12352</v>
      </c>
      <c r="J663" s="94" t="s">
        <v>2510</v>
      </c>
      <c r="K663" s="95">
        <v>997896062</v>
      </c>
      <c r="L663" s="91" t="s">
        <v>60</v>
      </c>
      <c r="M663" s="98">
        <f ca="1">(TODAY()-H663)/365</f>
        <v>80.717808219178082</v>
      </c>
      <c r="N663" s="99">
        <f>(G663-H663)/365</f>
        <v>79.775342465753425</v>
      </c>
      <c r="O663" s="98">
        <f ca="1">(TODAY()-G663)/365</f>
        <v>0.94246575342465755</v>
      </c>
      <c r="P663" s="91" t="s">
        <v>272</v>
      </c>
      <c r="Q663" s="91">
        <v>0</v>
      </c>
      <c r="R663" s="91">
        <v>0</v>
      </c>
      <c r="S663" s="91">
        <v>0</v>
      </c>
      <c r="T663" s="91"/>
      <c r="U663" s="91"/>
      <c r="V663" s="91"/>
      <c r="W663" s="91"/>
      <c r="X663" s="91"/>
      <c r="Y663" s="91"/>
      <c r="Z663" s="91"/>
      <c r="AA663" s="91"/>
      <c r="AB663" s="91"/>
      <c r="AC663" s="91"/>
      <c r="AD663" s="91"/>
      <c r="AE663" s="91"/>
      <c r="AF663" s="91"/>
      <c r="AG663" s="91"/>
      <c r="AH663" s="91"/>
      <c r="AI663" s="91"/>
      <c r="AJ663" s="91"/>
      <c r="AK663" s="91"/>
      <c r="AL663" s="91"/>
      <c r="AM663" s="91"/>
    </row>
    <row r="664" spans="1:39" ht="20.25" customHeight="1">
      <c r="A664" s="91"/>
      <c r="B664" s="93" t="s">
        <v>2320</v>
      </c>
      <c r="C664" s="91" t="s">
        <v>73</v>
      </c>
      <c r="D664" s="94" t="s">
        <v>2328</v>
      </c>
      <c r="E664" s="94" t="s">
        <v>2329</v>
      </c>
      <c r="F664" s="95" t="s">
        <v>2330</v>
      </c>
      <c r="G664" s="96">
        <v>42431</v>
      </c>
      <c r="H664" s="97">
        <v>36087</v>
      </c>
      <c r="I664" s="100" t="s">
        <v>2331</v>
      </c>
      <c r="J664" s="94" t="s">
        <v>58</v>
      </c>
      <c r="K664" s="92">
        <v>57259518</v>
      </c>
      <c r="L664" s="91" t="s">
        <v>60</v>
      </c>
      <c r="M664" s="98">
        <f ca="1">(TODAY()-H664)/365</f>
        <v>27.164383561643834</v>
      </c>
      <c r="N664" s="99">
        <f>(G664-H664)/365</f>
        <v>17.38082191780822</v>
      </c>
      <c r="O664" s="98">
        <f ca="1">(TODAY()-G664)/365</f>
        <v>9.7835616438356166</v>
      </c>
      <c r="P664" s="91" t="s">
        <v>43</v>
      </c>
      <c r="Q664" s="91">
        <v>0</v>
      </c>
      <c r="R664" s="91">
        <v>0</v>
      </c>
      <c r="S664" s="91">
        <v>0</v>
      </c>
      <c r="T664" s="91"/>
      <c r="U664" s="91"/>
      <c r="V664" s="91"/>
      <c r="W664" s="91"/>
      <c r="X664" s="91"/>
      <c r="Y664" s="91"/>
      <c r="Z664" s="91"/>
      <c r="AA664" s="91"/>
      <c r="AB664" s="91"/>
      <c r="AC664" s="91"/>
      <c r="AD664" s="91"/>
      <c r="AE664" s="91"/>
      <c r="AF664" s="91"/>
      <c r="AG664" s="91"/>
      <c r="AH664" s="91"/>
      <c r="AI664" s="91"/>
      <c r="AJ664" s="91"/>
      <c r="AK664" s="91"/>
      <c r="AL664" s="91"/>
      <c r="AM664" s="91"/>
    </row>
    <row r="665" spans="1:39" ht="20.25" hidden="1" customHeight="1">
      <c r="A665" s="91"/>
      <c r="B665" s="93" t="s">
        <v>2513</v>
      </c>
      <c r="C665" s="91" t="s">
        <v>36</v>
      </c>
      <c r="D665" s="107" t="s">
        <v>2514</v>
      </c>
      <c r="E665" s="107" t="s">
        <v>2515</v>
      </c>
      <c r="F665" s="91" t="s">
        <v>2516</v>
      </c>
      <c r="G665" s="96">
        <v>28549</v>
      </c>
      <c r="H665" s="97">
        <v>22627</v>
      </c>
      <c r="I665" s="100" t="s">
        <v>2517</v>
      </c>
      <c r="J665" s="100" t="s">
        <v>2518</v>
      </c>
      <c r="K665" s="91">
        <v>982252869</v>
      </c>
      <c r="L665" s="91" t="s">
        <v>167</v>
      </c>
      <c r="M665" s="98">
        <f ca="1">(TODAY()-H665)/365</f>
        <v>64.041095890410958</v>
      </c>
      <c r="N665" s="99">
        <f>(G665-H665)/365</f>
        <v>16.224657534246575</v>
      </c>
      <c r="O665" s="98">
        <f ca="1">(TODAY()-G665)/365</f>
        <v>47.816438356164383</v>
      </c>
      <c r="P665" s="91" t="s">
        <v>43</v>
      </c>
      <c r="Q665" s="91">
        <v>1</v>
      </c>
      <c r="R665" s="91">
        <v>0</v>
      </c>
      <c r="S665" s="91">
        <v>0</v>
      </c>
      <c r="T665" s="91"/>
      <c r="U665" s="91"/>
      <c r="V665" s="91"/>
      <c r="W665" s="91"/>
      <c r="X665" s="91"/>
      <c r="Y665" s="91"/>
      <c r="Z665" s="91"/>
      <c r="AA665" s="91"/>
      <c r="AB665" s="91"/>
      <c r="AC665" s="91"/>
      <c r="AD665" s="91"/>
      <c r="AE665" s="91"/>
      <c r="AF665" s="91"/>
      <c r="AG665" s="91"/>
      <c r="AH665" s="91"/>
      <c r="AI665" s="91"/>
      <c r="AJ665" s="91"/>
      <c r="AK665" s="91"/>
      <c r="AL665" s="91"/>
      <c r="AM665" s="91"/>
    </row>
    <row r="666" spans="1:39" ht="20.25" hidden="1" customHeight="1">
      <c r="A666" s="91"/>
      <c r="B666" s="93" t="s">
        <v>2513</v>
      </c>
      <c r="C666" s="91" t="s">
        <v>36</v>
      </c>
      <c r="D666" s="107" t="s">
        <v>2519</v>
      </c>
      <c r="E666" s="107" t="s">
        <v>2520</v>
      </c>
      <c r="F666" s="91" t="s">
        <v>2521</v>
      </c>
      <c r="G666" s="96">
        <v>38479</v>
      </c>
      <c r="H666" s="97">
        <v>31589</v>
      </c>
      <c r="I666" s="100" t="s">
        <v>2522</v>
      </c>
      <c r="J666" s="100" t="s">
        <v>2523</v>
      </c>
      <c r="K666" s="91">
        <v>945802224</v>
      </c>
      <c r="L666" s="91" t="s">
        <v>42</v>
      </c>
      <c r="M666" s="98">
        <f ca="1">(TODAY()-H666)/365</f>
        <v>39.487671232876714</v>
      </c>
      <c r="N666" s="99">
        <f>(G666-H666)/365</f>
        <v>18.876712328767123</v>
      </c>
      <c r="O666" s="98">
        <f ca="1">(TODAY()-G666)/365</f>
        <v>20.610958904109587</v>
      </c>
      <c r="P666" s="91" t="s">
        <v>43</v>
      </c>
      <c r="Q666" s="91">
        <v>0</v>
      </c>
      <c r="R666" s="91">
        <v>0</v>
      </c>
      <c r="S666" s="91">
        <v>0</v>
      </c>
      <c r="T666" s="91"/>
      <c r="U666" s="91"/>
      <c r="V666" s="91"/>
      <c r="W666" s="91"/>
      <c r="X666" s="91"/>
      <c r="Y666" s="91">
        <v>2023</v>
      </c>
      <c r="Z666" s="91"/>
      <c r="AA666" s="91"/>
      <c r="AB666" s="91"/>
      <c r="AC666" s="91"/>
      <c r="AD666" s="91"/>
      <c r="AE666" s="91"/>
      <c r="AF666" s="91"/>
      <c r="AG666" s="91"/>
      <c r="AH666" s="91"/>
      <c r="AI666" s="91"/>
      <c r="AJ666" s="91"/>
      <c r="AK666" s="91"/>
      <c r="AL666" s="91"/>
      <c r="AM666" s="91"/>
    </row>
    <row r="667" spans="1:39" ht="20.25" hidden="1" customHeight="1">
      <c r="A667" s="91"/>
      <c r="B667" s="93" t="s">
        <v>2513</v>
      </c>
      <c r="C667" s="91" t="s">
        <v>36</v>
      </c>
      <c r="D667" s="107" t="s">
        <v>2524</v>
      </c>
      <c r="E667" s="107" t="s">
        <v>2525</v>
      </c>
      <c r="F667" s="91" t="s">
        <v>2526</v>
      </c>
      <c r="G667" s="96">
        <v>45598</v>
      </c>
      <c r="H667" s="97">
        <v>38204</v>
      </c>
      <c r="I667" s="100" t="s">
        <v>2527</v>
      </c>
      <c r="J667" s="100" t="s">
        <v>2528</v>
      </c>
      <c r="K667" s="91">
        <v>949306412</v>
      </c>
      <c r="L667" s="91" t="s">
        <v>60</v>
      </c>
      <c r="M667" s="98">
        <f ca="1">(TODAY()-H667)/365</f>
        <v>21.364383561643837</v>
      </c>
      <c r="N667" s="99">
        <f>(G667-H667)/365</f>
        <v>20.257534246575343</v>
      </c>
      <c r="O667" s="98">
        <f ca="1">(TODAY()-G667)/365</f>
        <v>1.106849315068493</v>
      </c>
      <c r="P667" s="91" t="s">
        <v>43</v>
      </c>
      <c r="Q667" s="91">
        <v>0</v>
      </c>
      <c r="R667" s="91">
        <v>0</v>
      </c>
      <c r="S667" s="91">
        <v>0</v>
      </c>
      <c r="T667" s="91"/>
      <c r="U667" s="91"/>
      <c r="V667" s="91"/>
      <c r="W667" s="91"/>
      <c r="X667" s="91"/>
      <c r="Y667" s="91"/>
      <c r="Z667" s="91"/>
      <c r="AA667" s="91"/>
      <c r="AB667" s="91"/>
      <c r="AC667" s="91"/>
      <c r="AD667" s="91"/>
      <c r="AE667" s="91"/>
      <c r="AF667" s="91"/>
      <c r="AG667" s="91"/>
      <c r="AH667" s="91"/>
      <c r="AI667" s="91"/>
      <c r="AJ667" s="91"/>
      <c r="AK667" s="91"/>
      <c r="AL667" s="91"/>
      <c r="AM667" s="91"/>
    </row>
    <row r="668" spans="1:39" ht="20.25" hidden="1" customHeight="1">
      <c r="A668" s="91"/>
      <c r="B668" s="93" t="s">
        <v>2513</v>
      </c>
      <c r="C668" s="91" t="s">
        <v>36</v>
      </c>
      <c r="D668" s="107" t="s">
        <v>2529</v>
      </c>
      <c r="E668" s="107" t="s">
        <v>2530</v>
      </c>
      <c r="F668" s="91" t="s">
        <v>2531</v>
      </c>
      <c r="G668" s="96">
        <v>45598</v>
      </c>
      <c r="H668" s="97">
        <v>37530</v>
      </c>
      <c r="I668" s="100" t="s">
        <v>2532</v>
      </c>
      <c r="J668" s="100" t="s">
        <v>2533</v>
      </c>
      <c r="K668" s="91">
        <v>973295954</v>
      </c>
      <c r="L668" s="91" t="s">
        <v>60</v>
      </c>
      <c r="M668" s="98">
        <f ca="1">(TODAY()-H668)/365</f>
        <v>23.210958904109589</v>
      </c>
      <c r="N668" s="99">
        <f>(G668-H668)/365</f>
        <v>22.104109589041094</v>
      </c>
      <c r="O668" s="98">
        <f ca="1">(TODAY()-G668)/365</f>
        <v>1.106849315068493</v>
      </c>
      <c r="P668" s="91" t="s">
        <v>43</v>
      </c>
      <c r="Q668" s="91">
        <v>0</v>
      </c>
      <c r="R668" s="91">
        <v>0</v>
      </c>
      <c r="S668" s="91">
        <v>0</v>
      </c>
      <c r="T668" s="91"/>
      <c r="U668" s="91"/>
      <c r="V668" s="91"/>
      <c r="W668" s="91"/>
      <c r="X668" s="91"/>
      <c r="Y668" s="91"/>
      <c r="Z668" s="91"/>
      <c r="AA668" s="91"/>
      <c r="AB668" s="91"/>
      <c r="AC668" s="91"/>
      <c r="AD668" s="91"/>
      <c r="AE668" s="91"/>
      <c r="AF668" s="91"/>
      <c r="AG668" s="91"/>
      <c r="AH668" s="91"/>
      <c r="AI668" s="91"/>
      <c r="AJ668" s="91"/>
      <c r="AK668" s="91"/>
      <c r="AL668" s="91"/>
      <c r="AM668" s="91"/>
    </row>
    <row r="669" spans="1:39" ht="20.25" hidden="1" customHeight="1">
      <c r="A669" s="91"/>
      <c r="B669" s="93" t="s">
        <v>2513</v>
      </c>
      <c r="C669" s="91" t="s">
        <v>36</v>
      </c>
      <c r="D669" s="107" t="s">
        <v>2534</v>
      </c>
      <c r="E669" s="107" t="s">
        <v>2535</v>
      </c>
      <c r="F669" s="91" t="s">
        <v>2536</v>
      </c>
      <c r="G669" s="96">
        <v>45490</v>
      </c>
      <c r="H669" s="97">
        <v>35315</v>
      </c>
      <c r="I669" s="100" t="s">
        <v>2537</v>
      </c>
      <c r="J669" s="100" t="s">
        <v>2538</v>
      </c>
      <c r="K669" s="91">
        <v>930801967</v>
      </c>
      <c r="L669" s="91" t="s">
        <v>60</v>
      </c>
      <c r="M669" s="98">
        <f ca="1">(TODAY()-H669)/365</f>
        <v>29.279452054794522</v>
      </c>
      <c r="N669" s="99">
        <f>(G669-H669)/365</f>
        <v>27.876712328767123</v>
      </c>
      <c r="O669" s="98">
        <f ca="1">(TODAY()-G669)/365</f>
        <v>1.4027397260273973</v>
      </c>
      <c r="P669" s="91" t="s">
        <v>272</v>
      </c>
      <c r="Q669" s="91">
        <v>0</v>
      </c>
      <c r="R669" s="91">
        <v>0</v>
      </c>
      <c r="S669" s="91">
        <v>0</v>
      </c>
      <c r="T669" s="91"/>
      <c r="U669" s="91"/>
      <c r="V669" s="91"/>
      <c r="W669" s="91"/>
      <c r="X669" s="91"/>
      <c r="Y669" s="91"/>
      <c r="Z669" s="91"/>
      <c r="AA669" s="91"/>
      <c r="AB669" s="91"/>
      <c r="AC669" s="91"/>
      <c r="AD669" s="91"/>
      <c r="AE669" s="91"/>
      <c r="AF669" s="91"/>
      <c r="AG669" s="91"/>
      <c r="AH669" s="91"/>
      <c r="AI669" s="91"/>
      <c r="AJ669" s="91"/>
      <c r="AK669" s="91"/>
      <c r="AL669" s="91"/>
      <c r="AM669" s="91"/>
    </row>
    <row r="670" spans="1:39" ht="20.25" hidden="1" customHeight="1">
      <c r="A670" s="91"/>
      <c r="B670" s="93" t="s">
        <v>2513</v>
      </c>
      <c r="C670" s="91" t="s">
        <v>36</v>
      </c>
      <c r="D670" s="107" t="s">
        <v>2539</v>
      </c>
      <c r="E670" s="107" t="s">
        <v>2540</v>
      </c>
      <c r="F670" s="91" t="s">
        <v>2541</v>
      </c>
      <c r="G670" s="96">
        <v>31159</v>
      </c>
      <c r="H670" s="97">
        <v>20309</v>
      </c>
      <c r="I670" s="100" t="s">
        <v>2542</v>
      </c>
      <c r="J670" s="100" t="s">
        <v>2543</v>
      </c>
      <c r="K670" s="91">
        <v>995059778</v>
      </c>
      <c r="L670" s="91" t="s">
        <v>49</v>
      </c>
      <c r="M670" s="98">
        <f ca="1">(TODAY()-H670)/365</f>
        <v>70.391780821917806</v>
      </c>
      <c r="N670" s="99">
        <f>(G670-H670)/365</f>
        <v>29.726027397260275</v>
      </c>
      <c r="O670" s="98">
        <f ca="1">(TODAY()-G670)/365</f>
        <v>40.665753424657531</v>
      </c>
      <c r="P670" s="91" t="s">
        <v>43</v>
      </c>
      <c r="Q670" s="91">
        <v>0</v>
      </c>
      <c r="R670" s="91">
        <v>0</v>
      </c>
      <c r="S670" s="91">
        <v>0</v>
      </c>
      <c r="T670" s="91"/>
      <c r="U670" s="91"/>
      <c r="V670" s="91"/>
      <c r="W670" s="91"/>
      <c r="X670" s="91"/>
      <c r="Y670" s="91"/>
      <c r="Z670" s="91"/>
      <c r="AA670" s="91"/>
      <c r="AB670" s="91"/>
      <c r="AC670" s="91"/>
      <c r="AD670" s="91"/>
      <c r="AE670" s="91"/>
      <c r="AF670" s="91"/>
      <c r="AG670" s="91"/>
      <c r="AH670" s="91"/>
      <c r="AI670" s="91"/>
      <c r="AJ670" s="91"/>
      <c r="AK670" s="91"/>
      <c r="AL670" s="91"/>
      <c r="AM670" s="91"/>
    </row>
    <row r="671" spans="1:39" ht="20.25" hidden="1" customHeight="1">
      <c r="A671" s="91"/>
      <c r="B671" s="93" t="s">
        <v>2513</v>
      </c>
      <c r="C671" s="91" t="s">
        <v>36</v>
      </c>
      <c r="D671" s="107" t="s">
        <v>2544</v>
      </c>
      <c r="E671" s="107" t="s">
        <v>2545</v>
      </c>
      <c r="F671" s="91" t="s">
        <v>2546</v>
      </c>
      <c r="G671" s="96">
        <v>23362</v>
      </c>
      <c r="H671" s="97">
        <v>11684</v>
      </c>
      <c r="I671" s="100" t="s">
        <v>2547</v>
      </c>
      <c r="J671" s="100" t="s">
        <v>2548</v>
      </c>
      <c r="K671" s="95" t="s">
        <v>58</v>
      </c>
      <c r="L671" s="91" t="s">
        <v>60</v>
      </c>
      <c r="M671" s="98">
        <f ca="1">(TODAY()-H671)/365</f>
        <v>94.021917808219172</v>
      </c>
      <c r="N671" s="99">
        <f>(G671-H671)/365</f>
        <v>31.994520547945207</v>
      </c>
      <c r="O671" s="98">
        <f ca="1">(TODAY()-G671)/365</f>
        <v>62.027397260273972</v>
      </c>
      <c r="P671" s="91" t="s">
        <v>43</v>
      </c>
      <c r="Q671" s="91">
        <v>0</v>
      </c>
      <c r="R671" s="91">
        <v>0</v>
      </c>
      <c r="S671" s="91">
        <v>0</v>
      </c>
      <c r="T671" s="91"/>
      <c r="U671" s="91"/>
      <c r="V671" s="91"/>
      <c r="W671" s="91"/>
      <c r="X671" s="91"/>
      <c r="Y671" s="91"/>
      <c r="Z671" s="91"/>
      <c r="AA671" s="91"/>
      <c r="AB671" s="91"/>
      <c r="AC671" s="91"/>
      <c r="AD671" s="91"/>
      <c r="AE671" s="91"/>
      <c r="AF671" s="91"/>
      <c r="AG671" s="91"/>
      <c r="AH671" s="91"/>
      <c r="AI671" s="91"/>
      <c r="AJ671" s="91"/>
      <c r="AK671" s="91"/>
      <c r="AL671" s="91"/>
      <c r="AM671" s="91"/>
    </row>
    <row r="672" spans="1:39" ht="20.25" hidden="1" customHeight="1">
      <c r="A672" s="91"/>
      <c r="B672" s="93" t="s">
        <v>2513</v>
      </c>
      <c r="C672" s="91" t="s">
        <v>36</v>
      </c>
      <c r="D672" s="107" t="s">
        <v>2549</v>
      </c>
      <c r="E672" s="107" t="s">
        <v>2550</v>
      </c>
      <c r="F672" s="91" t="s">
        <v>2551</v>
      </c>
      <c r="G672" s="96">
        <v>31601</v>
      </c>
      <c r="H672" s="97">
        <v>19902</v>
      </c>
      <c r="I672" s="100" t="s">
        <v>2552</v>
      </c>
      <c r="J672" s="100" t="s">
        <v>2553</v>
      </c>
      <c r="K672" s="91">
        <v>984589601</v>
      </c>
      <c r="L672" s="91" t="s">
        <v>216</v>
      </c>
      <c r="M672" s="98">
        <f ca="1">(TODAY()-H672)/365</f>
        <v>71.506849315068493</v>
      </c>
      <c r="N672" s="99">
        <f>(G672-H672)/365</f>
        <v>32.052054794520551</v>
      </c>
      <c r="O672" s="98">
        <f ca="1">(TODAY()-G672)/365</f>
        <v>39.454794520547942</v>
      </c>
      <c r="P672" s="91" t="s">
        <v>43</v>
      </c>
      <c r="Q672" s="91">
        <v>0</v>
      </c>
      <c r="R672" s="91">
        <v>0</v>
      </c>
      <c r="S672" s="91">
        <v>0</v>
      </c>
      <c r="T672" s="91"/>
      <c r="U672" s="91"/>
      <c r="V672" s="91"/>
      <c r="W672" s="91"/>
      <c r="X672" s="91"/>
      <c r="Y672" s="91"/>
      <c r="Z672" s="91"/>
      <c r="AA672" s="91"/>
      <c r="AB672" s="91"/>
      <c r="AC672" s="91"/>
      <c r="AD672" s="91"/>
      <c r="AE672" s="91"/>
      <c r="AF672" s="91"/>
      <c r="AG672" s="91"/>
      <c r="AH672" s="91"/>
      <c r="AI672" s="91"/>
      <c r="AJ672" s="91"/>
      <c r="AK672" s="91"/>
      <c r="AL672" s="91"/>
      <c r="AM672" s="91"/>
    </row>
    <row r="673" spans="1:39" ht="20.25" hidden="1" customHeight="1">
      <c r="A673" s="91"/>
      <c r="B673" s="93" t="s">
        <v>2513</v>
      </c>
      <c r="C673" s="91" t="s">
        <v>36</v>
      </c>
      <c r="D673" s="107" t="s">
        <v>2554</v>
      </c>
      <c r="E673" s="107" t="s">
        <v>2555</v>
      </c>
      <c r="F673" s="91" t="s">
        <v>2556</v>
      </c>
      <c r="G673" s="96">
        <v>37928</v>
      </c>
      <c r="H673" s="97">
        <v>24748</v>
      </c>
      <c r="I673" s="100" t="s">
        <v>2557</v>
      </c>
      <c r="J673" s="100" t="s">
        <v>2558</v>
      </c>
      <c r="K673" s="91">
        <v>978534432</v>
      </c>
      <c r="L673" s="91" t="s">
        <v>66</v>
      </c>
      <c r="M673" s="98">
        <f ca="1">(TODAY()-H673)/365</f>
        <v>58.230136986301368</v>
      </c>
      <c r="N673" s="99">
        <f>(G673-H673)/365</f>
        <v>36.109589041095887</v>
      </c>
      <c r="O673" s="98">
        <f ca="1">(TODAY()-G673)/365</f>
        <v>22.12054794520548</v>
      </c>
      <c r="P673" s="91" t="s">
        <v>43</v>
      </c>
      <c r="Q673" s="91">
        <v>0</v>
      </c>
      <c r="R673" s="91">
        <v>0</v>
      </c>
      <c r="S673" s="91">
        <v>0</v>
      </c>
      <c r="T673" s="91"/>
      <c r="U673" s="91"/>
      <c r="V673" s="91"/>
      <c r="W673" s="91"/>
      <c r="X673" s="91"/>
      <c r="Y673" s="91">
        <v>2023</v>
      </c>
      <c r="Z673" s="91"/>
      <c r="AA673" s="91"/>
      <c r="AB673" s="91"/>
      <c r="AC673" s="91"/>
      <c r="AD673" s="91"/>
      <c r="AE673" s="91"/>
      <c r="AF673" s="91"/>
      <c r="AG673" s="91"/>
      <c r="AH673" s="91"/>
      <c r="AI673" s="91"/>
      <c r="AJ673" s="91"/>
      <c r="AK673" s="91"/>
      <c r="AL673" s="91"/>
      <c r="AM673" s="91"/>
    </row>
    <row r="674" spans="1:39" ht="20.25" hidden="1" customHeight="1">
      <c r="A674" s="91"/>
      <c r="B674" s="93" t="s">
        <v>2513</v>
      </c>
      <c r="C674" s="91" t="s">
        <v>36</v>
      </c>
      <c r="D674" s="107" t="s">
        <v>2559</v>
      </c>
      <c r="E674" s="107" t="s">
        <v>2560</v>
      </c>
      <c r="F674" s="91" t="s">
        <v>2561</v>
      </c>
      <c r="G674" s="96">
        <v>38432</v>
      </c>
      <c r="H674" s="97">
        <v>23657</v>
      </c>
      <c r="I674" s="100" t="s">
        <v>2562</v>
      </c>
      <c r="J674" s="100" t="s">
        <v>2563</v>
      </c>
      <c r="K674" s="91">
        <v>945055375</v>
      </c>
      <c r="L674" s="91" t="s">
        <v>60</v>
      </c>
      <c r="M674" s="98">
        <f ca="1">(TODAY()-H674)/365</f>
        <v>61.219178082191782</v>
      </c>
      <c r="N674" s="99">
        <f>(G674-H674)/365</f>
        <v>40.479452054794521</v>
      </c>
      <c r="O674" s="98">
        <f ca="1">(TODAY()-G674)/365</f>
        <v>20.739726027397261</v>
      </c>
      <c r="P674" s="91" t="s">
        <v>43</v>
      </c>
      <c r="Q674" s="91">
        <v>0</v>
      </c>
      <c r="R674" s="91">
        <v>0</v>
      </c>
      <c r="S674" s="91">
        <v>0</v>
      </c>
      <c r="T674" s="91"/>
      <c r="U674" s="91"/>
      <c r="V674" s="91"/>
      <c r="W674" s="91"/>
      <c r="X674" s="91"/>
      <c r="Y674" s="91"/>
      <c r="Z674" s="91"/>
      <c r="AA674" s="91"/>
      <c r="AB674" s="91"/>
      <c r="AC674" s="91"/>
      <c r="AD674" s="91"/>
      <c r="AE674" s="91"/>
      <c r="AF674" s="91"/>
      <c r="AG674" s="91"/>
      <c r="AH674" s="91"/>
      <c r="AI674" s="91"/>
      <c r="AJ674" s="91"/>
      <c r="AK674" s="91"/>
      <c r="AL674" s="91"/>
      <c r="AM674" s="91"/>
    </row>
    <row r="675" spans="1:39" ht="20.25" hidden="1" customHeight="1">
      <c r="A675" s="91"/>
      <c r="B675" s="93" t="s">
        <v>2513</v>
      </c>
      <c r="C675" s="91" t="s">
        <v>36</v>
      </c>
      <c r="D675" s="107" t="s">
        <v>2564</v>
      </c>
      <c r="E675" s="107" t="s">
        <v>2565</v>
      </c>
      <c r="F675" s="91" t="s">
        <v>2566</v>
      </c>
      <c r="G675" s="96">
        <v>36670</v>
      </c>
      <c r="H675" s="97">
        <v>21603</v>
      </c>
      <c r="I675" s="100" t="s">
        <v>2567</v>
      </c>
      <c r="J675" s="100" t="s">
        <v>2568</v>
      </c>
      <c r="K675" s="91">
        <v>981998239</v>
      </c>
      <c r="L675" s="91" t="s">
        <v>54</v>
      </c>
      <c r="M675" s="98">
        <f ca="1">(TODAY()-H675)/365</f>
        <v>66.846575342465755</v>
      </c>
      <c r="N675" s="99">
        <f>(G675-H675)/365</f>
        <v>41.279452054794518</v>
      </c>
      <c r="O675" s="98">
        <f ca="1">(TODAY()-G675)/365</f>
        <v>25.567123287671233</v>
      </c>
      <c r="P675" s="91" t="s">
        <v>43</v>
      </c>
      <c r="Q675" s="91">
        <v>0</v>
      </c>
      <c r="R675" s="91">
        <v>0</v>
      </c>
      <c r="S675" s="91">
        <v>0</v>
      </c>
      <c r="T675" s="91"/>
      <c r="U675" s="91"/>
      <c r="V675" s="91"/>
      <c r="W675" s="91"/>
      <c r="X675" s="91"/>
      <c r="Y675" s="91"/>
      <c r="Z675" s="91"/>
      <c r="AA675" s="91"/>
      <c r="AB675" s="91"/>
      <c r="AC675" s="91"/>
      <c r="AD675" s="91"/>
      <c r="AE675" s="91"/>
      <c r="AF675" s="91"/>
      <c r="AG675" s="91"/>
      <c r="AH675" s="91"/>
      <c r="AI675" s="91"/>
      <c r="AJ675" s="91"/>
      <c r="AK675" s="91"/>
      <c r="AL675" s="91"/>
      <c r="AM675" s="91"/>
    </row>
    <row r="676" spans="1:39" ht="20.25" hidden="1" customHeight="1">
      <c r="A676" s="91"/>
      <c r="B676" s="93" t="s">
        <v>2513</v>
      </c>
      <c r="C676" s="91" t="s">
        <v>36</v>
      </c>
      <c r="D676" s="107" t="s">
        <v>2569</v>
      </c>
      <c r="E676" s="107" t="s">
        <v>2570</v>
      </c>
      <c r="F676" s="91" t="s">
        <v>2571</v>
      </c>
      <c r="G676" s="96">
        <v>43222</v>
      </c>
      <c r="H676" s="97">
        <v>27270</v>
      </c>
      <c r="I676" s="100" t="s">
        <v>2572</v>
      </c>
      <c r="J676" s="100" t="s">
        <v>2573</v>
      </c>
      <c r="K676" s="91">
        <v>937116523</v>
      </c>
      <c r="L676" s="91" t="s">
        <v>197</v>
      </c>
      <c r="M676" s="98">
        <f ca="1">(TODAY()-H676)/365</f>
        <v>51.320547945205476</v>
      </c>
      <c r="N676" s="99">
        <f>(G676-H676)/365</f>
        <v>43.704109589041096</v>
      </c>
      <c r="O676" s="98">
        <f ca="1">(TODAY()-G676)/365</f>
        <v>7.6164383561643838</v>
      </c>
      <c r="P676" s="91" t="s">
        <v>43</v>
      </c>
      <c r="Q676" s="91">
        <v>0</v>
      </c>
      <c r="R676" s="91">
        <v>0</v>
      </c>
      <c r="S676" s="91">
        <v>0</v>
      </c>
      <c r="T676" s="91"/>
      <c r="U676" s="91"/>
      <c r="V676" s="91"/>
      <c r="W676" s="91"/>
      <c r="X676" s="91"/>
      <c r="Y676" s="91">
        <v>2023</v>
      </c>
      <c r="Z676" s="91"/>
      <c r="AA676" s="91"/>
      <c r="AB676" s="91"/>
      <c r="AC676" s="91"/>
      <c r="AD676" s="91"/>
      <c r="AE676" s="91"/>
      <c r="AF676" s="91"/>
      <c r="AG676" s="91"/>
      <c r="AH676" s="91"/>
      <c r="AI676" s="91"/>
      <c r="AJ676" s="91"/>
      <c r="AK676" s="91"/>
      <c r="AL676" s="91"/>
      <c r="AM676" s="91"/>
    </row>
    <row r="677" spans="1:39" ht="20.25" hidden="1" customHeight="1">
      <c r="A677" s="91"/>
      <c r="B677" s="93" t="s">
        <v>2513</v>
      </c>
      <c r="C677" s="91" t="s">
        <v>36</v>
      </c>
      <c r="D677" s="107" t="s">
        <v>2574</v>
      </c>
      <c r="E677" s="107" t="s">
        <v>2575</v>
      </c>
      <c r="F677" s="91" t="s">
        <v>2576</v>
      </c>
      <c r="G677" s="96">
        <v>37008</v>
      </c>
      <c r="H677" s="97">
        <v>20045</v>
      </c>
      <c r="I677" s="100" t="s">
        <v>2577</v>
      </c>
      <c r="J677" s="100" t="s">
        <v>2578</v>
      </c>
      <c r="K677" s="91">
        <v>958466466</v>
      </c>
      <c r="L677" s="91" t="s">
        <v>72</v>
      </c>
      <c r="M677" s="98">
        <f ca="1">(TODAY()-H677)/365</f>
        <v>71.115068493150687</v>
      </c>
      <c r="N677" s="99">
        <f>(G677-H677)/365</f>
        <v>46.473972602739728</v>
      </c>
      <c r="O677" s="98">
        <f ca="1">(TODAY()-G677)/365</f>
        <v>24.641095890410959</v>
      </c>
      <c r="P677" s="91" t="s">
        <v>43</v>
      </c>
      <c r="Q677" s="91">
        <v>0</v>
      </c>
      <c r="R677" s="91">
        <v>0</v>
      </c>
      <c r="S677" s="91">
        <v>0</v>
      </c>
      <c r="T677" s="91"/>
      <c r="U677" s="91"/>
      <c r="V677" s="91"/>
      <c r="W677" s="91"/>
      <c r="X677" s="91"/>
      <c r="Y677" s="91"/>
      <c r="Z677" s="91"/>
      <c r="AA677" s="91"/>
      <c r="AB677" s="91"/>
      <c r="AC677" s="91"/>
      <c r="AD677" s="91"/>
      <c r="AE677" s="91"/>
      <c r="AF677" s="91"/>
      <c r="AG677" s="91"/>
      <c r="AH677" s="91"/>
      <c r="AI677" s="91"/>
      <c r="AJ677" s="91"/>
      <c r="AK677" s="91"/>
      <c r="AL677" s="91"/>
      <c r="AM677" s="91"/>
    </row>
    <row r="678" spans="1:39" ht="20.25" hidden="1" customHeight="1">
      <c r="A678" s="91"/>
      <c r="B678" s="93" t="s">
        <v>2513</v>
      </c>
      <c r="C678" s="91" t="s">
        <v>36</v>
      </c>
      <c r="D678" s="107" t="s">
        <v>2579</v>
      </c>
      <c r="E678" s="107" t="s">
        <v>2580</v>
      </c>
      <c r="F678" s="91" t="s">
        <v>2581</v>
      </c>
      <c r="G678" s="96">
        <v>36679</v>
      </c>
      <c r="H678" s="97">
        <v>18933</v>
      </c>
      <c r="I678" s="100" t="s">
        <v>2582</v>
      </c>
      <c r="J678" s="100" t="s">
        <v>2583</v>
      </c>
      <c r="K678" s="91">
        <v>926375455</v>
      </c>
      <c r="L678" s="91" t="s">
        <v>60</v>
      </c>
      <c r="M678" s="98">
        <f ca="1">(TODAY()-H678)/365</f>
        <v>74.161643835616445</v>
      </c>
      <c r="N678" s="99">
        <f>(G678-H678)/365</f>
        <v>48.61917808219178</v>
      </c>
      <c r="O678" s="98">
        <f ca="1">(TODAY()-G678)/365</f>
        <v>25.542465753424658</v>
      </c>
      <c r="P678" s="91" t="s">
        <v>43</v>
      </c>
      <c r="Q678" s="91">
        <v>0</v>
      </c>
      <c r="R678" s="91">
        <v>0</v>
      </c>
      <c r="S678" s="91">
        <v>0</v>
      </c>
      <c r="T678" s="91"/>
      <c r="U678" s="91"/>
      <c r="V678" s="91"/>
      <c r="W678" s="91"/>
      <c r="X678" s="91"/>
      <c r="Y678" s="91"/>
      <c r="Z678" s="91"/>
      <c r="AA678" s="91"/>
      <c r="AB678" s="91"/>
      <c r="AC678" s="91"/>
      <c r="AD678" s="91"/>
      <c r="AE678" s="91"/>
      <c r="AF678" s="91"/>
      <c r="AG678" s="91"/>
      <c r="AH678" s="91"/>
      <c r="AI678" s="91"/>
      <c r="AJ678" s="91"/>
      <c r="AK678" s="91"/>
      <c r="AL678" s="91"/>
      <c r="AM678" s="91"/>
    </row>
    <row r="679" spans="1:39" ht="20.25" hidden="1" customHeight="1">
      <c r="A679" s="91"/>
      <c r="B679" s="93" t="s">
        <v>2513</v>
      </c>
      <c r="C679" s="91" t="s">
        <v>36</v>
      </c>
      <c r="D679" s="107" t="s">
        <v>2584</v>
      </c>
      <c r="E679" s="107" t="s">
        <v>2585</v>
      </c>
      <c r="F679" s="91" t="s">
        <v>2586</v>
      </c>
      <c r="G679" s="96">
        <v>45516</v>
      </c>
      <c r="H679" s="97">
        <v>27486</v>
      </c>
      <c r="I679" s="100" t="s">
        <v>2587</v>
      </c>
      <c r="J679" s="100" t="s">
        <v>2588</v>
      </c>
      <c r="K679" s="91">
        <v>972095404</v>
      </c>
      <c r="L679" s="91" t="s">
        <v>60</v>
      </c>
      <c r="M679" s="98">
        <f ca="1">(TODAY()-H679)/365</f>
        <v>50.728767123287675</v>
      </c>
      <c r="N679" s="99">
        <f>(G679-H679)/365</f>
        <v>49.397260273972606</v>
      </c>
      <c r="O679" s="98">
        <f ca="1">(TODAY()-G679)/365</f>
        <v>1.3315068493150686</v>
      </c>
      <c r="P679" s="91" t="s">
        <v>272</v>
      </c>
      <c r="Q679" s="91">
        <v>0</v>
      </c>
      <c r="R679" s="91">
        <v>0</v>
      </c>
      <c r="S679" s="91">
        <v>0</v>
      </c>
      <c r="T679" s="91"/>
      <c r="U679" s="91"/>
      <c r="V679" s="91"/>
      <c r="W679" s="91"/>
      <c r="X679" s="91"/>
      <c r="Y679" s="91"/>
      <c r="Z679" s="91"/>
      <c r="AA679" s="91"/>
      <c r="AB679" s="91"/>
      <c r="AC679" s="91"/>
      <c r="AD679" s="91"/>
      <c r="AE679" s="91"/>
      <c r="AF679" s="91"/>
      <c r="AG679" s="91"/>
      <c r="AH679" s="91"/>
      <c r="AI679" s="91"/>
      <c r="AJ679" s="91"/>
      <c r="AK679" s="91"/>
      <c r="AL679" s="91"/>
      <c r="AM679" s="91"/>
    </row>
    <row r="680" spans="1:39" ht="20.25" hidden="1" customHeight="1">
      <c r="A680" s="91"/>
      <c r="B680" s="93" t="s">
        <v>2513</v>
      </c>
      <c r="C680" s="91" t="s">
        <v>36</v>
      </c>
      <c r="D680" s="107" t="s">
        <v>2589</v>
      </c>
      <c r="E680" s="107" t="s">
        <v>2590</v>
      </c>
      <c r="F680" s="91" t="s">
        <v>2591</v>
      </c>
      <c r="G680" s="96">
        <v>44851</v>
      </c>
      <c r="H680" s="97">
        <v>25768</v>
      </c>
      <c r="I680" s="100" t="s">
        <v>2592</v>
      </c>
      <c r="J680" s="100" t="s">
        <v>2593</v>
      </c>
      <c r="K680" s="91">
        <v>985573639</v>
      </c>
      <c r="L680" s="91" t="s">
        <v>60</v>
      </c>
      <c r="M680" s="98">
        <f ca="1">(TODAY()-H680)/365</f>
        <v>55.435616438356163</v>
      </c>
      <c r="N680" s="99">
        <f>(G680-H680)/365</f>
        <v>52.282191780821918</v>
      </c>
      <c r="O680" s="98">
        <f ca="1">(TODAY()-G680)/365</f>
        <v>3.1534246575342464</v>
      </c>
      <c r="P680" s="91" t="s">
        <v>43</v>
      </c>
      <c r="Q680" s="91">
        <v>0</v>
      </c>
      <c r="R680" s="91">
        <v>0</v>
      </c>
      <c r="S680" s="91">
        <v>0</v>
      </c>
      <c r="T680" s="91"/>
      <c r="U680" s="91"/>
      <c r="V680" s="91"/>
      <c r="W680" s="91"/>
      <c r="X680" s="91"/>
      <c r="Y680" s="91"/>
      <c r="Z680" s="91"/>
      <c r="AA680" s="91"/>
      <c r="AB680" s="91"/>
      <c r="AC680" s="91"/>
      <c r="AD680" s="91"/>
      <c r="AE680" s="91"/>
      <c r="AF680" s="91"/>
      <c r="AG680" s="91"/>
      <c r="AH680" s="91"/>
      <c r="AI680" s="91"/>
      <c r="AJ680" s="91"/>
      <c r="AK680" s="91"/>
      <c r="AL680" s="91"/>
      <c r="AM680" s="91"/>
    </row>
    <row r="681" spans="1:39" ht="20.25" hidden="1" customHeight="1">
      <c r="A681" s="91"/>
      <c r="B681" s="93" t="s">
        <v>2513</v>
      </c>
      <c r="C681" s="91" t="s">
        <v>36</v>
      </c>
      <c r="D681" s="107" t="s">
        <v>2594</v>
      </c>
      <c r="E681" s="107" t="s">
        <v>2595</v>
      </c>
      <c r="F681" s="91" t="s">
        <v>2596</v>
      </c>
      <c r="G681" s="96">
        <v>36901</v>
      </c>
      <c r="H681" s="97" t="s">
        <v>58</v>
      </c>
      <c r="I681" s="100" t="s">
        <v>2597</v>
      </c>
      <c r="J681" s="100" t="s">
        <v>2598</v>
      </c>
      <c r="K681" s="91">
        <v>989585966</v>
      </c>
      <c r="L681" s="91" t="s">
        <v>60</v>
      </c>
      <c r="M681" s="98"/>
      <c r="N681" s="91"/>
      <c r="O681" s="98">
        <f ca="1">(TODAY()-G681)/365</f>
        <v>24.934246575342467</v>
      </c>
      <c r="P681" s="91" t="s">
        <v>43</v>
      </c>
      <c r="Q681" s="91">
        <v>0</v>
      </c>
      <c r="R681" s="91">
        <v>0</v>
      </c>
      <c r="S681" s="91">
        <v>0</v>
      </c>
      <c r="T681" s="91"/>
      <c r="U681" s="91"/>
      <c r="V681" s="91"/>
      <c r="W681" s="91"/>
      <c r="X681" s="91"/>
      <c r="Y681" s="91"/>
      <c r="Z681" s="91"/>
      <c r="AA681" s="91"/>
      <c r="AB681" s="91"/>
      <c r="AC681" s="91"/>
      <c r="AD681" s="91"/>
      <c r="AE681" s="91"/>
      <c r="AF681" s="91"/>
      <c r="AG681" s="91"/>
      <c r="AH681" s="91"/>
      <c r="AI681" s="91"/>
      <c r="AJ681" s="91"/>
      <c r="AK681" s="91"/>
      <c r="AL681" s="91"/>
      <c r="AM681" s="91"/>
    </row>
    <row r="682" spans="1:39" ht="20.25" hidden="1" customHeight="1">
      <c r="A682" s="91"/>
      <c r="B682" s="93" t="s">
        <v>2513</v>
      </c>
      <c r="C682" s="91" t="s">
        <v>36</v>
      </c>
      <c r="D682" s="107" t="s">
        <v>2599</v>
      </c>
      <c r="E682" s="107" t="s">
        <v>2600</v>
      </c>
      <c r="F682" s="91" t="s">
        <v>2601</v>
      </c>
      <c r="G682" s="97" t="s">
        <v>58</v>
      </c>
      <c r="H682" s="97" t="s">
        <v>58</v>
      </c>
      <c r="I682" s="100" t="s">
        <v>58</v>
      </c>
      <c r="J682" s="100" t="s">
        <v>2602</v>
      </c>
      <c r="K682" s="91">
        <v>986193378</v>
      </c>
      <c r="L682" s="91" t="s">
        <v>60</v>
      </c>
      <c r="M682" s="98"/>
      <c r="N682" s="91"/>
      <c r="O682" s="98" t="e">
        <f ca="1">(TODAY()-G682)/365</f>
        <v>#VALUE!</v>
      </c>
      <c r="P682" s="91" t="s">
        <v>43</v>
      </c>
      <c r="Q682" s="91">
        <v>0</v>
      </c>
      <c r="R682" s="91">
        <v>0</v>
      </c>
      <c r="S682" s="91">
        <v>0</v>
      </c>
      <c r="T682" s="91"/>
      <c r="U682" s="91"/>
      <c r="V682" s="91"/>
      <c r="W682" s="91"/>
      <c r="X682" s="91"/>
      <c r="Y682" s="91"/>
      <c r="Z682" s="91"/>
      <c r="AA682" s="91"/>
      <c r="AB682" s="91"/>
      <c r="AC682" s="91"/>
      <c r="AD682" s="91"/>
      <c r="AE682" s="91"/>
      <c r="AF682" s="91"/>
      <c r="AG682" s="91"/>
      <c r="AH682" s="91"/>
      <c r="AI682" s="91"/>
      <c r="AJ682" s="91"/>
      <c r="AK682" s="91"/>
      <c r="AL682" s="91"/>
      <c r="AM682" s="91"/>
    </row>
    <row r="683" spans="1:39" ht="20.25" hidden="1" customHeight="1">
      <c r="A683" s="91"/>
      <c r="B683" s="93" t="s">
        <v>2513</v>
      </c>
      <c r="C683" s="91" t="s">
        <v>36</v>
      </c>
      <c r="D683" s="107" t="s">
        <v>2603</v>
      </c>
      <c r="E683" s="107" t="s">
        <v>2604</v>
      </c>
      <c r="F683" s="91" t="s">
        <v>2605</v>
      </c>
      <c r="G683" s="96">
        <v>44712</v>
      </c>
      <c r="H683" s="96" t="s">
        <v>58</v>
      </c>
      <c r="I683" s="100" t="s">
        <v>2606</v>
      </c>
      <c r="J683" s="100" t="s">
        <v>2543</v>
      </c>
      <c r="K683" s="91">
        <v>920444419</v>
      </c>
      <c r="L683" s="91" t="s">
        <v>60</v>
      </c>
      <c r="M683" s="98"/>
      <c r="N683" s="91"/>
      <c r="O683" s="98">
        <f ca="1">(TODAY()-G683)/365</f>
        <v>3.5342465753424657</v>
      </c>
      <c r="P683" s="91" t="s">
        <v>43</v>
      </c>
      <c r="Q683" s="91">
        <v>0</v>
      </c>
      <c r="R683" s="91">
        <v>0</v>
      </c>
      <c r="S683" s="91">
        <v>0</v>
      </c>
      <c r="T683" s="91"/>
      <c r="U683" s="91"/>
      <c r="V683" s="91"/>
      <c r="W683" s="91"/>
      <c r="X683" s="91"/>
      <c r="Y683" s="91"/>
      <c r="Z683" s="91"/>
      <c r="AA683" s="91"/>
      <c r="AB683" s="91"/>
      <c r="AC683" s="91"/>
      <c r="AD683" s="91"/>
      <c r="AE683" s="91"/>
      <c r="AF683" s="91"/>
      <c r="AG683" s="91"/>
      <c r="AH683" s="91"/>
      <c r="AI683" s="91"/>
      <c r="AJ683" s="91"/>
      <c r="AK683" s="91"/>
      <c r="AL683" s="91"/>
      <c r="AM683" s="91"/>
    </row>
    <row r="684" spans="1:39" ht="20.25" hidden="1" customHeight="1">
      <c r="A684" s="91"/>
      <c r="B684" s="93" t="s">
        <v>2513</v>
      </c>
      <c r="C684" s="91" t="s">
        <v>36</v>
      </c>
      <c r="D684" s="107" t="s">
        <v>2607</v>
      </c>
      <c r="E684" s="107" t="s">
        <v>2608</v>
      </c>
      <c r="F684" s="91" t="s">
        <v>2609</v>
      </c>
      <c r="G684" s="96">
        <v>44708</v>
      </c>
      <c r="H684" s="97">
        <v>22011</v>
      </c>
      <c r="I684" s="100" t="s">
        <v>2610</v>
      </c>
      <c r="J684" s="100" t="s">
        <v>2611</v>
      </c>
      <c r="K684" s="91">
        <v>974442958</v>
      </c>
      <c r="L684" s="91" t="s">
        <v>60</v>
      </c>
      <c r="M684" s="98">
        <f ca="1">(TODAY()-H684)/365</f>
        <v>65.728767123287668</v>
      </c>
      <c r="N684" s="99">
        <f>(G684-H684)/365</f>
        <v>62.183561643835617</v>
      </c>
      <c r="O684" s="98">
        <f ca="1">(TODAY()-G684)/365</f>
        <v>3.5452054794520547</v>
      </c>
      <c r="P684" s="91" t="s">
        <v>43</v>
      </c>
      <c r="Q684" s="91">
        <v>0</v>
      </c>
      <c r="R684" s="91">
        <v>0</v>
      </c>
      <c r="S684" s="91">
        <v>0</v>
      </c>
      <c r="T684" s="91"/>
      <c r="U684" s="91"/>
      <c r="V684" s="91"/>
      <c r="W684" s="91"/>
      <c r="X684" s="91"/>
      <c r="Y684" s="91"/>
      <c r="Z684" s="91"/>
      <c r="AA684" s="91"/>
      <c r="AB684" s="91"/>
      <c r="AC684" s="91"/>
      <c r="AD684" s="91"/>
      <c r="AE684" s="91"/>
      <c r="AF684" s="91"/>
      <c r="AG684" s="91"/>
      <c r="AH684" s="91"/>
      <c r="AI684" s="91"/>
      <c r="AJ684" s="91"/>
      <c r="AK684" s="91"/>
      <c r="AL684" s="91"/>
      <c r="AM684" s="91"/>
    </row>
    <row r="685" spans="1:39" ht="20.25" hidden="1" customHeight="1">
      <c r="A685" s="91"/>
      <c r="B685" s="93" t="s">
        <v>2513</v>
      </c>
      <c r="C685" s="91" t="s">
        <v>36</v>
      </c>
      <c r="D685" s="107" t="s">
        <v>2612</v>
      </c>
      <c r="E685" s="107" t="s">
        <v>2613</v>
      </c>
      <c r="F685" s="91" t="s">
        <v>2614</v>
      </c>
      <c r="G685" s="96">
        <v>43090</v>
      </c>
      <c r="H685" s="97">
        <v>19716</v>
      </c>
      <c r="I685" s="100" t="s">
        <v>2615</v>
      </c>
      <c r="J685" s="100" t="s">
        <v>2616</v>
      </c>
      <c r="K685" s="91">
        <v>940871722</v>
      </c>
      <c r="L685" s="91" t="s">
        <v>60</v>
      </c>
      <c r="M685" s="98">
        <f ca="1">(TODAY()-H685)/365</f>
        <v>72.016438356164386</v>
      </c>
      <c r="N685" s="99">
        <f>(G685-H685)/365</f>
        <v>64.038356164383558</v>
      </c>
      <c r="O685" s="98">
        <f ca="1">(TODAY()-G685)/365</f>
        <v>7.978082191780822</v>
      </c>
      <c r="P685" s="91" t="s">
        <v>43</v>
      </c>
      <c r="Q685" s="91">
        <v>0</v>
      </c>
      <c r="R685" s="91">
        <v>0</v>
      </c>
      <c r="S685" s="91">
        <v>0</v>
      </c>
      <c r="T685" s="91"/>
      <c r="U685" s="91"/>
      <c r="V685" s="91"/>
      <c r="W685" s="91"/>
      <c r="X685" s="91"/>
      <c r="Y685" s="91"/>
      <c r="Z685" s="91"/>
      <c r="AA685" s="91"/>
      <c r="AB685" s="91"/>
      <c r="AC685" s="91"/>
      <c r="AD685" s="91"/>
      <c r="AE685" s="91"/>
      <c r="AF685" s="91"/>
      <c r="AG685" s="91"/>
      <c r="AH685" s="91"/>
      <c r="AI685" s="91"/>
      <c r="AJ685" s="91"/>
      <c r="AK685" s="91"/>
      <c r="AL685" s="91"/>
      <c r="AM685" s="91"/>
    </row>
    <row r="686" spans="1:39" ht="20.25" hidden="1" customHeight="1">
      <c r="A686" s="91"/>
      <c r="B686" s="93" t="s">
        <v>2513</v>
      </c>
      <c r="C686" s="91" t="s">
        <v>36</v>
      </c>
      <c r="D686" s="107" t="s">
        <v>2617</v>
      </c>
      <c r="E686" s="107" t="s">
        <v>2618</v>
      </c>
      <c r="F686" s="91" t="s">
        <v>2619</v>
      </c>
      <c r="G686" s="96">
        <v>45520</v>
      </c>
      <c r="H686" s="97">
        <v>22109</v>
      </c>
      <c r="I686" s="100" t="s">
        <v>2620</v>
      </c>
      <c r="J686" s="100" t="s">
        <v>2621</v>
      </c>
      <c r="K686" s="91">
        <v>984315410</v>
      </c>
      <c r="L686" s="91" t="s">
        <v>60</v>
      </c>
      <c r="M686" s="98">
        <f ca="1">(TODAY()-H686)/365</f>
        <v>65.460273972602735</v>
      </c>
      <c r="N686" s="99">
        <f>(G686-H686)/365</f>
        <v>64.139726027397259</v>
      </c>
      <c r="O686" s="98">
        <f ca="1">(TODAY()-G686)/365</f>
        <v>1.3205479452054794</v>
      </c>
      <c r="P686" s="91" t="s">
        <v>43</v>
      </c>
      <c r="Q686" s="91">
        <v>0</v>
      </c>
      <c r="R686" s="91">
        <v>0</v>
      </c>
      <c r="S686" s="91">
        <v>0</v>
      </c>
      <c r="T686" s="91"/>
      <c r="U686" s="91"/>
      <c r="V686" s="91"/>
      <c r="W686" s="91"/>
      <c r="X686" s="91"/>
      <c r="Y686" s="91"/>
      <c r="Z686" s="91"/>
      <c r="AA686" s="91"/>
      <c r="AB686" s="91"/>
      <c r="AC686" s="91"/>
      <c r="AD686" s="91"/>
      <c r="AE686" s="91"/>
      <c r="AF686" s="91"/>
      <c r="AG686" s="91"/>
      <c r="AH686" s="91"/>
      <c r="AI686" s="91"/>
      <c r="AJ686" s="91"/>
      <c r="AK686" s="91"/>
      <c r="AL686" s="91"/>
      <c r="AM686" s="91"/>
    </row>
    <row r="687" spans="1:39" ht="20.25" hidden="1" customHeight="1">
      <c r="A687" s="91"/>
      <c r="B687" s="93" t="s">
        <v>2513</v>
      </c>
      <c r="C687" s="91" t="s">
        <v>36</v>
      </c>
      <c r="D687" s="107" t="s">
        <v>2622</v>
      </c>
      <c r="E687" s="107" t="s">
        <v>2623</v>
      </c>
      <c r="F687" s="91" t="s">
        <v>2624</v>
      </c>
      <c r="G687" s="96">
        <v>45523</v>
      </c>
      <c r="H687" s="97">
        <v>17293</v>
      </c>
      <c r="I687" s="100" t="s">
        <v>2615</v>
      </c>
      <c r="J687" s="100" t="s">
        <v>2625</v>
      </c>
      <c r="K687" s="91">
        <v>934210116</v>
      </c>
      <c r="L687" s="91" t="s">
        <v>60</v>
      </c>
      <c r="M687" s="98">
        <f ca="1">(TODAY()-H687)/365</f>
        <v>78.654794520547952</v>
      </c>
      <c r="N687" s="99">
        <f>(G687-H687)/365</f>
        <v>77.342465753424662</v>
      </c>
      <c r="O687" s="98">
        <f ca="1">(TODAY()-G687)/365</f>
        <v>1.3123287671232877</v>
      </c>
      <c r="P687" s="91" t="s">
        <v>43</v>
      </c>
      <c r="Q687" s="91">
        <v>0</v>
      </c>
      <c r="R687" s="91">
        <v>0</v>
      </c>
      <c r="S687" s="91">
        <v>0</v>
      </c>
      <c r="T687" s="91"/>
      <c r="U687" s="91"/>
      <c r="V687" s="91"/>
      <c r="W687" s="91"/>
      <c r="X687" s="91"/>
      <c r="Y687" s="91"/>
      <c r="Z687" s="91"/>
      <c r="AA687" s="91"/>
      <c r="AB687" s="91"/>
      <c r="AC687" s="91"/>
      <c r="AD687" s="91"/>
      <c r="AE687" s="91"/>
      <c r="AF687" s="91"/>
      <c r="AG687" s="91"/>
      <c r="AH687" s="91"/>
      <c r="AI687" s="91"/>
      <c r="AJ687" s="91"/>
      <c r="AK687" s="91"/>
      <c r="AL687" s="91"/>
      <c r="AM687" s="91"/>
    </row>
    <row r="688" spans="1:39" ht="20.25" hidden="1" customHeight="1">
      <c r="A688" s="91"/>
      <c r="B688" s="93" t="s">
        <v>10521</v>
      </c>
      <c r="C688" s="91" t="s">
        <v>36</v>
      </c>
      <c r="D688" s="106" t="s">
        <v>10522</v>
      </c>
      <c r="E688" s="106" t="s">
        <v>10523</v>
      </c>
      <c r="F688" s="92" t="s">
        <v>10524</v>
      </c>
      <c r="G688" s="103">
        <v>23377</v>
      </c>
      <c r="H688" s="103">
        <v>11357</v>
      </c>
      <c r="I688" s="94" t="s">
        <v>10525</v>
      </c>
      <c r="J688" s="94" t="s">
        <v>10526</v>
      </c>
      <c r="K688" s="92">
        <v>411711359</v>
      </c>
      <c r="L688" s="91"/>
      <c r="M688" s="98">
        <f ca="1">(TODAY()-H688)/365</f>
        <v>94.917808219178085</v>
      </c>
      <c r="N688" s="99">
        <f>(G688-H688)/365</f>
        <v>32.93150684931507</v>
      </c>
      <c r="O688" s="98">
        <f ca="1">(TODAY()-G688)/365</f>
        <v>61.986301369863014</v>
      </c>
      <c r="P688" s="91" t="s">
        <v>43</v>
      </c>
      <c r="Q688" s="91"/>
      <c r="R688" s="91"/>
      <c r="S688" s="91"/>
      <c r="T688" s="91"/>
      <c r="U688" s="91"/>
      <c r="V688" s="91"/>
      <c r="W688" s="91"/>
      <c r="X688" s="91"/>
      <c r="Y688" s="91"/>
      <c r="Z688" s="91"/>
      <c r="AA688" s="91"/>
      <c r="AB688" s="91"/>
      <c r="AC688" s="91"/>
      <c r="AD688" s="91"/>
      <c r="AE688" s="91"/>
      <c r="AF688" s="91"/>
      <c r="AG688" s="91"/>
      <c r="AH688" s="91"/>
      <c r="AI688" s="91"/>
      <c r="AJ688" s="91"/>
      <c r="AK688" s="91"/>
      <c r="AL688" s="91"/>
      <c r="AM688" s="91"/>
    </row>
    <row r="689" spans="1:39" ht="20.25" hidden="1" customHeight="1">
      <c r="A689" s="91"/>
      <c r="B689" s="93" t="s">
        <v>10521</v>
      </c>
      <c r="C689" s="91" t="s">
        <v>36</v>
      </c>
      <c r="D689" s="106" t="s">
        <v>10527</v>
      </c>
      <c r="E689" s="106" t="s">
        <v>10528</v>
      </c>
      <c r="F689" s="92" t="s">
        <v>10529</v>
      </c>
      <c r="G689" s="103">
        <v>41641</v>
      </c>
      <c r="H689" s="103">
        <v>20719</v>
      </c>
      <c r="I689" s="94" t="s">
        <v>10525</v>
      </c>
      <c r="J689" s="94" t="s">
        <v>10521</v>
      </c>
      <c r="K689" s="92">
        <v>965762394</v>
      </c>
      <c r="L689" s="91"/>
      <c r="M689" s="98">
        <f ca="1">(TODAY()-H689)/365</f>
        <v>69.268493150684932</v>
      </c>
      <c r="N689" s="99">
        <f>(G689-H689)/365</f>
        <v>57.320547945205476</v>
      </c>
      <c r="O689" s="98">
        <f ca="1">(TODAY()-G689)/365</f>
        <v>11.947945205479453</v>
      </c>
      <c r="P689" s="91" t="s">
        <v>43</v>
      </c>
      <c r="Q689" s="91"/>
      <c r="R689" s="91"/>
      <c r="S689" s="91"/>
      <c r="T689" s="91"/>
      <c r="U689" s="91"/>
      <c r="V689" s="91"/>
      <c r="W689" s="91"/>
      <c r="X689" s="91"/>
      <c r="Y689" s="91"/>
      <c r="Z689" s="91"/>
      <c r="AA689" s="91"/>
      <c r="AB689" s="91"/>
      <c r="AC689" s="91"/>
      <c r="AD689" s="91"/>
      <c r="AE689" s="91"/>
      <c r="AF689" s="91"/>
      <c r="AG689" s="91"/>
      <c r="AH689" s="91"/>
      <c r="AI689" s="91"/>
      <c r="AJ689" s="91"/>
      <c r="AK689" s="91"/>
      <c r="AL689" s="91"/>
      <c r="AM689" s="91"/>
    </row>
    <row r="690" spans="1:39" ht="20.25" hidden="1" customHeight="1">
      <c r="A690" s="91"/>
      <c r="B690" s="93" t="s">
        <v>10521</v>
      </c>
      <c r="C690" s="91" t="s">
        <v>36</v>
      </c>
      <c r="D690" s="106" t="s">
        <v>666</v>
      </c>
      <c r="E690" s="106" t="s">
        <v>10530</v>
      </c>
      <c r="F690" s="92" t="s">
        <v>10531</v>
      </c>
      <c r="G690" s="103">
        <v>38509</v>
      </c>
      <c r="H690" s="103">
        <v>17026</v>
      </c>
      <c r="I690" s="94" t="s">
        <v>10525</v>
      </c>
      <c r="J690" s="94" t="s">
        <v>1811</v>
      </c>
      <c r="K690" s="92">
        <v>993494966</v>
      </c>
      <c r="L690" s="91"/>
      <c r="M690" s="98">
        <f ca="1">(TODAY()-H690)/365</f>
        <v>79.38630136986302</v>
      </c>
      <c r="N690" s="99">
        <f>(G690-H690)/365</f>
        <v>58.857534246575341</v>
      </c>
      <c r="O690" s="98">
        <f ca="1">(TODAY()-G690)/365</f>
        <v>20.528767123287672</v>
      </c>
      <c r="P690" s="91" t="s">
        <v>43</v>
      </c>
      <c r="Q690" s="91"/>
      <c r="R690" s="91"/>
      <c r="S690" s="91"/>
      <c r="T690" s="91"/>
      <c r="U690" s="91"/>
      <c r="V690" s="91"/>
      <c r="W690" s="91"/>
      <c r="X690" s="91"/>
      <c r="Y690" s="91"/>
      <c r="Z690" s="91"/>
      <c r="AA690" s="91"/>
      <c r="AB690" s="91"/>
      <c r="AC690" s="91"/>
      <c r="AD690" s="91"/>
      <c r="AE690" s="91"/>
      <c r="AF690" s="91"/>
      <c r="AG690" s="91"/>
      <c r="AH690" s="91"/>
      <c r="AI690" s="91"/>
      <c r="AJ690" s="91"/>
      <c r="AK690" s="91"/>
      <c r="AL690" s="91"/>
      <c r="AM690" s="91"/>
    </row>
    <row r="691" spans="1:39" ht="20.25" hidden="1" customHeight="1">
      <c r="A691" s="91"/>
      <c r="B691" s="93" t="s">
        <v>10521</v>
      </c>
      <c r="C691" s="91" t="s">
        <v>36</v>
      </c>
      <c r="D691" s="106" t="s">
        <v>2126</v>
      </c>
      <c r="E691" s="106" t="s">
        <v>10532</v>
      </c>
      <c r="F691" s="92" t="s">
        <v>10533</v>
      </c>
      <c r="G691" s="103">
        <v>43024</v>
      </c>
      <c r="H691" s="103">
        <v>23188</v>
      </c>
      <c r="I691" s="94" t="s">
        <v>10525</v>
      </c>
      <c r="J691" s="94" t="s">
        <v>10521</v>
      </c>
      <c r="K691" s="92">
        <v>975217577</v>
      </c>
      <c r="L691" s="91"/>
      <c r="M691" s="98">
        <f ca="1">(TODAY()-H691)/365</f>
        <v>62.504109589041093</v>
      </c>
      <c r="N691" s="99">
        <f>(G691-H691)/365</f>
        <v>54.345205479452055</v>
      </c>
      <c r="O691" s="98">
        <f ca="1">(TODAY()-G691)/365</f>
        <v>8.1589041095890416</v>
      </c>
      <c r="P691" s="91" t="s">
        <v>43</v>
      </c>
      <c r="Q691" s="91"/>
      <c r="R691" s="91"/>
      <c r="S691" s="91"/>
      <c r="T691" s="91"/>
      <c r="U691" s="91"/>
      <c r="V691" s="91"/>
      <c r="W691" s="91"/>
      <c r="X691" s="91"/>
      <c r="Y691" s="91"/>
      <c r="Z691" s="91"/>
      <c r="AA691" s="91"/>
      <c r="AB691" s="91"/>
      <c r="AC691" s="91"/>
      <c r="AD691" s="91"/>
      <c r="AE691" s="91"/>
      <c r="AF691" s="91"/>
      <c r="AG691" s="91"/>
      <c r="AH691" s="91"/>
      <c r="AI691" s="91"/>
      <c r="AJ691" s="91"/>
      <c r="AK691" s="91"/>
      <c r="AL691" s="91"/>
      <c r="AM691" s="91"/>
    </row>
    <row r="692" spans="1:39" ht="20.25" hidden="1" customHeight="1">
      <c r="A692" s="91"/>
      <c r="B692" s="93" t="s">
        <v>10521</v>
      </c>
      <c r="C692" s="91" t="s">
        <v>36</v>
      </c>
      <c r="D692" s="106" t="s">
        <v>4649</v>
      </c>
      <c r="E692" s="106" t="s">
        <v>10534</v>
      </c>
      <c r="F692" s="92" t="s">
        <v>10535</v>
      </c>
      <c r="G692" s="103">
        <v>36388</v>
      </c>
      <c r="H692" s="103">
        <v>20858</v>
      </c>
      <c r="I692" s="108" t="s">
        <v>12609</v>
      </c>
      <c r="J692" s="94" t="s">
        <v>10521</v>
      </c>
      <c r="K692" s="92">
        <v>982985833</v>
      </c>
      <c r="L692" s="91"/>
      <c r="M692" s="98">
        <f ca="1">(TODAY()-H692)/365</f>
        <v>68.887671232876713</v>
      </c>
      <c r="N692" s="99">
        <f>(G692-H692)/365</f>
        <v>42.547945205479451</v>
      </c>
      <c r="O692" s="98">
        <f ca="1">(TODAY()-G692)/365</f>
        <v>26.339726027397262</v>
      </c>
      <c r="P692" s="91" t="s">
        <v>43</v>
      </c>
      <c r="Q692" s="91"/>
      <c r="R692" s="91"/>
      <c r="S692" s="91"/>
      <c r="T692" s="91"/>
      <c r="U692" s="91"/>
      <c r="V692" s="91"/>
      <c r="W692" s="91"/>
      <c r="X692" s="91"/>
      <c r="Y692" s="91"/>
      <c r="Z692" s="91"/>
      <c r="AA692" s="91"/>
      <c r="AB692" s="91"/>
      <c r="AC692" s="91"/>
      <c r="AD692" s="91"/>
      <c r="AE692" s="91"/>
      <c r="AF692" s="91"/>
      <c r="AG692" s="91"/>
      <c r="AH692" s="91"/>
      <c r="AI692" s="91"/>
      <c r="AJ692" s="91"/>
      <c r="AK692" s="91"/>
      <c r="AL692" s="91"/>
      <c r="AM692" s="91"/>
    </row>
    <row r="693" spans="1:39" ht="20.25" hidden="1" customHeight="1">
      <c r="A693" s="91"/>
      <c r="B693" s="93" t="s">
        <v>10521</v>
      </c>
      <c r="C693" s="91" t="s">
        <v>36</v>
      </c>
      <c r="D693" s="106" t="s">
        <v>10536</v>
      </c>
      <c r="E693" s="106" t="s">
        <v>10537</v>
      </c>
      <c r="F693" s="92" t="s">
        <v>10538</v>
      </c>
      <c r="G693" s="103">
        <v>39013</v>
      </c>
      <c r="H693" s="103">
        <v>19776</v>
      </c>
      <c r="I693" s="108" t="s">
        <v>12610</v>
      </c>
      <c r="J693" s="94" t="s">
        <v>10526</v>
      </c>
      <c r="K693" s="92">
        <v>973789939</v>
      </c>
      <c r="L693" s="91"/>
      <c r="M693" s="98">
        <f ca="1">(TODAY()-H693)/365</f>
        <v>71.852054794520555</v>
      </c>
      <c r="N693" s="99">
        <f>(G693-H693)/365</f>
        <v>52.704109589041096</v>
      </c>
      <c r="O693" s="98">
        <f ca="1">(TODAY()-G693)/365</f>
        <v>19.147945205479452</v>
      </c>
      <c r="P693" s="91" t="s">
        <v>43</v>
      </c>
      <c r="Q693" s="91"/>
      <c r="R693" s="91"/>
      <c r="S693" s="91"/>
      <c r="T693" s="91"/>
      <c r="U693" s="91"/>
      <c r="V693" s="91"/>
      <c r="W693" s="91"/>
      <c r="X693" s="91"/>
      <c r="Y693" s="91"/>
      <c r="Z693" s="91"/>
      <c r="AA693" s="91"/>
      <c r="AB693" s="91"/>
      <c r="AC693" s="91"/>
      <c r="AD693" s="91"/>
      <c r="AE693" s="91"/>
      <c r="AF693" s="91"/>
      <c r="AG693" s="91"/>
      <c r="AH693" s="91"/>
      <c r="AI693" s="91"/>
      <c r="AJ693" s="91"/>
      <c r="AK693" s="91"/>
      <c r="AL693" s="91"/>
      <c r="AM693" s="91"/>
    </row>
    <row r="694" spans="1:39" ht="20.25" hidden="1" customHeight="1">
      <c r="A694" s="91"/>
      <c r="B694" s="93" t="s">
        <v>10521</v>
      </c>
      <c r="C694" s="91" t="s">
        <v>36</v>
      </c>
      <c r="D694" s="106" t="s">
        <v>10539</v>
      </c>
      <c r="E694" s="106" t="s">
        <v>10540</v>
      </c>
      <c r="F694" s="92" t="s">
        <v>10541</v>
      </c>
      <c r="G694" s="103">
        <v>29026</v>
      </c>
      <c r="H694" s="103">
        <v>13898</v>
      </c>
      <c r="I694" s="94" t="s">
        <v>10525</v>
      </c>
      <c r="J694" s="94" t="s">
        <v>10521</v>
      </c>
      <c r="K694" s="92">
        <v>952246123</v>
      </c>
      <c r="L694" s="91"/>
      <c r="M694" s="98">
        <f ca="1">(TODAY()-H694)/365</f>
        <v>87.956164383561642</v>
      </c>
      <c r="N694" s="99">
        <f>(G694-H694)/365</f>
        <v>41.446575342465756</v>
      </c>
      <c r="O694" s="98">
        <f ca="1">(TODAY()-G694)/365</f>
        <v>46.509589041095893</v>
      </c>
      <c r="P694" s="91" t="s">
        <v>43</v>
      </c>
      <c r="Q694" s="91"/>
      <c r="R694" s="91"/>
      <c r="S694" s="91"/>
      <c r="T694" s="91"/>
      <c r="U694" s="91"/>
      <c r="V694" s="91"/>
      <c r="W694" s="91"/>
      <c r="X694" s="91"/>
      <c r="Y694" s="91"/>
      <c r="Z694" s="91"/>
      <c r="AA694" s="91"/>
      <c r="AB694" s="91"/>
      <c r="AC694" s="91"/>
      <c r="AD694" s="91"/>
      <c r="AE694" s="91"/>
      <c r="AF694" s="91"/>
      <c r="AG694" s="91"/>
      <c r="AH694" s="91"/>
      <c r="AI694" s="91"/>
      <c r="AJ694" s="91"/>
      <c r="AK694" s="91"/>
      <c r="AL694" s="91"/>
      <c r="AM694" s="91"/>
    </row>
    <row r="695" spans="1:39" ht="20.25" hidden="1" customHeight="1">
      <c r="A695" s="91"/>
      <c r="B695" s="93" t="s">
        <v>10521</v>
      </c>
      <c r="C695" s="91" t="s">
        <v>36</v>
      </c>
      <c r="D695" s="106" t="s">
        <v>10542</v>
      </c>
      <c r="E695" s="106" t="s">
        <v>10543</v>
      </c>
      <c r="F695" s="92" t="s">
        <v>10544</v>
      </c>
      <c r="G695" s="103">
        <v>43528</v>
      </c>
      <c r="H695" s="103">
        <v>23798</v>
      </c>
      <c r="I695" s="94" t="s">
        <v>10525</v>
      </c>
      <c r="J695" s="94" t="s">
        <v>10521</v>
      </c>
      <c r="K695" s="92">
        <v>947633883</v>
      </c>
      <c r="L695" s="91"/>
      <c r="M695" s="98">
        <f ca="1">(TODAY()-H695)/365</f>
        <v>60.832876712328769</v>
      </c>
      <c r="N695" s="99">
        <f>(G695-H695)/365</f>
        <v>54.054794520547944</v>
      </c>
      <c r="O695" s="98">
        <f ca="1">(TODAY()-G695)/365</f>
        <v>6.7780821917808218</v>
      </c>
      <c r="P695" s="91" t="s">
        <v>43</v>
      </c>
      <c r="Q695" s="91"/>
      <c r="R695" s="91"/>
      <c r="S695" s="91"/>
      <c r="T695" s="91"/>
      <c r="U695" s="91"/>
      <c r="V695" s="91"/>
      <c r="W695" s="91"/>
      <c r="X695" s="91"/>
      <c r="Y695" s="91"/>
      <c r="Z695" s="91"/>
      <c r="AA695" s="91"/>
      <c r="AB695" s="91"/>
      <c r="AC695" s="91"/>
      <c r="AD695" s="91"/>
      <c r="AE695" s="91"/>
      <c r="AF695" s="91"/>
      <c r="AG695" s="91"/>
      <c r="AH695" s="91"/>
      <c r="AI695" s="91"/>
      <c r="AJ695" s="91"/>
      <c r="AK695" s="91"/>
      <c r="AL695" s="91"/>
      <c r="AM695" s="91"/>
    </row>
    <row r="696" spans="1:39" ht="20.25" hidden="1" customHeight="1">
      <c r="A696" s="91"/>
      <c r="B696" s="93" t="s">
        <v>10521</v>
      </c>
      <c r="C696" s="91" t="s">
        <v>36</v>
      </c>
      <c r="D696" s="106" t="s">
        <v>10545</v>
      </c>
      <c r="E696" s="106" t="s">
        <v>10546</v>
      </c>
      <c r="F696" s="92" t="s">
        <v>10547</v>
      </c>
      <c r="G696" s="103">
        <v>38467</v>
      </c>
      <c r="H696" s="103">
        <v>17921</v>
      </c>
      <c r="I696" s="94" t="s">
        <v>10525</v>
      </c>
      <c r="J696" s="94" t="s">
        <v>10548</v>
      </c>
      <c r="K696" s="92">
        <v>965820546</v>
      </c>
      <c r="L696" s="91"/>
      <c r="M696" s="98">
        <f ca="1">(TODAY()-H696)/365</f>
        <v>76.93424657534247</v>
      </c>
      <c r="N696" s="99">
        <f>(G696-H696)/365</f>
        <v>56.290410958904111</v>
      </c>
      <c r="O696" s="98">
        <f ca="1">(TODAY()-G696)/365</f>
        <v>20.643835616438356</v>
      </c>
      <c r="P696" s="91" t="s">
        <v>43</v>
      </c>
      <c r="Q696" s="91"/>
      <c r="R696" s="91"/>
      <c r="S696" s="91"/>
      <c r="T696" s="91"/>
      <c r="U696" s="91"/>
      <c r="V696" s="91"/>
      <c r="W696" s="91"/>
      <c r="X696" s="91"/>
      <c r="Y696" s="91"/>
      <c r="Z696" s="91"/>
      <c r="AA696" s="91"/>
      <c r="AB696" s="91"/>
      <c r="AC696" s="91"/>
      <c r="AD696" s="91"/>
      <c r="AE696" s="91"/>
      <c r="AF696" s="91"/>
      <c r="AG696" s="91"/>
      <c r="AH696" s="91"/>
      <c r="AI696" s="91"/>
      <c r="AJ696" s="91"/>
      <c r="AK696" s="91"/>
      <c r="AL696" s="91"/>
      <c r="AM696" s="91"/>
    </row>
    <row r="697" spans="1:39" ht="20.25" hidden="1" customHeight="1">
      <c r="A697" s="91"/>
      <c r="B697" s="93" t="s">
        <v>10521</v>
      </c>
      <c r="C697" s="91" t="s">
        <v>36</v>
      </c>
      <c r="D697" s="106" t="s">
        <v>10549</v>
      </c>
      <c r="E697" s="106" t="s">
        <v>10550</v>
      </c>
      <c r="F697" s="92" t="s">
        <v>10551</v>
      </c>
      <c r="G697" s="103">
        <v>35222</v>
      </c>
      <c r="H697" s="103">
        <v>18263</v>
      </c>
      <c r="I697" s="94" t="s">
        <v>10552</v>
      </c>
      <c r="J697" s="94" t="s">
        <v>10548</v>
      </c>
      <c r="K697" s="92">
        <v>941338038</v>
      </c>
      <c r="L697" s="91"/>
      <c r="M697" s="98">
        <f ca="1">(TODAY()-H697)/365</f>
        <v>75.9972602739726</v>
      </c>
      <c r="N697" s="99">
        <f>(G697-H697)/365</f>
        <v>46.463013698630135</v>
      </c>
      <c r="O697" s="98">
        <f ca="1">(TODAY()-G697)/365</f>
        <v>29.534246575342465</v>
      </c>
      <c r="P697" s="91" t="s">
        <v>43</v>
      </c>
      <c r="Q697" s="91"/>
      <c r="R697" s="91"/>
      <c r="S697" s="91"/>
      <c r="T697" s="91"/>
      <c r="U697" s="91"/>
      <c r="V697" s="91"/>
      <c r="W697" s="91"/>
      <c r="X697" s="91"/>
      <c r="Y697" s="91"/>
      <c r="Z697" s="91"/>
      <c r="AA697" s="91"/>
      <c r="AB697" s="91"/>
      <c r="AC697" s="91"/>
      <c r="AD697" s="91"/>
      <c r="AE697" s="91"/>
      <c r="AF697" s="91"/>
      <c r="AG697" s="91"/>
      <c r="AH697" s="91"/>
      <c r="AI697" s="91"/>
      <c r="AJ697" s="91"/>
      <c r="AK697" s="91"/>
      <c r="AL697" s="91"/>
      <c r="AM697" s="91"/>
    </row>
    <row r="698" spans="1:39" ht="20.25" hidden="1" customHeight="1">
      <c r="A698" s="91"/>
      <c r="B698" s="93" t="s">
        <v>10521</v>
      </c>
      <c r="C698" s="91" t="s">
        <v>36</v>
      </c>
      <c r="D698" s="106" t="s">
        <v>10553</v>
      </c>
      <c r="E698" s="106" t="s">
        <v>10554</v>
      </c>
      <c r="F698" s="92" t="s">
        <v>10555</v>
      </c>
      <c r="G698" s="103">
        <v>23683</v>
      </c>
      <c r="H698" s="103">
        <v>11370</v>
      </c>
      <c r="I698" s="94" t="s">
        <v>10525</v>
      </c>
      <c r="J698" s="94" t="s">
        <v>10526</v>
      </c>
      <c r="K698" s="92">
        <v>442166812</v>
      </c>
      <c r="L698" s="91"/>
      <c r="M698" s="98">
        <f ca="1">(TODAY()-H698)/365</f>
        <v>94.882191780821913</v>
      </c>
      <c r="N698" s="99">
        <f>(G698-H698)/365</f>
        <v>33.734246575342468</v>
      </c>
      <c r="O698" s="98">
        <f ca="1">(TODAY()-G698)/365</f>
        <v>61.147945205479452</v>
      </c>
      <c r="P698" s="91" t="s">
        <v>43</v>
      </c>
      <c r="Q698" s="91"/>
      <c r="R698" s="91"/>
      <c r="S698" s="91"/>
      <c r="T698" s="91"/>
      <c r="U698" s="91"/>
      <c r="V698" s="91"/>
      <c r="W698" s="91"/>
      <c r="X698" s="91"/>
      <c r="Y698" s="91"/>
      <c r="Z698" s="91"/>
      <c r="AA698" s="91"/>
      <c r="AB698" s="91"/>
      <c r="AC698" s="91"/>
      <c r="AD698" s="91"/>
      <c r="AE698" s="91"/>
      <c r="AF698" s="91"/>
      <c r="AG698" s="91"/>
      <c r="AH698" s="91"/>
      <c r="AI698" s="91"/>
      <c r="AJ698" s="91"/>
      <c r="AK698" s="91"/>
      <c r="AL698" s="91"/>
      <c r="AM698" s="91"/>
    </row>
    <row r="699" spans="1:39" ht="20.25" hidden="1" customHeight="1">
      <c r="A699" s="91"/>
      <c r="B699" s="93" t="s">
        <v>10521</v>
      </c>
      <c r="C699" s="91" t="s">
        <v>36</v>
      </c>
      <c r="D699" s="106" t="s">
        <v>10556</v>
      </c>
      <c r="E699" s="106" t="s">
        <v>10557</v>
      </c>
      <c r="F699" s="92" t="s">
        <v>10558</v>
      </c>
      <c r="G699" s="103">
        <v>40481</v>
      </c>
      <c r="H699" s="103">
        <v>22589</v>
      </c>
      <c r="I699" s="94" t="s">
        <v>10525</v>
      </c>
      <c r="J699" s="94" t="s">
        <v>10548</v>
      </c>
      <c r="K699" s="92">
        <v>962665695</v>
      </c>
      <c r="L699" s="91"/>
      <c r="M699" s="98">
        <f ca="1">(TODAY()-H699)/365</f>
        <v>64.145205479452059</v>
      </c>
      <c r="N699" s="99">
        <f>(G699-H699)/365</f>
        <v>49.019178082191779</v>
      </c>
      <c r="O699" s="98">
        <f ca="1">(TODAY()-G699)/365</f>
        <v>15.126027397260273</v>
      </c>
      <c r="P699" s="91" t="s">
        <v>43</v>
      </c>
      <c r="Q699" s="91"/>
      <c r="R699" s="91"/>
      <c r="S699" s="91"/>
      <c r="T699" s="91"/>
      <c r="U699" s="91"/>
      <c r="V699" s="91"/>
      <c r="W699" s="91"/>
      <c r="X699" s="91"/>
      <c r="Y699" s="91"/>
      <c r="Z699" s="91"/>
      <c r="AA699" s="91"/>
      <c r="AB699" s="91"/>
      <c r="AC699" s="91"/>
      <c r="AD699" s="91"/>
      <c r="AE699" s="91"/>
      <c r="AF699" s="91"/>
      <c r="AG699" s="91"/>
      <c r="AH699" s="91"/>
      <c r="AI699" s="91"/>
      <c r="AJ699" s="91"/>
      <c r="AK699" s="91"/>
      <c r="AL699" s="91"/>
      <c r="AM699" s="91"/>
    </row>
    <row r="700" spans="1:39" ht="20.25" hidden="1" customHeight="1">
      <c r="A700" s="91"/>
      <c r="B700" s="93" t="s">
        <v>10521</v>
      </c>
      <c r="C700" s="91" t="s">
        <v>36</v>
      </c>
      <c r="D700" s="106" t="s">
        <v>10559</v>
      </c>
      <c r="E700" s="106" t="s">
        <v>10560</v>
      </c>
      <c r="F700" s="92" t="s">
        <v>10561</v>
      </c>
      <c r="G700" s="103">
        <v>43563</v>
      </c>
      <c r="H700" s="103">
        <v>14550</v>
      </c>
      <c r="I700" s="94" t="s">
        <v>10525</v>
      </c>
      <c r="J700" s="94" t="s">
        <v>10521</v>
      </c>
      <c r="K700" s="92">
        <v>991409090</v>
      </c>
      <c r="L700" s="91"/>
      <c r="M700" s="98">
        <f ca="1">(TODAY()-H700)/365</f>
        <v>86.169863013698631</v>
      </c>
      <c r="N700" s="99">
        <f>(G700-H700)/365</f>
        <v>79.487671232876707</v>
      </c>
      <c r="O700" s="98">
        <f ca="1">(TODAY()-G700)/365</f>
        <v>6.6821917808219178</v>
      </c>
      <c r="P700" s="91" t="s">
        <v>43</v>
      </c>
      <c r="Q700" s="91"/>
      <c r="R700" s="91"/>
      <c r="S700" s="91"/>
      <c r="T700" s="91"/>
      <c r="U700" s="91"/>
      <c r="V700" s="91"/>
      <c r="W700" s="91"/>
      <c r="X700" s="91"/>
      <c r="Y700" s="91"/>
      <c r="Z700" s="91"/>
      <c r="AA700" s="91"/>
      <c r="AB700" s="91"/>
      <c r="AC700" s="91"/>
      <c r="AD700" s="91"/>
      <c r="AE700" s="91"/>
      <c r="AF700" s="91"/>
      <c r="AG700" s="91"/>
      <c r="AH700" s="91"/>
      <c r="AI700" s="91"/>
      <c r="AJ700" s="91"/>
      <c r="AK700" s="91"/>
      <c r="AL700" s="91"/>
      <c r="AM700" s="91"/>
    </row>
    <row r="701" spans="1:39" ht="20.25" hidden="1" customHeight="1">
      <c r="A701" s="91"/>
      <c r="B701" s="93" t="s">
        <v>2626</v>
      </c>
      <c r="C701" s="91" t="s">
        <v>36</v>
      </c>
      <c r="D701" s="107" t="s">
        <v>620</v>
      </c>
      <c r="E701" s="107" t="s">
        <v>2627</v>
      </c>
      <c r="F701" s="91" t="s">
        <v>2628</v>
      </c>
      <c r="G701" s="96">
        <v>40113</v>
      </c>
      <c r="H701" s="97">
        <v>25842</v>
      </c>
      <c r="I701" s="94" t="s">
        <v>58</v>
      </c>
      <c r="J701" s="100" t="s">
        <v>2629</v>
      </c>
      <c r="K701" s="91">
        <v>56977997502</v>
      </c>
      <c r="L701" s="91" t="s">
        <v>42</v>
      </c>
      <c r="M701" s="98">
        <f ca="1">(TODAY()-H701)/365</f>
        <v>55.232876712328768</v>
      </c>
      <c r="N701" s="99">
        <f>(G701-H701)/365</f>
        <v>39.098630136986301</v>
      </c>
      <c r="O701" s="98">
        <f ca="1">(TODAY()-G701)/365</f>
        <v>16.134246575342466</v>
      </c>
      <c r="P701" s="91" t="s">
        <v>43</v>
      </c>
      <c r="Q701" s="91">
        <v>0</v>
      </c>
      <c r="R701" s="91">
        <v>0</v>
      </c>
      <c r="S701" s="91">
        <v>0</v>
      </c>
      <c r="T701" s="91"/>
      <c r="U701" s="91"/>
      <c r="V701" s="91"/>
      <c r="W701" s="91"/>
      <c r="X701" s="91"/>
      <c r="Y701" s="91"/>
      <c r="Z701" s="91"/>
      <c r="AA701" s="91"/>
      <c r="AB701" s="91"/>
      <c r="AC701" s="91"/>
      <c r="AD701" s="91"/>
      <c r="AE701" s="91"/>
      <c r="AF701" s="91"/>
      <c r="AG701" s="91"/>
      <c r="AH701" s="91"/>
      <c r="AI701" s="91"/>
      <c r="AJ701" s="91"/>
      <c r="AK701" s="91"/>
      <c r="AL701" s="91"/>
      <c r="AM701" s="91"/>
    </row>
    <row r="702" spans="1:39" ht="20.25" hidden="1" customHeight="1">
      <c r="A702" s="91"/>
      <c r="B702" s="93" t="s">
        <v>2626</v>
      </c>
      <c r="C702" s="91" t="s">
        <v>36</v>
      </c>
      <c r="D702" s="107" t="s">
        <v>367</v>
      </c>
      <c r="E702" s="107" t="s">
        <v>2630</v>
      </c>
      <c r="F702" s="91" t="s">
        <v>2631</v>
      </c>
      <c r="G702" s="96">
        <v>37104</v>
      </c>
      <c r="H702" s="97">
        <v>21587</v>
      </c>
      <c r="I702" s="94" t="s">
        <v>58</v>
      </c>
      <c r="J702" s="100" t="s">
        <v>2632</v>
      </c>
      <c r="K702" s="91">
        <v>56950957937</v>
      </c>
      <c r="L702" s="91" t="s">
        <v>60</v>
      </c>
      <c r="M702" s="98">
        <f ca="1">(TODAY()-H702)/365</f>
        <v>66.890410958904113</v>
      </c>
      <c r="N702" s="99">
        <f>(G702-H702)/365</f>
        <v>42.512328767123286</v>
      </c>
      <c r="O702" s="98">
        <f ca="1">(TODAY()-G702)/365</f>
        <v>24.378082191780823</v>
      </c>
      <c r="P702" s="91" t="s">
        <v>43</v>
      </c>
      <c r="Q702" s="91">
        <v>0</v>
      </c>
      <c r="R702" s="91">
        <v>0</v>
      </c>
      <c r="S702" s="91">
        <v>0</v>
      </c>
      <c r="T702" s="91"/>
      <c r="U702" s="91"/>
      <c r="V702" s="91"/>
      <c r="W702" s="91"/>
      <c r="X702" s="91"/>
      <c r="Y702" s="91"/>
      <c r="Z702" s="91"/>
      <c r="AA702" s="91"/>
      <c r="AB702" s="91"/>
      <c r="AC702" s="91"/>
      <c r="AD702" s="91"/>
      <c r="AE702" s="91"/>
      <c r="AF702" s="91"/>
      <c r="AG702" s="91"/>
      <c r="AH702" s="91"/>
      <c r="AI702" s="91"/>
      <c r="AJ702" s="91"/>
      <c r="AK702" s="91"/>
      <c r="AL702" s="91"/>
      <c r="AM702" s="91"/>
    </row>
    <row r="703" spans="1:39" ht="20.25" hidden="1" customHeight="1">
      <c r="A703" s="91"/>
      <c r="B703" s="93" t="s">
        <v>2626</v>
      </c>
      <c r="C703" s="91" t="s">
        <v>36</v>
      </c>
      <c r="D703" s="107" t="s">
        <v>2633</v>
      </c>
      <c r="E703" s="107" t="s">
        <v>2634</v>
      </c>
      <c r="F703" s="91" t="s">
        <v>2635</v>
      </c>
      <c r="G703" s="96">
        <v>37773</v>
      </c>
      <c r="H703" s="97">
        <v>22051</v>
      </c>
      <c r="I703" s="94" t="s">
        <v>58</v>
      </c>
      <c r="J703" s="100" t="s">
        <v>2636</v>
      </c>
      <c r="K703" s="91">
        <v>56990000693</v>
      </c>
      <c r="L703" s="91" t="s">
        <v>60</v>
      </c>
      <c r="M703" s="98">
        <f ca="1">(TODAY()-H703)/365</f>
        <v>65.61917808219178</v>
      </c>
      <c r="N703" s="99">
        <f>(G703-H703)/365</f>
        <v>43.073972602739723</v>
      </c>
      <c r="O703" s="98">
        <f ca="1">(TODAY()-G703)/365</f>
        <v>22.545205479452054</v>
      </c>
      <c r="P703" s="91" t="s">
        <v>43</v>
      </c>
      <c r="Q703" s="91">
        <v>0</v>
      </c>
      <c r="R703" s="91">
        <v>0</v>
      </c>
      <c r="S703" s="91">
        <v>0</v>
      </c>
      <c r="T703" s="91"/>
      <c r="U703" s="91"/>
      <c r="V703" s="91"/>
      <c r="W703" s="91"/>
      <c r="X703" s="91"/>
      <c r="Y703" s="91"/>
      <c r="Z703" s="91"/>
      <c r="AA703" s="91"/>
      <c r="AB703" s="91"/>
      <c r="AC703" s="91"/>
      <c r="AD703" s="91"/>
      <c r="AE703" s="91"/>
      <c r="AF703" s="91"/>
      <c r="AG703" s="91"/>
      <c r="AH703" s="91"/>
      <c r="AI703" s="91"/>
      <c r="AJ703" s="91"/>
      <c r="AK703" s="91"/>
      <c r="AL703" s="91"/>
      <c r="AM703" s="91"/>
    </row>
    <row r="704" spans="1:39" ht="20.25" hidden="1" customHeight="1">
      <c r="A704" s="91"/>
      <c r="B704" s="93" t="s">
        <v>2626</v>
      </c>
      <c r="C704" s="91" t="s">
        <v>36</v>
      </c>
      <c r="D704" s="107" t="s">
        <v>2637</v>
      </c>
      <c r="E704" s="107" t="s">
        <v>2638</v>
      </c>
      <c r="F704" s="91" t="s">
        <v>2639</v>
      </c>
      <c r="G704" s="96">
        <v>38686</v>
      </c>
      <c r="H704" s="97">
        <v>20921</v>
      </c>
      <c r="I704" s="94" t="s">
        <v>58</v>
      </c>
      <c r="J704" s="100" t="s">
        <v>2640</v>
      </c>
      <c r="K704" s="91">
        <v>56967612450</v>
      </c>
      <c r="L704" s="91" t="s">
        <v>60</v>
      </c>
      <c r="M704" s="98">
        <f ca="1">(TODAY()-H704)/365</f>
        <v>68.715068493150682</v>
      </c>
      <c r="N704" s="99">
        <f>(G704-H704)/365</f>
        <v>48.671232876712331</v>
      </c>
      <c r="O704" s="98">
        <f ca="1">(TODAY()-G704)/365</f>
        <v>20.043835616438358</v>
      </c>
      <c r="P704" s="91" t="s">
        <v>43</v>
      </c>
      <c r="Q704" s="91">
        <v>0</v>
      </c>
      <c r="R704" s="91">
        <v>0</v>
      </c>
      <c r="S704" s="91">
        <v>0</v>
      </c>
      <c r="T704" s="91"/>
      <c r="U704" s="91"/>
      <c r="V704" s="91"/>
      <c r="W704" s="91"/>
      <c r="X704" s="91"/>
      <c r="Y704" s="91"/>
      <c r="Z704" s="91"/>
      <c r="AA704" s="91"/>
      <c r="AB704" s="91"/>
      <c r="AC704" s="91"/>
      <c r="AD704" s="91"/>
      <c r="AE704" s="91"/>
      <c r="AF704" s="91"/>
      <c r="AG704" s="91"/>
      <c r="AH704" s="91"/>
      <c r="AI704" s="91"/>
      <c r="AJ704" s="91"/>
      <c r="AK704" s="91"/>
      <c r="AL704" s="91"/>
      <c r="AM704" s="91"/>
    </row>
    <row r="705" spans="1:39" ht="20.25" hidden="1" customHeight="1">
      <c r="A705" s="91"/>
      <c r="B705" s="93" t="s">
        <v>2626</v>
      </c>
      <c r="C705" s="91" t="s">
        <v>36</v>
      </c>
      <c r="D705" s="107" t="s">
        <v>2641</v>
      </c>
      <c r="E705" s="107" t="s">
        <v>2642</v>
      </c>
      <c r="F705" s="91" t="s">
        <v>2643</v>
      </c>
      <c r="G705" s="96">
        <v>32123</v>
      </c>
      <c r="H705" s="97">
        <v>12667</v>
      </c>
      <c r="I705" s="94" t="s">
        <v>58</v>
      </c>
      <c r="J705" s="100" t="s">
        <v>2644</v>
      </c>
      <c r="K705" s="91">
        <v>56975328494</v>
      </c>
      <c r="L705" s="91" t="s">
        <v>60</v>
      </c>
      <c r="M705" s="98">
        <f ca="1">(TODAY()-H705)/365</f>
        <v>91.328767123287676</v>
      </c>
      <c r="N705" s="99">
        <f>(G705-H705)/365</f>
        <v>53.304109589041097</v>
      </c>
      <c r="O705" s="98">
        <f ca="1">(TODAY()-G705)/365</f>
        <v>38.024657534246572</v>
      </c>
      <c r="P705" s="91" t="s">
        <v>43</v>
      </c>
      <c r="Q705" s="91">
        <v>0</v>
      </c>
      <c r="R705" s="91">
        <v>0</v>
      </c>
      <c r="S705" s="91">
        <v>0</v>
      </c>
      <c r="T705" s="91"/>
      <c r="U705" s="91"/>
      <c r="V705" s="91"/>
      <c r="W705" s="91"/>
      <c r="X705" s="91"/>
      <c r="Y705" s="91"/>
      <c r="Z705" s="91"/>
      <c r="AA705" s="91"/>
      <c r="AB705" s="91"/>
      <c r="AC705" s="91"/>
      <c r="AD705" s="91"/>
      <c r="AE705" s="91"/>
      <c r="AF705" s="91"/>
      <c r="AG705" s="91"/>
      <c r="AH705" s="91"/>
      <c r="AI705" s="91"/>
      <c r="AJ705" s="91"/>
      <c r="AK705" s="91"/>
      <c r="AL705" s="91"/>
      <c r="AM705" s="91"/>
    </row>
    <row r="706" spans="1:39" ht="20.25" hidden="1" customHeight="1">
      <c r="A706" s="91"/>
      <c r="B706" s="93" t="s">
        <v>2626</v>
      </c>
      <c r="C706" s="91" t="s">
        <v>36</v>
      </c>
      <c r="D706" s="107" t="s">
        <v>675</v>
      </c>
      <c r="E706" s="107" t="s">
        <v>2645</v>
      </c>
      <c r="F706" s="91" t="s">
        <v>2646</v>
      </c>
      <c r="G706" s="96">
        <v>43162</v>
      </c>
      <c r="H706" s="97">
        <v>21382</v>
      </c>
      <c r="I706" s="94" t="s">
        <v>58</v>
      </c>
      <c r="J706" s="100" t="s">
        <v>2647</v>
      </c>
      <c r="K706" s="91">
        <v>56999406090</v>
      </c>
      <c r="L706" s="91" t="s">
        <v>54</v>
      </c>
      <c r="M706" s="98">
        <f ca="1">(TODAY()-H706)/365</f>
        <v>67.452054794520549</v>
      </c>
      <c r="N706" s="99">
        <f>(G706-H706)/365</f>
        <v>59.671232876712331</v>
      </c>
      <c r="O706" s="98">
        <f ca="1">(TODAY()-G706)/365</f>
        <v>7.7808219178082192</v>
      </c>
      <c r="P706" s="91" t="s">
        <v>43</v>
      </c>
      <c r="Q706" s="91">
        <v>0</v>
      </c>
      <c r="R706" s="91">
        <v>0</v>
      </c>
      <c r="S706" s="91">
        <v>0</v>
      </c>
      <c r="T706" s="91"/>
      <c r="U706" s="91"/>
      <c r="V706" s="91"/>
      <c r="W706" s="91"/>
      <c r="X706" s="91"/>
      <c r="Y706" s="91"/>
      <c r="Z706" s="91"/>
      <c r="AA706" s="91"/>
      <c r="AB706" s="91"/>
      <c r="AC706" s="91"/>
      <c r="AD706" s="91"/>
      <c r="AE706" s="91"/>
      <c r="AF706" s="91"/>
      <c r="AG706" s="91"/>
      <c r="AH706" s="91"/>
      <c r="AI706" s="91"/>
      <c r="AJ706" s="91"/>
      <c r="AK706" s="91"/>
      <c r="AL706" s="91"/>
      <c r="AM706" s="91"/>
    </row>
    <row r="707" spans="1:39" ht="20.25" hidden="1" customHeight="1">
      <c r="A707" s="91"/>
      <c r="B707" s="93" t="s">
        <v>2626</v>
      </c>
      <c r="C707" s="91" t="s">
        <v>36</v>
      </c>
      <c r="D707" s="107" t="s">
        <v>2648</v>
      </c>
      <c r="E707" s="107" t="s">
        <v>2649</v>
      </c>
      <c r="F707" s="91" t="s">
        <v>2650</v>
      </c>
      <c r="G707" s="96">
        <v>43535</v>
      </c>
      <c r="H707" s="97">
        <v>19361</v>
      </c>
      <c r="I707" s="94" t="s">
        <v>58</v>
      </c>
      <c r="J707" s="100" t="s">
        <v>2651</v>
      </c>
      <c r="K707" s="91">
        <v>56998250802</v>
      </c>
      <c r="L707" s="91" t="s">
        <v>60</v>
      </c>
      <c r="M707" s="98">
        <f ca="1">(TODAY()-H707)/365</f>
        <v>72.989041095890414</v>
      </c>
      <c r="N707" s="99">
        <f>(G707-H707)/365</f>
        <v>66.230136986301375</v>
      </c>
      <c r="O707" s="98">
        <f ca="1">(TODAY()-G707)/365</f>
        <v>6.7589041095890412</v>
      </c>
      <c r="P707" s="91" t="s">
        <v>43</v>
      </c>
      <c r="Q707" s="91">
        <v>0</v>
      </c>
      <c r="R707" s="91">
        <v>0</v>
      </c>
      <c r="S707" s="91">
        <v>0</v>
      </c>
      <c r="T707" s="91"/>
      <c r="U707" s="91"/>
      <c r="V707" s="91"/>
      <c r="W707" s="91"/>
      <c r="X707" s="91"/>
      <c r="Y707" s="91"/>
      <c r="Z707" s="91"/>
      <c r="AA707" s="91"/>
      <c r="AB707" s="91"/>
      <c r="AC707" s="91"/>
      <c r="AD707" s="91"/>
      <c r="AE707" s="91"/>
      <c r="AF707" s="91"/>
      <c r="AG707" s="91"/>
      <c r="AH707" s="91"/>
      <c r="AI707" s="91"/>
      <c r="AJ707" s="91"/>
      <c r="AK707" s="91"/>
      <c r="AL707" s="91"/>
      <c r="AM707" s="91"/>
    </row>
    <row r="708" spans="1:39" ht="20.25" hidden="1" customHeight="1">
      <c r="A708" s="91"/>
      <c r="B708" s="93" t="s">
        <v>2626</v>
      </c>
      <c r="C708" s="91" t="s">
        <v>36</v>
      </c>
      <c r="D708" s="107" t="s">
        <v>2652</v>
      </c>
      <c r="E708" s="107" t="s">
        <v>2653</v>
      </c>
      <c r="F708" s="91" t="s">
        <v>2654</v>
      </c>
      <c r="G708" s="96">
        <v>45386</v>
      </c>
      <c r="H708" s="97">
        <v>20920</v>
      </c>
      <c r="I708" s="94" t="s">
        <v>58</v>
      </c>
      <c r="J708" s="100" t="s">
        <v>2655</v>
      </c>
      <c r="K708" s="91">
        <v>56991533542</v>
      </c>
      <c r="L708" s="91" t="s">
        <v>60</v>
      </c>
      <c r="M708" s="98">
        <f ca="1">(TODAY()-H708)/365</f>
        <v>68.717808219178082</v>
      </c>
      <c r="N708" s="99">
        <f>(G708-H708)/365</f>
        <v>67.030136986301372</v>
      </c>
      <c r="O708" s="98">
        <f ca="1">(TODAY()-G708)/365</f>
        <v>1.6876712328767123</v>
      </c>
      <c r="P708" s="91" t="s">
        <v>43</v>
      </c>
      <c r="Q708" s="91">
        <v>0</v>
      </c>
      <c r="R708" s="91">
        <v>0</v>
      </c>
      <c r="S708" s="91">
        <v>0</v>
      </c>
      <c r="T708" s="91"/>
      <c r="U708" s="91"/>
      <c r="V708" s="91"/>
      <c r="W708" s="91"/>
      <c r="X708" s="91"/>
      <c r="Y708" s="91"/>
      <c r="Z708" s="91"/>
      <c r="AA708" s="91"/>
      <c r="AB708" s="91"/>
      <c r="AC708" s="91"/>
      <c r="AD708" s="91"/>
      <c r="AE708" s="91"/>
      <c r="AF708" s="91"/>
      <c r="AG708" s="91"/>
      <c r="AH708" s="91"/>
      <c r="AI708" s="91"/>
      <c r="AJ708" s="91"/>
      <c r="AK708" s="91"/>
      <c r="AL708" s="91"/>
      <c r="AM708" s="91"/>
    </row>
    <row r="709" spans="1:39" ht="20.25" hidden="1" customHeight="1">
      <c r="A709" s="91"/>
      <c r="B709" s="93" t="s">
        <v>2626</v>
      </c>
      <c r="C709" s="91" t="s">
        <v>36</v>
      </c>
      <c r="D709" s="107" t="s">
        <v>2656</v>
      </c>
      <c r="E709" s="107" t="s">
        <v>2657</v>
      </c>
      <c r="F709" s="91" t="s">
        <v>2658</v>
      </c>
      <c r="G709" s="96">
        <v>43018</v>
      </c>
      <c r="H709" s="97">
        <v>18523</v>
      </c>
      <c r="I709" s="94" t="s">
        <v>58</v>
      </c>
      <c r="J709" s="100" t="s">
        <v>2659</v>
      </c>
      <c r="K709" s="91">
        <v>56982140058</v>
      </c>
      <c r="L709" s="91" t="s">
        <v>60</v>
      </c>
      <c r="M709" s="98">
        <f ca="1">(TODAY()-H709)/365</f>
        <v>75.284931506849318</v>
      </c>
      <c r="N709" s="99">
        <f>(G709-H709)/365</f>
        <v>67.109589041095887</v>
      </c>
      <c r="O709" s="98">
        <f ca="1">(TODAY()-G709)/365</f>
        <v>8.1753424657534239</v>
      </c>
      <c r="P709" s="91" t="s">
        <v>43</v>
      </c>
      <c r="Q709" s="91">
        <v>0</v>
      </c>
      <c r="R709" s="91">
        <v>0</v>
      </c>
      <c r="S709" s="91">
        <v>0</v>
      </c>
      <c r="T709" s="91"/>
      <c r="U709" s="91"/>
      <c r="V709" s="91"/>
      <c r="W709" s="91"/>
      <c r="X709" s="91"/>
      <c r="Y709" s="91"/>
      <c r="Z709" s="91"/>
      <c r="AA709" s="91"/>
      <c r="AB709" s="91"/>
      <c r="AC709" s="91"/>
      <c r="AD709" s="91"/>
      <c r="AE709" s="91"/>
      <c r="AF709" s="91"/>
      <c r="AG709" s="91"/>
      <c r="AH709" s="91"/>
      <c r="AI709" s="91"/>
      <c r="AJ709" s="91"/>
      <c r="AK709" s="91"/>
      <c r="AL709" s="91"/>
      <c r="AM709" s="91"/>
    </row>
    <row r="710" spans="1:39" ht="20.25" hidden="1" customHeight="1">
      <c r="A710" s="91"/>
      <c r="B710" s="93" t="s">
        <v>2626</v>
      </c>
      <c r="C710" s="91" t="s">
        <v>36</v>
      </c>
      <c r="D710" s="107" t="s">
        <v>666</v>
      </c>
      <c r="E710" s="107" t="s">
        <v>2660</v>
      </c>
      <c r="F710" s="91" t="s">
        <v>2661</v>
      </c>
      <c r="G710" s="96">
        <v>45033</v>
      </c>
      <c r="H710" s="97">
        <v>20405</v>
      </c>
      <c r="I710" s="94" t="s">
        <v>58</v>
      </c>
      <c r="J710" s="100" t="s">
        <v>2662</v>
      </c>
      <c r="K710" s="91">
        <v>56984184888</v>
      </c>
      <c r="L710" s="91" t="s">
        <v>60</v>
      </c>
      <c r="M710" s="98">
        <f ca="1">(TODAY()-H710)/365</f>
        <v>70.128767123287673</v>
      </c>
      <c r="N710" s="99">
        <f>(G710-H710)/365</f>
        <v>67.473972602739721</v>
      </c>
      <c r="O710" s="98">
        <f ca="1">(TODAY()-G710)/365</f>
        <v>2.6547945205479451</v>
      </c>
      <c r="P710" s="91" t="s">
        <v>43</v>
      </c>
      <c r="Q710" s="91">
        <v>0</v>
      </c>
      <c r="R710" s="91">
        <v>0</v>
      </c>
      <c r="S710" s="91">
        <v>0</v>
      </c>
      <c r="T710" s="91"/>
      <c r="U710" s="91"/>
      <c r="V710" s="91"/>
      <c r="W710" s="91"/>
      <c r="X710" s="91"/>
      <c r="Y710" s="91"/>
      <c r="Z710" s="91"/>
      <c r="AA710" s="91"/>
      <c r="AB710" s="91"/>
      <c r="AC710" s="91"/>
      <c r="AD710" s="91"/>
      <c r="AE710" s="91"/>
      <c r="AF710" s="91"/>
      <c r="AG710" s="91"/>
      <c r="AH710" s="91"/>
      <c r="AI710" s="91"/>
      <c r="AJ710" s="91"/>
      <c r="AK710" s="91"/>
      <c r="AL710" s="91"/>
      <c r="AM710" s="91"/>
    </row>
    <row r="711" spans="1:39" ht="20.25" customHeight="1">
      <c r="A711" s="91"/>
      <c r="B711" s="93" t="s">
        <v>3610</v>
      </c>
      <c r="C711" s="91" t="s">
        <v>73</v>
      </c>
      <c r="D711" s="94" t="s">
        <v>3625</v>
      </c>
      <c r="E711" s="94" t="s">
        <v>3626</v>
      </c>
      <c r="F711" s="95" t="s">
        <v>3627</v>
      </c>
      <c r="G711" s="96">
        <v>45108</v>
      </c>
      <c r="H711" s="97">
        <v>39184</v>
      </c>
      <c r="I711" s="94" t="s">
        <v>3614</v>
      </c>
      <c r="J711" s="94" t="s">
        <v>58</v>
      </c>
      <c r="K711" s="91" t="s">
        <v>58</v>
      </c>
      <c r="L711" s="91" t="s">
        <v>60</v>
      </c>
      <c r="M711" s="98">
        <f ca="1">(TODAY()-H711)/365</f>
        <v>18.67945205479452</v>
      </c>
      <c r="N711" s="99">
        <f>(G711-H711)/365</f>
        <v>16.230136986301371</v>
      </c>
      <c r="O711" s="98">
        <f ca="1">(TODAY()-G711)/365</f>
        <v>2.4493150684931506</v>
      </c>
      <c r="P711" s="91" t="s">
        <v>43</v>
      </c>
      <c r="Q711" s="91">
        <v>0</v>
      </c>
      <c r="R711" s="91">
        <v>0</v>
      </c>
      <c r="S711" s="91">
        <v>0</v>
      </c>
      <c r="T711" s="91"/>
      <c r="U711" s="91"/>
      <c r="V711" s="91"/>
      <c r="W711" s="91"/>
      <c r="X711" s="91"/>
      <c r="Y711" s="91"/>
      <c r="Z711" s="91"/>
      <c r="AA711" s="91"/>
      <c r="AB711" s="91"/>
      <c r="AC711" s="91"/>
      <c r="AD711" s="91"/>
      <c r="AE711" s="91"/>
      <c r="AF711" s="91"/>
      <c r="AG711" s="91"/>
      <c r="AH711" s="91"/>
      <c r="AI711" s="91"/>
      <c r="AJ711" s="91"/>
      <c r="AK711" s="91"/>
      <c r="AL711" s="91"/>
      <c r="AM711" s="91"/>
    </row>
    <row r="712" spans="1:39" ht="20.25" customHeight="1">
      <c r="A712" s="91"/>
      <c r="B712" s="93" t="s">
        <v>3610</v>
      </c>
      <c r="C712" s="91" t="s">
        <v>73</v>
      </c>
      <c r="D712" s="94" t="s">
        <v>3699</v>
      </c>
      <c r="E712" s="94" t="s">
        <v>3700</v>
      </c>
      <c r="F712" s="95" t="s">
        <v>3701</v>
      </c>
      <c r="G712" s="96">
        <v>44204</v>
      </c>
      <c r="H712" s="97">
        <v>23713</v>
      </c>
      <c r="I712" s="94" t="s">
        <v>3702</v>
      </c>
      <c r="J712" s="100" t="s">
        <v>58</v>
      </c>
      <c r="K712" s="91" t="s">
        <v>58</v>
      </c>
      <c r="L712" s="91" t="s">
        <v>60</v>
      </c>
      <c r="M712" s="98">
        <f ca="1">(TODAY()-H712)/365</f>
        <v>61.065753424657537</v>
      </c>
      <c r="N712" s="99">
        <f>(G712-H712)/365</f>
        <v>56.139726027397259</v>
      </c>
      <c r="O712" s="98">
        <f ca="1">(TODAY()-G712)/365</f>
        <v>4.9260273972602739</v>
      </c>
      <c r="P712" s="91" t="s">
        <v>272</v>
      </c>
      <c r="Q712" s="91">
        <v>0</v>
      </c>
      <c r="R712" s="91">
        <v>0</v>
      </c>
      <c r="S712" s="91">
        <v>0</v>
      </c>
      <c r="T712" s="91"/>
      <c r="U712" s="91"/>
      <c r="V712" s="91"/>
      <c r="W712" s="91"/>
      <c r="X712" s="91"/>
      <c r="Y712" s="91"/>
      <c r="Z712" s="91"/>
      <c r="AA712" s="91"/>
      <c r="AB712" s="91"/>
      <c r="AC712" s="91"/>
      <c r="AD712" s="91"/>
      <c r="AE712" s="91"/>
      <c r="AF712" s="91"/>
      <c r="AG712" s="91"/>
      <c r="AH712" s="91"/>
      <c r="AI712" s="91"/>
      <c r="AJ712" s="91"/>
      <c r="AK712" s="91"/>
      <c r="AL712" s="91"/>
      <c r="AM712" s="91"/>
    </row>
    <row r="713" spans="1:39" ht="20.25" customHeight="1">
      <c r="A713" s="91"/>
      <c r="B713" s="93" t="s">
        <v>4367</v>
      </c>
      <c r="C713" s="91" t="s">
        <v>73</v>
      </c>
      <c r="D713" s="107" t="s">
        <v>4384</v>
      </c>
      <c r="E713" s="107" t="s">
        <v>4385</v>
      </c>
      <c r="F713" s="91" t="s">
        <v>4386</v>
      </c>
      <c r="G713" s="96">
        <v>36285</v>
      </c>
      <c r="H713" s="97">
        <v>20767</v>
      </c>
      <c r="I713" s="100" t="s">
        <v>58</v>
      </c>
      <c r="J713" s="94" t="s">
        <v>58</v>
      </c>
      <c r="K713" s="95" t="s">
        <v>58</v>
      </c>
      <c r="L713" s="91" t="s">
        <v>60</v>
      </c>
      <c r="M713" s="98">
        <f ca="1">(TODAY()-H713)/365</f>
        <v>69.136986301369859</v>
      </c>
      <c r="N713" s="99">
        <f>(G713-H713)/365</f>
        <v>42.515068493150686</v>
      </c>
      <c r="O713" s="98">
        <f ca="1">(TODAY()-G713)/365</f>
        <v>26.621917808219177</v>
      </c>
      <c r="P713" s="91" t="s">
        <v>43</v>
      </c>
      <c r="Q713" s="91">
        <v>0</v>
      </c>
      <c r="R713" s="91">
        <v>0</v>
      </c>
      <c r="S713" s="91">
        <v>0</v>
      </c>
      <c r="T713" s="91"/>
      <c r="U713" s="91"/>
      <c r="V713" s="91"/>
      <c r="W713" s="91"/>
      <c r="X713" s="91"/>
      <c r="Y713" s="91"/>
      <c r="Z713" s="91"/>
      <c r="AA713" s="91"/>
      <c r="AB713" s="91"/>
      <c r="AC713" s="91"/>
      <c r="AD713" s="91"/>
      <c r="AE713" s="91"/>
      <c r="AF713" s="91"/>
      <c r="AG713" s="91"/>
      <c r="AH713" s="91"/>
      <c r="AI713" s="91"/>
      <c r="AJ713" s="91"/>
      <c r="AK713" s="91"/>
      <c r="AL713" s="91"/>
      <c r="AM713" s="91"/>
    </row>
    <row r="714" spans="1:39" ht="20.25" customHeight="1">
      <c r="A714" s="91"/>
      <c r="B714" s="93" t="s">
        <v>12263</v>
      </c>
      <c r="C714" s="91" t="s">
        <v>73</v>
      </c>
      <c r="D714" s="106" t="s">
        <v>688</v>
      </c>
      <c r="E714" s="106" t="s">
        <v>11206</v>
      </c>
      <c r="F714" s="92" t="s">
        <v>11207</v>
      </c>
      <c r="G714" s="103">
        <v>44428</v>
      </c>
      <c r="H714" s="103">
        <v>35291</v>
      </c>
      <c r="I714" s="94" t="s">
        <v>58</v>
      </c>
      <c r="J714" s="100" t="s">
        <v>58</v>
      </c>
      <c r="K714" s="95" t="s">
        <v>58</v>
      </c>
      <c r="L714" s="91"/>
      <c r="M714" s="98">
        <f ca="1">(TODAY()-H714)/365</f>
        <v>29.345205479452055</v>
      </c>
      <c r="N714" s="99">
        <f>(G714-H714)/365</f>
        <v>25.032876712328768</v>
      </c>
      <c r="O714" s="98">
        <f ca="1">(TODAY()-G714)/365</f>
        <v>4.3123287671232875</v>
      </c>
      <c r="P714" s="91" t="s">
        <v>272</v>
      </c>
      <c r="Q714" s="91"/>
      <c r="R714" s="91"/>
      <c r="S714" s="91"/>
      <c r="T714" s="91"/>
      <c r="U714" s="91"/>
      <c r="V714" s="91"/>
      <c r="W714" s="91"/>
      <c r="X714" s="91"/>
      <c r="Y714" s="91"/>
      <c r="Z714" s="91"/>
      <c r="AA714" s="91"/>
      <c r="AB714" s="91"/>
      <c r="AC714" s="91"/>
      <c r="AD714" s="91"/>
      <c r="AE714" s="91"/>
      <c r="AF714" s="91"/>
      <c r="AG714" s="91"/>
      <c r="AH714" s="91"/>
      <c r="AI714" s="91"/>
      <c r="AJ714" s="91"/>
      <c r="AK714" s="91"/>
      <c r="AL714" s="91"/>
      <c r="AM714" s="91"/>
    </row>
    <row r="715" spans="1:39" ht="20.25" hidden="1" customHeight="1">
      <c r="A715" s="91"/>
      <c r="B715" s="93" t="s">
        <v>2663</v>
      </c>
      <c r="C715" s="91" t="s">
        <v>36</v>
      </c>
      <c r="D715" s="94" t="s">
        <v>2678</v>
      </c>
      <c r="E715" s="94" t="s">
        <v>2679</v>
      </c>
      <c r="F715" s="95" t="s">
        <v>2680</v>
      </c>
      <c r="G715" s="96">
        <v>43050</v>
      </c>
      <c r="H715" s="97">
        <v>36475</v>
      </c>
      <c r="I715" s="94" t="s">
        <v>2681</v>
      </c>
      <c r="J715" s="94" t="s">
        <v>2682</v>
      </c>
      <c r="K715" s="95">
        <v>986730446</v>
      </c>
      <c r="L715" s="91" t="s">
        <v>49</v>
      </c>
      <c r="M715" s="98">
        <f ca="1">(TODAY()-H715)/365</f>
        <v>26.101369863013698</v>
      </c>
      <c r="N715" s="99">
        <f>(G715-H715)/365</f>
        <v>18.013698630136986</v>
      </c>
      <c r="O715" s="98">
        <f ca="1">(TODAY()-G715)/365</f>
        <v>8.087671232876712</v>
      </c>
      <c r="P715" s="91" t="s">
        <v>43</v>
      </c>
      <c r="Q715" s="91">
        <v>0</v>
      </c>
      <c r="R715" s="91">
        <v>0</v>
      </c>
      <c r="S715" s="91">
        <v>0</v>
      </c>
      <c r="T715" s="91"/>
      <c r="U715" s="91"/>
      <c r="V715" s="91"/>
      <c r="W715" s="91"/>
      <c r="X715" s="91"/>
      <c r="Y715" s="91"/>
      <c r="Z715" s="91"/>
      <c r="AA715" s="91"/>
      <c r="AB715" s="91"/>
      <c r="AC715" s="91"/>
      <c r="AD715" s="91"/>
      <c r="AE715" s="91"/>
      <c r="AF715" s="91"/>
      <c r="AG715" s="91"/>
      <c r="AH715" s="91"/>
      <c r="AI715" s="91"/>
      <c r="AJ715" s="91"/>
      <c r="AK715" s="91"/>
      <c r="AL715" s="91"/>
      <c r="AM715" s="91"/>
    </row>
    <row r="716" spans="1:39" ht="20.25" customHeight="1">
      <c r="A716" s="91"/>
      <c r="B716" s="93" t="s">
        <v>1309</v>
      </c>
      <c r="C716" s="91" t="s">
        <v>73</v>
      </c>
      <c r="D716" s="107" t="s">
        <v>9311</v>
      </c>
      <c r="E716" s="107" t="s">
        <v>9312</v>
      </c>
      <c r="F716" s="91" t="s">
        <v>9313</v>
      </c>
      <c r="G716" s="96">
        <v>41036</v>
      </c>
      <c r="H716" s="97">
        <v>36888</v>
      </c>
      <c r="I716" s="100" t="s">
        <v>58</v>
      </c>
      <c r="J716" s="100" t="s">
        <v>58</v>
      </c>
      <c r="K716" s="91" t="s">
        <v>58</v>
      </c>
      <c r="L716" s="91" t="s">
        <v>60</v>
      </c>
      <c r="M716" s="98">
        <f ca="1">(TODAY()-H716)/365</f>
        <v>24.969863013698632</v>
      </c>
      <c r="N716" s="99">
        <f>(G716-H716)/365</f>
        <v>11.364383561643836</v>
      </c>
      <c r="O716" s="98">
        <f ca="1">(TODAY()-G716)/365</f>
        <v>13.605479452054794</v>
      </c>
      <c r="P716" s="91" t="s">
        <v>43</v>
      </c>
      <c r="Q716" s="91">
        <v>0</v>
      </c>
      <c r="R716" s="91">
        <v>0</v>
      </c>
      <c r="S716" s="91">
        <v>0</v>
      </c>
      <c r="T716" s="91"/>
      <c r="U716" s="91"/>
      <c r="V716" s="91"/>
      <c r="W716" s="91"/>
      <c r="X716" s="91"/>
      <c r="Y716" s="91"/>
      <c r="Z716" s="91"/>
      <c r="AA716" s="91"/>
      <c r="AB716" s="91"/>
      <c r="AC716" s="91"/>
      <c r="AD716" s="91"/>
      <c r="AE716" s="91"/>
      <c r="AF716" s="91"/>
      <c r="AG716" s="91"/>
      <c r="AH716" s="91"/>
      <c r="AI716" s="91"/>
      <c r="AJ716" s="91"/>
      <c r="AK716" s="91"/>
      <c r="AL716" s="91"/>
      <c r="AM716" s="91"/>
    </row>
    <row r="717" spans="1:39" ht="20.25" customHeight="1">
      <c r="A717" s="91"/>
      <c r="B717" s="93" t="s">
        <v>11884</v>
      </c>
      <c r="C717" s="91" t="s">
        <v>73</v>
      </c>
      <c r="D717" s="106" t="s">
        <v>4425</v>
      </c>
      <c r="E717" s="106" t="s">
        <v>6449</v>
      </c>
      <c r="F717" s="92" t="s">
        <v>6450</v>
      </c>
      <c r="G717" s="96">
        <v>45352</v>
      </c>
      <c r="H717" s="97">
        <v>33087</v>
      </c>
      <c r="I717" s="102" t="s">
        <v>6451</v>
      </c>
      <c r="J717" s="94" t="s">
        <v>58</v>
      </c>
      <c r="K717" s="95" t="s">
        <v>58</v>
      </c>
      <c r="L717" s="91" t="s">
        <v>60</v>
      </c>
      <c r="M717" s="98">
        <f ca="1">(TODAY()-H717)/365</f>
        <v>35.38356164383562</v>
      </c>
      <c r="N717" s="99">
        <f>(G717-H717)/365</f>
        <v>33.602739726027394</v>
      </c>
      <c r="O717" s="98">
        <f ca="1">(TODAY()-G717)/365</f>
        <v>1.7808219178082192</v>
      </c>
      <c r="P717" s="91" t="s">
        <v>272</v>
      </c>
      <c r="Q717" s="91">
        <v>0</v>
      </c>
      <c r="R717" s="91">
        <v>0</v>
      </c>
      <c r="S717" s="91">
        <v>0</v>
      </c>
      <c r="T717" s="91"/>
      <c r="U717" s="91"/>
      <c r="V717" s="91"/>
      <c r="W717" s="91"/>
      <c r="X717" s="91"/>
      <c r="Y717" s="91"/>
      <c r="Z717" s="91"/>
      <c r="AA717" s="91"/>
      <c r="AB717" s="91"/>
      <c r="AC717" s="91"/>
      <c r="AD717" s="91"/>
      <c r="AE717" s="91"/>
      <c r="AF717" s="91"/>
      <c r="AG717" s="91"/>
      <c r="AH717" s="91"/>
      <c r="AI717" s="91"/>
      <c r="AJ717" s="91"/>
      <c r="AK717" s="91"/>
      <c r="AL717" s="91"/>
      <c r="AM717" s="91"/>
    </row>
    <row r="718" spans="1:39" ht="20.25" customHeight="1">
      <c r="A718" s="91"/>
      <c r="B718" s="93" t="s">
        <v>879</v>
      </c>
      <c r="C718" s="91" t="s">
        <v>73</v>
      </c>
      <c r="D718" s="94" t="s">
        <v>964</v>
      </c>
      <c r="E718" s="94" t="s">
        <v>965</v>
      </c>
      <c r="F718" s="95" t="s">
        <v>966</v>
      </c>
      <c r="G718" s="96" t="s">
        <v>58</v>
      </c>
      <c r="H718" s="97">
        <v>22883</v>
      </c>
      <c r="I718" s="94" t="s">
        <v>58</v>
      </c>
      <c r="J718" s="94" t="s">
        <v>58</v>
      </c>
      <c r="K718" s="95" t="s">
        <v>58</v>
      </c>
      <c r="L718" s="91" t="s">
        <v>60</v>
      </c>
      <c r="M718" s="98">
        <f ca="1">(TODAY()-H718)/365</f>
        <v>63.339726027397262</v>
      </c>
      <c r="N718" s="95" t="s">
        <v>58</v>
      </c>
      <c r="O718" s="98" t="e">
        <f ca="1">(TODAY()-G718)/365</f>
        <v>#VALUE!</v>
      </c>
      <c r="P718" s="91" t="s">
        <v>43</v>
      </c>
      <c r="Q718" s="91">
        <v>0</v>
      </c>
      <c r="R718" s="91">
        <v>0</v>
      </c>
      <c r="S718" s="91">
        <v>0</v>
      </c>
      <c r="T718" s="91"/>
      <c r="U718" s="91"/>
      <c r="V718" s="91"/>
      <c r="W718" s="91"/>
      <c r="X718" s="91"/>
      <c r="Y718" s="91"/>
      <c r="Z718" s="91"/>
      <c r="AA718" s="91"/>
      <c r="AB718" s="91"/>
      <c r="AC718" s="91"/>
      <c r="AD718" s="91"/>
      <c r="AE718" s="91"/>
      <c r="AF718" s="91"/>
      <c r="AG718" s="91"/>
      <c r="AH718" s="91"/>
      <c r="AI718" s="91"/>
      <c r="AJ718" s="91"/>
      <c r="AK718" s="91"/>
      <c r="AL718" s="91"/>
      <c r="AM718" s="91"/>
    </row>
    <row r="719" spans="1:39" ht="20.25" hidden="1" customHeight="1">
      <c r="A719" s="91"/>
      <c r="B719" s="93" t="s">
        <v>2663</v>
      </c>
      <c r="C719" s="91" t="s">
        <v>36</v>
      </c>
      <c r="D719" s="94" t="s">
        <v>2695</v>
      </c>
      <c r="E719" s="94" t="s">
        <v>2696</v>
      </c>
      <c r="F719" s="95" t="s">
        <v>2697</v>
      </c>
      <c r="G719" s="96">
        <v>34825</v>
      </c>
      <c r="H719" s="97">
        <v>25731</v>
      </c>
      <c r="I719" s="94" t="s">
        <v>2698</v>
      </c>
      <c r="J719" s="94" t="s">
        <v>2699</v>
      </c>
      <c r="K719" s="95">
        <v>988003492</v>
      </c>
      <c r="L719" s="91" t="s">
        <v>66</v>
      </c>
      <c r="M719" s="98">
        <f ca="1">(TODAY()-H719)/365</f>
        <v>55.536986301369865</v>
      </c>
      <c r="N719" s="99">
        <f>(G719-H719)/365</f>
        <v>24.915068493150685</v>
      </c>
      <c r="O719" s="98">
        <f ca="1">(TODAY()-G719)/365</f>
        <v>30.621917808219177</v>
      </c>
      <c r="P719" s="91" t="s">
        <v>43</v>
      </c>
      <c r="Q719" s="91">
        <v>0</v>
      </c>
      <c r="R719" s="91">
        <v>0</v>
      </c>
      <c r="S719" s="91">
        <v>0</v>
      </c>
      <c r="T719" s="91"/>
      <c r="U719" s="91"/>
      <c r="V719" s="91"/>
      <c r="W719" s="91"/>
      <c r="X719" s="91"/>
      <c r="Y719" s="91"/>
      <c r="Z719" s="91"/>
      <c r="AA719" s="91"/>
      <c r="AB719" s="91"/>
      <c r="AC719" s="91"/>
      <c r="AD719" s="91"/>
      <c r="AE719" s="91"/>
      <c r="AF719" s="91"/>
      <c r="AG719" s="91"/>
      <c r="AH719" s="91"/>
      <c r="AI719" s="91"/>
      <c r="AJ719" s="91"/>
      <c r="AK719" s="91"/>
      <c r="AL719" s="91"/>
      <c r="AM719" s="91"/>
    </row>
    <row r="720" spans="1:39" ht="20.25" customHeight="1">
      <c r="A720" s="91"/>
      <c r="B720" s="93" t="s">
        <v>5484</v>
      </c>
      <c r="C720" s="91" t="s">
        <v>73</v>
      </c>
      <c r="D720" s="107" t="s">
        <v>1221</v>
      </c>
      <c r="E720" s="107" t="s">
        <v>5665</v>
      </c>
      <c r="F720" s="91" t="s">
        <v>5666</v>
      </c>
      <c r="G720" s="97" t="s">
        <v>58</v>
      </c>
      <c r="H720" s="103" t="s">
        <v>58</v>
      </c>
      <c r="I720" s="100" t="s">
        <v>58</v>
      </c>
      <c r="J720" s="100" t="s">
        <v>58</v>
      </c>
      <c r="K720" s="91" t="s">
        <v>58</v>
      </c>
      <c r="L720" s="91" t="s">
        <v>60</v>
      </c>
      <c r="M720" s="98">
        <v>0</v>
      </c>
      <c r="N720" s="91"/>
      <c r="O720" s="98" t="e">
        <f ca="1">(TODAY()-G720)/365</f>
        <v>#VALUE!</v>
      </c>
      <c r="P720" s="91" t="s">
        <v>43</v>
      </c>
      <c r="Q720" s="91">
        <v>0</v>
      </c>
      <c r="R720" s="91">
        <v>0</v>
      </c>
      <c r="S720" s="91">
        <v>0</v>
      </c>
      <c r="T720" s="91"/>
      <c r="U720" s="91"/>
      <c r="V720" s="91"/>
      <c r="W720" s="91"/>
      <c r="X720" s="91"/>
      <c r="Y720" s="91"/>
      <c r="Z720" s="91"/>
      <c r="AA720" s="91"/>
      <c r="AB720" s="91"/>
      <c r="AC720" s="91"/>
      <c r="AD720" s="91"/>
      <c r="AE720" s="91"/>
      <c r="AF720" s="91"/>
      <c r="AG720" s="91"/>
      <c r="AH720" s="91"/>
      <c r="AI720" s="91"/>
      <c r="AJ720" s="91"/>
      <c r="AK720" s="91"/>
      <c r="AL720" s="91"/>
      <c r="AM720" s="91"/>
    </row>
    <row r="721" spans="1:39" ht="20.25" customHeight="1">
      <c r="A721" s="91"/>
      <c r="B721" s="93" t="s">
        <v>4896</v>
      </c>
      <c r="C721" s="91" t="s">
        <v>73</v>
      </c>
      <c r="D721" s="107" t="s">
        <v>4926</v>
      </c>
      <c r="E721" s="107" t="s">
        <v>4927</v>
      </c>
      <c r="F721" s="91" t="s">
        <v>4928</v>
      </c>
      <c r="G721" s="96">
        <v>45244</v>
      </c>
      <c r="H721" s="97">
        <v>39234</v>
      </c>
      <c r="I721" s="94" t="s">
        <v>58</v>
      </c>
      <c r="J721" s="94" t="s">
        <v>58</v>
      </c>
      <c r="K721" s="91">
        <v>999362437</v>
      </c>
      <c r="L721" s="91" t="s">
        <v>60</v>
      </c>
      <c r="M721" s="98">
        <f ca="1">(TODAY()-H721)/365</f>
        <v>18.542465753424658</v>
      </c>
      <c r="N721" s="99">
        <f>(G721-H721)/365</f>
        <v>16.465753424657535</v>
      </c>
      <c r="O721" s="98">
        <f ca="1">(TODAY()-G721)/365</f>
        <v>2.0767123287671234</v>
      </c>
      <c r="P721" s="91" t="s">
        <v>43</v>
      </c>
      <c r="Q721" s="91">
        <v>0</v>
      </c>
      <c r="R721" s="91">
        <v>0</v>
      </c>
      <c r="S721" s="91">
        <v>0</v>
      </c>
      <c r="T721" s="91"/>
      <c r="U721" s="91"/>
      <c r="V721" s="91"/>
      <c r="W721" s="91"/>
      <c r="X721" s="91"/>
      <c r="Y721" s="91"/>
      <c r="Z721" s="91"/>
      <c r="AA721" s="91"/>
      <c r="AB721" s="91"/>
      <c r="AC721" s="91"/>
      <c r="AD721" s="91"/>
      <c r="AE721" s="91"/>
      <c r="AF721" s="91"/>
      <c r="AG721" s="91"/>
      <c r="AH721" s="91"/>
      <c r="AI721" s="91"/>
      <c r="AJ721" s="91"/>
      <c r="AK721" s="91"/>
      <c r="AL721" s="91"/>
      <c r="AM721" s="91"/>
    </row>
    <row r="722" spans="1:39" ht="20.25" hidden="1" customHeight="1">
      <c r="A722" s="91"/>
      <c r="B722" s="93" t="s">
        <v>2663</v>
      </c>
      <c r="C722" s="91" t="s">
        <v>36</v>
      </c>
      <c r="D722" s="94" t="s">
        <v>2706</v>
      </c>
      <c r="E722" s="94" t="s">
        <v>2707</v>
      </c>
      <c r="F722" s="95" t="s">
        <v>2708</v>
      </c>
      <c r="G722" s="96">
        <v>37923</v>
      </c>
      <c r="H722" s="97">
        <v>24509</v>
      </c>
      <c r="I722" s="94" t="s">
        <v>2709</v>
      </c>
      <c r="J722" s="94" t="s">
        <v>2682</v>
      </c>
      <c r="K722" s="95">
        <v>962051572</v>
      </c>
      <c r="L722" s="91" t="s">
        <v>42</v>
      </c>
      <c r="M722" s="98">
        <f ca="1">(TODAY()-H722)/365</f>
        <v>58.884931506849313</v>
      </c>
      <c r="N722" s="99">
        <f>(G722-H722)/365</f>
        <v>36.750684931506846</v>
      </c>
      <c r="O722" s="98">
        <f ca="1">(TODAY()-G722)/365</f>
        <v>22.134246575342466</v>
      </c>
      <c r="P722" s="91" t="s">
        <v>43</v>
      </c>
      <c r="Q722" s="91">
        <v>0</v>
      </c>
      <c r="R722" s="91">
        <v>0</v>
      </c>
      <c r="S722" s="91">
        <v>0</v>
      </c>
      <c r="T722" s="91"/>
      <c r="U722" s="91"/>
      <c r="V722" s="91"/>
      <c r="W722" s="91"/>
      <c r="X722" s="91"/>
      <c r="Y722" s="91"/>
      <c r="Z722" s="91"/>
      <c r="AA722" s="91"/>
      <c r="AB722" s="91"/>
      <c r="AC722" s="91"/>
      <c r="AD722" s="91"/>
      <c r="AE722" s="91"/>
      <c r="AF722" s="91"/>
      <c r="AG722" s="91"/>
      <c r="AH722" s="91"/>
      <c r="AI722" s="91"/>
      <c r="AJ722" s="91"/>
      <c r="AK722" s="91"/>
      <c r="AL722" s="91"/>
      <c r="AM722" s="91"/>
    </row>
    <row r="723" spans="1:39" ht="20.25" hidden="1" customHeight="1">
      <c r="A723" s="91"/>
      <c r="B723" s="93" t="s">
        <v>2663</v>
      </c>
      <c r="C723" s="91" t="s">
        <v>36</v>
      </c>
      <c r="D723" s="94" t="s">
        <v>361</v>
      </c>
      <c r="E723" s="94" t="s">
        <v>2710</v>
      </c>
      <c r="F723" s="95" t="s">
        <v>2711</v>
      </c>
      <c r="G723" s="96">
        <v>37521</v>
      </c>
      <c r="H723" s="97">
        <v>23841</v>
      </c>
      <c r="I723" s="94" t="s">
        <v>2712</v>
      </c>
      <c r="J723" s="94" t="s">
        <v>2713</v>
      </c>
      <c r="K723" s="95">
        <v>988371362</v>
      </c>
      <c r="L723" s="91" t="s">
        <v>54</v>
      </c>
      <c r="M723" s="98">
        <f ca="1">(TODAY()-H723)/365</f>
        <v>60.715068493150682</v>
      </c>
      <c r="N723" s="99">
        <f>(G723-H723)/365</f>
        <v>37.479452054794521</v>
      </c>
      <c r="O723" s="98">
        <f ca="1">(TODAY()-G723)/365</f>
        <v>23.235616438356164</v>
      </c>
      <c r="P723" s="91" t="s">
        <v>43</v>
      </c>
      <c r="Q723" s="91">
        <v>0</v>
      </c>
      <c r="R723" s="91">
        <v>0</v>
      </c>
      <c r="S723" s="91">
        <v>0</v>
      </c>
      <c r="T723" s="91"/>
      <c r="U723" s="91"/>
      <c r="V723" s="91"/>
      <c r="W723" s="91"/>
      <c r="X723" s="91"/>
      <c r="Y723" s="91"/>
      <c r="Z723" s="91"/>
      <c r="AA723" s="91"/>
      <c r="AB723" s="91"/>
      <c r="AC723" s="91"/>
      <c r="AD723" s="91"/>
      <c r="AE723" s="91"/>
      <c r="AF723" s="91"/>
      <c r="AG723" s="91"/>
      <c r="AH723" s="91"/>
      <c r="AI723" s="91"/>
      <c r="AJ723" s="91"/>
      <c r="AK723" s="91"/>
      <c r="AL723" s="91"/>
      <c r="AM723" s="91"/>
    </row>
    <row r="724" spans="1:39" ht="20.25" hidden="1" customHeight="1">
      <c r="A724" s="91"/>
      <c r="B724" s="93" t="s">
        <v>2663</v>
      </c>
      <c r="C724" s="91" t="s">
        <v>36</v>
      </c>
      <c r="D724" s="94" t="s">
        <v>2714</v>
      </c>
      <c r="E724" s="94" t="s">
        <v>2715</v>
      </c>
      <c r="F724" s="95" t="s">
        <v>2716</v>
      </c>
      <c r="G724" s="96">
        <v>34394</v>
      </c>
      <c r="H724" s="97">
        <v>20290</v>
      </c>
      <c r="I724" s="94" t="s">
        <v>2717</v>
      </c>
      <c r="J724" s="94" t="s">
        <v>2718</v>
      </c>
      <c r="K724" s="95">
        <v>997924421</v>
      </c>
      <c r="L724" s="91" t="s">
        <v>197</v>
      </c>
      <c r="M724" s="98">
        <f ca="1">(TODAY()-H724)/365</f>
        <v>70.443835616438349</v>
      </c>
      <c r="N724" s="99">
        <f>(G724-H724)/365</f>
        <v>38.641095890410959</v>
      </c>
      <c r="O724" s="98">
        <f ca="1">(TODAY()-G724)/365</f>
        <v>31.802739726027397</v>
      </c>
      <c r="P724" s="91" t="s">
        <v>43</v>
      </c>
      <c r="Q724" s="91">
        <v>0</v>
      </c>
      <c r="R724" s="91">
        <v>0</v>
      </c>
      <c r="S724" s="91">
        <v>0</v>
      </c>
      <c r="T724" s="91"/>
      <c r="U724" s="91"/>
      <c r="V724" s="91"/>
      <c r="W724" s="91"/>
      <c r="X724" s="91"/>
      <c r="Y724" s="91"/>
      <c r="Z724" s="91"/>
      <c r="AA724" s="91"/>
      <c r="AB724" s="91"/>
      <c r="AC724" s="91"/>
      <c r="AD724" s="91"/>
      <c r="AE724" s="91"/>
      <c r="AF724" s="91"/>
      <c r="AG724" s="91"/>
      <c r="AH724" s="91"/>
      <c r="AI724" s="91"/>
      <c r="AJ724" s="91"/>
      <c r="AK724" s="91"/>
      <c r="AL724" s="91"/>
      <c r="AM724" s="91"/>
    </row>
    <row r="725" spans="1:39" ht="20.25" hidden="1" customHeight="1">
      <c r="A725" s="91"/>
      <c r="B725" s="93" t="s">
        <v>2663</v>
      </c>
      <c r="C725" s="91" t="s">
        <v>36</v>
      </c>
      <c r="D725" s="94" t="s">
        <v>2719</v>
      </c>
      <c r="E725" s="94" t="s">
        <v>2720</v>
      </c>
      <c r="F725" s="95" t="s">
        <v>2721</v>
      </c>
      <c r="G725" s="96">
        <v>37911</v>
      </c>
      <c r="H725" s="97">
        <v>23670</v>
      </c>
      <c r="I725" s="94" t="s">
        <v>2722</v>
      </c>
      <c r="J725" s="94" t="s">
        <v>2723</v>
      </c>
      <c r="K725" s="95">
        <v>940353844</v>
      </c>
      <c r="L725" s="91" t="s">
        <v>60</v>
      </c>
      <c r="M725" s="98">
        <f ca="1">(TODAY()-H725)/365</f>
        <v>61.183561643835617</v>
      </c>
      <c r="N725" s="99">
        <f>(G725-H725)/365</f>
        <v>39.016438356164386</v>
      </c>
      <c r="O725" s="98">
        <f ca="1">(TODAY()-G725)/365</f>
        <v>22.167123287671235</v>
      </c>
      <c r="P725" s="91" t="s">
        <v>43</v>
      </c>
      <c r="Q725" s="91">
        <v>0</v>
      </c>
      <c r="R725" s="91">
        <v>0</v>
      </c>
      <c r="S725" s="91">
        <v>0</v>
      </c>
      <c r="T725" s="91"/>
      <c r="U725" s="91"/>
      <c r="V725" s="91"/>
      <c r="W725" s="91"/>
      <c r="X725" s="91"/>
      <c r="Y725" s="91"/>
      <c r="Z725" s="91"/>
      <c r="AA725" s="91"/>
      <c r="AB725" s="91"/>
      <c r="AC725" s="91"/>
      <c r="AD725" s="91"/>
      <c r="AE725" s="91"/>
      <c r="AF725" s="91"/>
      <c r="AG725" s="91"/>
      <c r="AH725" s="91"/>
      <c r="AI725" s="91"/>
      <c r="AJ725" s="91"/>
      <c r="AK725" s="91"/>
      <c r="AL725" s="91"/>
      <c r="AM725" s="91"/>
    </row>
    <row r="726" spans="1:39" ht="20.25" hidden="1" customHeight="1">
      <c r="A726" s="91"/>
      <c r="B726" s="93" t="s">
        <v>2663</v>
      </c>
      <c r="C726" s="91" t="s">
        <v>36</v>
      </c>
      <c r="D726" s="94" t="s">
        <v>2648</v>
      </c>
      <c r="E726" s="94" t="s">
        <v>2724</v>
      </c>
      <c r="F726" s="95" t="s">
        <v>2725</v>
      </c>
      <c r="G726" s="96">
        <v>38460</v>
      </c>
      <c r="H726" s="97">
        <v>22894</v>
      </c>
      <c r="I726" s="94" t="s">
        <v>58</v>
      </c>
      <c r="J726" s="94" t="s">
        <v>2726</v>
      </c>
      <c r="K726" s="95">
        <v>967316873</v>
      </c>
      <c r="L726" s="91" t="s">
        <v>60</v>
      </c>
      <c r="M726" s="98">
        <f ca="1">(TODAY()-H726)/365</f>
        <v>63.30958904109589</v>
      </c>
      <c r="N726" s="99">
        <f>(G726-H726)/365</f>
        <v>42.646575342465752</v>
      </c>
      <c r="O726" s="98">
        <f ca="1">(TODAY()-G726)/365</f>
        <v>20.663013698630138</v>
      </c>
      <c r="P726" s="91" t="s">
        <v>43</v>
      </c>
      <c r="Q726" s="91">
        <v>0</v>
      </c>
      <c r="R726" s="91">
        <v>0</v>
      </c>
      <c r="S726" s="91">
        <v>0</v>
      </c>
      <c r="T726" s="91"/>
      <c r="U726" s="91"/>
      <c r="V726" s="91"/>
      <c r="W726" s="91"/>
      <c r="X726" s="91"/>
      <c r="Y726" s="91"/>
      <c r="Z726" s="91"/>
      <c r="AA726" s="91"/>
      <c r="AB726" s="91"/>
      <c r="AC726" s="91"/>
      <c r="AD726" s="91"/>
      <c r="AE726" s="91"/>
      <c r="AF726" s="91"/>
      <c r="AG726" s="91"/>
      <c r="AH726" s="91"/>
      <c r="AI726" s="91"/>
      <c r="AJ726" s="91"/>
      <c r="AK726" s="91"/>
      <c r="AL726" s="91"/>
      <c r="AM726" s="91"/>
    </row>
    <row r="727" spans="1:39" ht="20.25" hidden="1" customHeight="1">
      <c r="A727" s="91"/>
      <c r="B727" s="93" t="s">
        <v>2663</v>
      </c>
      <c r="C727" s="91" t="s">
        <v>36</v>
      </c>
      <c r="D727" s="94" t="s">
        <v>2727</v>
      </c>
      <c r="E727" s="94" t="s">
        <v>2728</v>
      </c>
      <c r="F727" s="95" t="s">
        <v>2729</v>
      </c>
      <c r="G727" s="96">
        <v>38507</v>
      </c>
      <c r="H727" s="97">
        <v>22739</v>
      </c>
      <c r="I727" s="94" t="s">
        <v>2730</v>
      </c>
      <c r="J727" s="94" t="s">
        <v>2731</v>
      </c>
      <c r="K727" s="95">
        <v>986042122</v>
      </c>
      <c r="L727" s="91" t="s">
        <v>151</v>
      </c>
      <c r="M727" s="98">
        <f ca="1">(TODAY()-H727)/365</f>
        <v>63.734246575342468</v>
      </c>
      <c r="N727" s="99">
        <f>(G727-H727)/365</f>
        <v>43.2</v>
      </c>
      <c r="O727" s="98">
        <f ca="1">(TODAY()-G727)/365</f>
        <v>20.534246575342465</v>
      </c>
      <c r="P727" s="91" t="s">
        <v>43</v>
      </c>
      <c r="Q727" s="91">
        <v>0</v>
      </c>
      <c r="R727" s="91">
        <v>0</v>
      </c>
      <c r="S727" s="91">
        <v>0</v>
      </c>
      <c r="T727" s="91"/>
      <c r="U727" s="91"/>
      <c r="V727" s="91"/>
      <c r="W727" s="91"/>
      <c r="X727" s="91"/>
      <c r="Y727" s="91"/>
      <c r="Z727" s="91"/>
      <c r="AA727" s="91"/>
      <c r="AB727" s="91"/>
      <c r="AC727" s="91"/>
      <c r="AD727" s="91"/>
      <c r="AE727" s="91"/>
      <c r="AF727" s="91"/>
      <c r="AG727" s="91"/>
      <c r="AH727" s="91"/>
      <c r="AI727" s="91"/>
      <c r="AJ727" s="91"/>
      <c r="AK727" s="91"/>
      <c r="AL727" s="91"/>
      <c r="AM727" s="91"/>
    </row>
    <row r="728" spans="1:39" ht="20.25" hidden="1" customHeight="1">
      <c r="A728" s="91"/>
      <c r="B728" s="93" t="s">
        <v>2663</v>
      </c>
      <c r="C728" s="91" t="s">
        <v>36</v>
      </c>
      <c r="D728" s="94" t="s">
        <v>675</v>
      </c>
      <c r="E728" s="94" t="s">
        <v>2732</v>
      </c>
      <c r="F728" s="95" t="s">
        <v>2733</v>
      </c>
      <c r="G728" s="96">
        <v>39254</v>
      </c>
      <c r="H728" s="97">
        <v>23061</v>
      </c>
      <c r="I728" s="94" t="s">
        <v>2734</v>
      </c>
      <c r="J728" s="94" t="s">
        <v>2735</v>
      </c>
      <c r="K728" s="95">
        <v>931919605</v>
      </c>
      <c r="L728" s="91" t="s">
        <v>60</v>
      </c>
      <c r="M728" s="98">
        <f ca="1">(TODAY()-H728)/365</f>
        <v>62.852054794520548</v>
      </c>
      <c r="N728" s="99">
        <f>(G728-H728)/365</f>
        <v>44.364383561643834</v>
      </c>
      <c r="O728" s="98">
        <f ca="1">(TODAY()-G728)/365</f>
        <v>18.487671232876714</v>
      </c>
      <c r="P728" s="91" t="s">
        <v>43</v>
      </c>
      <c r="Q728" s="91">
        <v>0</v>
      </c>
      <c r="R728" s="91">
        <v>0</v>
      </c>
      <c r="S728" s="91">
        <v>0</v>
      </c>
      <c r="T728" s="91"/>
      <c r="U728" s="91"/>
      <c r="V728" s="91"/>
      <c r="W728" s="91"/>
      <c r="X728" s="91"/>
      <c r="Y728" s="91"/>
      <c r="Z728" s="91"/>
      <c r="AA728" s="91"/>
      <c r="AB728" s="91"/>
      <c r="AC728" s="91"/>
      <c r="AD728" s="91"/>
      <c r="AE728" s="91"/>
      <c r="AF728" s="91"/>
      <c r="AG728" s="91"/>
      <c r="AH728" s="91"/>
      <c r="AI728" s="91"/>
      <c r="AJ728" s="91"/>
      <c r="AK728" s="91"/>
      <c r="AL728" s="91"/>
      <c r="AM728" s="91"/>
    </row>
    <row r="729" spans="1:39" ht="20.25" hidden="1" customHeight="1">
      <c r="A729" s="91"/>
      <c r="B729" s="93" t="s">
        <v>2663</v>
      </c>
      <c r="C729" s="91" t="s">
        <v>36</v>
      </c>
      <c r="D729" s="94" t="s">
        <v>295</v>
      </c>
      <c r="E729" s="94" t="s">
        <v>2736</v>
      </c>
      <c r="F729" s="95" t="s">
        <v>2737</v>
      </c>
      <c r="G729" s="96">
        <v>38507</v>
      </c>
      <c r="H729" s="97">
        <v>20429</v>
      </c>
      <c r="I729" s="94" t="s">
        <v>2738</v>
      </c>
      <c r="J729" s="94" t="s">
        <v>2739</v>
      </c>
      <c r="K729" s="95">
        <v>926288990</v>
      </c>
      <c r="L729" s="91" t="s">
        <v>60</v>
      </c>
      <c r="M729" s="98">
        <f ca="1">(TODAY()-H729)/365</f>
        <v>70.063013698630144</v>
      </c>
      <c r="N729" s="99">
        <f>(G729-H729)/365</f>
        <v>49.528767123287672</v>
      </c>
      <c r="O729" s="98">
        <f ca="1">(TODAY()-G729)/365</f>
        <v>20.534246575342465</v>
      </c>
      <c r="P729" s="91" t="s">
        <v>43</v>
      </c>
      <c r="Q729" s="91">
        <v>0</v>
      </c>
      <c r="R729" s="91">
        <v>0</v>
      </c>
      <c r="S729" s="91">
        <v>0</v>
      </c>
      <c r="T729" s="91"/>
      <c r="U729" s="91"/>
      <c r="V729" s="91"/>
      <c r="W729" s="91"/>
      <c r="X729" s="91"/>
      <c r="Y729" s="91"/>
      <c r="Z729" s="91"/>
      <c r="AA729" s="91"/>
      <c r="AB729" s="91"/>
      <c r="AC729" s="91"/>
      <c r="AD729" s="91"/>
      <c r="AE729" s="91"/>
      <c r="AF729" s="91"/>
      <c r="AG729" s="91"/>
      <c r="AH729" s="91"/>
      <c r="AI729" s="91"/>
      <c r="AJ729" s="91"/>
      <c r="AK729" s="91"/>
      <c r="AL729" s="91"/>
      <c r="AM729" s="91"/>
    </row>
    <row r="730" spans="1:39" ht="20.25" hidden="1" customHeight="1">
      <c r="A730" s="91"/>
      <c r="B730" s="93" t="s">
        <v>2663</v>
      </c>
      <c r="C730" s="91" t="s">
        <v>36</v>
      </c>
      <c r="D730" s="94" t="s">
        <v>675</v>
      </c>
      <c r="E730" s="94" t="s">
        <v>2740</v>
      </c>
      <c r="F730" s="95" t="s">
        <v>2741</v>
      </c>
      <c r="G730" s="96">
        <v>39186</v>
      </c>
      <c r="H730" s="97">
        <v>19825</v>
      </c>
      <c r="I730" s="94" t="s">
        <v>58</v>
      </c>
      <c r="J730" s="94" t="s">
        <v>2742</v>
      </c>
      <c r="K730" s="95">
        <v>992769564</v>
      </c>
      <c r="L730" s="91" t="s">
        <v>60</v>
      </c>
      <c r="M730" s="98">
        <f ca="1">(TODAY()-H730)/365</f>
        <v>71.717808219178082</v>
      </c>
      <c r="N730" s="99">
        <f>(G730-H730)/365</f>
        <v>53.043835616438358</v>
      </c>
      <c r="O730" s="98">
        <f ca="1">(TODAY()-G730)/365</f>
        <v>18.673972602739727</v>
      </c>
      <c r="P730" s="91" t="s">
        <v>43</v>
      </c>
      <c r="Q730" s="91">
        <v>0</v>
      </c>
      <c r="R730" s="91">
        <v>0</v>
      </c>
      <c r="S730" s="91">
        <v>0</v>
      </c>
      <c r="T730" s="91"/>
      <c r="U730" s="91"/>
      <c r="V730" s="91"/>
      <c r="W730" s="91"/>
      <c r="X730" s="91"/>
      <c r="Y730" s="91"/>
      <c r="Z730" s="91"/>
      <c r="AA730" s="91"/>
      <c r="AB730" s="91"/>
      <c r="AC730" s="91"/>
      <c r="AD730" s="91"/>
      <c r="AE730" s="91"/>
      <c r="AF730" s="91"/>
      <c r="AG730" s="91"/>
      <c r="AH730" s="91"/>
      <c r="AI730" s="91"/>
      <c r="AJ730" s="91"/>
      <c r="AK730" s="91"/>
      <c r="AL730" s="91"/>
      <c r="AM730" s="91"/>
    </row>
    <row r="731" spans="1:39" ht="20.25" hidden="1" customHeight="1">
      <c r="A731" s="91"/>
      <c r="B731" s="93" t="s">
        <v>11748</v>
      </c>
      <c r="C731" s="91" t="s">
        <v>36</v>
      </c>
      <c r="D731" s="107" t="s">
        <v>666</v>
      </c>
      <c r="E731" s="107" t="s">
        <v>2743</v>
      </c>
      <c r="F731" s="91" t="s">
        <v>2744</v>
      </c>
      <c r="G731" s="96">
        <v>39904</v>
      </c>
      <c r="H731" s="97">
        <v>37163</v>
      </c>
      <c r="I731" s="94" t="s">
        <v>58</v>
      </c>
      <c r="J731" s="94" t="s">
        <v>58</v>
      </c>
      <c r="K731" s="91">
        <v>953955822</v>
      </c>
      <c r="L731" s="91" t="s">
        <v>72</v>
      </c>
      <c r="M731" s="98">
        <f ca="1">(TODAY()-H731)/365</f>
        <v>24.216438356164385</v>
      </c>
      <c r="N731" s="99">
        <f>(G731-H731)/365</f>
        <v>7.5095890410958903</v>
      </c>
      <c r="O731" s="98">
        <f ca="1">(TODAY()-G731)/365</f>
        <v>16.706849315068492</v>
      </c>
      <c r="P731" s="91" t="s">
        <v>43</v>
      </c>
      <c r="Q731" s="91">
        <v>0</v>
      </c>
      <c r="R731" s="91">
        <v>0</v>
      </c>
      <c r="S731" s="91">
        <v>0</v>
      </c>
      <c r="T731" s="91"/>
      <c r="U731" s="91"/>
      <c r="V731" s="91"/>
      <c r="W731" s="91"/>
      <c r="X731" s="91"/>
      <c r="Y731" s="91"/>
      <c r="Z731" s="91"/>
      <c r="AA731" s="91"/>
      <c r="AB731" s="91"/>
      <c r="AC731" s="91"/>
      <c r="AD731" s="91"/>
      <c r="AE731" s="91"/>
      <c r="AF731" s="91"/>
      <c r="AG731" s="91"/>
      <c r="AH731" s="91"/>
      <c r="AI731" s="91"/>
      <c r="AJ731" s="91"/>
      <c r="AK731" s="91"/>
      <c r="AL731" s="91"/>
      <c r="AM731" s="91"/>
    </row>
    <row r="732" spans="1:39" ht="20.25" hidden="1" customHeight="1">
      <c r="A732" s="91"/>
      <c r="B732" s="93" t="s">
        <v>11748</v>
      </c>
      <c r="C732" s="91" t="s">
        <v>36</v>
      </c>
      <c r="D732" s="107" t="s">
        <v>588</v>
      </c>
      <c r="E732" s="107" t="s">
        <v>2745</v>
      </c>
      <c r="F732" s="91" t="s">
        <v>2746</v>
      </c>
      <c r="G732" s="96">
        <v>42016</v>
      </c>
      <c r="H732" s="97">
        <v>36483</v>
      </c>
      <c r="I732" s="94" t="s">
        <v>58</v>
      </c>
      <c r="J732" s="94" t="s">
        <v>58</v>
      </c>
      <c r="K732" s="91">
        <v>999163164</v>
      </c>
      <c r="L732" s="91" t="s">
        <v>66</v>
      </c>
      <c r="M732" s="98">
        <f ca="1">(TODAY()-H732)/365</f>
        <v>26.079452054794519</v>
      </c>
      <c r="N732" s="99">
        <f>(G732-H732)/365</f>
        <v>15.158904109589042</v>
      </c>
      <c r="O732" s="98">
        <f ca="1">(TODAY()-G732)/365</f>
        <v>10.920547945205479</v>
      </c>
      <c r="P732" s="91" t="s">
        <v>43</v>
      </c>
      <c r="Q732" s="91">
        <v>0</v>
      </c>
      <c r="R732" s="91">
        <v>0</v>
      </c>
      <c r="S732" s="91">
        <v>0</v>
      </c>
      <c r="T732" s="91"/>
      <c r="U732" s="91"/>
      <c r="V732" s="91"/>
      <c r="W732" s="91"/>
      <c r="X732" s="91"/>
      <c r="Y732" s="91"/>
      <c r="Z732" s="91"/>
      <c r="AA732" s="91"/>
      <c r="AB732" s="91"/>
      <c r="AC732" s="91"/>
      <c r="AD732" s="91"/>
      <c r="AE732" s="91"/>
      <c r="AF732" s="91"/>
      <c r="AG732" s="91"/>
      <c r="AH732" s="91"/>
      <c r="AI732" s="91"/>
      <c r="AJ732" s="91"/>
      <c r="AK732" s="91"/>
      <c r="AL732" s="91"/>
      <c r="AM732" s="91"/>
    </row>
    <row r="733" spans="1:39" ht="20.25" hidden="1" customHeight="1">
      <c r="A733" s="91"/>
      <c r="B733" s="93" t="s">
        <v>11748</v>
      </c>
      <c r="C733" s="91" t="s">
        <v>36</v>
      </c>
      <c r="D733" s="107" t="s">
        <v>2747</v>
      </c>
      <c r="E733" s="107" t="s">
        <v>2748</v>
      </c>
      <c r="F733" s="91" t="s">
        <v>2749</v>
      </c>
      <c r="G733" s="96">
        <v>45200</v>
      </c>
      <c r="H733" s="97">
        <v>38387</v>
      </c>
      <c r="I733" s="94" t="s">
        <v>58</v>
      </c>
      <c r="J733" s="94" t="s">
        <v>58</v>
      </c>
      <c r="K733" s="91">
        <v>968952626</v>
      </c>
      <c r="L733" s="91" t="s">
        <v>60</v>
      </c>
      <c r="M733" s="98">
        <f ca="1">(TODAY()-H733)/365</f>
        <v>20.863013698630137</v>
      </c>
      <c r="N733" s="99">
        <f>(G733-H733)/365</f>
        <v>18.665753424657535</v>
      </c>
      <c r="O733" s="98">
        <f ca="1">(TODAY()-G733)/365</f>
        <v>2.1972602739726028</v>
      </c>
      <c r="P733" s="91" t="s">
        <v>272</v>
      </c>
      <c r="Q733" s="91">
        <v>0</v>
      </c>
      <c r="R733" s="91">
        <v>0</v>
      </c>
      <c r="S733" s="91">
        <v>0</v>
      </c>
      <c r="T733" s="91"/>
      <c r="U733" s="91"/>
      <c r="V733" s="91"/>
      <c r="W733" s="91"/>
      <c r="X733" s="91"/>
      <c r="Y733" s="91"/>
      <c r="Z733" s="91"/>
      <c r="AA733" s="91"/>
      <c r="AB733" s="91"/>
      <c r="AC733" s="91"/>
      <c r="AD733" s="91"/>
      <c r="AE733" s="91"/>
      <c r="AF733" s="91"/>
      <c r="AG733" s="91"/>
      <c r="AH733" s="91"/>
      <c r="AI733" s="91"/>
      <c r="AJ733" s="91"/>
      <c r="AK733" s="91"/>
      <c r="AL733" s="91"/>
      <c r="AM733" s="91"/>
    </row>
    <row r="734" spans="1:39" ht="20.25" hidden="1" customHeight="1">
      <c r="A734" s="91"/>
      <c r="B734" s="93" t="s">
        <v>11748</v>
      </c>
      <c r="C734" s="91" t="s">
        <v>36</v>
      </c>
      <c r="D734" s="107" t="s">
        <v>2750</v>
      </c>
      <c r="E734" s="107" t="s">
        <v>2751</v>
      </c>
      <c r="F734" s="91" t="s">
        <v>2752</v>
      </c>
      <c r="G734" s="96">
        <v>45200</v>
      </c>
      <c r="H734" s="97">
        <v>38360</v>
      </c>
      <c r="I734" s="94" t="s">
        <v>58</v>
      </c>
      <c r="J734" s="94" t="s">
        <v>58</v>
      </c>
      <c r="K734" s="91">
        <v>957301211</v>
      </c>
      <c r="L734" s="91" t="s">
        <v>60</v>
      </c>
      <c r="M734" s="98">
        <f ca="1">(TODAY()-H734)/365</f>
        <v>20.936986301369863</v>
      </c>
      <c r="N734" s="99">
        <f>(G734-H734)/365</f>
        <v>18.739726027397261</v>
      </c>
      <c r="O734" s="98">
        <f ca="1">(TODAY()-G734)/365</f>
        <v>2.1972602739726028</v>
      </c>
      <c r="P734" s="91" t="s">
        <v>43</v>
      </c>
      <c r="Q734" s="91">
        <v>0</v>
      </c>
      <c r="R734" s="91">
        <v>0</v>
      </c>
      <c r="S734" s="91">
        <v>0</v>
      </c>
      <c r="T734" s="91"/>
      <c r="U734" s="91"/>
      <c r="V734" s="91"/>
      <c r="W734" s="91"/>
      <c r="X734" s="91"/>
      <c r="Y734" s="91"/>
      <c r="Z734" s="91"/>
      <c r="AA734" s="91"/>
      <c r="AB734" s="91"/>
      <c r="AC734" s="91"/>
      <c r="AD734" s="91"/>
      <c r="AE734" s="91"/>
      <c r="AF734" s="91"/>
      <c r="AG734" s="91"/>
      <c r="AH734" s="91"/>
      <c r="AI734" s="91"/>
      <c r="AJ734" s="91"/>
      <c r="AK734" s="91"/>
      <c r="AL734" s="91"/>
      <c r="AM734" s="91"/>
    </row>
    <row r="735" spans="1:39" ht="20.25" hidden="1" customHeight="1">
      <c r="A735" s="91"/>
      <c r="B735" s="93" t="s">
        <v>11748</v>
      </c>
      <c r="C735" s="91" t="s">
        <v>36</v>
      </c>
      <c r="D735" s="107" t="s">
        <v>2753</v>
      </c>
      <c r="E735" s="107" t="s">
        <v>2754</v>
      </c>
      <c r="F735" s="91" t="s">
        <v>2755</v>
      </c>
      <c r="G735" s="96">
        <v>45139</v>
      </c>
      <c r="H735" s="97">
        <v>38284</v>
      </c>
      <c r="I735" s="94" t="s">
        <v>58</v>
      </c>
      <c r="J735" s="94" t="s">
        <v>58</v>
      </c>
      <c r="K735" s="91">
        <v>958066583</v>
      </c>
      <c r="L735" s="91" t="s">
        <v>60</v>
      </c>
      <c r="M735" s="98">
        <f ca="1">(TODAY()-H735)/365</f>
        <v>21.145205479452056</v>
      </c>
      <c r="N735" s="99">
        <f>(G735-H735)/365</f>
        <v>18.780821917808218</v>
      </c>
      <c r="O735" s="98">
        <f ca="1">(TODAY()-G735)/365</f>
        <v>2.3643835616438356</v>
      </c>
      <c r="P735" s="91" t="s">
        <v>43</v>
      </c>
      <c r="Q735" s="91">
        <v>0</v>
      </c>
      <c r="R735" s="91">
        <v>0</v>
      </c>
      <c r="S735" s="91">
        <v>0</v>
      </c>
      <c r="T735" s="91"/>
      <c r="U735" s="91"/>
      <c r="V735" s="91"/>
      <c r="W735" s="91"/>
      <c r="X735" s="91"/>
      <c r="Y735" s="91"/>
      <c r="Z735" s="91"/>
      <c r="AA735" s="91"/>
      <c r="AB735" s="91"/>
      <c r="AC735" s="91"/>
      <c r="AD735" s="91"/>
      <c r="AE735" s="91"/>
      <c r="AF735" s="91"/>
      <c r="AG735" s="91"/>
      <c r="AH735" s="91"/>
      <c r="AI735" s="91"/>
      <c r="AJ735" s="91"/>
      <c r="AK735" s="91"/>
      <c r="AL735" s="91"/>
      <c r="AM735" s="91"/>
    </row>
    <row r="736" spans="1:39" ht="20.25" hidden="1" customHeight="1">
      <c r="A736" s="91"/>
      <c r="B736" s="93" t="s">
        <v>11748</v>
      </c>
      <c r="C736" s="91" t="s">
        <v>36</v>
      </c>
      <c r="D736" s="107" t="s">
        <v>2756</v>
      </c>
      <c r="E736" s="107" t="s">
        <v>2757</v>
      </c>
      <c r="F736" s="91" t="s">
        <v>2758</v>
      </c>
      <c r="G736" s="96">
        <v>45139</v>
      </c>
      <c r="H736" s="97">
        <v>38006</v>
      </c>
      <c r="I736" s="94" t="s">
        <v>58</v>
      </c>
      <c r="J736" s="94" t="s">
        <v>58</v>
      </c>
      <c r="K736" s="91">
        <v>966806653</v>
      </c>
      <c r="L736" s="91" t="s">
        <v>60</v>
      </c>
      <c r="M736" s="98">
        <f ca="1">(TODAY()-H736)/365</f>
        <v>21.906849315068492</v>
      </c>
      <c r="N736" s="99">
        <f>(G736-H736)/365</f>
        <v>19.542465753424658</v>
      </c>
      <c r="O736" s="98">
        <f ca="1">(TODAY()-G736)/365</f>
        <v>2.3643835616438356</v>
      </c>
      <c r="P736" s="91" t="s">
        <v>43</v>
      </c>
      <c r="Q736" s="91">
        <v>0</v>
      </c>
      <c r="R736" s="91">
        <v>0</v>
      </c>
      <c r="S736" s="91">
        <v>0</v>
      </c>
      <c r="T736" s="91"/>
      <c r="U736" s="91"/>
      <c r="V736" s="91"/>
      <c r="W736" s="91"/>
      <c r="X736" s="91"/>
      <c r="Y736" s="91"/>
      <c r="Z736" s="91"/>
      <c r="AA736" s="91"/>
      <c r="AB736" s="91"/>
      <c r="AC736" s="91"/>
      <c r="AD736" s="91"/>
      <c r="AE736" s="91"/>
      <c r="AF736" s="91"/>
      <c r="AG736" s="91"/>
      <c r="AH736" s="91"/>
      <c r="AI736" s="91"/>
      <c r="AJ736" s="91"/>
      <c r="AK736" s="91"/>
      <c r="AL736" s="91"/>
      <c r="AM736" s="91"/>
    </row>
    <row r="737" spans="1:39" ht="20.25" customHeight="1">
      <c r="A737" s="91"/>
      <c r="B737" s="93" t="s">
        <v>260</v>
      </c>
      <c r="C737" s="91" t="s">
        <v>73</v>
      </c>
      <c r="D737" s="106" t="s">
        <v>284</v>
      </c>
      <c r="E737" s="106" t="s">
        <v>285</v>
      </c>
      <c r="F737" s="92" t="s">
        <v>286</v>
      </c>
      <c r="G737" s="103">
        <v>41334</v>
      </c>
      <c r="H737" s="97">
        <v>30935</v>
      </c>
      <c r="I737" s="100" t="s">
        <v>58</v>
      </c>
      <c r="J737" s="100" t="s">
        <v>58</v>
      </c>
      <c r="K737" s="91" t="s">
        <v>58</v>
      </c>
      <c r="L737" s="91" t="s">
        <v>60</v>
      </c>
      <c r="M737" s="98">
        <f ca="1">(TODAY()-H737)/365</f>
        <v>41.279452054794518</v>
      </c>
      <c r="N737" s="99">
        <f>(G737-H737)/365</f>
        <v>28.490410958904111</v>
      </c>
      <c r="O737" s="98">
        <f ca="1">(TODAY()-G737)/365</f>
        <v>12.789041095890411</v>
      </c>
      <c r="P737" s="91" t="s">
        <v>43</v>
      </c>
      <c r="Q737" s="91">
        <v>0</v>
      </c>
      <c r="R737" s="91">
        <v>0</v>
      </c>
      <c r="S737" s="91">
        <v>0</v>
      </c>
      <c r="T737" s="91"/>
      <c r="U737" s="91"/>
      <c r="V737" s="91"/>
      <c r="W737" s="91"/>
      <c r="X737" s="91"/>
      <c r="Y737" s="91"/>
      <c r="Z737" s="91"/>
      <c r="AA737" s="91"/>
      <c r="AB737" s="91"/>
      <c r="AC737" s="91"/>
      <c r="AD737" s="91"/>
      <c r="AE737" s="91"/>
      <c r="AF737" s="91"/>
      <c r="AG737" s="91"/>
      <c r="AH737" s="91"/>
      <c r="AI737" s="91"/>
      <c r="AJ737" s="91"/>
      <c r="AK737" s="91"/>
      <c r="AL737" s="91"/>
      <c r="AM737" s="91"/>
    </row>
    <row r="738" spans="1:39" ht="20.25" hidden="1" customHeight="1">
      <c r="A738" s="91"/>
      <c r="B738" s="93" t="s">
        <v>11748</v>
      </c>
      <c r="C738" s="91" t="s">
        <v>36</v>
      </c>
      <c r="D738" s="107" t="s">
        <v>2671</v>
      </c>
      <c r="E738" s="107" t="s">
        <v>2761</v>
      </c>
      <c r="F738" s="91" t="s">
        <v>2762</v>
      </c>
      <c r="G738" s="96">
        <v>45078</v>
      </c>
      <c r="H738" s="97">
        <v>37797</v>
      </c>
      <c r="I738" s="94" t="s">
        <v>58</v>
      </c>
      <c r="J738" s="94" t="s">
        <v>58</v>
      </c>
      <c r="K738" s="91">
        <v>945281507</v>
      </c>
      <c r="L738" s="91" t="s">
        <v>60</v>
      </c>
      <c r="M738" s="98">
        <f ca="1">(TODAY()-H738)/365</f>
        <v>22.479452054794521</v>
      </c>
      <c r="N738" s="99">
        <f>(G738-H738)/365</f>
        <v>19.947945205479453</v>
      </c>
      <c r="O738" s="98">
        <f ca="1">(TODAY()-G738)/365</f>
        <v>2.5315068493150683</v>
      </c>
      <c r="P738" s="91" t="s">
        <v>43</v>
      </c>
      <c r="Q738" s="91">
        <v>0</v>
      </c>
      <c r="R738" s="91">
        <v>0</v>
      </c>
      <c r="S738" s="91">
        <v>0</v>
      </c>
      <c r="T738" s="91"/>
      <c r="U738" s="91"/>
      <c r="V738" s="91"/>
      <c r="W738" s="91"/>
      <c r="X738" s="91"/>
      <c r="Y738" s="91"/>
      <c r="Z738" s="91"/>
      <c r="AA738" s="91"/>
      <c r="AB738" s="91"/>
      <c r="AC738" s="91"/>
      <c r="AD738" s="91"/>
      <c r="AE738" s="91"/>
      <c r="AF738" s="91"/>
      <c r="AG738" s="91"/>
      <c r="AH738" s="91"/>
      <c r="AI738" s="91"/>
      <c r="AJ738" s="91"/>
      <c r="AK738" s="91"/>
      <c r="AL738" s="91"/>
      <c r="AM738" s="91"/>
    </row>
    <row r="739" spans="1:39" ht="20.25" hidden="1" customHeight="1">
      <c r="A739" s="91"/>
      <c r="B739" s="93" t="s">
        <v>11748</v>
      </c>
      <c r="C739" s="91" t="s">
        <v>36</v>
      </c>
      <c r="D739" s="107" t="s">
        <v>1488</v>
      </c>
      <c r="E739" s="107" t="s">
        <v>2763</v>
      </c>
      <c r="F739" s="91" t="s">
        <v>2764</v>
      </c>
      <c r="G739" s="96">
        <v>44501</v>
      </c>
      <c r="H739" s="97">
        <v>37129</v>
      </c>
      <c r="I739" s="94" t="s">
        <v>58</v>
      </c>
      <c r="J739" s="94" t="s">
        <v>58</v>
      </c>
      <c r="K739" s="91">
        <v>982747068</v>
      </c>
      <c r="L739" s="91" t="s">
        <v>49</v>
      </c>
      <c r="M739" s="98">
        <f ca="1">(TODAY()-H739)/365</f>
        <v>24.30958904109589</v>
      </c>
      <c r="N739" s="99">
        <f>(G739-H739)/365</f>
        <v>20.197260273972603</v>
      </c>
      <c r="O739" s="98">
        <f ca="1">(TODAY()-G739)/365</f>
        <v>4.1123287671232873</v>
      </c>
      <c r="P739" s="91" t="s">
        <v>272</v>
      </c>
      <c r="Q739" s="91">
        <v>1</v>
      </c>
      <c r="R739" s="91">
        <v>0</v>
      </c>
      <c r="S739" s="91">
        <v>0</v>
      </c>
      <c r="T739" s="91"/>
      <c r="U739" s="91"/>
      <c r="V739" s="91"/>
      <c r="W739" s="91"/>
      <c r="X739" s="91"/>
      <c r="Y739" s="91"/>
      <c r="Z739" s="91"/>
      <c r="AA739" s="91"/>
      <c r="AB739" s="91"/>
      <c r="AC739" s="91"/>
      <c r="AD739" s="91"/>
      <c r="AE739" s="91"/>
      <c r="AF739" s="91"/>
      <c r="AG739" s="91"/>
      <c r="AH739" s="91"/>
      <c r="AI739" s="91"/>
      <c r="AJ739" s="91"/>
      <c r="AK739" s="91"/>
      <c r="AL739" s="91"/>
      <c r="AM739" s="91"/>
    </row>
    <row r="740" spans="1:39" ht="20.25" hidden="1" customHeight="1">
      <c r="A740" s="91"/>
      <c r="B740" s="93" t="s">
        <v>11748</v>
      </c>
      <c r="C740" s="91" t="s">
        <v>36</v>
      </c>
      <c r="D740" s="107" t="s">
        <v>2691</v>
      </c>
      <c r="E740" s="107" t="s">
        <v>2765</v>
      </c>
      <c r="F740" s="91" t="s">
        <v>2766</v>
      </c>
      <c r="G740" s="96">
        <v>45078</v>
      </c>
      <c r="H740" s="97">
        <v>37631</v>
      </c>
      <c r="I740" s="94" t="s">
        <v>58</v>
      </c>
      <c r="J740" s="94" t="s">
        <v>58</v>
      </c>
      <c r="K740" s="91">
        <v>955349360</v>
      </c>
      <c r="L740" s="91" t="s">
        <v>60</v>
      </c>
      <c r="M740" s="98">
        <f ca="1">(TODAY()-H740)/365</f>
        <v>22.934246575342467</v>
      </c>
      <c r="N740" s="99">
        <f>(G740-H740)/365</f>
        <v>20.402739726027399</v>
      </c>
      <c r="O740" s="98">
        <f ca="1">(TODAY()-G740)/365</f>
        <v>2.5315068493150683</v>
      </c>
      <c r="P740" s="91" t="s">
        <v>43</v>
      </c>
      <c r="Q740" s="91">
        <v>0</v>
      </c>
      <c r="R740" s="91">
        <v>0</v>
      </c>
      <c r="S740" s="91">
        <v>0</v>
      </c>
      <c r="T740" s="91"/>
      <c r="U740" s="91"/>
      <c r="V740" s="91"/>
      <c r="W740" s="91"/>
      <c r="X740" s="91"/>
      <c r="Y740" s="91"/>
      <c r="Z740" s="91"/>
      <c r="AA740" s="91"/>
      <c r="AB740" s="91"/>
      <c r="AC740" s="91"/>
      <c r="AD740" s="91"/>
      <c r="AE740" s="91"/>
      <c r="AF740" s="91"/>
      <c r="AG740" s="91"/>
      <c r="AH740" s="91"/>
      <c r="AI740" s="91"/>
      <c r="AJ740" s="91"/>
      <c r="AK740" s="91"/>
      <c r="AL740" s="91"/>
      <c r="AM740" s="91"/>
    </row>
    <row r="741" spans="1:39" ht="20.25" hidden="1" customHeight="1">
      <c r="A741" s="91"/>
      <c r="B741" s="93" t="s">
        <v>11748</v>
      </c>
      <c r="C741" s="91" t="s">
        <v>36</v>
      </c>
      <c r="D741" s="107" t="s">
        <v>2767</v>
      </c>
      <c r="E741" s="107" t="s">
        <v>2768</v>
      </c>
      <c r="F741" s="91" t="s">
        <v>2769</v>
      </c>
      <c r="G741" s="96">
        <v>45078</v>
      </c>
      <c r="H741" s="97">
        <v>37631</v>
      </c>
      <c r="I741" s="94" t="s">
        <v>58</v>
      </c>
      <c r="J741" s="94" t="s">
        <v>58</v>
      </c>
      <c r="K741" s="91">
        <v>982141627</v>
      </c>
      <c r="L741" s="91" t="s">
        <v>60</v>
      </c>
      <c r="M741" s="98">
        <f ca="1">(TODAY()-H741)/365</f>
        <v>22.934246575342467</v>
      </c>
      <c r="N741" s="99">
        <f>(G741-H741)/365</f>
        <v>20.402739726027399</v>
      </c>
      <c r="O741" s="98">
        <f ca="1">(TODAY()-G741)/365</f>
        <v>2.5315068493150683</v>
      </c>
      <c r="P741" s="91" t="s">
        <v>43</v>
      </c>
      <c r="Q741" s="91">
        <v>0</v>
      </c>
      <c r="R741" s="91">
        <v>0</v>
      </c>
      <c r="S741" s="91">
        <v>0</v>
      </c>
      <c r="T741" s="91"/>
      <c r="U741" s="91"/>
      <c r="V741" s="91"/>
      <c r="W741" s="91"/>
      <c r="X741" s="91"/>
      <c r="Y741" s="91"/>
      <c r="Z741" s="91"/>
      <c r="AA741" s="91"/>
      <c r="AB741" s="91"/>
      <c r="AC741" s="91"/>
      <c r="AD741" s="91"/>
      <c r="AE741" s="91"/>
      <c r="AF741" s="91"/>
      <c r="AG741" s="91"/>
      <c r="AH741" s="91"/>
      <c r="AI741" s="91"/>
      <c r="AJ741" s="91"/>
      <c r="AK741" s="91"/>
      <c r="AL741" s="91"/>
      <c r="AM741" s="91"/>
    </row>
    <row r="742" spans="1:39" ht="20.25" hidden="1" customHeight="1">
      <c r="A742" s="91"/>
      <c r="B742" s="93" t="s">
        <v>11748</v>
      </c>
      <c r="C742" s="91" t="s">
        <v>36</v>
      </c>
      <c r="D742" s="107" t="s">
        <v>142</v>
      </c>
      <c r="E742" s="107" t="s">
        <v>2770</v>
      </c>
      <c r="F742" s="91" t="s">
        <v>2771</v>
      </c>
      <c r="G742" s="96">
        <v>40031</v>
      </c>
      <c r="H742" s="97">
        <v>32509</v>
      </c>
      <c r="I742" s="94" t="s">
        <v>58</v>
      </c>
      <c r="J742" s="94" t="s">
        <v>58</v>
      </c>
      <c r="K742" s="91">
        <v>945830771</v>
      </c>
      <c r="L742" s="91" t="s">
        <v>42</v>
      </c>
      <c r="M742" s="98">
        <f ca="1">(TODAY()-H742)/365</f>
        <v>36.967123287671235</v>
      </c>
      <c r="N742" s="99">
        <f>(G742-H742)/365</f>
        <v>20.608219178082191</v>
      </c>
      <c r="O742" s="98">
        <f ca="1">(TODAY()-G742)/365</f>
        <v>16.358904109589041</v>
      </c>
      <c r="P742" s="91" t="s">
        <v>272</v>
      </c>
      <c r="Q742" s="91">
        <v>0</v>
      </c>
      <c r="R742" s="91">
        <v>0</v>
      </c>
      <c r="S742" s="91">
        <v>1</v>
      </c>
      <c r="T742" s="91"/>
      <c r="U742" s="91"/>
      <c r="V742" s="91"/>
      <c r="W742" s="91"/>
      <c r="X742" s="91"/>
      <c r="Y742" s="91"/>
      <c r="Z742" s="91"/>
      <c r="AA742" s="91"/>
      <c r="AB742" s="91"/>
      <c r="AC742" s="91"/>
      <c r="AD742" s="91"/>
      <c r="AE742" s="91"/>
      <c r="AF742" s="91"/>
      <c r="AG742" s="91"/>
      <c r="AH742" s="91"/>
      <c r="AI742" s="91"/>
      <c r="AJ742" s="91"/>
      <c r="AK742" s="91"/>
      <c r="AL742" s="91"/>
      <c r="AM742" s="91"/>
    </row>
    <row r="743" spans="1:39" ht="20.25" hidden="1" customHeight="1">
      <c r="A743" s="91"/>
      <c r="B743" s="93" t="s">
        <v>11748</v>
      </c>
      <c r="C743" s="91" t="s">
        <v>36</v>
      </c>
      <c r="D743" s="107" t="s">
        <v>2772</v>
      </c>
      <c r="E743" s="107" t="s">
        <v>2773</v>
      </c>
      <c r="F743" s="91" t="s">
        <v>2774</v>
      </c>
      <c r="G743" s="96">
        <v>45200</v>
      </c>
      <c r="H743" s="97">
        <v>37638</v>
      </c>
      <c r="I743" s="94" t="s">
        <v>58</v>
      </c>
      <c r="J743" s="94" t="s">
        <v>58</v>
      </c>
      <c r="K743" s="91">
        <v>92172088</v>
      </c>
      <c r="L743" s="91" t="s">
        <v>60</v>
      </c>
      <c r="M743" s="98">
        <f ca="1">(TODAY()-H743)/365</f>
        <v>22.915068493150685</v>
      </c>
      <c r="N743" s="99">
        <f>(G743-H743)/365</f>
        <v>20.717808219178082</v>
      </c>
      <c r="O743" s="98">
        <f ca="1">(TODAY()-G743)/365</f>
        <v>2.1972602739726028</v>
      </c>
      <c r="P743" s="91" t="s">
        <v>272</v>
      </c>
      <c r="Q743" s="91">
        <v>0</v>
      </c>
      <c r="R743" s="91">
        <v>0</v>
      </c>
      <c r="S743" s="91">
        <v>0</v>
      </c>
      <c r="T743" s="91"/>
      <c r="U743" s="91"/>
      <c r="V743" s="91"/>
      <c r="W743" s="91"/>
      <c r="X743" s="91"/>
      <c r="Y743" s="91"/>
      <c r="Z743" s="91"/>
      <c r="AA743" s="91"/>
      <c r="AB743" s="91"/>
      <c r="AC743" s="91"/>
      <c r="AD743" s="91"/>
      <c r="AE743" s="91"/>
      <c r="AF743" s="91"/>
      <c r="AG743" s="91"/>
      <c r="AH743" s="91"/>
      <c r="AI743" s="91"/>
      <c r="AJ743" s="91"/>
      <c r="AK743" s="91"/>
      <c r="AL743" s="91"/>
      <c r="AM743" s="91"/>
    </row>
    <row r="744" spans="1:39" ht="20.25" hidden="1" customHeight="1">
      <c r="A744" s="91"/>
      <c r="B744" s="93" t="s">
        <v>11748</v>
      </c>
      <c r="C744" s="91" t="s">
        <v>36</v>
      </c>
      <c r="D744" s="107" t="s">
        <v>2775</v>
      </c>
      <c r="E744" s="107" t="s">
        <v>2776</v>
      </c>
      <c r="F744" s="91" t="s">
        <v>2777</v>
      </c>
      <c r="G744" s="96">
        <v>44633</v>
      </c>
      <c r="H744" s="97">
        <v>37001</v>
      </c>
      <c r="I744" s="94" t="s">
        <v>58</v>
      </c>
      <c r="J744" s="94" t="s">
        <v>58</v>
      </c>
      <c r="K744" s="91">
        <v>966017575</v>
      </c>
      <c r="L744" s="91" t="s">
        <v>60</v>
      </c>
      <c r="M744" s="98">
        <f ca="1">(TODAY()-H744)/365</f>
        <v>24.660273972602738</v>
      </c>
      <c r="N744" s="99">
        <f>(G744-H744)/365</f>
        <v>20.909589041095892</v>
      </c>
      <c r="O744" s="98">
        <f ca="1">(TODAY()-G744)/365</f>
        <v>3.7506849315068491</v>
      </c>
      <c r="P744" s="91" t="s">
        <v>43</v>
      </c>
      <c r="Q744" s="91">
        <v>0</v>
      </c>
      <c r="R744" s="91">
        <v>0</v>
      </c>
      <c r="S744" s="91">
        <v>0</v>
      </c>
      <c r="T744" s="91"/>
      <c r="U744" s="91"/>
      <c r="V744" s="91"/>
      <c r="W744" s="91"/>
      <c r="X744" s="91"/>
      <c r="Y744" s="91"/>
      <c r="Z744" s="91"/>
      <c r="AA744" s="91"/>
      <c r="AB744" s="91"/>
      <c r="AC744" s="91"/>
      <c r="AD744" s="91"/>
      <c r="AE744" s="91"/>
      <c r="AF744" s="91"/>
      <c r="AG744" s="91"/>
      <c r="AH744" s="91"/>
      <c r="AI744" s="91"/>
      <c r="AJ744" s="91"/>
      <c r="AK744" s="91"/>
      <c r="AL744" s="91"/>
      <c r="AM744" s="91"/>
    </row>
    <row r="745" spans="1:39" ht="20.25" hidden="1" customHeight="1">
      <c r="A745" s="91"/>
      <c r="B745" s="93" t="s">
        <v>11748</v>
      </c>
      <c r="C745" s="91" t="s">
        <v>36</v>
      </c>
      <c r="D745" s="107" t="s">
        <v>716</v>
      </c>
      <c r="E745" s="107" t="s">
        <v>2778</v>
      </c>
      <c r="F745" s="91">
        <v>21392306</v>
      </c>
      <c r="G745" s="96">
        <v>45200</v>
      </c>
      <c r="H745" s="97">
        <v>37553</v>
      </c>
      <c r="I745" s="94" t="s">
        <v>58</v>
      </c>
      <c r="J745" s="94" t="s">
        <v>58</v>
      </c>
      <c r="K745" s="91">
        <v>977829070</v>
      </c>
      <c r="L745" s="91" t="s">
        <v>60</v>
      </c>
      <c r="M745" s="98">
        <f ca="1">(TODAY()-H745)/365</f>
        <v>23.147945205479452</v>
      </c>
      <c r="N745" s="99">
        <f>(G745-H745)/365</f>
        <v>20.950684931506849</v>
      </c>
      <c r="O745" s="98">
        <f ca="1">(TODAY()-G745)/365</f>
        <v>2.1972602739726028</v>
      </c>
      <c r="P745" s="91" t="s">
        <v>43</v>
      </c>
      <c r="Q745" s="91">
        <v>0</v>
      </c>
      <c r="R745" s="91">
        <v>0</v>
      </c>
      <c r="S745" s="91">
        <v>0</v>
      </c>
      <c r="T745" s="91"/>
      <c r="U745" s="91"/>
      <c r="V745" s="91"/>
      <c r="W745" s="91"/>
      <c r="X745" s="91"/>
      <c r="Y745" s="91"/>
      <c r="Z745" s="91"/>
      <c r="AA745" s="91"/>
      <c r="AB745" s="91"/>
      <c r="AC745" s="91"/>
      <c r="AD745" s="91"/>
      <c r="AE745" s="91"/>
      <c r="AF745" s="91"/>
      <c r="AG745" s="91"/>
      <c r="AH745" s="91"/>
      <c r="AI745" s="91"/>
      <c r="AJ745" s="91"/>
      <c r="AK745" s="91"/>
      <c r="AL745" s="91"/>
      <c r="AM745" s="91"/>
    </row>
    <row r="746" spans="1:39" ht="20.25" hidden="1" customHeight="1">
      <c r="A746" s="91"/>
      <c r="B746" s="93" t="s">
        <v>11748</v>
      </c>
      <c r="C746" s="91" t="s">
        <v>36</v>
      </c>
      <c r="D746" s="107" t="s">
        <v>2779</v>
      </c>
      <c r="E746" s="107" t="s">
        <v>2780</v>
      </c>
      <c r="F746" s="91" t="s">
        <v>2781</v>
      </c>
      <c r="G746" s="96">
        <v>45139</v>
      </c>
      <c r="H746" s="97">
        <v>37390</v>
      </c>
      <c r="I746" s="94" t="s">
        <v>58</v>
      </c>
      <c r="J746" s="94" t="s">
        <v>58</v>
      </c>
      <c r="K746" s="91">
        <v>98075482</v>
      </c>
      <c r="L746" s="91" t="s">
        <v>60</v>
      </c>
      <c r="M746" s="98">
        <f ca="1">(TODAY()-H746)/365</f>
        <v>23.594520547945205</v>
      </c>
      <c r="N746" s="99">
        <f>(G746-H746)/365</f>
        <v>21.230136986301371</v>
      </c>
      <c r="O746" s="98">
        <f ca="1">(TODAY()-G746)/365</f>
        <v>2.3643835616438356</v>
      </c>
      <c r="P746" s="91" t="s">
        <v>272</v>
      </c>
      <c r="Q746" s="91">
        <v>0</v>
      </c>
      <c r="R746" s="91">
        <v>0</v>
      </c>
      <c r="S746" s="91">
        <v>0</v>
      </c>
      <c r="T746" s="91"/>
      <c r="U746" s="91"/>
      <c r="V746" s="91"/>
      <c r="W746" s="91"/>
      <c r="X746" s="91"/>
      <c r="Y746" s="91"/>
      <c r="Z746" s="91"/>
      <c r="AA746" s="91"/>
      <c r="AB746" s="91"/>
      <c r="AC746" s="91"/>
      <c r="AD746" s="91"/>
      <c r="AE746" s="91"/>
      <c r="AF746" s="91"/>
      <c r="AG746" s="91"/>
      <c r="AH746" s="91"/>
      <c r="AI746" s="91"/>
      <c r="AJ746" s="91"/>
      <c r="AK746" s="91"/>
      <c r="AL746" s="91"/>
      <c r="AM746" s="91"/>
    </row>
    <row r="747" spans="1:39" ht="20.25" hidden="1" customHeight="1">
      <c r="A747" s="91"/>
      <c r="B747" s="93" t="s">
        <v>11748</v>
      </c>
      <c r="C747" s="91" t="s">
        <v>36</v>
      </c>
      <c r="D747" s="107" t="s">
        <v>376</v>
      </c>
      <c r="E747" s="107" t="s">
        <v>2782</v>
      </c>
      <c r="F747" s="91" t="s">
        <v>2783</v>
      </c>
      <c r="G747" s="96">
        <v>30948</v>
      </c>
      <c r="H747" s="97">
        <v>23114</v>
      </c>
      <c r="I747" s="94" t="s">
        <v>58</v>
      </c>
      <c r="J747" s="94" t="s">
        <v>58</v>
      </c>
      <c r="K747" s="91">
        <v>990953646</v>
      </c>
      <c r="L747" s="91" t="s">
        <v>60</v>
      </c>
      <c r="M747" s="98">
        <f ca="1">(TODAY()-H747)/365</f>
        <v>62.706849315068496</v>
      </c>
      <c r="N747" s="99">
        <f>(G747-H747)/365</f>
        <v>21.463013698630139</v>
      </c>
      <c r="O747" s="98">
        <f ca="1">(TODAY()-G747)/365</f>
        <v>41.243835616438353</v>
      </c>
      <c r="P747" s="91" t="s">
        <v>43</v>
      </c>
      <c r="Q747" s="91">
        <v>0</v>
      </c>
      <c r="R747" s="91">
        <v>0</v>
      </c>
      <c r="S747" s="91">
        <v>0</v>
      </c>
      <c r="T747" s="91"/>
      <c r="U747" s="91"/>
      <c r="V747" s="91"/>
      <c r="W747" s="91"/>
      <c r="X747" s="91"/>
      <c r="Y747" s="91"/>
      <c r="Z747" s="91"/>
      <c r="AA747" s="91"/>
      <c r="AB747" s="91"/>
      <c r="AC747" s="91"/>
      <c r="AD747" s="91"/>
      <c r="AE747" s="91"/>
      <c r="AF747" s="91"/>
      <c r="AG747" s="91"/>
      <c r="AH747" s="91"/>
      <c r="AI747" s="91"/>
      <c r="AJ747" s="91"/>
      <c r="AK747" s="91"/>
      <c r="AL747" s="91"/>
      <c r="AM747" s="91"/>
    </row>
    <row r="748" spans="1:39" ht="20.25" hidden="1" customHeight="1">
      <c r="A748" s="91"/>
      <c r="B748" s="93" t="s">
        <v>11748</v>
      </c>
      <c r="C748" s="91" t="s">
        <v>36</v>
      </c>
      <c r="D748" s="107" t="s">
        <v>875</v>
      </c>
      <c r="E748" s="107" t="s">
        <v>2784</v>
      </c>
      <c r="F748" s="91" t="s">
        <v>2785</v>
      </c>
      <c r="G748" s="96">
        <v>45084</v>
      </c>
      <c r="H748" s="97">
        <v>37055</v>
      </c>
      <c r="I748" s="94" t="s">
        <v>58</v>
      </c>
      <c r="J748" s="94" t="s">
        <v>58</v>
      </c>
      <c r="K748" s="91">
        <v>936184035</v>
      </c>
      <c r="L748" s="91" t="s">
        <v>60</v>
      </c>
      <c r="M748" s="98">
        <f ca="1">(TODAY()-H748)/365</f>
        <v>24.512328767123286</v>
      </c>
      <c r="N748" s="99">
        <f>(G748-H748)/365</f>
        <v>21.997260273972604</v>
      </c>
      <c r="O748" s="98">
        <f ca="1">(TODAY()-G748)/365</f>
        <v>2.515068493150685</v>
      </c>
      <c r="P748" s="91" t="s">
        <v>43</v>
      </c>
      <c r="Q748" s="91">
        <v>0</v>
      </c>
      <c r="R748" s="91">
        <v>0</v>
      </c>
      <c r="S748" s="91">
        <v>0</v>
      </c>
      <c r="T748" s="91"/>
      <c r="U748" s="91"/>
      <c r="V748" s="91"/>
      <c r="W748" s="91"/>
      <c r="X748" s="91"/>
      <c r="Y748" s="91"/>
      <c r="Z748" s="91"/>
      <c r="AA748" s="91"/>
      <c r="AB748" s="91"/>
      <c r="AC748" s="91"/>
      <c r="AD748" s="91"/>
      <c r="AE748" s="91"/>
      <c r="AF748" s="91"/>
      <c r="AG748" s="91"/>
      <c r="AH748" s="91"/>
      <c r="AI748" s="91"/>
      <c r="AJ748" s="91"/>
      <c r="AK748" s="91"/>
      <c r="AL748" s="91"/>
      <c r="AM748" s="91"/>
    </row>
    <row r="749" spans="1:39" ht="20.25" hidden="1" customHeight="1">
      <c r="A749" s="91"/>
      <c r="B749" s="93" t="s">
        <v>11748</v>
      </c>
      <c r="C749" s="91" t="s">
        <v>36</v>
      </c>
      <c r="D749" s="107" t="s">
        <v>320</v>
      </c>
      <c r="E749" s="107" t="s">
        <v>2786</v>
      </c>
      <c r="F749" s="91" t="s">
        <v>2787</v>
      </c>
      <c r="G749" s="96">
        <v>39005</v>
      </c>
      <c r="H749" s="97">
        <v>30867</v>
      </c>
      <c r="I749" s="94" t="s">
        <v>58</v>
      </c>
      <c r="J749" s="94" t="s">
        <v>58</v>
      </c>
      <c r="K749" s="91">
        <v>940865696</v>
      </c>
      <c r="L749" s="91" t="s">
        <v>60</v>
      </c>
      <c r="M749" s="98">
        <f ca="1">(TODAY()-H749)/365</f>
        <v>41.465753424657535</v>
      </c>
      <c r="N749" s="99">
        <f>(G749-H749)/365</f>
        <v>22.295890410958904</v>
      </c>
      <c r="O749" s="98">
        <f ca="1">(TODAY()-G749)/365</f>
        <v>19.169863013698631</v>
      </c>
      <c r="P749" s="91" t="s">
        <v>272</v>
      </c>
      <c r="Q749" s="91">
        <v>0</v>
      </c>
      <c r="R749" s="91">
        <v>0</v>
      </c>
      <c r="S749" s="91">
        <v>0</v>
      </c>
      <c r="T749" s="91"/>
      <c r="U749" s="91"/>
      <c r="V749" s="91"/>
      <c r="W749" s="91"/>
      <c r="X749" s="91"/>
      <c r="Y749" s="91"/>
      <c r="Z749" s="91"/>
      <c r="AA749" s="91"/>
      <c r="AB749" s="91"/>
      <c r="AC749" s="91"/>
      <c r="AD749" s="91"/>
      <c r="AE749" s="91"/>
      <c r="AF749" s="91"/>
      <c r="AG749" s="91"/>
      <c r="AH749" s="91"/>
      <c r="AI749" s="91"/>
      <c r="AJ749" s="91"/>
      <c r="AK749" s="91"/>
      <c r="AL749" s="91"/>
      <c r="AM749" s="91"/>
    </row>
    <row r="750" spans="1:39" ht="20.25" hidden="1" customHeight="1">
      <c r="A750" s="91"/>
      <c r="B750" s="93" t="s">
        <v>11748</v>
      </c>
      <c r="C750" s="91" t="s">
        <v>36</v>
      </c>
      <c r="D750" s="107" t="s">
        <v>2788</v>
      </c>
      <c r="E750" s="107" t="s">
        <v>2789</v>
      </c>
      <c r="F750" s="91" t="s">
        <v>2790</v>
      </c>
      <c r="G750" s="96">
        <v>24688</v>
      </c>
      <c r="H750" s="97">
        <v>16346</v>
      </c>
      <c r="I750" s="94" t="s">
        <v>58</v>
      </c>
      <c r="J750" s="94" t="s">
        <v>58</v>
      </c>
      <c r="K750" s="91">
        <v>972930988</v>
      </c>
      <c r="L750" s="91" t="s">
        <v>60</v>
      </c>
      <c r="M750" s="98">
        <f ca="1">(TODAY()-H750)/365</f>
        <v>81.249315068493146</v>
      </c>
      <c r="N750" s="99">
        <f>(G750-H750)/365</f>
        <v>22.854794520547944</v>
      </c>
      <c r="O750" s="98">
        <f ca="1">(TODAY()-G750)/365</f>
        <v>58.394520547945206</v>
      </c>
      <c r="P750" s="91" t="s">
        <v>43</v>
      </c>
      <c r="Q750" s="91">
        <v>0</v>
      </c>
      <c r="R750" s="91">
        <v>0</v>
      </c>
      <c r="S750" s="91">
        <v>0</v>
      </c>
      <c r="T750" s="91"/>
      <c r="U750" s="91"/>
      <c r="V750" s="91"/>
      <c r="W750" s="91"/>
      <c r="X750" s="91"/>
      <c r="Y750" s="91"/>
      <c r="Z750" s="91"/>
      <c r="AA750" s="91"/>
      <c r="AB750" s="91"/>
      <c r="AC750" s="91"/>
      <c r="AD750" s="91"/>
      <c r="AE750" s="91"/>
      <c r="AF750" s="91"/>
      <c r="AG750" s="91"/>
      <c r="AH750" s="91"/>
      <c r="AI750" s="91"/>
      <c r="AJ750" s="91"/>
      <c r="AK750" s="91"/>
      <c r="AL750" s="91"/>
      <c r="AM750" s="91"/>
    </row>
    <row r="751" spans="1:39" ht="20.25" hidden="1" customHeight="1">
      <c r="A751" s="91"/>
      <c r="B751" s="93" t="s">
        <v>11748</v>
      </c>
      <c r="C751" s="91" t="s">
        <v>36</v>
      </c>
      <c r="D751" s="107" t="s">
        <v>2791</v>
      </c>
      <c r="E751" s="107" t="s">
        <v>2792</v>
      </c>
      <c r="F751" s="91" t="s">
        <v>2793</v>
      </c>
      <c r="G751" s="96">
        <v>44635</v>
      </c>
      <c r="H751" s="97">
        <v>35964</v>
      </c>
      <c r="I751" s="94" t="s">
        <v>58</v>
      </c>
      <c r="J751" s="94" t="s">
        <v>58</v>
      </c>
      <c r="K751" s="91">
        <v>983767172</v>
      </c>
      <c r="L751" s="91" t="s">
        <v>60</v>
      </c>
      <c r="M751" s="98">
        <f ca="1">(TODAY()-H751)/365</f>
        <v>27.5013698630137</v>
      </c>
      <c r="N751" s="99">
        <f>(G751-H751)/365</f>
        <v>23.756164383561643</v>
      </c>
      <c r="O751" s="98">
        <f ca="1">(TODAY()-G751)/365</f>
        <v>3.7452054794520548</v>
      </c>
      <c r="P751" s="91" t="s">
        <v>272</v>
      </c>
      <c r="Q751" s="91">
        <v>0</v>
      </c>
      <c r="R751" s="91">
        <v>0</v>
      </c>
      <c r="S751" s="91">
        <v>0</v>
      </c>
      <c r="T751" s="91"/>
      <c r="U751" s="91"/>
      <c r="V751" s="91"/>
      <c r="W751" s="91"/>
      <c r="X751" s="91"/>
      <c r="Y751" s="91"/>
      <c r="Z751" s="91"/>
      <c r="AA751" s="91"/>
      <c r="AB751" s="91"/>
      <c r="AC751" s="91"/>
      <c r="AD751" s="91"/>
      <c r="AE751" s="91"/>
      <c r="AF751" s="91"/>
      <c r="AG751" s="91"/>
      <c r="AH751" s="91"/>
      <c r="AI751" s="91"/>
      <c r="AJ751" s="91"/>
      <c r="AK751" s="91"/>
      <c r="AL751" s="91"/>
      <c r="AM751" s="91"/>
    </row>
    <row r="752" spans="1:39" ht="20.25" hidden="1" customHeight="1">
      <c r="A752" s="91"/>
      <c r="B752" s="93" t="s">
        <v>11748</v>
      </c>
      <c r="C752" s="91" t="s">
        <v>36</v>
      </c>
      <c r="D752" s="107" t="s">
        <v>343</v>
      </c>
      <c r="E752" s="107" t="s">
        <v>2794</v>
      </c>
      <c r="F752" s="91" t="s">
        <v>2795</v>
      </c>
      <c r="G752" s="96">
        <v>45084</v>
      </c>
      <c r="H752" s="97">
        <v>36224</v>
      </c>
      <c r="I752" s="94" t="s">
        <v>58</v>
      </c>
      <c r="J752" s="94" t="s">
        <v>58</v>
      </c>
      <c r="K752" s="91">
        <v>974047101</v>
      </c>
      <c r="L752" s="91" t="s">
        <v>60</v>
      </c>
      <c r="M752" s="98">
        <f ca="1">(TODAY()-H752)/365</f>
        <v>26.789041095890411</v>
      </c>
      <c r="N752" s="99">
        <f>(G752-H752)/365</f>
        <v>24.273972602739725</v>
      </c>
      <c r="O752" s="98">
        <f ca="1">(TODAY()-G752)/365</f>
        <v>2.515068493150685</v>
      </c>
      <c r="P752" s="91" t="s">
        <v>43</v>
      </c>
      <c r="Q752" s="91">
        <v>0</v>
      </c>
      <c r="R752" s="91">
        <v>0</v>
      </c>
      <c r="S752" s="91">
        <v>0</v>
      </c>
      <c r="T752" s="91"/>
      <c r="U752" s="91"/>
      <c r="V752" s="91"/>
      <c r="W752" s="91"/>
      <c r="X752" s="91"/>
      <c r="Y752" s="91"/>
      <c r="Z752" s="91"/>
      <c r="AA752" s="91"/>
      <c r="AB752" s="91"/>
      <c r="AC752" s="91"/>
      <c r="AD752" s="91"/>
      <c r="AE752" s="91"/>
      <c r="AF752" s="91"/>
      <c r="AG752" s="91"/>
      <c r="AH752" s="91"/>
      <c r="AI752" s="91"/>
      <c r="AJ752" s="91"/>
      <c r="AK752" s="91"/>
      <c r="AL752" s="91"/>
      <c r="AM752" s="91"/>
    </row>
    <row r="753" spans="1:39" ht="20.25" hidden="1" customHeight="1">
      <c r="A753" s="91"/>
      <c r="B753" s="93" t="s">
        <v>11748</v>
      </c>
      <c r="C753" s="91" t="s">
        <v>36</v>
      </c>
      <c r="D753" s="107" t="s">
        <v>1197</v>
      </c>
      <c r="E753" s="107" t="s">
        <v>2796</v>
      </c>
      <c r="F753" s="91" t="s">
        <v>2797</v>
      </c>
      <c r="G753" s="96">
        <v>44880</v>
      </c>
      <c r="H753" s="97">
        <v>34310</v>
      </c>
      <c r="I753" s="94" t="s">
        <v>58</v>
      </c>
      <c r="J753" s="94" t="s">
        <v>58</v>
      </c>
      <c r="K753" s="91">
        <v>975539063</v>
      </c>
      <c r="L753" s="91" t="s">
        <v>60</v>
      </c>
      <c r="M753" s="98">
        <f ca="1">(TODAY()-H753)/365</f>
        <v>32.032876712328765</v>
      </c>
      <c r="N753" s="99">
        <f>(G753-H753)/365</f>
        <v>28.958904109589042</v>
      </c>
      <c r="O753" s="98">
        <f ca="1">(TODAY()-G753)/365</f>
        <v>3.0739726027397261</v>
      </c>
      <c r="P753" s="91" t="s">
        <v>43</v>
      </c>
      <c r="Q753" s="91">
        <v>0</v>
      </c>
      <c r="R753" s="91">
        <v>0</v>
      </c>
      <c r="S753" s="91">
        <v>0</v>
      </c>
      <c r="T753" s="91"/>
      <c r="U753" s="91"/>
      <c r="V753" s="91"/>
      <c r="W753" s="91"/>
      <c r="X753" s="91"/>
      <c r="Y753" s="91"/>
      <c r="Z753" s="91"/>
      <c r="AA753" s="91"/>
      <c r="AB753" s="91"/>
      <c r="AC753" s="91"/>
      <c r="AD753" s="91"/>
      <c r="AE753" s="91"/>
      <c r="AF753" s="91"/>
      <c r="AG753" s="91"/>
      <c r="AH753" s="91"/>
      <c r="AI753" s="91"/>
      <c r="AJ753" s="91"/>
      <c r="AK753" s="91"/>
      <c r="AL753" s="91"/>
      <c r="AM753" s="91"/>
    </row>
    <row r="754" spans="1:39" ht="20.25" hidden="1" customHeight="1">
      <c r="A754" s="91"/>
      <c r="B754" s="93" t="s">
        <v>11748</v>
      </c>
      <c r="C754" s="91" t="s">
        <v>36</v>
      </c>
      <c r="D754" s="107" t="s">
        <v>517</v>
      </c>
      <c r="E754" s="107" t="s">
        <v>2798</v>
      </c>
      <c r="F754" s="91" t="s">
        <v>2799</v>
      </c>
      <c r="G754" s="96">
        <v>28972</v>
      </c>
      <c r="H754" s="97">
        <v>17860</v>
      </c>
      <c r="I754" s="94" t="s">
        <v>58</v>
      </c>
      <c r="J754" s="94" t="s">
        <v>58</v>
      </c>
      <c r="K754" s="91">
        <v>996148393</v>
      </c>
      <c r="L754" s="91" t="s">
        <v>60</v>
      </c>
      <c r="M754" s="98">
        <f ca="1">(TODAY()-H754)/365</f>
        <v>77.101369863013701</v>
      </c>
      <c r="N754" s="99">
        <f>(G754-H754)/365</f>
        <v>30.443835616438356</v>
      </c>
      <c r="O754" s="98">
        <f ca="1">(TODAY()-G754)/365</f>
        <v>46.657534246575345</v>
      </c>
      <c r="P754" s="91" t="s">
        <v>43</v>
      </c>
      <c r="Q754" s="91">
        <v>0</v>
      </c>
      <c r="R754" s="91">
        <v>0</v>
      </c>
      <c r="S754" s="91">
        <v>0</v>
      </c>
      <c r="T754" s="91"/>
      <c r="U754" s="91"/>
      <c r="V754" s="91"/>
      <c r="W754" s="91"/>
      <c r="X754" s="91"/>
      <c r="Y754" s="91"/>
      <c r="Z754" s="91"/>
      <c r="AA754" s="91"/>
      <c r="AB754" s="91"/>
      <c r="AC754" s="91"/>
      <c r="AD754" s="91"/>
      <c r="AE754" s="91"/>
      <c r="AF754" s="91"/>
      <c r="AG754" s="91"/>
      <c r="AH754" s="91"/>
      <c r="AI754" s="91"/>
      <c r="AJ754" s="91"/>
      <c r="AK754" s="91"/>
      <c r="AL754" s="91"/>
      <c r="AM754" s="91"/>
    </row>
    <row r="755" spans="1:39" ht="20.25" hidden="1" customHeight="1">
      <c r="A755" s="91"/>
      <c r="B755" s="93" t="s">
        <v>11748</v>
      </c>
      <c r="C755" s="91" t="s">
        <v>36</v>
      </c>
      <c r="D755" s="107" t="s">
        <v>291</v>
      </c>
      <c r="E755" s="107" t="s">
        <v>2800</v>
      </c>
      <c r="F755" s="91" t="s">
        <v>2801</v>
      </c>
      <c r="G755" s="96">
        <v>42068</v>
      </c>
      <c r="H755" s="97">
        <v>30931</v>
      </c>
      <c r="I755" s="94" t="s">
        <v>58</v>
      </c>
      <c r="J755" s="94" t="s">
        <v>58</v>
      </c>
      <c r="K755" s="91">
        <v>931128962</v>
      </c>
      <c r="L755" s="91" t="s">
        <v>121</v>
      </c>
      <c r="M755" s="98">
        <f ca="1">(TODAY()-H755)/365</f>
        <v>41.290410958904111</v>
      </c>
      <c r="N755" s="99">
        <f>(G755-H755)/365</f>
        <v>30.512328767123286</v>
      </c>
      <c r="O755" s="98">
        <f ca="1">(TODAY()-G755)/365</f>
        <v>10.778082191780822</v>
      </c>
      <c r="P755" s="91" t="s">
        <v>43</v>
      </c>
      <c r="Q755" s="91">
        <v>0</v>
      </c>
      <c r="R755" s="91">
        <v>0</v>
      </c>
      <c r="S755" s="91">
        <v>0</v>
      </c>
      <c r="T755" s="91"/>
      <c r="U755" s="91"/>
      <c r="V755" s="91"/>
      <c r="W755" s="91"/>
      <c r="X755" s="91"/>
      <c r="Y755" s="91"/>
      <c r="Z755" s="91"/>
      <c r="AA755" s="91"/>
      <c r="AB755" s="91"/>
      <c r="AC755" s="91"/>
      <c r="AD755" s="91"/>
      <c r="AE755" s="91"/>
      <c r="AF755" s="91"/>
      <c r="AG755" s="91"/>
      <c r="AH755" s="91"/>
      <c r="AI755" s="91"/>
      <c r="AJ755" s="91"/>
      <c r="AK755" s="91"/>
      <c r="AL755" s="91"/>
      <c r="AM755" s="91"/>
    </row>
    <row r="756" spans="1:39" ht="20.25" hidden="1" customHeight="1">
      <c r="A756" s="91"/>
      <c r="B756" s="93" t="s">
        <v>11748</v>
      </c>
      <c r="C756" s="91" t="s">
        <v>36</v>
      </c>
      <c r="D756" s="107" t="s">
        <v>2802</v>
      </c>
      <c r="E756" s="107" t="s">
        <v>2803</v>
      </c>
      <c r="F756" s="91" t="s">
        <v>2804</v>
      </c>
      <c r="G756" s="96">
        <v>39373</v>
      </c>
      <c r="H756" s="97">
        <v>27905</v>
      </c>
      <c r="I756" s="94" t="s">
        <v>58</v>
      </c>
      <c r="J756" s="94" t="s">
        <v>58</v>
      </c>
      <c r="K756" s="91">
        <v>996426936</v>
      </c>
      <c r="L756" s="91" t="s">
        <v>54</v>
      </c>
      <c r="M756" s="98">
        <f ca="1">(TODAY()-H756)/365</f>
        <v>49.580821917808223</v>
      </c>
      <c r="N756" s="99">
        <f>(G756-H756)/365</f>
        <v>31.419178082191781</v>
      </c>
      <c r="O756" s="98">
        <f ca="1">(TODAY()-G756)/365</f>
        <v>18.161643835616438</v>
      </c>
      <c r="P756" s="91" t="s">
        <v>43</v>
      </c>
      <c r="Q756" s="91">
        <v>0</v>
      </c>
      <c r="R756" s="91">
        <v>0</v>
      </c>
      <c r="S756" s="91">
        <v>0</v>
      </c>
      <c r="T756" s="91"/>
      <c r="U756" s="91"/>
      <c r="V756" s="91"/>
      <c r="W756" s="91"/>
      <c r="X756" s="91"/>
      <c r="Y756" s="91"/>
      <c r="Z756" s="91"/>
      <c r="AA756" s="91"/>
      <c r="AB756" s="91"/>
      <c r="AC756" s="91"/>
      <c r="AD756" s="91"/>
      <c r="AE756" s="91"/>
      <c r="AF756" s="91"/>
      <c r="AG756" s="91"/>
      <c r="AH756" s="91"/>
      <c r="AI756" s="91"/>
      <c r="AJ756" s="91"/>
      <c r="AK756" s="91"/>
      <c r="AL756" s="91"/>
      <c r="AM756" s="91"/>
    </row>
    <row r="757" spans="1:39" ht="20.25" hidden="1" customHeight="1">
      <c r="A757" s="91"/>
      <c r="B757" s="93" t="s">
        <v>11748</v>
      </c>
      <c r="C757" s="91" t="s">
        <v>36</v>
      </c>
      <c r="D757" s="107" t="s">
        <v>1286</v>
      </c>
      <c r="E757" s="107" t="s">
        <v>2805</v>
      </c>
      <c r="F757" s="91" t="s">
        <v>2806</v>
      </c>
      <c r="G757" s="96">
        <v>45084</v>
      </c>
      <c r="H757" s="97">
        <v>32402</v>
      </c>
      <c r="I757" s="94" t="s">
        <v>58</v>
      </c>
      <c r="J757" s="94" t="s">
        <v>58</v>
      </c>
      <c r="K757" s="91">
        <v>965379207</v>
      </c>
      <c r="L757" s="91" t="s">
        <v>60</v>
      </c>
      <c r="M757" s="98">
        <f ca="1">(TODAY()-H757)/365</f>
        <v>37.260273972602739</v>
      </c>
      <c r="N757" s="99">
        <f>(G757-H757)/365</f>
        <v>34.745205479452054</v>
      </c>
      <c r="O757" s="98">
        <f ca="1">(TODAY()-G757)/365</f>
        <v>2.515068493150685</v>
      </c>
      <c r="P757" s="91" t="s">
        <v>43</v>
      </c>
      <c r="Q757" s="91">
        <v>0</v>
      </c>
      <c r="R757" s="91">
        <v>0</v>
      </c>
      <c r="S757" s="91">
        <v>0</v>
      </c>
      <c r="T757" s="91"/>
      <c r="U757" s="91"/>
      <c r="V757" s="91"/>
      <c r="W757" s="91"/>
      <c r="X757" s="91"/>
      <c r="Y757" s="91"/>
      <c r="Z757" s="91"/>
      <c r="AA757" s="91"/>
      <c r="AB757" s="91"/>
      <c r="AC757" s="91"/>
      <c r="AD757" s="91"/>
      <c r="AE757" s="91"/>
      <c r="AF757" s="91"/>
      <c r="AG757" s="91"/>
      <c r="AH757" s="91"/>
      <c r="AI757" s="91"/>
      <c r="AJ757" s="91"/>
      <c r="AK757" s="91"/>
      <c r="AL757" s="91"/>
      <c r="AM757" s="91"/>
    </row>
    <row r="758" spans="1:39" ht="20.25" hidden="1" customHeight="1">
      <c r="A758" s="91"/>
      <c r="B758" s="93" t="s">
        <v>11748</v>
      </c>
      <c r="C758" s="91" t="s">
        <v>36</v>
      </c>
      <c r="D758" s="107" t="s">
        <v>295</v>
      </c>
      <c r="E758" s="107" t="s">
        <v>2807</v>
      </c>
      <c r="F758" s="91" t="s">
        <v>2808</v>
      </c>
      <c r="G758" s="96">
        <v>40247</v>
      </c>
      <c r="H758" s="97">
        <v>27111</v>
      </c>
      <c r="I758" s="94" t="s">
        <v>58</v>
      </c>
      <c r="J758" s="94" t="s">
        <v>58</v>
      </c>
      <c r="K758" s="91">
        <v>973293066</v>
      </c>
      <c r="L758" s="91" t="s">
        <v>167</v>
      </c>
      <c r="M758" s="98">
        <f ca="1">(TODAY()-H758)/365</f>
        <v>51.756164383561647</v>
      </c>
      <c r="N758" s="99">
        <f>(G758-H758)/365</f>
        <v>35.989041095890414</v>
      </c>
      <c r="O758" s="98">
        <f ca="1">(TODAY()-G758)/365</f>
        <v>15.767123287671232</v>
      </c>
      <c r="P758" s="91" t="s">
        <v>43</v>
      </c>
      <c r="Q758" s="91">
        <v>0</v>
      </c>
      <c r="R758" s="91">
        <v>0</v>
      </c>
      <c r="S758" s="91">
        <v>0</v>
      </c>
      <c r="T758" s="91"/>
      <c r="U758" s="91"/>
      <c r="V758" s="91"/>
      <c r="W758" s="91"/>
      <c r="X758" s="91"/>
      <c r="Y758" s="91"/>
      <c r="Z758" s="91"/>
      <c r="AA758" s="91"/>
      <c r="AB758" s="91"/>
      <c r="AC758" s="91"/>
      <c r="AD758" s="91"/>
      <c r="AE758" s="91"/>
      <c r="AF758" s="91"/>
      <c r="AG758" s="91"/>
      <c r="AH758" s="91"/>
      <c r="AI758" s="91"/>
      <c r="AJ758" s="91"/>
      <c r="AK758" s="91"/>
      <c r="AL758" s="91"/>
      <c r="AM758" s="91"/>
    </row>
    <row r="759" spans="1:39" ht="20.25" hidden="1" customHeight="1">
      <c r="A759" s="91"/>
      <c r="B759" s="93" t="s">
        <v>11748</v>
      </c>
      <c r="C759" s="91" t="s">
        <v>36</v>
      </c>
      <c r="D759" s="107" t="s">
        <v>2809</v>
      </c>
      <c r="E759" s="107" t="s">
        <v>2810</v>
      </c>
      <c r="F759" s="91" t="s">
        <v>2811</v>
      </c>
      <c r="G759" s="96">
        <v>45078</v>
      </c>
      <c r="H759" s="103" t="s">
        <v>58</v>
      </c>
      <c r="I759" s="94" t="s">
        <v>58</v>
      </c>
      <c r="J759" s="94" t="s">
        <v>58</v>
      </c>
      <c r="K759" s="91">
        <v>937212599</v>
      </c>
      <c r="L759" s="91" t="s">
        <v>60</v>
      </c>
      <c r="M759" s="98">
        <v>0</v>
      </c>
      <c r="N759" s="95"/>
      <c r="O759" s="98">
        <f ca="1">(TODAY()-G759)/365</f>
        <v>2.5315068493150683</v>
      </c>
      <c r="P759" s="91" t="s">
        <v>43</v>
      </c>
      <c r="Q759" s="91">
        <v>0</v>
      </c>
      <c r="R759" s="91">
        <v>0</v>
      </c>
      <c r="S759" s="91">
        <v>0</v>
      </c>
      <c r="T759" s="91"/>
      <c r="U759" s="91"/>
      <c r="V759" s="91"/>
      <c r="W759" s="91"/>
      <c r="X759" s="91"/>
      <c r="Y759" s="91"/>
      <c r="Z759" s="91"/>
      <c r="AA759" s="91"/>
      <c r="AB759" s="91"/>
      <c r="AC759" s="91"/>
      <c r="AD759" s="91"/>
      <c r="AE759" s="91"/>
      <c r="AF759" s="91"/>
      <c r="AG759" s="91"/>
      <c r="AH759" s="91"/>
      <c r="AI759" s="91"/>
      <c r="AJ759" s="91"/>
      <c r="AK759" s="91"/>
      <c r="AL759" s="91"/>
      <c r="AM759" s="91"/>
    </row>
    <row r="760" spans="1:39" ht="20.25" customHeight="1">
      <c r="A760" s="91"/>
      <c r="B760" s="93" t="s">
        <v>371</v>
      </c>
      <c r="C760" s="91" t="s">
        <v>73</v>
      </c>
      <c r="D760" s="94" t="s">
        <v>388</v>
      </c>
      <c r="E760" s="94" t="s">
        <v>389</v>
      </c>
      <c r="F760" s="95" t="s">
        <v>390</v>
      </c>
      <c r="G760" s="96">
        <v>45636</v>
      </c>
      <c r="H760" s="97">
        <v>38896</v>
      </c>
      <c r="I760" s="100" t="s">
        <v>391</v>
      </c>
      <c r="J760" s="100" t="s">
        <v>58</v>
      </c>
      <c r="K760" s="91" t="s">
        <v>58</v>
      </c>
      <c r="L760" s="91" t="s">
        <v>60</v>
      </c>
      <c r="M760" s="98">
        <f ca="1">(TODAY()-H760)/365</f>
        <v>19.468493150684932</v>
      </c>
      <c r="N760" s="99">
        <f>(G760-H760)/365</f>
        <v>18.465753424657535</v>
      </c>
      <c r="O760" s="98">
        <f ca="1">(TODAY()-G760)/365</f>
        <v>1.0027397260273974</v>
      </c>
      <c r="P760" s="91" t="s">
        <v>272</v>
      </c>
      <c r="Q760" s="91">
        <v>0</v>
      </c>
      <c r="R760" s="91">
        <v>0</v>
      </c>
      <c r="S760" s="91">
        <v>0</v>
      </c>
      <c r="T760" s="91"/>
      <c r="U760" s="91"/>
      <c r="V760" s="91"/>
      <c r="W760" s="91"/>
      <c r="X760" s="91"/>
      <c r="Y760" s="91"/>
      <c r="Z760" s="91"/>
      <c r="AA760" s="91"/>
      <c r="AB760" s="91"/>
      <c r="AC760" s="91"/>
      <c r="AD760" s="91"/>
      <c r="AE760" s="91"/>
      <c r="AF760" s="91"/>
      <c r="AG760" s="91"/>
      <c r="AH760" s="91"/>
      <c r="AI760" s="91"/>
      <c r="AJ760" s="91"/>
      <c r="AK760" s="91"/>
      <c r="AL760" s="91"/>
      <c r="AM760" s="91"/>
    </row>
    <row r="761" spans="1:39" ht="20.25" customHeight="1">
      <c r="A761" s="91"/>
      <c r="B761" s="93" t="s">
        <v>8095</v>
      </c>
      <c r="C761" s="91" t="s">
        <v>73</v>
      </c>
      <c r="D761" s="94" t="s">
        <v>8204</v>
      </c>
      <c r="E761" s="94" t="s">
        <v>8205</v>
      </c>
      <c r="F761" s="95" t="s">
        <v>8206</v>
      </c>
      <c r="G761" s="96">
        <v>45352</v>
      </c>
      <c r="H761" s="97">
        <v>22599</v>
      </c>
      <c r="I761" s="94" t="s">
        <v>8207</v>
      </c>
      <c r="J761" s="100" t="s">
        <v>58</v>
      </c>
      <c r="K761" s="91" t="s">
        <v>58</v>
      </c>
      <c r="L761" s="91" t="s">
        <v>60</v>
      </c>
      <c r="M761" s="98">
        <f ca="1">(TODAY()-H761)/365</f>
        <v>64.117808219178087</v>
      </c>
      <c r="N761" s="99">
        <f>(G761-H761)/365</f>
        <v>62.336986301369862</v>
      </c>
      <c r="O761" s="98">
        <f ca="1">(TODAY()-G761)/365</f>
        <v>1.7808219178082192</v>
      </c>
      <c r="P761" s="91" t="s">
        <v>43</v>
      </c>
      <c r="Q761" s="91">
        <v>0</v>
      </c>
      <c r="R761" s="91">
        <v>0</v>
      </c>
      <c r="S761" s="91">
        <v>0</v>
      </c>
      <c r="T761" s="91"/>
      <c r="U761" s="91"/>
      <c r="V761" s="91"/>
      <c r="W761" s="91"/>
      <c r="X761" s="91"/>
      <c r="Y761" s="91"/>
      <c r="Z761" s="91"/>
      <c r="AA761" s="91"/>
      <c r="AB761" s="91"/>
      <c r="AC761" s="91"/>
      <c r="AD761" s="91"/>
      <c r="AE761" s="91"/>
      <c r="AF761" s="91"/>
      <c r="AG761" s="91"/>
      <c r="AH761" s="91"/>
      <c r="AI761" s="91"/>
      <c r="AJ761" s="91"/>
      <c r="AK761" s="91"/>
      <c r="AL761" s="91"/>
      <c r="AM761" s="91"/>
    </row>
    <row r="762" spans="1:39" ht="20.25" customHeight="1">
      <c r="A762" s="91"/>
      <c r="B762" s="93" t="s">
        <v>738</v>
      </c>
      <c r="C762" s="91" t="s">
        <v>73</v>
      </c>
      <c r="D762" s="94" t="s">
        <v>780</v>
      </c>
      <c r="E762" s="94" t="s">
        <v>781</v>
      </c>
      <c r="F762" s="95" t="s">
        <v>782</v>
      </c>
      <c r="G762" s="96">
        <v>37469</v>
      </c>
      <c r="H762" s="97">
        <v>25664</v>
      </c>
      <c r="I762" s="100" t="s">
        <v>58</v>
      </c>
      <c r="J762" s="100" t="s">
        <v>58</v>
      </c>
      <c r="K762" s="91" t="s">
        <v>58</v>
      </c>
      <c r="L762" s="91" t="s">
        <v>60</v>
      </c>
      <c r="M762" s="98">
        <f ca="1">(TODAY()-H762)/365</f>
        <v>55.720547945205482</v>
      </c>
      <c r="N762" s="99">
        <f>(G762-H762)/365</f>
        <v>32.342465753424655</v>
      </c>
      <c r="O762" s="98">
        <f ca="1">(TODAY()-G762)/365</f>
        <v>23.378082191780823</v>
      </c>
      <c r="P762" s="91" t="s">
        <v>43</v>
      </c>
      <c r="Q762" s="91">
        <v>0</v>
      </c>
      <c r="R762" s="91">
        <v>0</v>
      </c>
      <c r="S762" s="91">
        <v>0</v>
      </c>
      <c r="T762" s="91"/>
      <c r="U762" s="91"/>
      <c r="V762" s="91"/>
      <c r="W762" s="91"/>
      <c r="X762" s="91"/>
      <c r="Y762" s="91"/>
      <c r="Z762" s="91"/>
      <c r="AA762" s="91"/>
      <c r="AB762" s="91"/>
      <c r="AC762" s="91"/>
      <c r="AD762" s="91"/>
      <c r="AE762" s="91"/>
      <c r="AF762" s="91"/>
      <c r="AG762" s="91"/>
      <c r="AH762" s="91"/>
      <c r="AI762" s="91"/>
      <c r="AJ762" s="91"/>
      <c r="AK762" s="91"/>
      <c r="AL762" s="91"/>
      <c r="AM762" s="91"/>
    </row>
    <row r="763" spans="1:39" ht="20.25" customHeight="1">
      <c r="A763" s="91"/>
      <c r="B763" s="93" t="s">
        <v>77</v>
      </c>
      <c r="C763" s="91" t="s">
        <v>73</v>
      </c>
      <c r="D763" s="94" t="s">
        <v>249</v>
      </c>
      <c r="E763" s="94" t="s">
        <v>250</v>
      </c>
      <c r="F763" s="95" t="s">
        <v>251</v>
      </c>
      <c r="G763" s="96">
        <v>42011</v>
      </c>
      <c r="H763" s="97">
        <v>15020</v>
      </c>
      <c r="I763" s="100" t="s">
        <v>58</v>
      </c>
      <c r="J763" s="100" t="s">
        <v>58</v>
      </c>
      <c r="K763" s="91" t="s">
        <v>58</v>
      </c>
      <c r="L763" s="91" t="s">
        <v>60</v>
      </c>
      <c r="M763" s="98">
        <f ca="1">(TODAY()-H763)/365</f>
        <v>84.882191780821913</v>
      </c>
      <c r="N763" s="99">
        <f>(G763-H763)/365</f>
        <v>73.947945205479456</v>
      </c>
      <c r="O763" s="98">
        <f ca="1">(TODAY()-G763)/365</f>
        <v>10.934246575342465</v>
      </c>
      <c r="P763" s="91" t="s">
        <v>43</v>
      </c>
      <c r="Q763" s="91">
        <v>0</v>
      </c>
      <c r="R763" s="91">
        <v>0</v>
      </c>
      <c r="S763" s="91">
        <v>0</v>
      </c>
      <c r="T763" s="91"/>
      <c r="U763" s="91"/>
      <c r="V763" s="91"/>
      <c r="W763" s="91"/>
      <c r="X763" s="91"/>
      <c r="Y763" s="91"/>
      <c r="Z763" s="91"/>
      <c r="AA763" s="91"/>
      <c r="AB763" s="91"/>
      <c r="AC763" s="91"/>
      <c r="AD763" s="91"/>
      <c r="AE763" s="91"/>
      <c r="AF763" s="91"/>
      <c r="AG763" s="91"/>
      <c r="AH763" s="91"/>
      <c r="AI763" s="91"/>
      <c r="AJ763" s="91"/>
      <c r="AK763" s="91"/>
      <c r="AL763" s="91"/>
      <c r="AM763" s="91"/>
    </row>
    <row r="764" spans="1:39" ht="20.25" customHeight="1">
      <c r="A764" s="91"/>
      <c r="B764" s="93" t="s">
        <v>11879</v>
      </c>
      <c r="C764" s="91" t="s">
        <v>73</v>
      </c>
      <c r="D764" s="107" t="s">
        <v>416</v>
      </c>
      <c r="E764" s="107" t="s">
        <v>6288</v>
      </c>
      <c r="F764" s="91" t="s">
        <v>6289</v>
      </c>
      <c r="G764" s="96">
        <v>38558</v>
      </c>
      <c r="H764" s="97">
        <v>14954</v>
      </c>
      <c r="I764" s="94" t="s">
        <v>58</v>
      </c>
      <c r="J764" s="94" t="s">
        <v>58</v>
      </c>
      <c r="K764" s="95" t="s">
        <v>58</v>
      </c>
      <c r="L764" s="91" t="s">
        <v>60</v>
      </c>
      <c r="M764" s="98">
        <f ca="1">(TODAY()-H764)/365</f>
        <v>85.063013698630144</v>
      </c>
      <c r="N764" s="99">
        <f>(G764-H764)/365</f>
        <v>64.668493150684938</v>
      </c>
      <c r="O764" s="98">
        <f ca="1">(TODAY()-G764)/365</f>
        <v>20.394520547945206</v>
      </c>
      <c r="P764" s="91" t="s">
        <v>43</v>
      </c>
      <c r="Q764" s="91"/>
      <c r="R764" s="91"/>
      <c r="S764" s="91"/>
      <c r="T764" s="91"/>
      <c r="U764" s="91"/>
      <c r="V764" s="91"/>
      <c r="W764" s="91"/>
      <c r="X764" s="91"/>
      <c r="Y764" s="91"/>
      <c r="Z764" s="91"/>
      <c r="AA764" s="91"/>
      <c r="AB764" s="91"/>
      <c r="AC764" s="91"/>
      <c r="AD764" s="91"/>
      <c r="AE764" s="91"/>
      <c r="AF764" s="91"/>
      <c r="AG764" s="91"/>
      <c r="AH764" s="91"/>
      <c r="AI764" s="91"/>
      <c r="AJ764" s="91"/>
      <c r="AK764" s="91"/>
      <c r="AL764" s="91"/>
      <c r="AM764" s="91"/>
    </row>
    <row r="765" spans="1:39" ht="20.25" hidden="1" customHeight="1">
      <c r="A765" s="91"/>
      <c r="B765" s="93" t="s">
        <v>11748</v>
      </c>
      <c r="C765" s="91" t="s">
        <v>36</v>
      </c>
      <c r="D765" s="107" t="s">
        <v>2824</v>
      </c>
      <c r="E765" s="107" t="s">
        <v>2825</v>
      </c>
      <c r="F765" s="91" t="s">
        <v>2826</v>
      </c>
      <c r="G765" s="96">
        <v>44440</v>
      </c>
      <c r="H765" s="97">
        <v>28148</v>
      </c>
      <c r="I765" s="94" t="s">
        <v>58</v>
      </c>
      <c r="J765" s="94" t="s">
        <v>58</v>
      </c>
      <c r="K765" s="91">
        <v>940160122</v>
      </c>
      <c r="L765" s="91" t="s">
        <v>216</v>
      </c>
      <c r="M765" s="98">
        <f ca="1">(TODAY()-H765)/365</f>
        <v>48.915068493150685</v>
      </c>
      <c r="N765" s="99">
        <f>(G765-H765)/365</f>
        <v>44.635616438356166</v>
      </c>
      <c r="O765" s="98">
        <f ca="1">(TODAY()-G765)/365</f>
        <v>4.279452054794521</v>
      </c>
      <c r="P765" s="91" t="s">
        <v>43</v>
      </c>
      <c r="Q765" s="91">
        <v>0</v>
      </c>
      <c r="R765" s="91">
        <v>0</v>
      </c>
      <c r="S765" s="91">
        <v>0</v>
      </c>
      <c r="T765" s="91"/>
      <c r="U765" s="91"/>
      <c r="V765" s="91"/>
      <c r="W765" s="91"/>
      <c r="X765" s="91"/>
      <c r="Y765" s="91"/>
      <c r="Z765" s="91"/>
      <c r="AA765" s="91"/>
      <c r="AB765" s="91"/>
      <c r="AC765" s="91"/>
      <c r="AD765" s="91"/>
      <c r="AE765" s="91"/>
      <c r="AF765" s="91"/>
      <c r="AG765" s="91"/>
      <c r="AH765" s="91"/>
      <c r="AI765" s="91"/>
      <c r="AJ765" s="91"/>
      <c r="AK765" s="91"/>
      <c r="AL765" s="91"/>
      <c r="AM765" s="91"/>
    </row>
    <row r="766" spans="1:39" ht="20.25" customHeight="1">
      <c r="A766" s="91"/>
      <c r="B766" s="93" t="s">
        <v>77</v>
      </c>
      <c r="C766" s="91" t="s">
        <v>73</v>
      </c>
      <c r="D766" s="94" t="s">
        <v>226</v>
      </c>
      <c r="E766" s="94" t="s">
        <v>227</v>
      </c>
      <c r="F766" s="95" t="s">
        <v>228</v>
      </c>
      <c r="G766" s="96">
        <v>40983</v>
      </c>
      <c r="H766" s="97">
        <v>17292</v>
      </c>
      <c r="I766" s="100" t="s">
        <v>58</v>
      </c>
      <c r="J766" s="100" t="s">
        <v>58</v>
      </c>
      <c r="K766" s="91" t="s">
        <v>58</v>
      </c>
      <c r="L766" s="91" t="s">
        <v>60</v>
      </c>
      <c r="M766" s="98">
        <f ca="1">(TODAY()-H766)/365</f>
        <v>78.657534246575338</v>
      </c>
      <c r="N766" s="99">
        <f>(G766-H766)/365</f>
        <v>64.906849315068499</v>
      </c>
      <c r="O766" s="98">
        <f ca="1">(TODAY()-G766)/365</f>
        <v>13.75068493150685</v>
      </c>
      <c r="P766" s="91" t="s">
        <v>43</v>
      </c>
      <c r="Q766" s="91">
        <v>0</v>
      </c>
      <c r="R766" s="91">
        <v>0</v>
      </c>
      <c r="S766" s="91">
        <v>0</v>
      </c>
      <c r="T766" s="91"/>
      <c r="U766" s="91"/>
      <c r="V766" s="91"/>
      <c r="W766" s="91"/>
      <c r="X766" s="91"/>
      <c r="Y766" s="91"/>
      <c r="Z766" s="91"/>
      <c r="AA766" s="91"/>
      <c r="AB766" s="91"/>
      <c r="AC766" s="91"/>
      <c r="AD766" s="91"/>
      <c r="AE766" s="91"/>
      <c r="AF766" s="91"/>
      <c r="AG766" s="91"/>
      <c r="AH766" s="91"/>
      <c r="AI766" s="91"/>
      <c r="AJ766" s="91"/>
      <c r="AK766" s="91"/>
      <c r="AL766" s="91"/>
      <c r="AM766" s="91"/>
    </row>
    <row r="767" spans="1:39" ht="20.25" customHeight="1">
      <c r="A767" s="91"/>
      <c r="B767" s="93" t="s">
        <v>3885</v>
      </c>
      <c r="C767" s="91" t="s">
        <v>73</v>
      </c>
      <c r="D767" s="106" t="s">
        <v>3886</v>
      </c>
      <c r="E767" s="106" t="s">
        <v>3887</v>
      </c>
      <c r="F767" s="92" t="s">
        <v>3888</v>
      </c>
      <c r="G767" s="96">
        <v>45487</v>
      </c>
      <c r="H767" s="97">
        <v>38624</v>
      </c>
      <c r="I767" s="102" t="s">
        <v>3889</v>
      </c>
      <c r="J767" s="100" t="s">
        <v>58</v>
      </c>
      <c r="K767" s="91" t="s">
        <v>58</v>
      </c>
      <c r="L767" s="91" t="s">
        <v>60</v>
      </c>
      <c r="M767" s="98">
        <f ca="1">(TODAY()-H767)/365</f>
        <v>20.213698630136985</v>
      </c>
      <c r="N767" s="99">
        <f>(G767-H767)/365</f>
        <v>18.802739726027397</v>
      </c>
      <c r="O767" s="98">
        <f ca="1">(TODAY()-G767)/365</f>
        <v>1.4109589041095891</v>
      </c>
      <c r="P767" s="91" t="s">
        <v>43</v>
      </c>
      <c r="Q767" s="91">
        <v>0</v>
      </c>
      <c r="R767" s="91">
        <v>0</v>
      </c>
      <c r="S767" s="91">
        <v>0</v>
      </c>
      <c r="T767" s="91"/>
      <c r="U767" s="91"/>
      <c r="V767" s="91"/>
      <c r="W767" s="91"/>
      <c r="X767" s="91"/>
      <c r="Y767" s="91"/>
      <c r="Z767" s="91"/>
      <c r="AA767" s="91"/>
      <c r="AB767" s="91"/>
      <c r="AC767" s="91"/>
      <c r="AD767" s="91"/>
      <c r="AE767" s="91"/>
      <c r="AF767" s="91"/>
      <c r="AG767" s="91"/>
      <c r="AH767" s="91"/>
      <c r="AI767" s="91"/>
      <c r="AJ767" s="91"/>
      <c r="AK767" s="91"/>
      <c r="AL767" s="91"/>
      <c r="AM767" s="91"/>
    </row>
    <row r="768" spans="1:39" ht="20.25" hidden="1" customHeight="1">
      <c r="A768" s="91"/>
      <c r="B768" s="93" t="s">
        <v>11748</v>
      </c>
      <c r="C768" s="91" t="s">
        <v>36</v>
      </c>
      <c r="D768" s="107" t="s">
        <v>771</v>
      </c>
      <c r="E768" s="107" t="s">
        <v>2831</v>
      </c>
      <c r="F768" s="91" t="s">
        <v>2832</v>
      </c>
      <c r="G768" s="96">
        <v>36809</v>
      </c>
      <c r="H768" s="97">
        <v>18527</v>
      </c>
      <c r="I768" s="94" t="s">
        <v>58</v>
      </c>
      <c r="J768" s="94" t="s">
        <v>58</v>
      </c>
      <c r="K768" s="91">
        <v>752221021</v>
      </c>
      <c r="L768" s="91" t="s">
        <v>60</v>
      </c>
      <c r="M768" s="98">
        <f ca="1">(TODAY()-H768)/365</f>
        <v>75.273972602739732</v>
      </c>
      <c r="N768" s="99">
        <f>(G768-H768)/365</f>
        <v>50.087671232876716</v>
      </c>
      <c r="O768" s="98">
        <f ca="1">(TODAY()-G768)/365</f>
        <v>25.186301369863013</v>
      </c>
      <c r="P768" s="91" t="s">
        <v>43</v>
      </c>
      <c r="Q768" s="91">
        <v>0</v>
      </c>
      <c r="R768" s="91">
        <v>0</v>
      </c>
      <c r="S768" s="91">
        <v>0</v>
      </c>
      <c r="T768" s="91"/>
      <c r="U768" s="91"/>
      <c r="V768" s="91"/>
      <c r="W768" s="91"/>
      <c r="X768" s="91"/>
      <c r="Y768" s="91"/>
      <c r="Z768" s="91"/>
      <c r="AA768" s="91"/>
      <c r="AB768" s="91"/>
      <c r="AC768" s="91"/>
      <c r="AD768" s="91"/>
      <c r="AE768" s="91"/>
      <c r="AF768" s="91"/>
      <c r="AG768" s="91"/>
      <c r="AH768" s="91"/>
      <c r="AI768" s="91"/>
      <c r="AJ768" s="91"/>
      <c r="AK768" s="91"/>
      <c r="AL768" s="91"/>
      <c r="AM768" s="91"/>
    </row>
    <row r="769" spans="1:39" ht="20.25" customHeight="1">
      <c r="A769" s="91"/>
      <c r="B769" s="93" t="s">
        <v>4367</v>
      </c>
      <c r="C769" s="91" t="s">
        <v>73</v>
      </c>
      <c r="D769" s="107" t="s">
        <v>4368</v>
      </c>
      <c r="E769" s="107" t="s">
        <v>4369</v>
      </c>
      <c r="F769" s="91" t="s">
        <v>4370</v>
      </c>
      <c r="G769" s="96">
        <v>42597</v>
      </c>
      <c r="H769" s="97">
        <v>36482</v>
      </c>
      <c r="I769" s="100" t="s">
        <v>4371</v>
      </c>
      <c r="J769" s="94" t="s">
        <v>58</v>
      </c>
      <c r="K769" s="95" t="s">
        <v>58</v>
      </c>
      <c r="L769" s="91" t="s">
        <v>60</v>
      </c>
      <c r="M769" s="98">
        <f ca="1">(TODAY()-H769)/365</f>
        <v>26.082191780821919</v>
      </c>
      <c r="N769" s="99">
        <f>(G769-H769)/365</f>
        <v>16.753424657534246</v>
      </c>
      <c r="O769" s="98">
        <f ca="1">(TODAY()-G769)/365</f>
        <v>9.3287671232876708</v>
      </c>
      <c r="P769" s="91" t="s">
        <v>43</v>
      </c>
      <c r="Q769" s="91">
        <v>0</v>
      </c>
      <c r="R769" s="91">
        <v>0</v>
      </c>
      <c r="S769" s="91">
        <v>0</v>
      </c>
      <c r="T769" s="91"/>
      <c r="U769" s="91"/>
      <c r="V769" s="91"/>
      <c r="W769" s="91"/>
      <c r="X769" s="91"/>
      <c r="Y769" s="91"/>
      <c r="Z769" s="91"/>
      <c r="AA769" s="91"/>
      <c r="AB769" s="91"/>
      <c r="AC769" s="91"/>
      <c r="AD769" s="91"/>
      <c r="AE769" s="91"/>
      <c r="AF769" s="91"/>
      <c r="AG769" s="91"/>
      <c r="AH769" s="91"/>
      <c r="AI769" s="91"/>
      <c r="AJ769" s="91"/>
      <c r="AK769" s="91"/>
      <c r="AL769" s="91"/>
      <c r="AM769" s="91"/>
    </row>
    <row r="770" spans="1:39" ht="20.25" hidden="1" customHeight="1">
      <c r="A770" s="91"/>
      <c r="B770" s="93" t="s">
        <v>11748</v>
      </c>
      <c r="C770" s="91" t="s">
        <v>36</v>
      </c>
      <c r="D770" s="107" t="s">
        <v>818</v>
      </c>
      <c r="E770" s="107" t="s">
        <v>2835</v>
      </c>
      <c r="F770" s="91" t="s">
        <v>2836</v>
      </c>
      <c r="G770" s="96">
        <v>44633</v>
      </c>
      <c r="H770" s="97">
        <v>26154</v>
      </c>
      <c r="I770" s="94" t="s">
        <v>58</v>
      </c>
      <c r="J770" s="94" t="s">
        <v>58</v>
      </c>
      <c r="K770" s="91">
        <v>959505943</v>
      </c>
      <c r="L770" s="91" t="s">
        <v>60</v>
      </c>
      <c r="M770" s="98">
        <f ca="1">(TODAY()-H770)/365</f>
        <v>54.37808219178082</v>
      </c>
      <c r="N770" s="99">
        <f>(G770-H770)/365</f>
        <v>50.627397260273973</v>
      </c>
      <c r="O770" s="98">
        <f ca="1">(TODAY()-G770)/365</f>
        <v>3.7506849315068491</v>
      </c>
      <c r="P770" s="91" t="s">
        <v>43</v>
      </c>
      <c r="Q770" s="91">
        <v>0</v>
      </c>
      <c r="R770" s="91">
        <v>0</v>
      </c>
      <c r="S770" s="91">
        <v>0</v>
      </c>
      <c r="T770" s="91"/>
      <c r="U770" s="91"/>
      <c r="V770" s="91"/>
      <c r="W770" s="91"/>
      <c r="X770" s="91"/>
      <c r="Y770" s="91"/>
      <c r="Z770" s="91"/>
      <c r="AA770" s="91"/>
      <c r="AB770" s="91"/>
      <c r="AC770" s="91"/>
      <c r="AD770" s="91"/>
      <c r="AE770" s="91"/>
      <c r="AF770" s="91"/>
      <c r="AG770" s="91"/>
      <c r="AH770" s="91"/>
      <c r="AI770" s="91"/>
      <c r="AJ770" s="91"/>
      <c r="AK770" s="91"/>
      <c r="AL770" s="91"/>
      <c r="AM770" s="91"/>
    </row>
    <row r="771" spans="1:39" ht="20.25" customHeight="1">
      <c r="A771" s="91"/>
      <c r="B771" s="93" t="s">
        <v>3110</v>
      </c>
      <c r="C771" s="91" t="s">
        <v>73</v>
      </c>
      <c r="D771" s="107" t="s">
        <v>3149</v>
      </c>
      <c r="E771" s="107" t="s">
        <v>3150</v>
      </c>
      <c r="F771" s="91" t="s">
        <v>3151</v>
      </c>
      <c r="G771" s="96">
        <v>43349</v>
      </c>
      <c r="H771" s="97">
        <v>28403</v>
      </c>
      <c r="I771" s="100" t="s">
        <v>58</v>
      </c>
      <c r="J771" s="100" t="s">
        <v>58</v>
      </c>
      <c r="K771" s="91" t="s">
        <v>58</v>
      </c>
      <c r="L771" s="91" t="s">
        <v>60</v>
      </c>
      <c r="M771" s="98">
        <f ca="1">(TODAY()-H771)/365</f>
        <v>48.216438356164382</v>
      </c>
      <c r="N771" s="99">
        <f>(G771-H771)/365</f>
        <v>40.947945205479449</v>
      </c>
      <c r="O771" s="98">
        <f ca="1">(TODAY()-G771)/365</f>
        <v>7.2684931506849315</v>
      </c>
      <c r="P771" s="91" t="s">
        <v>43</v>
      </c>
      <c r="Q771" s="91">
        <v>0</v>
      </c>
      <c r="R771" s="91">
        <v>0</v>
      </c>
      <c r="S771" s="91">
        <v>0</v>
      </c>
      <c r="T771" s="91"/>
      <c r="U771" s="91"/>
      <c r="V771" s="91"/>
      <c r="W771" s="91"/>
      <c r="X771" s="91"/>
      <c r="Y771" s="91"/>
      <c r="Z771" s="91"/>
      <c r="AA771" s="91"/>
      <c r="AB771" s="91"/>
      <c r="AC771" s="91"/>
      <c r="AD771" s="91"/>
      <c r="AE771" s="91"/>
      <c r="AF771" s="91"/>
      <c r="AG771" s="91"/>
      <c r="AH771" s="91"/>
      <c r="AI771" s="91"/>
      <c r="AJ771" s="91"/>
      <c r="AK771" s="91"/>
      <c r="AL771" s="91"/>
      <c r="AM771" s="91"/>
    </row>
    <row r="772" spans="1:39" ht="20.25" customHeight="1">
      <c r="A772" s="91"/>
      <c r="B772" s="93" t="s">
        <v>738</v>
      </c>
      <c r="C772" s="91" t="s">
        <v>73</v>
      </c>
      <c r="D772" s="94" t="s">
        <v>823</v>
      </c>
      <c r="E772" s="94" t="s">
        <v>824</v>
      </c>
      <c r="F772" s="95" t="s">
        <v>825</v>
      </c>
      <c r="G772" s="96">
        <v>45247</v>
      </c>
      <c r="H772" s="97">
        <v>30831</v>
      </c>
      <c r="I772" s="94" t="s">
        <v>826</v>
      </c>
      <c r="J772" s="100" t="s">
        <v>58</v>
      </c>
      <c r="K772" s="91" t="s">
        <v>58</v>
      </c>
      <c r="L772" s="91" t="s">
        <v>60</v>
      </c>
      <c r="M772" s="98">
        <f ca="1">(TODAY()-H772)/365</f>
        <v>41.564383561643837</v>
      </c>
      <c r="N772" s="99">
        <f>(G772-H772)/365</f>
        <v>39.495890410958907</v>
      </c>
      <c r="O772" s="98">
        <f ca="1">(TODAY()-G772)/365</f>
        <v>2.0684931506849313</v>
      </c>
      <c r="P772" s="91" t="s">
        <v>272</v>
      </c>
      <c r="Q772" s="91">
        <v>0</v>
      </c>
      <c r="R772" s="91">
        <v>0</v>
      </c>
      <c r="S772" s="91">
        <v>0</v>
      </c>
      <c r="T772" s="91"/>
      <c r="U772" s="91"/>
      <c r="V772" s="91"/>
      <c r="W772" s="91"/>
      <c r="X772" s="91"/>
      <c r="Y772" s="91"/>
      <c r="Z772" s="91"/>
      <c r="AA772" s="91"/>
      <c r="AB772" s="91"/>
      <c r="AC772" s="91"/>
      <c r="AD772" s="91"/>
      <c r="AE772" s="91"/>
      <c r="AF772" s="91"/>
      <c r="AG772" s="91"/>
      <c r="AH772" s="91"/>
      <c r="AI772" s="91"/>
      <c r="AJ772" s="91"/>
      <c r="AK772" s="91"/>
      <c r="AL772" s="91"/>
      <c r="AM772" s="91"/>
    </row>
    <row r="773" spans="1:39" ht="20.25" customHeight="1">
      <c r="A773" s="91"/>
      <c r="B773" s="93" t="s">
        <v>1477</v>
      </c>
      <c r="C773" s="91" t="s">
        <v>73</v>
      </c>
      <c r="D773" s="94" t="s">
        <v>1515</v>
      </c>
      <c r="E773" s="94" t="s">
        <v>1516</v>
      </c>
      <c r="F773" s="95" t="s">
        <v>1517</v>
      </c>
      <c r="G773" s="96">
        <v>37682</v>
      </c>
      <c r="H773" s="97">
        <v>31960</v>
      </c>
      <c r="I773" s="94" t="s">
        <v>1518</v>
      </c>
      <c r="J773" s="100" t="s">
        <v>58</v>
      </c>
      <c r="K773" s="91" t="s">
        <v>58</v>
      </c>
      <c r="L773" s="91" t="s">
        <v>60</v>
      </c>
      <c r="M773" s="98">
        <f ca="1">(TODAY()-H773)/365</f>
        <v>38.471232876712328</v>
      </c>
      <c r="N773" s="99">
        <f>(G773-H773)/365</f>
        <v>15.676712328767124</v>
      </c>
      <c r="O773" s="98">
        <f ca="1">(TODAY()-G773)/365</f>
        <v>22.794520547945204</v>
      </c>
      <c r="P773" s="91" t="s">
        <v>272</v>
      </c>
      <c r="Q773" s="91">
        <v>0</v>
      </c>
      <c r="R773" s="91">
        <v>0</v>
      </c>
      <c r="S773" s="91">
        <v>0</v>
      </c>
      <c r="T773" s="91"/>
      <c r="U773" s="91"/>
      <c r="V773" s="91"/>
      <c r="W773" s="91"/>
      <c r="X773" s="91"/>
      <c r="Y773" s="91"/>
      <c r="Z773" s="91"/>
      <c r="AA773" s="91"/>
      <c r="AB773" s="91"/>
      <c r="AC773" s="91"/>
      <c r="AD773" s="91"/>
      <c r="AE773" s="91"/>
      <c r="AF773" s="91"/>
      <c r="AG773" s="91"/>
      <c r="AH773" s="91"/>
      <c r="AI773" s="91"/>
      <c r="AJ773" s="91"/>
      <c r="AK773" s="91"/>
      <c r="AL773" s="91"/>
      <c r="AM773" s="91"/>
    </row>
    <row r="774" spans="1:39" ht="20.25" customHeight="1">
      <c r="A774" s="91"/>
      <c r="B774" s="93" t="s">
        <v>738</v>
      </c>
      <c r="C774" s="91" t="s">
        <v>73</v>
      </c>
      <c r="D774" s="94" t="s">
        <v>762</v>
      </c>
      <c r="E774" s="94" t="s">
        <v>763</v>
      </c>
      <c r="F774" s="95" t="s">
        <v>764</v>
      </c>
      <c r="G774" s="96">
        <v>43997</v>
      </c>
      <c r="H774" s="97">
        <v>33876</v>
      </c>
      <c r="I774" s="94" t="s">
        <v>765</v>
      </c>
      <c r="J774" s="100" t="s">
        <v>58</v>
      </c>
      <c r="K774" s="91" t="s">
        <v>58</v>
      </c>
      <c r="L774" s="91" t="s">
        <v>60</v>
      </c>
      <c r="M774" s="98">
        <f ca="1">(TODAY()-H774)/365</f>
        <v>33.221917808219175</v>
      </c>
      <c r="N774" s="99">
        <f>(G774-H774)/365</f>
        <v>27.728767123287671</v>
      </c>
      <c r="O774" s="98">
        <f ca="1">(TODAY()-G774)/365</f>
        <v>5.493150684931507</v>
      </c>
      <c r="P774" s="91" t="s">
        <v>43</v>
      </c>
      <c r="Q774" s="91">
        <v>0</v>
      </c>
      <c r="R774" s="91">
        <v>0</v>
      </c>
      <c r="S774" s="91">
        <v>0</v>
      </c>
      <c r="T774" s="91"/>
      <c r="U774" s="91"/>
      <c r="V774" s="91"/>
      <c r="W774" s="91"/>
      <c r="X774" s="91"/>
      <c r="Y774" s="91"/>
      <c r="Z774" s="91"/>
      <c r="AA774" s="91"/>
      <c r="AB774" s="91"/>
      <c r="AC774" s="91"/>
      <c r="AD774" s="91"/>
      <c r="AE774" s="91"/>
      <c r="AF774" s="91"/>
      <c r="AG774" s="91"/>
      <c r="AH774" s="91"/>
      <c r="AI774" s="91"/>
      <c r="AJ774" s="91"/>
      <c r="AK774" s="91"/>
      <c r="AL774" s="91"/>
      <c r="AM774" s="91"/>
    </row>
    <row r="775" spans="1:39" ht="20.25" hidden="1" customHeight="1">
      <c r="A775" s="91"/>
      <c r="B775" s="93" t="s">
        <v>10562</v>
      </c>
      <c r="C775" s="91" t="s">
        <v>36</v>
      </c>
      <c r="D775" s="106" t="s">
        <v>10563</v>
      </c>
      <c r="E775" s="106" t="s">
        <v>10564</v>
      </c>
      <c r="F775" s="92" t="s">
        <v>10565</v>
      </c>
      <c r="G775" s="103">
        <v>33411</v>
      </c>
      <c r="H775" s="103">
        <v>18648</v>
      </c>
      <c r="I775" s="94" t="s">
        <v>58</v>
      </c>
      <c r="J775" s="94" t="s">
        <v>10566</v>
      </c>
      <c r="K775" s="92">
        <v>991401798</v>
      </c>
      <c r="L775" s="91"/>
      <c r="M775" s="98">
        <f ca="1">(TODAY()-H775)/365</f>
        <v>74.942465753424656</v>
      </c>
      <c r="N775" s="99">
        <f>(G775-H775)/365</f>
        <v>40.446575342465756</v>
      </c>
      <c r="O775" s="98">
        <f ca="1">(TODAY()-G775)/365</f>
        <v>34.495890410958907</v>
      </c>
      <c r="P775" s="91" t="s">
        <v>43</v>
      </c>
      <c r="Q775" s="91"/>
      <c r="R775" s="91"/>
      <c r="S775" s="91"/>
      <c r="T775" s="91"/>
      <c r="U775" s="91"/>
      <c r="V775" s="91"/>
      <c r="W775" s="91"/>
      <c r="X775" s="91"/>
      <c r="Y775" s="91"/>
      <c r="Z775" s="91"/>
      <c r="AA775" s="91"/>
      <c r="AB775" s="91"/>
      <c r="AC775" s="91"/>
      <c r="AD775" s="91"/>
      <c r="AE775" s="91"/>
      <c r="AF775" s="91"/>
      <c r="AG775" s="91"/>
      <c r="AH775" s="91"/>
      <c r="AI775" s="91"/>
      <c r="AJ775" s="91"/>
      <c r="AK775" s="91"/>
      <c r="AL775" s="91"/>
      <c r="AM775" s="91"/>
    </row>
    <row r="776" spans="1:39" ht="20.25" hidden="1" customHeight="1">
      <c r="A776" s="91"/>
      <c r="B776" s="93" t="s">
        <v>10562</v>
      </c>
      <c r="C776" s="91" t="s">
        <v>36</v>
      </c>
      <c r="D776" s="106" t="s">
        <v>10567</v>
      </c>
      <c r="E776" s="106" t="s">
        <v>10568</v>
      </c>
      <c r="F776" s="92" t="s">
        <v>10569</v>
      </c>
      <c r="G776" s="103">
        <v>30621</v>
      </c>
      <c r="H776" s="103">
        <v>16306</v>
      </c>
      <c r="I776" s="94" t="s">
        <v>58</v>
      </c>
      <c r="J776" s="94" t="s">
        <v>10570</v>
      </c>
      <c r="K776" s="92">
        <v>722463532</v>
      </c>
      <c r="L776" s="91"/>
      <c r="M776" s="98">
        <f ca="1">(TODAY()-H776)/365</f>
        <v>81.358904109589048</v>
      </c>
      <c r="N776" s="99">
        <f>(G776-H776)/365</f>
        <v>39.219178082191782</v>
      </c>
      <c r="O776" s="98">
        <f ca="1">(TODAY()-G776)/365</f>
        <v>42.139726027397259</v>
      </c>
      <c r="P776" s="91" t="s">
        <v>43</v>
      </c>
      <c r="Q776" s="91"/>
      <c r="R776" s="91"/>
      <c r="S776" s="91"/>
      <c r="T776" s="91"/>
      <c r="U776" s="91"/>
      <c r="V776" s="91"/>
      <c r="W776" s="91"/>
      <c r="X776" s="91"/>
      <c r="Y776" s="91"/>
      <c r="Z776" s="91"/>
      <c r="AA776" s="91"/>
      <c r="AB776" s="91"/>
      <c r="AC776" s="91"/>
      <c r="AD776" s="91"/>
      <c r="AE776" s="91"/>
      <c r="AF776" s="91"/>
      <c r="AG776" s="91"/>
      <c r="AH776" s="91"/>
      <c r="AI776" s="91"/>
      <c r="AJ776" s="91"/>
      <c r="AK776" s="91"/>
      <c r="AL776" s="91"/>
      <c r="AM776" s="91"/>
    </row>
    <row r="777" spans="1:39" ht="20.25" hidden="1" customHeight="1">
      <c r="A777" s="91"/>
      <c r="B777" s="93" t="s">
        <v>10562</v>
      </c>
      <c r="C777" s="91" t="s">
        <v>36</v>
      </c>
      <c r="D777" s="106" t="s">
        <v>10571</v>
      </c>
      <c r="E777" s="106" t="s">
        <v>10572</v>
      </c>
      <c r="F777" s="92" t="s">
        <v>10573</v>
      </c>
      <c r="G777" s="103">
        <v>39952</v>
      </c>
      <c r="H777" s="103">
        <v>20990</v>
      </c>
      <c r="I777" s="94" t="s">
        <v>58</v>
      </c>
      <c r="J777" s="94" t="s">
        <v>10574</v>
      </c>
      <c r="K777" s="92">
        <v>984749948</v>
      </c>
      <c r="L777" s="91"/>
      <c r="M777" s="98">
        <f ca="1">(TODAY()-H777)/365</f>
        <v>68.526027397260279</v>
      </c>
      <c r="N777" s="99">
        <f>(G777-H777)/365</f>
        <v>51.950684931506849</v>
      </c>
      <c r="O777" s="98">
        <f ca="1">(TODAY()-G777)/365</f>
        <v>16.575342465753426</v>
      </c>
      <c r="P777" s="91" t="s">
        <v>43</v>
      </c>
      <c r="Q777" s="91"/>
      <c r="R777" s="91"/>
      <c r="S777" s="91"/>
      <c r="T777" s="91"/>
      <c r="U777" s="91"/>
      <c r="V777" s="91"/>
      <c r="W777" s="91"/>
      <c r="X777" s="91"/>
      <c r="Y777" s="91"/>
      <c r="Z777" s="91"/>
      <c r="AA777" s="91"/>
      <c r="AB777" s="91"/>
      <c r="AC777" s="91"/>
      <c r="AD777" s="91"/>
      <c r="AE777" s="91"/>
      <c r="AF777" s="91"/>
      <c r="AG777" s="91"/>
      <c r="AH777" s="91"/>
      <c r="AI777" s="91"/>
      <c r="AJ777" s="91"/>
      <c r="AK777" s="91"/>
      <c r="AL777" s="91"/>
      <c r="AM777" s="91"/>
    </row>
    <row r="778" spans="1:39" ht="20.25" hidden="1" customHeight="1">
      <c r="A778" s="91"/>
      <c r="B778" s="93" t="s">
        <v>10562</v>
      </c>
      <c r="C778" s="91" t="s">
        <v>36</v>
      </c>
      <c r="D778" s="106" t="s">
        <v>10575</v>
      </c>
      <c r="E778" s="106" t="s">
        <v>10576</v>
      </c>
      <c r="F778" s="92" t="s">
        <v>10577</v>
      </c>
      <c r="G778" s="103">
        <v>37007</v>
      </c>
      <c r="H778" s="103">
        <v>22227</v>
      </c>
      <c r="I778" s="94" t="s">
        <v>58</v>
      </c>
      <c r="J778" s="94" t="s">
        <v>10578</v>
      </c>
      <c r="K778" s="92">
        <v>988291054</v>
      </c>
      <c r="L778" s="91"/>
      <c r="M778" s="98">
        <f ca="1">(TODAY()-H778)/365</f>
        <v>65.136986301369859</v>
      </c>
      <c r="N778" s="99">
        <f>(G778-H778)/365</f>
        <v>40.493150684931507</v>
      </c>
      <c r="O778" s="98">
        <f ca="1">(TODAY()-G778)/365</f>
        <v>24.643835616438356</v>
      </c>
      <c r="P778" s="91" t="s">
        <v>43</v>
      </c>
      <c r="Q778" s="91"/>
      <c r="R778" s="91"/>
      <c r="S778" s="91"/>
      <c r="T778" s="91"/>
      <c r="U778" s="91"/>
      <c r="V778" s="91"/>
      <c r="W778" s="91"/>
      <c r="X778" s="91"/>
      <c r="Y778" s="91"/>
      <c r="Z778" s="91"/>
      <c r="AA778" s="91"/>
      <c r="AB778" s="91"/>
      <c r="AC778" s="91"/>
      <c r="AD778" s="91"/>
      <c r="AE778" s="91"/>
      <c r="AF778" s="91"/>
      <c r="AG778" s="91"/>
      <c r="AH778" s="91"/>
      <c r="AI778" s="91"/>
      <c r="AJ778" s="91"/>
      <c r="AK778" s="91"/>
      <c r="AL778" s="91"/>
      <c r="AM778" s="91"/>
    </row>
    <row r="779" spans="1:39" ht="20.25" hidden="1" customHeight="1">
      <c r="A779" s="91"/>
      <c r="B779" s="93" t="s">
        <v>10562</v>
      </c>
      <c r="C779" s="91" t="s">
        <v>36</v>
      </c>
      <c r="D779" s="106" t="s">
        <v>10579</v>
      </c>
      <c r="E779" s="106" t="s">
        <v>10580</v>
      </c>
      <c r="F779" s="92" t="s">
        <v>10581</v>
      </c>
      <c r="G779" s="103">
        <v>30260</v>
      </c>
      <c r="H779" s="103">
        <v>12101</v>
      </c>
      <c r="I779" s="94" t="s">
        <v>58</v>
      </c>
      <c r="J779" s="94" t="s">
        <v>10582</v>
      </c>
      <c r="K779" s="92">
        <v>998277590</v>
      </c>
      <c r="L779" s="91"/>
      <c r="M779" s="98">
        <f ca="1">(TODAY()-H779)/365</f>
        <v>92.879452054794527</v>
      </c>
      <c r="N779" s="99">
        <f>(G779-H779)/365</f>
        <v>49.750684931506846</v>
      </c>
      <c r="O779" s="98">
        <f ca="1">(TODAY()-G779)/365</f>
        <v>43.128767123287673</v>
      </c>
      <c r="P779" s="91" t="s">
        <v>43</v>
      </c>
      <c r="Q779" s="91"/>
      <c r="R779" s="91"/>
      <c r="S779" s="91"/>
      <c r="T779" s="91"/>
      <c r="U779" s="91"/>
      <c r="V779" s="91"/>
      <c r="W779" s="91"/>
      <c r="X779" s="91"/>
      <c r="Y779" s="91"/>
      <c r="Z779" s="91"/>
      <c r="AA779" s="91"/>
      <c r="AB779" s="91"/>
      <c r="AC779" s="91"/>
      <c r="AD779" s="91"/>
      <c r="AE779" s="91"/>
      <c r="AF779" s="91"/>
      <c r="AG779" s="91"/>
      <c r="AH779" s="91"/>
      <c r="AI779" s="91"/>
      <c r="AJ779" s="91"/>
      <c r="AK779" s="91"/>
      <c r="AL779" s="91"/>
      <c r="AM779" s="91"/>
    </row>
    <row r="780" spans="1:39" ht="20.25" hidden="1" customHeight="1">
      <c r="A780" s="91"/>
      <c r="B780" s="93" t="s">
        <v>10562</v>
      </c>
      <c r="C780" s="91" t="s">
        <v>36</v>
      </c>
      <c r="D780" s="106" t="s">
        <v>10583</v>
      </c>
      <c r="E780" s="106" t="s">
        <v>10584</v>
      </c>
      <c r="F780" s="92" t="s">
        <v>10585</v>
      </c>
      <c r="G780" s="103">
        <v>35515</v>
      </c>
      <c r="H780" s="103">
        <v>16908</v>
      </c>
      <c r="I780" s="94" t="s">
        <v>58</v>
      </c>
      <c r="J780" s="94" t="s">
        <v>10586</v>
      </c>
      <c r="K780" s="92">
        <v>989046585</v>
      </c>
      <c r="L780" s="91"/>
      <c r="M780" s="98">
        <f ca="1">(TODAY()-H780)/365</f>
        <v>79.709589041095896</v>
      </c>
      <c r="N780" s="99">
        <f>(G780-H780)/365</f>
        <v>50.978082191780821</v>
      </c>
      <c r="O780" s="98">
        <f ca="1">(TODAY()-G780)/365</f>
        <v>28.731506849315068</v>
      </c>
      <c r="P780" s="91" t="s">
        <v>43</v>
      </c>
      <c r="Q780" s="91"/>
      <c r="R780" s="91"/>
      <c r="S780" s="91"/>
      <c r="T780" s="91"/>
      <c r="U780" s="91"/>
      <c r="V780" s="91"/>
      <c r="W780" s="91"/>
      <c r="X780" s="91"/>
      <c r="Y780" s="91"/>
      <c r="Z780" s="91"/>
      <c r="AA780" s="91"/>
      <c r="AB780" s="91"/>
      <c r="AC780" s="91"/>
      <c r="AD780" s="91"/>
      <c r="AE780" s="91"/>
      <c r="AF780" s="91"/>
      <c r="AG780" s="91"/>
      <c r="AH780" s="91"/>
      <c r="AI780" s="91"/>
      <c r="AJ780" s="91"/>
      <c r="AK780" s="91"/>
      <c r="AL780" s="91"/>
      <c r="AM780" s="91"/>
    </row>
    <row r="781" spans="1:39" ht="20.25" hidden="1" customHeight="1">
      <c r="A781" s="91"/>
      <c r="B781" s="93" t="s">
        <v>10562</v>
      </c>
      <c r="C781" s="91" t="s">
        <v>36</v>
      </c>
      <c r="D781" s="106" t="s">
        <v>10587</v>
      </c>
      <c r="E781" s="106" t="s">
        <v>10588</v>
      </c>
      <c r="F781" s="92" t="s">
        <v>10589</v>
      </c>
      <c r="G781" s="103">
        <v>40415</v>
      </c>
      <c r="H781" s="103">
        <v>21141</v>
      </c>
      <c r="I781" s="94" t="s">
        <v>58</v>
      </c>
      <c r="J781" s="94" t="s">
        <v>10590</v>
      </c>
      <c r="K781" s="92">
        <v>996679744</v>
      </c>
      <c r="L781" s="91"/>
      <c r="M781" s="98">
        <f ca="1">(TODAY()-H781)/365</f>
        <v>68.112328767123287</v>
      </c>
      <c r="N781" s="99">
        <f>(G781-H781)/365</f>
        <v>52.805479452054797</v>
      </c>
      <c r="O781" s="98">
        <f ca="1">(TODAY()-G781)/365</f>
        <v>15.306849315068494</v>
      </c>
      <c r="P781" s="91" t="s">
        <v>43</v>
      </c>
      <c r="Q781" s="91"/>
      <c r="R781" s="91"/>
      <c r="S781" s="91"/>
      <c r="T781" s="91"/>
      <c r="U781" s="91"/>
      <c r="V781" s="91"/>
      <c r="W781" s="91"/>
      <c r="X781" s="91"/>
      <c r="Y781" s="91"/>
      <c r="Z781" s="91"/>
      <c r="AA781" s="91"/>
      <c r="AB781" s="91"/>
      <c r="AC781" s="91"/>
      <c r="AD781" s="91"/>
      <c r="AE781" s="91"/>
      <c r="AF781" s="91"/>
      <c r="AG781" s="91"/>
      <c r="AH781" s="91"/>
      <c r="AI781" s="91"/>
      <c r="AJ781" s="91"/>
      <c r="AK781" s="91"/>
      <c r="AL781" s="91"/>
      <c r="AM781" s="91"/>
    </row>
    <row r="782" spans="1:39" ht="20.25" hidden="1" customHeight="1">
      <c r="A782" s="91"/>
      <c r="B782" s="93" t="s">
        <v>10562</v>
      </c>
      <c r="C782" s="91" t="s">
        <v>36</v>
      </c>
      <c r="D782" s="106" t="s">
        <v>2126</v>
      </c>
      <c r="E782" s="106" t="s">
        <v>10591</v>
      </c>
      <c r="F782" s="92" t="s">
        <v>10592</v>
      </c>
      <c r="G782" s="103">
        <v>33411</v>
      </c>
      <c r="H782" s="103">
        <v>21205</v>
      </c>
      <c r="I782" s="94" t="s">
        <v>58</v>
      </c>
      <c r="J782" s="94" t="s">
        <v>10593</v>
      </c>
      <c r="K782" s="92">
        <v>974672189</v>
      </c>
      <c r="L782" s="91"/>
      <c r="M782" s="98">
        <f ca="1">(TODAY()-H782)/365</f>
        <v>67.936986301369856</v>
      </c>
      <c r="N782" s="99">
        <f>(G782-H782)/365</f>
        <v>33.441095890410956</v>
      </c>
      <c r="O782" s="98">
        <f ca="1">(TODAY()-G782)/365</f>
        <v>34.495890410958907</v>
      </c>
      <c r="P782" s="91" t="s">
        <v>43</v>
      </c>
      <c r="Q782" s="91"/>
      <c r="R782" s="91"/>
      <c r="S782" s="91"/>
      <c r="T782" s="91"/>
      <c r="U782" s="91"/>
      <c r="V782" s="91"/>
      <c r="W782" s="91"/>
      <c r="X782" s="91"/>
      <c r="Y782" s="91"/>
      <c r="Z782" s="91"/>
      <c r="AA782" s="91"/>
      <c r="AB782" s="91"/>
      <c r="AC782" s="91"/>
      <c r="AD782" s="91"/>
      <c r="AE782" s="91"/>
      <c r="AF782" s="91"/>
      <c r="AG782" s="91"/>
      <c r="AH782" s="91"/>
      <c r="AI782" s="91"/>
      <c r="AJ782" s="91"/>
      <c r="AK782" s="91"/>
      <c r="AL782" s="91"/>
      <c r="AM782" s="91"/>
    </row>
    <row r="783" spans="1:39" ht="20.25" hidden="1" customHeight="1">
      <c r="A783" s="91"/>
      <c r="B783" s="93" t="s">
        <v>10562</v>
      </c>
      <c r="C783" s="91" t="s">
        <v>36</v>
      </c>
      <c r="D783" s="106" t="s">
        <v>10594</v>
      </c>
      <c r="E783" s="106" t="s">
        <v>10595</v>
      </c>
      <c r="F783" s="92" t="s">
        <v>10596</v>
      </c>
      <c r="G783" s="103">
        <v>43376</v>
      </c>
      <c r="H783" s="103">
        <v>20154</v>
      </c>
      <c r="I783" s="94" t="s">
        <v>58</v>
      </c>
      <c r="J783" s="94" t="s">
        <v>10597</v>
      </c>
      <c r="K783" s="92">
        <v>987986880</v>
      </c>
      <c r="L783" s="91"/>
      <c r="M783" s="98">
        <f ca="1">(TODAY()-H783)/365</f>
        <v>70.816438356164383</v>
      </c>
      <c r="N783" s="99">
        <f>(G783-H783)/365</f>
        <v>63.62191780821918</v>
      </c>
      <c r="O783" s="98">
        <f ca="1">(TODAY()-G783)/365</f>
        <v>7.1945205479452055</v>
      </c>
      <c r="P783" s="91" t="s">
        <v>43</v>
      </c>
      <c r="Q783" s="91"/>
      <c r="R783" s="91"/>
      <c r="S783" s="91"/>
      <c r="T783" s="91"/>
      <c r="U783" s="91"/>
      <c r="V783" s="91"/>
      <c r="W783" s="91"/>
      <c r="X783" s="91"/>
      <c r="Y783" s="91"/>
      <c r="Z783" s="91"/>
      <c r="AA783" s="91"/>
      <c r="AB783" s="91"/>
      <c r="AC783" s="91"/>
      <c r="AD783" s="91"/>
      <c r="AE783" s="91"/>
      <c r="AF783" s="91"/>
      <c r="AG783" s="91"/>
      <c r="AH783" s="91"/>
      <c r="AI783" s="91"/>
      <c r="AJ783" s="91"/>
      <c r="AK783" s="91"/>
      <c r="AL783" s="91"/>
      <c r="AM783" s="91"/>
    </row>
    <row r="784" spans="1:39" ht="20.25" hidden="1" customHeight="1">
      <c r="A784" s="91"/>
      <c r="B784" s="93" t="s">
        <v>10562</v>
      </c>
      <c r="C784" s="91" t="s">
        <v>36</v>
      </c>
      <c r="D784" s="106" t="s">
        <v>1716</v>
      </c>
      <c r="E784" s="106" t="s">
        <v>10598</v>
      </c>
      <c r="F784" s="92" t="s">
        <v>10599</v>
      </c>
      <c r="G784" s="103">
        <v>42870</v>
      </c>
      <c r="H784" s="103">
        <v>21950</v>
      </c>
      <c r="I784" s="94" t="s">
        <v>58</v>
      </c>
      <c r="J784" s="94" t="s">
        <v>10600</v>
      </c>
      <c r="K784" s="92">
        <v>945566360</v>
      </c>
      <c r="L784" s="91"/>
      <c r="M784" s="98">
        <f ca="1">(TODAY()-H784)/365</f>
        <v>65.895890410958899</v>
      </c>
      <c r="N784" s="99">
        <f>(G784-H784)/365</f>
        <v>57.315068493150683</v>
      </c>
      <c r="O784" s="98">
        <f ca="1">(TODAY()-G784)/365</f>
        <v>8.580821917808219</v>
      </c>
      <c r="P784" s="91" t="s">
        <v>43</v>
      </c>
      <c r="Q784" s="91"/>
      <c r="R784" s="91"/>
      <c r="S784" s="91"/>
      <c r="T784" s="91"/>
      <c r="U784" s="91"/>
      <c r="V784" s="91"/>
      <c r="W784" s="91"/>
      <c r="X784" s="91"/>
      <c r="Y784" s="91"/>
      <c r="Z784" s="91"/>
      <c r="AA784" s="91"/>
      <c r="AB784" s="91"/>
      <c r="AC784" s="91"/>
      <c r="AD784" s="91"/>
      <c r="AE784" s="91"/>
      <c r="AF784" s="91"/>
      <c r="AG784" s="91"/>
      <c r="AH784" s="91"/>
      <c r="AI784" s="91"/>
      <c r="AJ784" s="91"/>
      <c r="AK784" s="91"/>
      <c r="AL784" s="91"/>
      <c r="AM784" s="91"/>
    </row>
    <row r="785" spans="1:39" ht="20.25" hidden="1" customHeight="1">
      <c r="A785" s="91"/>
      <c r="B785" s="93" t="s">
        <v>10562</v>
      </c>
      <c r="C785" s="91" t="s">
        <v>36</v>
      </c>
      <c r="D785" s="106" t="s">
        <v>10601</v>
      </c>
      <c r="E785" s="106" t="s">
        <v>10602</v>
      </c>
      <c r="F785" s="92" t="s">
        <v>10603</v>
      </c>
      <c r="G785" s="103">
        <v>41232</v>
      </c>
      <c r="H785" s="103">
        <v>23520</v>
      </c>
      <c r="I785" s="94" t="s">
        <v>58</v>
      </c>
      <c r="J785" s="94" t="s">
        <v>10604</v>
      </c>
      <c r="K785" s="92">
        <v>977407118</v>
      </c>
      <c r="L785" s="91"/>
      <c r="M785" s="98">
        <f ca="1">(TODAY()-H785)/365</f>
        <v>61.594520547945208</v>
      </c>
      <c r="N785" s="99">
        <f>(G785-H785)/365</f>
        <v>48.526027397260272</v>
      </c>
      <c r="O785" s="98">
        <f ca="1">(TODAY()-G785)/365</f>
        <v>13.068493150684931</v>
      </c>
      <c r="P785" s="91" t="s">
        <v>43</v>
      </c>
      <c r="Q785" s="91"/>
      <c r="R785" s="91"/>
      <c r="S785" s="91"/>
      <c r="T785" s="91"/>
      <c r="U785" s="91"/>
      <c r="V785" s="91"/>
      <c r="W785" s="91"/>
      <c r="X785" s="91"/>
      <c r="Y785" s="91"/>
      <c r="Z785" s="91"/>
      <c r="AA785" s="91"/>
      <c r="AB785" s="91"/>
      <c r="AC785" s="91"/>
      <c r="AD785" s="91"/>
      <c r="AE785" s="91"/>
      <c r="AF785" s="91"/>
      <c r="AG785" s="91"/>
      <c r="AH785" s="91"/>
      <c r="AI785" s="91"/>
      <c r="AJ785" s="91"/>
      <c r="AK785" s="91"/>
      <c r="AL785" s="91"/>
      <c r="AM785" s="91"/>
    </row>
    <row r="786" spans="1:39" ht="20.25" hidden="1" customHeight="1">
      <c r="A786" s="91"/>
      <c r="B786" s="93" t="s">
        <v>10562</v>
      </c>
      <c r="C786" s="91" t="s">
        <v>36</v>
      </c>
      <c r="D786" s="106" t="s">
        <v>5097</v>
      </c>
      <c r="E786" s="106" t="s">
        <v>10605</v>
      </c>
      <c r="F786" s="92" t="s">
        <v>10606</v>
      </c>
      <c r="G786" s="103">
        <v>35468</v>
      </c>
      <c r="H786" s="103">
        <v>20769</v>
      </c>
      <c r="I786" s="94" t="s">
        <v>58</v>
      </c>
      <c r="J786" s="94" t="s">
        <v>10607</v>
      </c>
      <c r="K786" s="92">
        <v>997228706</v>
      </c>
      <c r="L786" s="91"/>
      <c r="M786" s="98">
        <f ca="1">(TODAY()-H786)/365</f>
        <v>69.131506849315073</v>
      </c>
      <c r="N786" s="99">
        <f>(G786-H786)/365</f>
        <v>40.271232876712325</v>
      </c>
      <c r="O786" s="98">
        <f ca="1">(TODAY()-G786)/365</f>
        <v>28.860273972602741</v>
      </c>
      <c r="P786" s="91" t="s">
        <v>43</v>
      </c>
      <c r="Q786" s="91"/>
      <c r="R786" s="91"/>
      <c r="S786" s="91"/>
      <c r="T786" s="91"/>
      <c r="U786" s="91"/>
      <c r="V786" s="91"/>
      <c r="W786" s="91"/>
      <c r="X786" s="91"/>
      <c r="Y786" s="91"/>
      <c r="Z786" s="91"/>
      <c r="AA786" s="91"/>
      <c r="AB786" s="91"/>
      <c r="AC786" s="91"/>
      <c r="AD786" s="91"/>
      <c r="AE786" s="91"/>
      <c r="AF786" s="91"/>
      <c r="AG786" s="91"/>
      <c r="AH786" s="91"/>
      <c r="AI786" s="91"/>
      <c r="AJ786" s="91"/>
      <c r="AK786" s="91"/>
      <c r="AL786" s="91"/>
      <c r="AM786" s="91"/>
    </row>
    <row r="787" spans="1:39" ht="20.25" hidden="1" customHeight="1">
      <c r="A787" s="91"/>
      <c r="B787" s="93" t="s">
        <v>10562</v>
      </c>
      <c r="C787" s="91" t="s">
        <v>36</v>
      </c>
      <c r="D787" s="106" t="s">
        <v>10608</v>
      </c>
      <c r="E787" s="106" t="s">
        <v>10609</v>
      </c>
      <c r="F787" s="92" t="s">
        <v>10610</v>
      </c>
      <c r="G787" s="103">
        <v>37910</v>
      </c>
      <c r="H787" s="103">
        <v>22357</v>
      </c>
      <c r="I787" s="94" t="s">
        <v>58</v>
      </c>
      <c r="J787" s="94" t="s">
        <v>10611</v>
      </c>
      <c r="K787" s="92">
        <v>994619320</v>
      </c>
      <c r="L787" s="91"/>
      <c r="M787" s="98">
        <f ca="1">(TODAY()-H787)/365</f>
        <v>64.780821917808225</v>
      </c>
      <c r="N787" s="99">
        <f>(G787-H787)/365</f>
        <v>42.610958904109587</v>
      </c>
      <c r="O787" s="98">
        <f ca="1">(TODAY()-G787)/365</f>
        <v>22.169863013698631</v>
      </c>
      <c r="P787" s="91" t="s">
        <v>43</v>
      </c>
      <c r="Q787" s="91"/>
      <c r="R787" s="91"/>
      <c r="S787" s="91"/>
      <c r="T787" s="91"/>
      <c r="U787" s="91"/>
      <c r="V787" s="91"/>
      <c r="W787" s="91"/>
      <c r="X787" s="91"/>
      <c r="Y787" s="91"/>
      <c r="Z787" s="91"/>
      <c r="AA787" s="91"/>
      <c r="AB787" s="91"/>
      <c r="AC787" s="91"/>
      <c r="AD787" s="91"/>
      <c r="AE787" s="91"/>
      <c r="AF787" s="91"/>
      <c r="AG787" s="91"/>
      <c r="AH787" s="91"/>
      <c r="AI787" s="91"/>
      <c r="AJ787" s="91"/>
      <c r="AK787" s="91"/>
      <c r="AL787" s="91"/>
      <c r="AM787" s="91"/>
    </row>
    <row r="788" spans="1:39" ht="20.25" hidden="1" customHeight="1">
      <c r="A788" s="91"/>
      <c r="B788" s="93" t="s">
        <v>10562</v>
      </c>
      <c r="C788" s="91" t="s">
        <v>36</v>
      </c>
      <c r="D788" s="106" t="s">
        <v>10612</v>
      </c>
      <c r="E788" s="106" t="s">
        <v>8518</v>
      </c>
      <c r="F788" s="92" t="s">
        <v>8519</v>
      </c>
      <c r="G788" s="103">
        <v>43013</v>
      </c>
      <c r="H788" s="103">
        <v>19910</v>
      </c>
      <c r="I788" s="94" t="s">
        <v>58</v>
      </c>
      <c r="J788" s="94" t="s">
        <v>10613</v>
      </c>
      <c r="K788" s="92">
        <v>983916541</v>
      </c>
      <c r="L788" s="91"/>
      <c r="M788" s="98">
        <f ca="1">(TODAY()-H788)/365</f>
        <v>71.484931506849321</v>
      </c>
      <c r="N788" s="99">
        <f>(G788-H788)/365</f>
        <v>63.295890410958904</v>
      </c>
      <c r="O788" s="98">
        <f ca="1">(TODAY()-G788)/365</f>
        <v>8.1890410958904116</v>
      </c>
      <c r="P788" s="91" t="s">
        <v>43</v>
      </c>
      <c r="Q788" s="91"/>
      <c r="R788" s="91"/>
      <c r="S788" s="91"/>
      <c r="T788" s="91"/>
      <c r="U788" s="91"/>
      <c r="V788" s="91"/>
      <c r="W788" s="91"/>
      <c r="X788" s="91"/>
      <c r="Y788" s="91"/>
      <c r="Z788" s="91"/>
      <c r="AA788" s="91"/>
      <c r="AB788" s="91"/>
      <c r="AC788" s="91"/>
      <c r="AD788" s="91"/>
      <c r="AE788" s="91"/>
      <c r="AF788" s="91"/>
      <c r="AG788" s="91"/>
      <c r="AH788" s="91"/>
      <c r="AI788" s="91"/>
      <c r="AJ788" s="91"/>
      <c r="AK788" s="91"/>
      <c r="AL788" s="91"/>
      <c r="AM788" s="91"/>
    </row>
    <row r="789" spans="1:39" ht="20.25" hidden="1" customHeight="1">
      <c r="A789" s="91"/>
      <c r="B789" s="93" t="s">
        <v>10562</v>
      </c>
      <c r="C789" s="91" t="s">
        <v>36</v>
      </c>
      <c r="D789" s="106" t="s">
        <v>10614</v>
      </c>
      <c r="E789" s="106" t="s">
        <v>10615</v>
      </c>
      <c r="F789" s="92" t="s">
        <v>10616</v>
      </c>
      <c r="G789" s="103">
        <v>44271</v>
      </c>
      <c r="H789" s="103">
        <v>17519</v>
      </c>
      <c r="I789" s="94" t="s">
        <v>58</v>
      </c>
      <c r="J789" s="94" t="s">
        <v>10617</v>
      </c>
      <c r="K789" s="92">
        <v>964195935</v>
      </c>
      <c r="L789" s="91"/>
      <c r="M789" s="98">
        <f ca="1">(TODAY()-H789)/365</f>
        <v>78.035616438356158</v>
      </c>
      <c r="N789" s="99">
        <f>(G789-H789)/365</f>
        <v>73.293150684931504</v>
      </c>
      <c r="O789" s="98">
        <f ca="1">(TODAY()-G789)/365</f>
        <v>4.7424657534246579</v>
      </c>
      <c r="P789" s="91" t="s">
        <v>43</v>
      </c>
      <c r="Q789" s="91"/>
      <c r="R789" s="91"/>
      <c r="S789" s="91"/>
      <c r="T789" s="91"/>
      <c r="U789" s="91"/>
      <c r="V789" s="91"/>
      <c r="W789" s="91"/>
      <c r="X789" s="91"/>
      <c r="Y789" s="91"/>
      <c r="Z789" s="91"/>
      <c r="AA789" s="91"/>
      <c r="AB789" s="91"/>
      <c r="AC789" s="91"/>
      <c r="AD789" s="91"/>
      <c r="AE789" s="91"/>
      <c r="AF789" s="91"/>
      <c r="AG789" s="91"/>
      <c r="AH789" s="91"/>
      <c r="AI789" s="91"/>
      <c r="AJ789" s="91"/>
      <c r="AK789" s="91"/>
      <c r="AL789" s="91"/>
      <c r="AM789" s="91"/>
    </row>
    <row r="790" spans="1:39" ht="20.25" hidden="1" customHeight="1">
      <c r="A790" s="91"/>
      <c r="B790" s="113" t="s">
        <v>2848</v>
      </c>
      <c r="C790" s="91" t="s">
        <v>36</v>
      </c>
      <c r="D790" s="106" t="s">
        <v>2849</v>
      </c>
      <c r="E790" s="106" t="s">
        <v>2850</v>
      </c>
      <c r="F790" s="92" t="s">
        <v>2851</v>
      </c>
      <c r="G790" s="103">
        <v>35618</v>
      </c>
      <c r="H790" s="103">
        <v>24655</v>
      </c>
      <c r="I790" s="94" t="s">
        <v>2852</v>
      </c>
      <c r="J790" s="94" t="s">
        <v>2853</v>
      </c>
      <c r="K790" s="92">
        <v>973650711</v>
      </c>
      <c r="L790" s="91" t="s">
        <v>60</v>
      </c>
      <c r="M790" s="98">
        <f ca="1">(TODAY()-H790)/365</f>
        <v>58.484931506849314</v>
      </c>
      <c r="N790" s="99">
        <f>(G790-H790)/365</f>
        <v>30.035616438356165</v>
      </c>
      <c r="O790" s="98">
        <f ca="1">(TODAY()-G790)/365</f>
        <v>28.449315068493149</v>
      </c>
      <c r="P790" s="91" t="s">
        <v>43</v>
      </c>
      <c r="Q790" s="91">
        <v>0</v>
      </c>
      <c r="R790" s="91">
        <v>0</v>
      </c>
      <c r="S790" s="91">
        <v>0</v>
      </c>
      <c r="T790" s="91"/>
      <c r="U790" s="91"/>
      <c r="V790" s="91"/>
      <c r="W790" s="91"/>
      <c r="X790" s="91"/>
      <c r="Y790" s="91"/>
      <c r="Z790" s="91"/>
      <c r="AA790" s="91"/>
      <c r="AB790" s="91"/>
      <c r="AC790" s="91"/>
      <c r="AD790" s="91"/>
      <c r="AE790" s="91"/>
      <c r="AF790" s="91"/>
      <c r="AG790" s="91"/>
      <c r="AH790" s="91"/>
      <c r="AI790" s="91"/>
      <c r="AJ790" s="91"/>
      <c r="AK790" s="91"/>
      <c r="AL790" s="91"/>
      <c r="AM790" s="91"/>
    </row>
    <row r="791" spans="1:39" ht="20.25" hidden="1" customHeight="1">
      <c r="A791" s="91"/>
      <c r="B791" s="113" t="s">
        <v>2848</v>
      </c>
      <c r="C791" s="91" t="s">
        <v>36</v>
      </c>
      <c r="D791" s="106" t="s">
        <v>2854</v>
      </c>
      <c r="E791" s="106" t="s">
        <v>2855</v>
      </c>
      <c r="F791" s="92" t="s">
        <v>2856</v>
      </c>
      <c r="G791" s="103">
        <v>39524</v>
      </c>
      <c r="H791" s="103">
        <v>18686</v>
      </c>
      <c r="I791" s="94" t="s">
        <v>2857</v>
      </c>
      <c r="J791" s="94" t="s">
        <v>2853</v>
      </c>
      <c r="K791" s="92">
        <v>930020949</v>
      </c>
      <c r="L791" s="91" t="s">
        <v>60</v>
      </c>
      <c r="M791" s="98">
        <f ca="1">(TODAY()-H791)/365</f>
        <v>74.838356164383555</v>
      </c>
      <c r="N791" s="99">
        <f>(G791-H791)/365</f>
        <v>57.090410958904108</v>
      </c>
      <c r="O791" s="98">
        <f ca="1">(TODAY()-G791)/365</f>
        <v>17.747945205479454</v>
      </c>
      <c r="P791" s="91" t="s">
        <v>43</v>
      </c>
      <c r="Q791" s="91">
        <v>0</v>
      </c>
      <c r="R791" s="91">
        <v>0</v>
      </c>
      <c r="S791" s="91">
        <v>0</v>
      </c>
      <c r="T791" s="91"/>
      <c r="U791" s="91"/>
      <c r="V791" s="91"/>
      <c r="W791" s="91"/>
      <c r="X791" s="91"/>
      <c r="Y791" s="91"/>
      <c r="Z791" s="91"/>
      <c r="AA791" s="91"/>
      <c r="AB791" s="91"/>
      <c r="AC791" s="91"/>
      <c r="AD791" s="91"/>
      <c r="AE791" s="91"/>
      <c r="AF791" s="91"/>
      <c r="AG791" s="91"/>
      <c r="AH791" s="91"/>
      <c r="AI791" s="91"/>
      <c r="AJ791" s="91"/>
      <c r="AK791" s="91"/>
      <c r="AL791" s="91"/>
      <c r="AM791" s="91"/>
    </row>
    <row r="792" spans="1:39" ht="20.25" hidden="1" customHeight="1">
      <c r="A792" s="91"/>
      <c r="B792" s="113" t="s">
        <v>2848</v>
      </c>
      <c r="C792" s="91" t="s">
        <v>36</v>
      </c>
      <c r="D792" s="106" t="s">
        <v>2858</v>
      </c>
      <c r="E792" s="106" t="s">
        <v>2859</v>
      </c>
      <c r="F792" s="92" t="s">
        <v>2860</v>
      </c>
      <c r="G792" s="103">
        <v>35618</v>
      </c>
      <c r="H792" s="103">
        <v>18715</v>
      </c>
      <c r="I792" s="94" t="s">
        <v>2861</v>
      </c>
      <c r="J792" s="94" t="s">
        <v>2853</v>
      </c>
      <c r="K792" s="92">
        <v>93820220</v>
      </c>
      <c r="L792" s="91" t="s">
        <v>60</v>
      </c>
      <c r="M792" s="98">
        <f ca="1">(TODAY()-H792)/365</f>
        <v>74.758904109589039</v>
      </c>
      <c r="N792" s="99">
        <f>(G792-H792)/365</f>
        <v>46.30958904109589</v>
      </c>
      <c r="O792" s="98">
        <f ca="1">(TODAY()-G792)/365</f>
        <v>28.449315068493149</v>
      </c>
      <c r="P792" s="91" t="s">
        <v>272</v>
      </c>
      <c r="Q792" s="91">
        <v>0</v>
      </c>
      <c r="R792" s="91">
        <v>0</v>
      </c>
      <c r="S792" s="91">
        <v>0</v>
      </c>
      <c r="T792" s="91"/>
      <c r="U792" s="91"/>
      <c r="V792" s="91"/>
      <c r="W792" s="91"/>
      <c r="X792" s="91"/>
      <c r="Y792" s="91"/>
      <c r="Z792" s="91"/>
      <c r="AA792" s="91"/>
      <c r="AB792" s="91"/>
      <c r="AC792" s="91"/>
      <c r="AD792" s="91"/>
      <c r="AE792" s="91"/>
      <c r="AF792" s="91"/>
      <c r="AG792" s="91"/>
      <c r="AH792" s="91"/>
      <c r="AI792" s="91"/>
      <c r="AJ792" s="91"/>
      <c r="AK792" s="91"/>
      <c r="AL792" s="91"/>
      <c r="AM792" s="91"/>
    </row>
    <row r="793" spans="1:39" ht="20.25" hidden="1" customHeight="1">
      <c r="A793" s="91"/>
      <c r="B793" s="113" t="s">
        <v>2848</v>
      </c>
      <c r="C793" s="91" t="s">
        <v>36</v>
      </c>
      <c r="D793" s="106" t="s">
        <v>2862</v>
      </c>
      <c r="E793" s="106" t="s">
        <v>2863</v>
      </c>
      <c r="F793" s="92" t="s">
        <v>2864</v>
      </c>
      <c r="G793" s="103">
        <v>42849</v>
      </c>
      <c r="H793" s="103">
        <v>22182</v>
      </c>
      <c r="I793" s="94" t="s">
        <v>2865</v>
      </c>
      <c r="J793" s="94" t="s">
        <v>2853</v>
      </c>
      <c r="K793" s="92">
        <v>983708152</v>
      </c>
      <c r="L793" s="91" t="s">
        <v>60</v>
      </c>
      <c r="M793" s="98">
        <f ca="1">(TODAY()-H793)/365</f>
        <v>65.260273972602747</v>
      </c>
      <c r="N793" s="99">
        <f>(G793-H793)/365</f>
        <v>56.62191780821918</v>
      </c>
      <c r="O793" s="98">
        <f ca="1">(TODAY()-G793)/365</f>
        <v>8.6383561643835609</v>
      </c>
      <c r="P793" s="91" t="s">
        <v>272</v>
      </c>
      <c r="Q793" s="91">
        <v>0</v>
      </c>
      <c r="R793" s="91">
        <v>0</v>
      </c>
      <c r="S793" s="91">
        <v>0</v>
      </c>
      <c r="T793" s="91"/>
      <c r="U793" s="91"/>
      <c r="V793" s="91"/>
      <c r="W793" s="91"/>
      <c r="X793" s="91"/>
      <c r="Y793" s="91"/>
      <c r="Z793" s="91"/>
      <c r="AA793" s="91"/>
      <c r="AB793" s="91"/>
      <c r="AC793" s="91"/>
      <c r="AD793" s="91"/>
      <c r="AE793" s="91"/>
      <c r="AF793" s="91"/>
      <c r="AG793" s="91"/>
      <c r="AH793" s="91"/>
      <c r="AI793" s="91"/>
      <c r="AJ793" s="91"/>
      <c r="AK793" s="91"/>
      <c r="AL793" s="91"/>
      <c r="AM793" s="91"/>
    </row>
    <row r="794" spans="1:39" ht="20.25" hidden="1" customHeight="1">
      <c r="A794" s="91"/>
      <c r="B794" s="113" t="s">
        <v>2848</v>
      </c>
      <c r="C794" s="91" t="s">
        <v>36</v>
      </c>
      <c r="D794" s="106" t="s">
        <v>2866</v>
      </c>
      <c r="E794" s="106" t="s">
        <v>2867</v>
      </c>
      <c r="F794" s="92" t="s">
        <v>2868</v>
      </c>
      <c r="G794" s="103">
        <v>41009</v>
      </c>
      <c r="H794" s="103">
        <v>34427</v>
      </c>
      <c r="I794" s="94" t="s">
        <v>2869</v>
      </c>
      <c r="J794" s="94" t="s">
        <v>2853</v>
      </c>
      <c r="K794" s="92">
        <v>992517179</v>
      </c>
      <c r="L794" s="91" t="s">
        <v>60</v>
      </c>
      <c r="M794" s="98">
        <f ca="1">(TODAY()-H794)/365</f>
        <v>31.712328767123289</v>
      </c>
      <c r="N794" s="99">
        <f>(G794-H794)/365</f>
        <v>18.032876712328768</v>
      </c>
      <c r="O794" s="98">
        <f ca="1">(TODAY()-G794)/365</f>
        <v>13.67945205479452</v>
      </c>
      <c r="P794" s="91" t="s">
        <v>43</v>
      </c>
      <c r="Q794" s="91">
        <v>0</v>
      </c>
      <c r="R794" s="91">
        <v>1</v>
      </c>
      <c r="S794" s="91">
        <v>0</v>
      </c>
      <c r="T794" s="91"/>
      <c r="U794" s="91"/>
      <c r="V794" s="91"/>
      <c r="W794" s="91"/>
      <c r="X794" s="91"/>
      <c r="Y794" s="91">
        <v>1</v>
      </c>
      <c r="Z794" s="91"/>
      <c r="AA794" s="91"/>
      <c r="AB794" s="91"/>
      <c r="AC794" s="91"/>
      <c r="AD794" s="91"/>
      <c r="AE794" s="91"/>
      <c r="AF794" s="91"/>
      <c r="AG794" s="91"/>
      <c r="AH794" s="91"/>
      <c r="AI794" s="91"/>
      <c r="AJ794" s="91"/>
      <c r="AK794" s="91"/>
      <c r="AL794" s="91"/>
      <c r="AM794" s="91"/>
    </row>
    <row r="795" spans="1:39" ht="20.25" hidden="1" customHeight="1">
      <c r="A795" s="91"/>
      <c r="B795" s="113" t="s">
        <v>2848</v>
      </c>
      <c r="C795" s="91" t="s">
        <v>73</v>
      </c>
      <c r="D795" s="106" t="s">
        <v>2870</v>
      </c>
      <c r="E795" s="106" t="s">
        <v>2871</v>
      </c>
      <c r="F795" s="92" t="s">
        <v>2872</v>
      </c>
      <c r="G795" s="103">
        <v>34095</v>
      </c>
      <c r="H795" s="103">
        <v>15447</v>
      </c>
      <c r="I795" s="94" t="s">
        <v>2873</v>
      </c>
      <c r="J795" s="100" t="s">
        <v>58</v>
      </c>
      <c r="K795" s="91" t="s">
        <v>58</v>
      </c>
      <c r="L795" s="91" t="s">
        <v>60</v>
      </c>
      <c r="M795" s="98">
        <f ca="1">(TODAY()-H795)/365</f>
        <v>83.712328767123282</v>
      </c>
      <c r="N795" s="99">
        <f>(G795-H795)/365</f>
        <v>51.090410958904108</v>
      </c>
      <c r="O795" s="98">
        <f ca="1">(TODAY()-G795)/365</f>
        <v>32.62191780821918</v>
      </c>
      <c r="P795" s="91" t="s">
        <v>272</v>
      </c>
      <c r="Q795" s="91">
        <v>0</v>
      </c>
      <c r="R795" s="91">
        <v>0</v>
      </c>
      <c r="S795" s="91">
        <v>0</v>
      </c>
      <c r="T795" s="91"/>
      <c r="U795" s="91"/>
      <c r="V795" s="91"/>
      <c r="W795" s="91"/>
      <c r="X795" s="91"/>
      <c r="Y795" s="91"/>
      <c r="Z795" s="91"/>
      <c r="AA795" s="91"/>
      <c r="AB795" s="91"/>
      <c r="AC795" s="91"/>
      <c r="AD795" s="91"/>
      <c r="AE795" s="91"/>
      <c r="AF795" s="91"/>
      <c r="AG795" s="91"/>
      <c r="AH795" s="91"/>
      <c r="AI795" s="91"/>
      <c r="AJ795" s="91"/>
      <c r="AK795" s="91"/>
      <c r="AL795" s="91"/>
      <c r="AM795" s="91"/>
    </row>
    <row r="796" spans="1:39" ht="20.25" hidden="1" customHeight="1">
      <c r="A796" s="91"/>
      <c r="B796" s="113" t="s">
        <v>2848</v>
      </c>
      <c r="C796" s="91" t="s">
        <v>73</v>
      </c>
      <c r="D796" s="106" t="s">
        <v>2874</v>
      </c>
      <c r="E796" s="106" t="s">
        <v>2875</v>
      </c>
      <c r="F796" s="92" t="s">
        <v>2876</v>
      </c>
      <c r="G796" s="103">
        <v>43132</v>
      </c>
      <c r="H796" s="103">
        <v>33881</v>
      </c>
      <c r="I796" s="94" t="s">
        <v>2877</v>
      </c>
      <c r="J796" s="100" t="s">
        <v>58</v>
      </c>
      <c r="K796" s="91" t="s">
        <v>58</v>
      </c>
      <c r="L796" s="91" t="s">
        <v>60</v>
      </c>
      <c r="M796" s="98">
        <f ca="1">(TODAY()-H796)/365</f>
        <v>33.208219178082189</v>
      </c>
      <c r="N796" s="99">
        <f>(G796-H796)/365</f>
        <v>25.345205479452055</v>
      </c>
      <c r="O796" s="98">
        <f ca="1">(TODAY()-G796)/365</f>
        <v>7.8630136986301373</v>
      </c>
      <c r="P796" s="91" t="s">
        <v>272</v>
      </c>
      <c r="Q796" s="91">
        <v>0</v>
      </c>
      <c r="R796" s="91">
        <v>0</v>
      </c>
      <c r="S796" s="91">
        <v>0</v>
      </c>
      <c r="T796" s="91"/>
      <c r="U796" s="91"/>
      <c r="V796" s="91"/>
      <c r="W796" s="91"/>
      <c r="X796" s="91"/>
      <c r="Y796" s="91"/>
      <c r="Z796" s="91"/>
      <c r="AA796" s="91"/>
      <c r="AB796" s="91"/>
      <c r="AC796" s="91"/>
      <c r="AD796" s="91"/>
      <c r="AE796" s="91"/>
      <c r="AF796" s="91"/>
      <c r="AG796" s="91"/>
      <c r="AH796" s="91"/>
      <c r="AI796" s="91"/>
      <c r="AJ796" s="91"/>
      <c r="AK796" s="91"/>
      <c r="AL796" s="91"/>
      <c r="AM796" s="91"/>
    </row>
    <row r="797" spans="1:39" ht="20.25" hidden="1" customHeight="1">
      <c r="A797" s="91"/>
      <c r="B797" s="113" t="s">
        <v>2848</v>
      </c>
      <c r="C797" s="91" t="s">
        <v>36</v>
      </c>
      <c r="D797" s="106" t="s">
        <v>2878</v>
      </c>
      <c r="E797" s="106" t="s">
        <v>2879</v>
      </c>
      <c r="F797" s="92" t="s">
        <v>2880</v>
      </c>
      <c r="G797" s="103">
        <v>41258</v>
      </c>
      <c r="H797" s="103">
        <v>36246</v>
      </c>
      <c r="I797" s="94" t="s">
        <v>2881</v>
      </c>
      <c r="J797" s="94" t="s">
        <v>2853</v>
      </c>
      <c r="K797" s="92">
        <v>987811653</v>
      </c>
      <c r="L797" s="91" t="s">
        <v>60</v>
      </c>
      <c r="M797" s="98">
        <f ca="1">(TODAY()-H797)/365</f>
        <v>26.728767123287671</v>
      </c>
      <c r="N797" s="99">
        <f>(G797-H797)/365</f>
        <v>13.731506849315069</v>
      </c>
      <c r="O797" s="98">
        <f ca="1">(TODAY()-G797)/365</f>
        <v>12.997260273972604</v>
      </c>
      <c r="P797" s="91" t="s">
        <v>272</v>
      </c>
      <c r="Q797" s="91">
        <v>0</v>
      </c>
      <c r="R797" s="91">
        <v>0</v>
      </c>
      <c r="S797" s="91">
        <v>0</v>
      </c>
      <c r="T797" s="91"/>
      <c r="U797" s="91"/>
      <c r="V797" s="91"/>
      <c r="W797" s="91"/>
      <c r="X797" s="91"/>
      <c r="Y797" s="91"/>
      <c r="Z797" s="91"/>
      <c r="AA797" s="91"/>
      <c r="AB797" s="91"/>
      <c r="AC797" s="91"/>
      <c r="AD797" s="91"/>
      <c r="AE797" s="91"/>
      <c r="AF797" s="91"/>
      <c r="AG797" s="91"/>
      <c r="AH797" s="91"/>
      <c r="AI797" s="91"/>
      <c r="AJ797" s="91"/>
      <c r="AK797" s="91"/>
      <c r="AL797" s="91"/>
      <c r="AM797" s="91"/>
    </row>
    <row r="798" spans="1:39" ht="20.25" hidden="1" customHeight="1">
      <c r="A798" s="91"/>
      <c r="B798" s="113" t="s">
        <v>2848</v>
      </c>
      <c r="C798" s="91" t="s">
        <v>36</v>
      </c>
      <c r="D798" s="106" t="s">
        <v>2882</v>
      </c>
      <c r="E798" s="106" t="s">
        <v>2883</v>
      </c>
      <c r="F798" s="92" t="s">
        <v>2884</v>
      </c>
      <c r="G798" s="103">
        <v>42743</v>
      </c>
      <c r="H798" s="103">
        <v>34662</v>
      </c>
      <c r="I798" s="94" t="s">
        <v>2885</v>
      </c>
      <c r="J798" s="94" t="s">
        <v>2853</v>
      </c>
      <c r="K798" s="92">
        <v>942685411</v>
      </c>
      <c r="L798" s="91" t="s">
        <v>60</v>
      </c>
      <c r="M798" s="98">
        <f ca="1">(TODAY()-H798)/365</f>
        <v>31.068493150684933</v>
      </c>
      <c r="N798" s="99">
        <f>(G798-H798)/365</f>
        <v>22.139726027397259</v>
      </c>
      <c r="O798" s="98">
        <f ca="1">(TODAY()-G798)/365</f>
        <v>8.9287671232876704</v>
      </c>
      <c r="P798" s="91" t="s">
        <v>43</v>
      </c>
      <c r="Q798" s="91">
        <v>0</v>
      </c>
      <c r="R798" s="91">
        <v>1</v>
      </c>
      <c r="S798" s="91">
        <v>0</v>
      </c>
      <c r="T798" s="91"/>
      <c r="U798" s="91"/>
      <c r="V798" s="91"/>
      <c r="W798" s="91"/>
      <c r="X798" s="91"/>
      <c r="Y798" s="91"/>
      <c r="Z798" s="91"/>
      <c r="AA798" s="91"/>
      <c r="AB798" s="91"/>
      <c r="AC798" s="91"/>
      <c r="AD798" s="91"/>
      <c r="AE798" s="91"/>
      <c r="AF798" s="91"/>
      <c r="AG798" s="91"/>
      <c r="AH798" s="91"/>
      <c r="AI798" s="91"/>
      <c r="AJ798" s="91"/>
      <c r="AK798" s="91"/>
      <c r="AL798" s="91"/>
      <c r="AM798" s="91"/>
    </row>
    <row r="799" spans="1:39" ht="20.25" hidden="1" customHeight="1">
      <c r="A799" s="91"/>
      <c r="B799" s="113" t="s">
        <v>2848</v>
      </c>
      <c r="C799" s="91" t="s">
        <v>36</v>
      </c>
      <c r="D799" s="106" t="s">
        <v>2886</v>
      </c>
      <c r="E799" s="106" t="s">
        <v>2887</v>
      </c>
      <c r="F799" s="92" t="s">
        <v>2888</v>
      </c>
      <c r="G799" s="103">
        <v>43105</v>
      </c>
      <c r="H799" s="103">
        <v>25422</v>
      </c>
      <c r="I799" s="94" t="s">
        <v>2889</v>
      </c>
      <c r="J799" s="94" t="s">
        <v>2853</v>
      </c>
      <c r="K799" s="92">
        <v>967785612</v>
      </c>
      <c r="L799" s="91" t="s">
        <v>60</v>
      </c>
      <c r="M799" s="98">
        <f ca="1">(TODAY()-H799)/365</f>
        <v>56.38356164383562</v>
      </c>
      <c r="N799" s="99">
        <f>(G799-H799)/365</f>
        <v>48.446575342465756</v>
      </c>
      <c r="O799" s="98">
        <f ca="1">(TODAY()-G799)/365</f>
        <v>7.9369863013698634</v>
      </c>
      <c r="P799" s="91" t="s">
        <v>43</v>
      </c>
      <c r="Q799" s="91">
        <v>0</v>
      </c>
      <c r="R799" s="91">
        <v>0</v>
      </c>
      <c r="S799" s="91">
        <v>0</v>
      </c>
      <c r="T799" s="91"/>
      <c r="U799" s="91"/>
      <c r="V799" s="91"/>
      <c r="W799" s="91"/>
      <c r="X799" s="91"/>
      <c r="Y799" s="91"/>
      <c r="Z799" s="91"/>
      <c r="AA799" s="91"/>
      <c r="AB799" s="91"/>
      <c r="AC799" s="91"/>
      <c r="AD799" s="91"/>
      <c r="AE799" s="91"/>
      <c r="AF799" s="91"/>
      <c r="AG799" s="91"/>
      <c r="AH799" s="91"/>
      <c r="AI799" s="91"/>
      <c r="AJ799" s="91"/>
      <c r="AK799" s="91"/>
      <c r="AL799" s="91"/>
      <c r="AM799" s="91"/>
    </row>
    <row r="800" spans="1:39" ht="20.25" hidden="1" customHeight="1">
      <c r="A800" s="91"/>
      <c r="B800" s="113" t="s">
        <v>2848</v>
      </c>
      <c r="C800" s="91" t="s">
        <v>36</v>
      </c>
      <c r="D800" s="106" t="s">
        <v>2890</v>
      </c>
      <c r="E800" s="106" t="s">
        <v>2891</v>
      </c>
      <c r="F800" s="92" t="s">
        <v>2892</v>
      </c>
      <c r="G800" s="103">
        <v>41495</v>
      </c>
      <c r="H800" s="103">
        <v>35262</v>
      </c>
      <c r="I800" s="94" t="s">
        <v>2893</v>
      </c>
      <c r="J800" s="94" t="s">
        <v>2853</v>
      </c>
      <c r="K800" s="92">
        <v>920417485</v>
      </c>
      <c r="L800" s="91" t="s">
        <v>60</v>
      </c>
      <c r="M800" s="98">
        <f ca="1">(TODAY()-H800)/365</f>
        <v>29.424657534246574</v>
      </c>
      <c r="N800" s="99">
        <f>(G800-H800)/365</f>
        <v>17.076712328767123</v>
      </c>
      <c r="O800" s="98">
        <f ca="1">(TODAY()-G800)/365</f>
        <v>12.347945205479451</v>
      </c>
      <c r="P800" s="91" t="s">
        <v>43</v>
      </c>
      <c r="Q800" s="91">
        <v>0</v>
      </c>
      <c r="R800" s="91">
        <v>0</v>
      </c>
      <c r="S800" s="91">
        <v>0</v>
      </c>
      <c r="T800" s="91"/>
      <c r="U800" s="91"/>
      <c r="V800" s="91"/>
      <c r="W800" s="91"/>
      <c r="X800" s="91"/>
      <c r="Y800" s="91"/>
      <c r="Z800" s="91"/>
      <c r="AA800" s="91"/>
      <c r="AB800" s="91"/>
      <c r="AC800" s="91"/>
      <c r="AD800" s="91"/>
      <c r="AE800" s="91"/>
      <c r="AF800" s="91"/>
      <c r="AG800" s="91"/>
      <c r="AH800" s="91"/>
      <c r="AI800" s="91"/>
      <c r="AJ800" s="91"/>
      <c r="AK800" s="91"/>
      <c r="AL800" s="91"/>
      <c r="AM800" s="91"/>
    </row>
    <row r="801" spans="1:39" ht="20.25" hidden="1" customHeight="1">
      <c r="A801" s="91"/>
      <c r="B801" s="113" t="s">
        <v>2848</v>
      </c>
      <c r="C801" s="91" t="s">
        <v>36</v>
      </c>
      <c r="D801" s="106" t="s">
        <v>2894</v>
      </c>
      <c r="E801" s="106" t="s">
        <v>2895</v>
      </c>
      <c r="F801" s="92" t="s">
        <v>2896</v>
      </c>
      <c r="G801" s="103">
        <v>42690</v>
      </c>
      <c r="H801" s="103">
        <v>36867</v>
      </c>
      <c r="I801" s="94" t="s">
        <v>2897</v>
      </c>
      <c r="J801" s="94" t="s">
        <v>2853</v>
      </c>
      <c r="K801" s="92">
        <v>942000627</v>
      </c>
      <c r="L801" s="91" t="s">
        <v>60</v>
      </c>
      <c r="M801" s="98">
        <f ca="1">(TODAY()-H801)/365</f>
        <v>25.027397260273972</v>
      </c>
      <c r="N801" s="99">
        <f>(G801-H801)/365</f>
        <v>15.953424657534246</v>
      </c>
      <c r="O801" s="98">
        <f ca="1">(TODAY()-G801)/365</f>
        <v>9.0739726027397261</v>
      </c>
      <c r="P801" s="91" t="s">
        <v>272</v>
      </c>
      <c r="Q801" s="91">
        <v>0</v>
      </c>
      <c r="R801" s="91">
        <v>0</v>
      </c>
      <c r="S801" s="91">
        <v>0</v>
      </c>
      <c r="T801" s="91"/>
      <c r="U801" s="91"/>
      <c r="V801" s="91"/>
      <c r="W801" s="91"/>
      <c r="X801" s="91"/>
      <c r="Y801" s="91"/>
      <c r="Z801" s="91"/>
      <c r="AA801" s="91"/>
      <c r="AB801" s="91"/>
      <c r="AC801" s="91"/>
      <c r="AD801" s="91"/>
      <c r="AE801" s="91"/>
      <c r="AF801" s="91"/>
      <c r="AG801" s="91"/>
      <c r="AH801" s="91"/>
      <c r="AI801" s="91"/>
      <c r="AJ801" s="91"/>
      <c r="AK801" s="91"/>
      <c r="AL801" s="91"/>
      <c r="AM801" s="91"/>
    </row>
    <row r="802" spans="1:39" ht="20.25" hidden="1" customHeight="1">
      <c r="A802" s="91"/>
      <c r="B802" s="113" t="s">
        <v>2848</v>
      </c>
      <c r="C802" s="91" t="s">
        <v>36</v>
      </c>
      <c r="D802" s="106" t="s">
        <v>2898</v>
      </c>
      <c r="E802" s="106" t="s">
        <v>2899</v>
      </c>
      <c r="F802" s="92" t="s">
        <v>2900</v>
      </c>
      <c r="G802" s="103">
        <v>41927</v>
      </c>
      <c r="H802" s="103">
        <v>29258</v>
      </c>
      <c r="I802" s="94" t="s">
        <v>2901</v>
      </c>
      <c r="J802" s="94" t="s">
        <v>2853</v>
      </c>
      <c r="K802" s="92">
        <v>956540801</v>
      </c>
      <c r="L802" s="91" t="s">
        <v>60</v>
      </c>
      <c r="M802" s="98">
        <f ca="1">(TODAY()-H802)/365</f>
        <v>45.873972602739727</v>
      </c>
      <c r="N802" s="99">
        <f>(G802-H802)/365</f>
        <v>34.709589041095889</v>
      </c>
      <c r="O802" s="98">
        <f ca="1">(TODAY()-G802)/365</f>
        <v>11.164383561643836</v>
      </c>
      <c r="P802" s="91" t="s">
        <v>43</v>
      </c>
      <c r="Q802" s="91">
        <v>0</v>
      </c>
      <c r="R802" s="91">
        <v>0</v>
      </c>
      <c r="S802" s="91">
        <v>0</v>
      </c>
      <c r="T802" s="91"/>
      <c r="U802" s="91"/>
      <c r="V802" s="91">
        <v>1</v>
      </c>
      <c r="W802" s="91"/>
      <c r="X802" s="91"/>
      <c r="Y802" s="91"/>
      <c r="Z802" s="91"/>
      <c r="AA802" s="91"/>
      <c r="AB802" s="91"/>
      <c r="AC802" s="91"/>
      <c r="AD802" s="91"/>
      <c r="AE802" s="91"/>
      <c r="AF802" s="91"/>
      <c r="AG802" s="91"/>
      <c r="AH802" s="91"/>
      <c r="AI802" s="91"/>
      <c r="AJ802" s="91"/>
      <c r="AK802" s="91"/>
      <c r="AL802" s="91"/>
      <c r="AM802" s="91"/>
    </row>
    <row r="803" spans="1:39" ht="20.25" hidden="1" customHeight="1">
      <c r="A803" s="91"/>
      <c r="B803" s="113" t="s">
        <v>2848</v>
      </c>
      <c r="C803" s="91" t="s">
        <v>36</v>
      </c>
      <c r="D803" s="106" t="s">
        <v>2902</v>
      </c>
      <c r="E803" s="106" t="s">
        <v>2903</v>
      </c>
      <c r="F803" s="92" t="s">
        <v>2904</v>
      </c>
      <c r="G803" s="103">
        <v>41899</v>
      </c>
      <c r="H803" s="103">
        <v>24288</v>
      </c>
      <c r="I803" s="94" t="s">
        <v>2905</v>
      </c>
      <c r="J803" s="94" t="s">
        <v>2853</v>
      </c>
      <c r="K803" s="92">
        <v>982293202</v>
      </c>
      <c r="L803" s="91" t="s">
        <v>60</v>
      </c>
      <c r="M803" s="98">
        <f ca="1">(TODAY()-H803)/365</f>
        <v>59.490410958904107</v>
      </c>
      <c r="N803" s="99">
        <f>(G803-H803)/365</f>
        <v>48.249315068493154</v>
      </c>
      <c r="O803" s="98">
        <f ca="1">(TODAY()-G803)/365</f>
        <v>11.241095890410959</v>
      </c>
      <c r="P803" s="91" t="s">
        <v>272</v>
      </c>
      <c r="Q803" s="91">
        <v>0</v>
      </c>
      <c r="R803" s="91">
        <v>0</v>
      </c>
      <c r="S803" s="91">
        <v>0</v>
      </c>
      <c r="T803" s="91"/>
      <c r="U803" s="91"/>
      <c r="V803" s="91"/>
      <c r="W803" s="91"/>
      <c r="X803" s="91"/>
      <c r="Y803" s="91"/>
      <c r="Z803" s="91"/>
      <c r="AA803" s="91"/>
      <c r="AB803" s="91"/>
      <c r="AC803" s="91"/>
      <c r="AD803" s="91"/>
      <c r="AE803" s="91"/>
      <c r="AF803" s="91"/>
      <c r="AG803" s="91"/>
      <c r="AH803" s="91"/>
      <c r="AI803" s="91"/>
      <c r="AJ803" s="91"/>
      <c r="AK803" s="91"/>
      <c r="AL803" s="91"/>
      <c r="AM803" s="91"/>
    </row>
    <row r="804" spans="1:39" ht="20.25" hidden="1" customHeight="1">
      <c r="A804" s="91"/>
      <c r="B804" s="113" t="s">
        <v>2848</v>
      </c>
      <c r="C804" s="91" t="s">
        <v>73</v>
      </c>
      <c r="D804" s="106" t="s">
        <v>2906</v>
      </c>
      <c r="E804" s="106" t="s">
        <v>2907</v>
      </c>
      <c r="F804" s="92" t="s">
        <v>2908</v>
      </c>
      <c r="G804" s="103">
        <v>42460</v>
      </c>
      <c r="H804" s="103">
        <v>32582</v>
      </c>
      <c r="I804" s="94" t="s">
        <v>2909</v>
      </c>
      <c r="J804" s="100" t="s">
        <v>58</v>
      </c>
      <c r="K804" s="91" t="s">
        <v>58</v>
      </c>
      <c r="L804" s="91" t="s">
        <v>60</v>
      </c>
      <c r="M804" s="98">
        <f ca="1">(TODAY()-H804)/365</f>
        <v>36.767123287671232</v>
      </c>
      <c r="N804" s="99">
        <f>(G804-H804)/365</f>
        <v>27.063013698630137</v>
      </c>
      <c r="O804" s="98">
        <f ca="1">(TODAY()-G804)/365</f>
        <v>9.7041095890410958</v>
      </c>
      <c r="P804" s="91" t="s">
        <v>272</v>
      </c>
      <c r="Q804" s="91">
        <v>0</v>
      </c>
      <c r="R804" s="91">
        <v>0</v>
      </c>
      <c r="S804" s="91">
        <v>0</v>
      </c>
      <c r="T804" s="91"/>
      <c r="U804" s="91"/>
      <c r="V804" s="91"/>
      <c r="W804" s="91"/>
      <c r="X804" s="91"/>
      <c r="Y804" s="91"/>
      <c r="Z804" s="91"/>
      <c r="AA804" s="91"/>
      <c r="AB804" s="91"/>
      <c r="AC804" s="91"/>
      <c r="AD804" s="91"/>
      <c r="AE804" s="91"/>
      <c r="AF804" s="91"/>
      <c r="AG804" s="91"/>
      <c r="AH804" s="91"/>
      <c r="AI804" s="91"/>
      <c r="AJ804" s="91"/>
      <c r="AK804" s="91"/>
      <c r="AL804" s="91"/>
      <c r="AM804" s="91"/>
    </row>
    <row r="805" spans="1:39" ht="20.25" hidden="1" customHeight="1">
      <c r="A805" s="91"/>
      <c r="B805" s="113" t="s">
        <v>2848</v>
      </c>
      <c r="C805" s="91" t="s">
        <v>36</v>
      </c>
      <c r="D805" s="106" t="s">
        <v>2910</v>
      </c>
      <c r="E805" s="106" t="s">
        <v>2911</v>
      </c>
      <c r="F805" s="92" t="s">
        <v>2912</v>
      </c>
      <c r="G805" s="103">
        <v>41745</v>
      </c>
      <c r="H805" s="103">
        <v>36689</v>
      </c>
      <c r="I805" s="94" t="s">
        <v>2913</v>
      </c>
      <c r="J805" s="94" t="s">
        <v>2853</v>
      </c>
      <c r="K805" s="92">
        <v>966133500</v>
      </c>
      <c r="L805" s="91" t="s">
        <v>60</v>
      </c>
      <c r="M805" s="98">
        <f ca="1">(TODAY()-H805)/365</f>
        <v>25.515068493150686</v>
      </c>
      <c r="N805" s="99">
        <f>(G805-H805)/365</f>
        <v>13.852054794520548</v>
      </c>
      <c r="O805" s="98">
        <f ca="1">(TODAY()-G805)/365</f>
        <v>11.663013698630136</v>
      </c>
      <c r="P805" s="91" t="s">
        <v>43</v>
      </c>
      <c r="Q805" s="91">
        <v>0</v>
      </c>
      <c r="R805" s="91">
        <v>0</v>
      </c>
      <c r="S805" s="91">
        <v>0</v>
      </c>
      <c r="T805" s="91"/>
      <c r="U805" s="91"/>
      <c r="V805" s="91"/>
      <c r="W805" s="91"/>
      <c r="X805" s="91"/>
      <c r="Y805" s="91"/>
      <c r="Z805" s="91"/>
      <c r="AA805" s="91"/>
      <c r="AB805" s="91"/>
      <c r="AC805" s="91"/>
      <c r="AD805" s="91"/>
      <c r="AE805" s="91"/>
      <c r="AF805" s="91"/>
      <c r="AG805" s="91"/>
      <c r="AH805" s="91"/>
      <c r="AI805" s="91"/>
      <c r="AJ805" s="91"/>
      <c r="AK805" s="91"/>
      <c r="AL805" s="91"/>
      <c r="AM805" s="91"/>
    </row>
    <row r="806" spans="1:39" ht="20.25" hidden="1" customHeight="1">
      <c r="A806" s="91"/>
      <c r="B806" s="113" t="s">
        <v>2848</v>
      </c>
      <c r="C806" s="91" t="s">
        <v>36</v>
      </c>
      <c r="D806" s="106" t="s">
        <v>2914</v>
      </c>
      <c r="E806" s="106" t="s">
        <v>2915</v>
      </c>
      <c r="F806" s="92" t="s">
        <v>2916</v>
      </c>
      <c r="G806" s="103">
        <v>40645</v>
      </c>
      <c r="H806" s="103">
        <v>31401</v>
      </c>
      <c r="I806" s="94" t="s">
        <v>2917</v>
      </c>
      <c r="J806" s="94" t="s">
        <v>2853</v>
      </c>
      <c r="K806" s="92">
        <v>947612605</v>
      </c>
      <c r="L806" s="91" t="s">
        <v>60</v>
      </c>
      <c r="M806" s="98">
        <f ca="1">(TODAY()-H806)/365</f>
        <v>40.0027397260274</v>
      </c>
      <c r="N806" s="99">
        <f>(G806-H806)/365</f>
        <v>25.326027397260273</v>
      </c>
      <c r="O806" s="98">
        <f ca="1">(TODAY()-G806)/365</f>
        <v>14.676712328767124</v>
      </c>
      <c r="P806" s="91" t="s">
        <v>43</v>
      </c>
      <c r="Q806" s="91">
        <v>0</v>
      </c>
      <c r="R806" s="91">
        <v>0</v>
      </c>
      <c r="S806" s="91">
        <v>0</v>
      </c>
      <c r="T806" s="91"/>
      <c r="U806" s="91"/>
      <c r="V806" s="91"/>
      <c r="W806" s="91"/>
      <c r="X806" s="91"/>
      <c r="Y806" s="91"/>
      <c r="Z806" s="91"/>
      <c r="AA806" s="91"/>
      <c r="AB806" s="91"/>
      <c r="AC806" s="91"/>
      <c r="AD806" s="91"/>
      <c r="AE806" s="91"/>
      <c r="AF806" s="91"/>
      <c r="AG806" s="91"/>
      <c r="AH806" s="91"/>
      <c r="AI806" s="91"/>
      <c r="AJ806" s="91"/>
      <c r="AK806" s="91"/>
      <c r="AL806" s="91"/>
      <c r="AM806" s="91"/>
    </row>
    <row r="807" spans="1:39" ht="20.25" hidden="1" customHeight="1">
      <c r="A807" s="91"/>
      <c r="B807" s="113" t="s">
        <v>2848</v>
      </c>
      <c r="C807" s="91" t="s">
        <v>36</v>
      </c>
      <c r="D807" s="106" t="s">
        <v>2918</v>
      </c>
      <c r="E807" s="106" t="s">
        <v>2919</v>
      </c>
      <c r="F807" s="92" t="s">
        <v>2920</v>
      </c>
      <c r="G807" s="103">
        <v>39401</v>
      </c>
      <c r="H807" s="103">
        <v>26434</v>
      </c>
      <c r="I807" s="94" t="s">
        <v>2921</v>
      </c>
      <c r="J807" s="94" t="s">
        <v>2853</v>
      </c>
      <c r="K807" s="92">
        <v>940274467</v>
      </c>
      <c r="L807" s="91" t="s">
        <v>60</v>
      </c>
      <c r="M807" s="98">
        <f ca="1">(TODAY()-H807)/365</f>
        <v>53.610958904109587</v>
      </c>
      <c r="N807" s="99">
        <f>(G807-H807)/365</f>
        <v>35.526027397260272</v>
      </c>
      <c r="O807" s="98">
        <f ca="1">(TODAY()-G807)/365</f>
        <v>18.084931506849315</v>
      </c>
      <c r="P807" s="91" t="s">
        <v>43</v>
      </c>
      <c r="Q807" s="91">
        <v>0</v>
      </c>
      <c r="R807" s="91">
        <v>0</v>
      </c>
      <c r="S807" s="91">
        <v>0</v>
      </c>
      <c r="T807" s="91"/>
      <c r="U807" s="91"/>
      <c r="V807" s="91"/>
      <c r="W807" s="91"/>
      <c r="X807" s="91"/>
      <c r="Y807" s="91"/>
      <c r="Z807" s="91"/>
      <c r="AA807" s="91"/>
      <c r="AB807" s="91"/>
      <c r="AC807" s="91"/>
      <c r="AD807" s="91"/>
      <c r="AE807" s="91"/>
      <c r="AF807" s="91"/>
      <c r="AG807" s="91"/>
      <c r="AH807" s="91"/>
      <c r="AI807" s="91"/>
      <c r="AJ807" s="91"/>
      <c r="AK807" s="91"/>
      <c r="AL807" s="91"/>
      <c r="AM807" s="91"/>
    </row>
    <row r="808" spans="1:39" ht="20.25" hidden="1" customHeight="1">
      <c r="A808" s="91"/>
      <c r="B808" s="113" t="s">
        <v>2848</v>
      </c>
      <c r="C808" s="91" t="s">
        <v>73</v>
      </c>
      <c r="D808" s="106" t="s">
        <v>2922</v>
      </c>
      <c r="E808" s="106" t="s">
        <v>2923</v>
      </c>
      <c r="F808" s="92" t="s">
        <v>2924</v>
      </c>
      <c r="G808" s="103">
        <v>42231</v>
      </c>
      <c r="H808" s="103">
        <v>29912</v>
      </c>
      <c r="I808" s="94" t="s">
        <v>58</v>
      </c>
      <c r="J808" s="100" t="s">
        <v>58</v>
      </c>
      <c r="K808" s="91" t="s">
        <v>58</v>
      </c>
      <c r="L808" s="91" t="s">
        <v>60</v>
      </c>
      <c r="M808" s="98">
        <f ca="1">(TODAY()-H808)/365</f>
        <v>44.082191780821915</v>
      </c>
      <c r="N808" s="99">
        <f>(G808-H808)/365</f>
        <v>33.750684931506846</v>
      </c>
      <c r="O808" s="98">
        <f ca="1">(TODAY()-G808)/365</f>
        <v>10.331506849315069</v>
      </c>
      <c r="P808" s="91" t="s">
        <v>272</v>
      </c>
      <c r="Q808" s="91">
        <v>0</v>
      </c>
      <c r="R808" s="91">
        <v>0</v>
      </c>
      <c r="S808" s="91">
        <v>0</v>
      </c>
      <c r="T808" s="91"/>
      <c r="U808" s="91"/>
      <c r="V808" s="91"/>
      <c r="W808" s="91"/>
      <c r="X808" s="91"/>
      <c r="Y808" s="91"/>
      <c r="Z808" s="91"/>
      <c r="AA808" s="91"/>
      <c r="AB808" s="91"/>
      <c r="AC808" s="91"/>
      <c r="AD808" s="91"/>
      <c r="AE808" s="91"/>
      <c r="AF808" s="91"/>
      <c r="AG808" s="91"/>
      <c r="AH808" s="91"/>
      <c r="AI808" s="91"/>
      <c r="AJ808" s="91"/>
      <c r="AK808" s="91"/>
      <c r="AL808" s="91"/>
      <c r="AM808" s="91"/>
    </row>
    <row r="809" spans="1:39" ht="20.25" hidden="1" customHeight="1">
      <c r="A809" s="91"/>
      <c r="B809" s="113" t="s">
        <v>2848</v>
      </c>
      <c r="C809" s="91" t="s">
        <v>36</v>
      </c>
      <c r="D809" s="106" t="s">
        <v>2925</v>
      </c>
      <c r="E809" s="106" t="s">
        <v>2926</v>
      </c>
      <c r="F809" s="92" t="s">
        <v>2927</v>
      </c>
      <c r="G809" s="103">
        <v>43054</v>
      </c>
      <c r="H809" s="103">
        <v>36892</v>
      </c>
      <c r="I809" s="94" t="s">
        <v>2928</v>
      </c>
      <c r="J809" s="94" t="s">
        <v>2853</v>
      </c>
      <c r="K809" s="92">
        <v>989480120</v>
      </c>
      <c r="L809" s="91" t="s">
        <v>60</v>
      </c>
      <c r="M809" s="98">
        <f ca="1">(TODAY()-H809)/365</f>
        <v>24.958904109589042</v>
      </c>
      <c r="N809" s="99">
        <f>(G809-H809)/365</f>
        <v>16.882191780821916</v>
      </c>
      <c r="O809" s="98">
        <f ca="1">(TODAY()-G809)/365</f>
        <v>8.0767123287671225</v>
      </c>
      <c r="P809" s="91" t="s">
        <v>43</v>
      </c>
      <c r="Q809" s="91">
        <v>0</v>
      </c>
      <c r="R809" s="91">
        <v>0</v>
      </c>
      <c r="S809" s="91">
        <v>0</v>
      </c>
      <c r="T809" s="91"/>
      <c r="U809" s="91"/>
      <c r="V809" s="91"/>
      <c r="W809" s="91"/>
      <c r="X809" s="91"/>
      <c r="Y809" s="91"/>
      <c r="Z809" s="91"/>
      <c r="AA809" s="91"/>
      <c r="AB809" s="91"/>
      <c r="AC809" s="91"/>
      <c r="AD809" s="91"/>
      <c r="AE809" s="91"/>
      <c r="AF809" s="91"/>
      <c r="AG809" s="91"/>
      <c r="AH809" s="91"/>
      <c r="AI809" s="91"/>
      <c r="AJ809" s="91"/>
      <c r="AK809" s="91"/>
      <c r="AL809" s="91"/>
      <c r="AM809" s="91"/>
    </row>
    <row r="810" spans="1:39" ht="20.25" hidden="1" customHeight="1">
      <c r="A810" s="91"/>
      <c r="B810" s="113" t="s">
        <v>2848</v>
      </c>
      <c r="C810" s="91" t="s">
        <v>36</v>
      </c>
      <c r="D810" s="106" t="s">
        <v>2929</v>
      </c>
      <c r="E810" s="106" t="s">
        <v>2930</v>
      </c>
      <c r="F810" s="92" t="s">
        <v>2931</v>
      </c>
      <c r="G810" s="103">
        <v>36620</v>
      </c>
      <c r="H810" s="103">
        <v>15606</v>
      </c>
      <c r="I810" s="94" t="s">
        <v>58</v>
      </c>
      <c r="J810" s="94" t="s">
        <v>2853</v>
      </c>
      <c r="K810" s="92">
        <v>990137049</v>
      </c>
      <c r="L810" s="91" t="s">
        <v>60</v>
      </c>
      <c r="M810" s="98">
        <f ca="1">(TODAY()-H810)/365</f>
        <v>83.276712328767118</v>
      </c>
      <c r="N810" s="99">
        <f>(G810-H810)/365</f>
        <v>57.57260273972603</v>
      </c>
      <c r="O810" s="98">
        <f ca="1">(TODAY()-G810)/365</f>
        <v>25.704109589041096</v>
      </c>
      <c r="P810" s="91" t="s">
        <v>272</v>
      </c>
      <c r="Q810" s="91">
        <v>0</v>
      </c>
      <c r="R810" s="91">
        <v>0</v>
      </c>
      <c r="S810" s="91">
        <v>0</v>
      </c>
      <c r="T810" s="91"/>
      <c r="U810" s="91"/>
      <c r="V810" s="91"/>
      <c r="W810" s="91"/>
      <c r="X810" s="91"/>
      <c r="Y810" s="91"/>
      <c r="Z810" s="91"/>
      <c r="AA810" s="91"/>
      <c r="AB810" s="91"/>
      <c r="AC810" s="91"/>
      <c r="AD810" s="91"/>
      <c r="AE810" s="91"/>
      <c r="AF810" s="91"/>
      <c r="AG810" s="91"/>
      <c r="AH810" s="91"/>
      <c r="AI810" s="91"/>
      <c r="AJ810" s="91"/>
      <c r="AK810" s="91"/>
      <c r="AL810" s="91"/>
      <c r="AM810" s="91"/>
    </row>
    <row r="811" spans="1:39" ht="20.25" hidden="1" customHeight="1">
      <c r="A811" s="91"/>
      <c r="B811" s="113" t="s">
        <v>2848</v>
      </c>
      <c r="C811" s="91" t="s">
        <v>36</v>
      </c>
      <c r="D811" s="106" t="s">
        <v>2932</v>
      </c>
      <c r="E811" s="106" t="s">
        <v>2933</v>
      </c>
      <c r="F811" s="92" t="s">
        <v>2934</v>
      </c>
      <c r="G811" s="103">
        <v>35560</v>
      </c>
      <c r="H811" s="103">
        <v>21820</v>
      </c>
      <c r="I811" s="94" t="s">
        <v>2935</v>
      </c>
      <c r="J811" s="94" t="s">
        <v>2853</v>
      </c>
      <c r="K811" s="92">
        <v>994621720</v>
      </c>
      <c r="L811" s="91" t="s">
        <v>60</v>
      </c>
      <c r="M811" s="98">
        <f ca="1">(TODAY()-H811)/365</f>
        <v>66.252054794520546</v>
      </c>
      <c r="N811" s="99">
        <f>(G811-H811)/365</f>
        <v>37.643835616438359</v>
      </c>
      <c r="O811" s="98">
        <f ca="1">(TODAY()-G811)/365</f>
        <v>28.608219178082191</v>
      </c>
      <c r="P811" s="91" t="s">
        <v>272</v>
      </c>
      <c r="Q811" s="91">
        <v>0</v>
      </c>
      <c r="R811" s="91">
        <v>0</v>
      </c>
      <c r="S811" s="91">
        <v>0</v>
      </c>
      <c r="T811" s="91"/>
      <c r="U811" s="91"/>
      <c r="V811" s="91"/>
      <c r="W811" s="91"/>
      <c r="X811" s="91"/>
      <c r="Y811" s="91"/>
      <c r="Z811" s="91"/>
      <c r="AA811" s="91"/>
      <c r="AB811" s="91"/>
      <c r="AC811" s="91"/>
      <c r="AD811" s="91"/>
      <c r="AE811" s="91"/>
      <c r="AF811" s="91"/>
      <c r="AG811" s="91"/>
      <c r="AH811" s="91"/>
      <c r="AI811" s="91"/>
      <c r="AJ811" s="91"/>
      <c r="AK811" s="91"/>
      <c r="AL811" s="91"/>
      <c r="AM811" s="91"/>
    </row>
    <row r="812" spans="1:39" ht="20.25" hidden="1" customHeight="1">
      <c r="A812" s="91"/>
      <c r="B812" s="113" t="s">
        <v>2848</v>
      </c>
      <c r="C812" s="91" t="s">
        <v>36</v>
      </c>
      <c r="D812" s="106" t="s">
        <v>2936</v>
      </c>
      <c r="E812" s="106" t="s">
        <v>2937</v>
      </c>
      <c r="F812" s="92" t="s">
        <v>2938</v>
      </c>
      <c r="G812" s="103">
        <v>42312</v>
      </c>
      <c r="H812" s="103">
        <v>26274</v>
      </c>
      <c r="I812" s="94" t="s">
        <v>2939</v>
      </c>
      <c r="J812" s="94" t="s">
        <v>2853</v>
      </c>
      <c r="K812" s="92">
        <v>966797154</v>
      </c>
      <c r="L812" s="91" t="s">
        <v>60</v>
      </c>
      <c r="M812" s="98">
        <f ca="1">(TODAY()-H812)/365</f>
        <v>54.049315068493151</v>
      </c>
      <c r="N812" s="99">
        <f>(G812-H812)/365</f>
        <v>43.939726027397263</v>
      </c>
      <c r="O812" s="98">
        <f ca="1">(TODAY()-G812)/365</f>
        <v>10.109589041095891</v>
      </c>
      <c r="P812" s="91" t="s">
        <v>272</v>
      </c>
      <c r="Q812" s="91">
        <v>0</v>
      </c>
      <c r="R812" s="91">
        <v>0</v>
      </c>
      <c r="S812" s="91">
        <v>0</v>
      </c>
      <c r="T812" s="91"/>
      <c r="U812" s="91"/>
      <c r="V812" s="91"/>
      <c r="W812" s="91"/>
      <c r="X812" s="91"/>
      <c r="Y812" s="91"/>
      <c r="Z812" s="91"/>
      <c r="AA812" s="91"/>
      <c r="AB812" s="91"/>
      <c r="AC812" s="91"/>
      <c r="AD812" s="91"/>
      <c r="AE812" s="91"/>
      <c r="AF812" s="91"/>
      <c r="AG812" s="91"/>
      <c r="AH812" s="91"/>
      <c r="AI812" s="91"/>
      <c r="AJ812" s="91"/>
      <c r="AK812" s="91"/>
      <c r="AL812" s="91"/>
      <c r="AM812" s="91"/>
    </row>
    <row r="813" spans="1:39" ht="20.25" hidden="1" customHeight="1">
      <c r="A813" s="91"/>
      <c r="B813" s="113" t="s">
        <v>2848</v>
      </c>
      <c r="C813" s="91" t="s">
        <v>36</v>
      </c>
      <c r="D813" s="106" t="s">
        <v>2940</v>
      </c>
      <c r="E813" s="106" t="s">
        <v>2941</v>
      </c>
      <c r="F813" s="92" t="s">
        <v>2942</v>
      </c>
      <c r="G813" s="103">
        <v>42231</v>
      </c>
      <c r="H813" s="103">
        <v>16379</v>
      </c>
      <c r="I813" s="94" t="s">
        <v>2905</v>
      </c>
      <c r="J813" s="94" t="s">
        <v>2853</v>
      </c>
      <c r="K813" s="95" t="s">
        <v>58</v>
      </c>
      <c r="L813" s="91" t="s">
        <v>60</v>
      </c>
      <c r="M813" s="98">
        <f ca="1">(TODAY()-H813)/365</f>
        <v>81.158904109589045</v>
      </c>
      <c r="N813" s="99">
        <f>(G813-H813)/365</f>
        <v>70.827397260273969</v>
      </c>
      <c r="O813" s="98">
        <f ca="1">(TODAY()-G813)/365</f>
        <v>10.331506849315069</v>
      </c>
      <c r="P813" s="91" t="s">
        <v>272</v>
      </c>
      <c r="Q813" s="91">
        <v>0</v>
      </c>
      <c r="R813" s="91">
        <v>0</v>
      </c>
      <c r="S813" s="91">
        <v>0</v>
      </c>
      <c r="T813" s="91"/>
      <c r="U813" s="91"/>
      <c r="V813" s="91"/>
      <c r="W813" s="91"/>
      <c r="X813" s="91"/>
      <c r="Y813" s="91"/>
      <c r="Z813" s="91"/>
      <c r="AA813" s="91"/>
      <c r="AB813" s="91"/>
      <c r="AC813" s="91"/>
      <c r="AD813" s="91"/>
      <c r="AE813" s="91"/>
      <c r="AF813" s="91"/>
      <c r="AG813" s="91"/>
      <c r="AH813" s="91"/>
      <c r="AI813" s="91"/>
      <c r="AJ813" s="91"/>
      <c r="AK813" s="91"/>
      <c r="AL813" s="91"/>
      <c r="AM813" s="91"/>
    </row>
    <row r="814" spans="1:39" ht="20.25" hidden="1" customHeight="1">
      <c r="A814" s="91"/>
      <c r="B814" s="113" t="s">
        <v>2848</v>
      </c>
      <c r="C814" s="91" t="s">
        <v>36</v>
      </c>
      <c r="D814" s="106" t="s">
        <v>2943</v>
      </c>
      <c r="E814" s="106" t="s">
        <v>2895</v>
      </c>
      <c r="F814" s="92" t="s">
        <v>2944</v>
      </c>
      <c r="G814" s="103">
        <v>45092</v>
      </c>
      <c r="H814" s="103">
        <v>39457</v>
      </c>
      <c r="I814" s="94" t="s">
        <v>2945</v>
      </c>
      <c r="J814" s="94" t="s">
        <v>2853</v>
      </c>
      <c r="K814" s="92">
        <v>934324980</v>
      </c>
      <c r="L814" s="91" t="s">
        <v>60</v>
      </c>
      <c r="M814" s="98">
        <f ca="1">(TODAY()-H814)/365</f>
        <v>17.931506849315067</v>
      </c>
      <c r="N814" s="99">
        <f>(G814-H814)/365</f>
        <v>15.438356164383562</v>
      </c>
      <c r="O814" s="98">
        <f ca="1">(TODAY()-G814)/365</f>
        <v>2.493150684931507</v>
      </c>
      <c r="P814" s="91" t="s">
        <v>272</v>
      </c>
      <c r="Q814" s="91">
        <v>0</v>
      </c>
      <c r="R814" s="91">
        <v>0</v>
      </c>
      <c r="S814" s="91">
        <v>0</v>
      </c>
      <c r="T814" s="91"/>
      <c r="U814" s="91"/>
      <c r="V814" s="91"/>
      <c r="W814" s="91"/>
      <c r="X814" s="91"/>
      <c r="Y814" s="91"/>
      <c r="Z814" s="91"/>
      <c r="AA814" s="91"/>
      <c r="AB814" s="91"/>
      <c r="AC814" s="91"/>
      <c r="AD814" s="91"/>
      <c r="AE814" s="91"/>
      <c r="AF814" s="91"/>
      <c r="AG814" s="91"/>
      <c r="AH814" s="91"/>
      <c r="AI814" s="91"/>
      <c r="AJ814" s="91"/>
      <c r="AK814" s="91"/>
      <c r="AL814" s="91"/>
      <c r="AM814" s="91"/>
    </row>
    <row r="815" spans="1:39" ht="20.25" hidden="1" customHeight="1">
      <c r="A815" s="91"/>
      <c r="B815" s="113" t="s">
        <v>2848</v>
      </c>
      <c r="C815" s="91" t="s">
        <v>36</v>
      </c>
      <c r="D815" s="106" t="s">
        <v>2946</v>
      </c>
      <c r="E815" s="106" t="s">
        <v>2947</v>
      </c>
      <c r="F815" s="92" t="s">
        <v>2948</v>
      </c>
      <c r="G815" s="103">
        <v>44145</v>
      </c>
      <c r="H815" s="103">
        <v>33513</v>
      </c>
      <c r="I815" s="94" t="s">
        <v>2949</v>
      </c>
      <c r="J815" s="94" t="s">
        <v>2853</v>
      </c>
      <c r="K815" s="92">
        <v>938731943</v>
      </c>
      <c r="L815" s="91" t="s">
        <v>60</v>
      </c>
      <c r="M815" s="98">
        <f ca="1">(TODAY()-H815)/365</f>
        <v>34.216438356164382</v>
      </c>
      <c r="N815" s="99">
        <f>(G815-H815)/365</f>
        <v>29.12876712328767</v>
      </c>
      <c r="O815" s="98">
        <f ca="1">(TODAY()-G815)/365</f>
        <v>5.087671232876712</v>
      </c>
      <c r="P815" s="91" t="s">
        <v>272</v>
      </c>
      <c r="Q815" s="91">
        <v>0</v>
      </c>
      <c r="R815" s="91">
        <v>0</v>
      </c>
      <c r="S815" s="91">
        <v>0</v>
      </c>
      <c r="T815" s="91"/>
      <c r="U815" s="91"/>
      <c r="V815" s="91"/>
      <c r="W815" s="91"/>
      <c r="X815" s="91"/>
      <c r="Y815" s="91"/>
      <c r="Z815" s="91"/>
      <c r="AA815" s="91"/>
      <c r="AB815" s="91"/>
      <c r="AC815" s="91"/>
      <c r="AD815" s="91"/>
      <c r="AE815" s="91"/>
      <c r="AF815" s="91"/>
      <c r="AG815" s="91"/>
      <c r="AH815" s="91"/>
      <c r="AI815" s="91"/>
      <c r="AJ815" s="91"/>
      <c r="AK815" s="91"/>
      <c r="AL815" s="91"/>
      <c r="AM815" s="91"/>
    </row>
    <row r="816" spans="1:39" ht="20.25" hidden="1" customHeight="1">
      <c r="A816" s="91"/>
      <c r="B816" s="113" t="s">
        <v>2848</v>
      </c>
      <c r="C816" s="91" t="s">
        <v>36</v>
      </c>
      <c r="D816" s="106" t="s">
        <v>2950</v>
      </c>
      <c r="E816" s="106" t="s">
        <v>2951</v>
      </c>
      <c r="F816" s="92" t="s">
        <v>2952</v>
      </c>
      <c r="G816" s="103">
        <v>43945</v>
      </c>
      <c r="H816" s="103">
        <v>30945</v>
      </c>
      <c r="I816" s="94" t="s">
        <v>2953</v>
      </c>
      <c r="J816" s="94" t="s">
        <v>2853</v>
      </c>
      <c r="K816" s="92">
        <v>969195154</v>
      </c>
      <c r="L816" s="91" t="s">
        <v>60</v>
      </c>
      <c r="M816" s="98">
        <f ca="1">(TODAY()-H816)/365</f>
        <v>41.252054794520546</v>
      </c>
      <c r="N816" s="99">
        <f>(G816-H816)/365</f>
        <v>35.61643835616438</v>
      </c>
      <c r="O816" s="98">
        <f ca="1">(TODAY()-G816)/365</f>
        <v>5.6356164383561644</v>
      </c>
      <c r="P816" s="91" t="s">
        <v>272</v>
      </c>
      <c r="Q816" s="91">
        <v>0</v>
      </c>
      <c r="R816" s="91">
        <v>1</v>
      </c>
      <c r="S816" s="91">
        <v>0</v>
      </c>
      <c r="T816" s="91"/>
      <c r="U816" s="91"/>
      <c r="V816" s="91"/>
      <c r="W816" s="91"/>
      <c r="X816" s="91"/>
      <c r="Y816" s="91">
        <v>1</v>
      </c>
      <c r="Z816" s="91"/>
      <c r="AA816" s="91"/>
      <c r="AB816" s="91"/>
      <c r="AC816" s="91"/>
      <c r="AD816" s="91"/>
      <c r="AE816" s="91"/>
      <c r="AF816" s="91"/>
      <c r="AG816" s="91"/>
      <c r="AH816" s="91"/>
      <c r="AI816" s="91"/>
      <c r="AJ816" s="91"/>
      <c r="AK816" s="91"/>
      <c r="AL816" s="91"/>
      <c r="AM816" s="91"/>
    </row>
    <row r="817" spans="1:39" ht="20.25" hidden="1" customHeight="1">
      <c r="A817" s="91"/>
      <c r="B817" s="113" t="s">
        <v>2848</v>
      </c>
      <c r="C817" s="91" t="s">
        <v>36</v>
      </c>
      <c r="D817" s="106" t="s">
        <v>2954</v>
      </c>
      <c r="E817" s="106" t="s">
        <v>2955</v>
      </c>
      <c r="F817" s="92" t="s">
        <v>2956</v>
      </c>
      <c r="G817" s="103">
        <v>44778</v>
      </c>
      <c r="H817" s="103">
        <v>31696</v>
      </c>
      <c r="I817" s="94" t="s">
        <v>2957</v>
      </c>
      <c r="J817" s="94" t="s">
        <v>2853</v>
      </c>
      <c r="K817" s="92">
        <v>944008750</v>
      </c>
      <c r="L817" s="91" t="s">
        <v>60</v>
      </c>
      <c r="M817" s="98">
        <f ca="1">(TODAY()-H817)/365</f>
        <v>39.194520547945203</v>
      </c>
      <c r="N817" s="99">
        <f>(G817-H817)/365</f>
        <v>35.841095890410962</v>
      </c>
      <c r="O817" s="98">
        <f ca="1">(TODAY()-G817)/365</f>
        <v>3.3534246575342466</v>
      </c>
      <c r="P817" s="91" t="s">
        <v>43</v>
      </c>
      <c r="Q817" s="91">
        <v>0</v>
      </c>
      <c r="R817" s="91">
        <v>0</v>
      </c>
      <c r="S817" s="91">
        <v>0</v>
      </c>
      <c r="T817" s="91"/>
      <c r="U817" s="91"/>
      <c r="V817" s="91"/>
      <c r="W817" s="91"/>
      <c r="X817" s="91"/>
      <c r="Y817" s="91"/>
      <c r="Z817" s="91"/>
      <c r="AA817" s="91"/>
      <c r="AB817" s="91"/>
      <c r="AC817" s="91"/>
      <c r="AD817" s="91"/>
      <c r="AE817" s="91"/>
      <c r="AF817" s="91"/>
      <c r="AG817" s="91"/>
      <c r="AH817" s="91"/>
      <c r="AI817" s="91"/>
      <c r="AJ817" s="91"/>
      <c r="AK817" s="91"/>
      <c r="AL817" s="91"/>
      <c r="AM817" s="91"/>
    </row>
    <row r="818" spans="1:39" ht="20.25" hidden="1" customHeight="1">
      <c r="A818" s="91"/>
      <c r="B818" s="113" t="s">
        <v>2848</v>
      </c>
      <c r="C818" s="91" t="s">
        <v>73</v>
      </c>
      <c r="D818" s="106" t="s">
        <v>2958</v>
      </c>
      <c r="E818" s="106" t="s">
        <v>2959</v>
      </c>
      <c r="F818" s="92" t="s">
        <v>2960</v>
      </c>
      <c r="G818" s="103">
        <v>43230</v>
      </c>
      <c r="H818" s="103">
        <v>32948</v>
      </c>
      <c r="I818" s="94" t="s">
        <v>58</v>
      </c>
      <c r="J818" s="100" t="s">
        <v>58</v>
      </c>
      <c r="K818" s="91" t="s">
        <v>58</v>
      </c>
      <c r="L818" s="91" t="s">
        <v>60</v>
      </c>
      <c r="M818" s="98">
        <f ca="1">(TODAY()-H818)/365</f>
        <v>35.764383561643832</v>
      </c>
      <c r="N818" s="99">
        <f>(G818-H818)/365</f>
        <v>28.169863013698631</v>
      </c>
      <c r="O818" s="98">
        <f ca="1">(TODAY()-G818)/365</f>
        <v>7.5945205479452058</v>
      </c>
      <c r="P818" s="91" t="s">
        <v>272</v>
      </c>
      <c r="Q818" s="91">
        <v>0</v>
      </c>
      <c r="R818" s="91">
        <v>0</v>
      </c>
      <c r="S818" s="91">
        <v>0</v>
      </c>
      <c r="T818" s="91"/>
      <c r="U818" s="91"/>
      <c r="V818" s="91"/>
      <c r="W818" s="91"/>
      <c r="X818" s="91"/>
      <c r="Y818" s="91"/>
      <c r="Z818" s="91"/>
      <c r="AA818" s="91"/>
      <c r="AB818" s="91"/>
      <c r="AC818" s="91"/>
      <c r="AD818" s="91"/>
      <c r="AE818" s="91"/>
      <c r="AF818" s="91"/>
      <c r="AG818" s="91"/>
      <c r="AH818" s="91"/>
      <c r="AI818" s="91"/>
      <c r="AJ818" s="91"/>
      <c r="AK818" s="91"/>
      <c r="AL818" s="91"/>
      <c r="AM818" s="91"/>
    </row>
    <row r="819" spans="1:39" ht="20.25" hidden="1" customHeight="1">
      <c r="A819" s="91"/>
      <c r="B819" s="113" t="s">
        <v>2848</v>
      </c>
      <c r="C819" s="91" t="s">
        <v>36</v>
      </c>
      <c r="D819" s="106" t="s">
        <v>2961</v>
      </c>
      <c r="E819" s="106" t="s">
        <v>2962</v>
      </c>
      <c r="F819" s="92" t="s">
        <v>2963</v>
      </c>
      <c r="G819" s="103" t="s">
        <v>58</v>
      </c>
      <c r="H819" s="103">
        <v>34823</v>
      </c>
      <c r="I819" s="94" t="s">
        <v>2964</v>
      </c>
      <c r="J819" s="94" t="s">
        <v>2853</v>
      </c>
      <c r="K819" s="92">
        <v>920212863</v>
      </c>
      <c r="L819" s="91" t="s">
        <v>60</v>
      </c>
      <c r="M819" s="98">
        <f ca="1">(TODAY()-H819)/365</f>
        <v>30.627397260273973</v>
      </c>
      <c r="N819" s="99" t="e">
        <f>(G819-H819)/365</f>
        <v>#VALUE!</v>
      </c>
      <c r="O819" s="98" t="e">
        <f ca="1">(TODAY()-G819)/365</f>
        <v>#VALUE!</v>
      </c>
      <c r="P819" s="91" t="s">
        <v>272</v>
      </c>
      <c r="Q819" s="91">
        <v>0</v>
      </c>
      <c r="R819" s="91">
        <v>0</v>
      </c>
      <c r="S819" s="91">
        <v>0</v>
      </c>
      <c r="T819" s="91"/>
      <c r="U819" s="91"/>
      <c r="V819" s="91"/>
      <c r="W819" s="91"/>
      <c r="X819" s="91"/>
      <c r="Y819" s="91"/>
      <c r="Z819" s="91"/>
      <c r="AA819" s="91"/>
      <c r="AB819" s="91"/>
      <c r="AC819" s="91"/>
      <c r="AD819" s="91"/>
      <c r="AE819" s="91"/>
      <c r="AF819" s="91"/>
      <c r="AG819" s="91"/>
      <c r="AH819" s="91"/>
      <c r="AI819" s="91"/>
      <c r="AJ819" s="91"/>
      <c r="AK819" s="91"/>
      <c r="AL819" s="91"/>
      <c r="AM819" s="91"/>
    </row>
    <row r="820" spans="1:39" ht="20.25" hidden="1" customHeight="1">
      <c r="A820" s="91"/>
      <c r="B820" s="113" t="s">
        <v>2848</v>
      </c>
      <c r="C820" s="91" t="s">
        <v>36</v>
      </c>
      <c r="D820" s="106" t="s">
        <v>2965</v>
      </c>
      <c r="E820" s="106" t="s">
        <v>2966</v>
      </c>
      <c r="F820" s="92" t="s">
        <v>2967</v>
      </c>
      <c r="G820" s="103">
        <v>43347</v>
      </c>
      <c r="H820" s="103">
        <v>32335</v>
      </c>
      <c r="I820" s="94" t="s">
        <v>2968</v>
      </c>
      <c r="J820" s="94" t="s">
        <v>2853</v>
      </c>
      <c r="K820" s="92">
        <v>951959603</v>
      </c>
      <c r="L820" s="91" t="s">
        <v>60</v>
      </c>
      <c r="M820" s="98">
        <f ca="1">(TODAY()-H820)/365</f>
        <v>37.443835616438356</v>
      </c>
      <c r="N820" s="99">
        <f>(G820-H820)/365</f>
        <v>30.169863013698631</v>
      </c>
      <c r="O820" s="98">
        <f ca="1">(TODAY()-G820)/365</f>
        <v>7.2739726027397262</v>
      </c>
      <c r="P820" s="91" t="s">
        <v>43</v>
      </c>
      <c r="Q820" s="91">
        <v>0</v>
      </c>
      <c r="R820" s="91">
        <v>0</v>
      </c>
      <c r="S820" s="91">
        <v>0</v>
      </c>
      <c r="T820" s="91"/>
      <c r="U820" s="91"/>
      <c r="V820" s="91"/>
      <c r="W820" s="91"/>
      <c r="X820" s="91"/>
      <c r="Y820" s="91"/>
      <c r="Z820" s="91"/>
      <c r="AA820" s="91"/>
      <c r="AB820" s="91"/>
      <c r="AC820" s="91"/>
      <c r="AD820" s="91"/>
      <c r="AE820" s="91"/>
      <c r="AF820" s="91"/>
      <c r="AG820" s="91"/>
      <c r="AH820" s="91"/>
      <c r="AI820" s="91"/>
      <c r="AJ820" s="91"/>
      <c r="AK820" s="91"/>
      <c r="AL820" s="91"/>
      <c r="AM820" s="91"/>
    </row>
    <row r="821" spans="1:39" ht="20.25" hidden="1" customHeight="1">
      <c r="A821" s="91"/>
      <c r="B821" s="113" t="s">
        <v>2848</v>
      </c>
      <c r="C821" s="91" t="s">
        <v>36</v>
      </c>
      <c r="D821" s="106" t="s">
        <v>2969</v>
      </c>
      <c r="E821" s="106" t="s">
        <v>2970</v>
      </c>
      <c r="F821" s="92" t="s">
        <v>2971</v>
      </c>
      <c r="G821" s="103">
        <v>45019</v>
      </c>
      <c r="H821" s="103">
        <v>35556</v>
      </c>
      <c r="I821" s="94" t="s">
        <v>2972</v>
      </c>
      <c r="J821" s="94" t="s">
        <v>2853</v>
      </c>
      <c r="K821" s="92">
        <v>954990953</v>
      </c>
      <c r="L821" s="91" t="s">
        <v>60</v>
      </c>
      <c r="M821" s="98">
        <f ca="1">(TODAY()-H821)/365</f>
        <v>28.61917808219178</v>
      </c>
      <c r="N821" s="99">
        <f>(G821-H821)/365</f>
        <v>25.926027397260274</v>
      </c>
      <c r="O821" s="98">
        <f ca="1">(TODAY()-G821)/365</f>
        <v>2.6931506849315068</v>
      </c>
      <c r="P821" s="91" t="s">
        <v>43</v>
      </c>
      <c r="Q821" s="91">
        <v>0</v>
      </c>
      <c r="R821" s="91">
        <v>0</v>
      </c>
      <c r="S821" s="91">
        <v>0</v>
      </c>
      <c r="T821" s="91"/>
      <c r="U821" s="91"/>
      <c r="V821" s="91"/>
      <c r="W821" s="91"/>
      <c r="X821" s="91"/>
      <c r="Y821" s="91"/>
      <c r="Z821" s="91"/>
      <c r="AA821" s="91"/>
      <c r="AB821" s="91"/>
      <c r="AC821" s="91"/>
      <c r="AD821" s="91"/>
      <c r="AE821" s="91"/>
      <c r="AF821" s="91"/>
      <c r="AG821" s="91"/>
      <c r="AH821" s="91"/>
      <c r="AI821" s="91"/>
      <c r="AJ821" s="91"/>
      <c r="AK821" s="91"/>
      <c r="AL821" s="91"/>
      <c r="AM821" s="91"/>
    </row>
    <row r="822" spans="1:39" ht="20.25" hidden="1" customHeight="1">
      <c r="A822" s="91"/>
      <c r="B822" s="113" t="s">
        <v>2848</v>
      </c>
      <c r="C822" s="91" t="s">
        <v>73</v>
      </c>
      <c r="D822" s="106" t="s">
        <v>2973</v>
      </c>
      <c r="E822" s="106" t="s">
        <v>2974</v>
      </c>
      <c r="F822" s="92" t="s">
        <v>2975</v>
      </c>
      <c r="G822" s="103">
        <v>41188</v>
      </c>
      <c r="H822" s="103">
        <v>33455</v>
      </c>
      <c r="I822" s="94" t="s">
        <v>2976</v>
      </c>
      <c r="J822" s="100" t="s">
        <v>58</v>
      </c>
      <c r="K822" s="91" t="s">
        <v>58</v>
      </c>
      <c r="L822" s="91" t="s">
        <v>60</v>
      </c>
      <c r="M822" s="98">
        <f ca="1">(TODAY()-H822)/365</f>
        <v>34.375342465753427</v>
      </c>
      <c r="N822" s="99">
        <f>(G822-H822)/365</f>
        <v>21.186301369863013</v>
      </c>
      <c r="O822" s="98">
        <f ca="1">(TODAY()-G822)/365</f>
        <v>13.189041095890412</v>
      </c>
      <c r="P822" s="91" t="s">
        <v>272</v>
      </c>
      <c r="Q822" s="91">
        <v>0</v>
      </c>
      <c r="R822" s="91">
        <v>0</v>
      </c>
      <c r="S822" s="91">
        <v>0</v>
      </c>
      <c r="T822" s="91"/>
      <c r="U822" s="91"/>
      <c r="V822" s="91"/>
      <c r="W822" s="91"/>
      <c r="X822" s="91"/>
      <c r="Y822" s="91"/>
      <c r="Z822" s="91"/>
      <c r="AA822" s="91"/>
      <c r="AB822" s="91"/>
      <c r="AC822" s="91"/>
      <c r="AD822" s="91"/>
      <c r="AE822" s="91"/>
      <c r="AF822" s="91"/>
      <c r="AG822" s="91"/>
      <c r="AH822" s="91"/>
      <c r="AI822" s="91"/>
      <c r="AJ822" s="91"/>
      <c r="AK822" s="91"/>
      <c r="AL822" s="91"/>
      <c r="AM822" s="91"/>
    </row>
    <row r="823" spans="1:39" ht="20.25" hidden="1" customHeight="1">
      <c r="A823" s="91"/>
      <c r="B823" s="113" t="s">
        <v>2848</v>
      </c>
      <c r="C823" s="91" t="s">
        <v>36</v>
      </c>
      <c r="D823" s="106" t="s">
        <v>2977</v>
      </c>
      <c r="E823" s="106" t="s">
        <v>2978</v>
      </c>
      <c r="F823" s="92" t="s">
        <v>2979</v>
      </c>
      <c r="G823" s="103">
        <v>45571</v>
      </c>
      <c r="H823" s="103">
        <v>35416</v>
      </c>
      <c r="I823" s="94" t="s">
        <v>2980</v>
      </c>
      <c r="J823" s="94" t="s">
        <v>2853</v>
      </c>
      <c r="K823" s="92">
        <v>926024054</v>
      </c>
      <c r="L823" s="91" t="s">
        <v>60</v>
      </c>
      <c r="M823" s="98">
        <f ca="1">(TODAY()-H823)/365</f>
        <v>29.002739726027396</v>
      </c>
      <c r="N823" s="99">
        <f>(G823-H823)/365</f>
        <v>27.82191780821918</v>
      </c>
      <c r="O823" s="98">
        <f ca="1">(TODAY()-G823)/365</f>
        <v>1.1808219178082191</v>
      </c>
      <c r="P823" s="91" t="s">
        <v>43</v>
      </c>
      <c r="Q823" s="91">
        <v>0</v>
      </c>
      <c r="R823" s="91">
        <v>0</v>
      </c>
      <c r="S823" s="91">
        <v>0</v>
      </c>
      <c r="T823" s="91"/>
      <c r="U823" s="91"/>
      <c r="V823" s="91"/>
      <c r="W823" s="91"/>
      <c r="X823" s="91"/>
      <c r="Y823" s="91"/>
      <c r="Z823" s="91"/>
      <c r="AA823" s="91"/>
      <c r="AB823" s="91"/>
      <c r="AC823" s="91"/>
      <c r="AD823" s="91"/>
      <c r="AE823" s="91"/>
      <c r="AF823" s="91"/>
      <c r="AG823" s="91"/>
      <c r="AH823" s="91"/>
      <c r="AI823" s="91"/>
      <c r="AJ823" s="91"/>
      <c r="AK823" s="91"/>
      <c r="AL823" s="91"/>
      <c r="AM823" s="91"/>
    </row>
    <row r="824" spans="1:39" ht="20.25" hidden="1" customHeight="1">
      <c r="A824" s="91"/>
      <c r="B824" s="113" t="s">
        <v>2848</v>
      </c>
      <c r="C824" s="91" t="s">
        <v>36</v>
      </c>
      <c r="D824" s="106" t="s">
        <v>2981</v>
      </c>
      <c r="E824" s="106" t="s">
        <v>2982</v>
      </c>
      <c r="F824" s="92" t="s">
        <v>2983</v>
      </c>
      <c r="G824" s="103">
        <v>44081</v>
      </c>
      <c r="H824" s="103">
        <v>30736</v>
      </c>
      <c r="I824" s="94" t="s">
        <v>2984</v>
      </c>
      <c r="J824" s="94" t="s">
        <v>2853</v>
      </c>
      <c r="K824" s="92">
        <v>975999627</v>
      </c>
      <c r="L824" s="91" t="s">
        <v>42</v>
      </c>
      <c r="M824" s="98">
        <f ca="1">(TODAY()-H824)/365</f>
        <v>41.824657534246576</v>
      </c>
      <c r="N824" s="99">
        <f>(G824-H824)/365</f>
        <v>36.561643835616437</v>
      </c>
      <c r="O824" s="98">
        <f ca="1">(TODAY()-G824)/365</f>
        <v>5.2630136986301368</v>
      </c>
      <c r="P824" s="91" t="s">
        <v>43</v>
      </c>
      <c r="Q824" s="91">
        <v>0</v>
      </c>
      <c r="R824" s="91">
        <v>0</v>
      </c>
      <c r="S824" s="91">
        <v>0</v>
      </c>
      <c r="T824" s="91"/>
      <c r="U824" s="91"/>
      <c r="V824" s="91"/>
      <c r="W824" s="91"/>
      <c r="X824" s="91"/>
      <c r="Y824" s="91"/>
      <c r="Z824" s="91"/>
      <c r="AA824" s="91"/>
      <c r="AB824" s="91"/>
      <c r="AC824" s="91"/>
      <c r="AD824" s="91"/>
      <c r="AE824" s="91"/>
      <c r="AF824" s="91"/>
      <c r="AG824" s="91"/>
      <c r="AH824" s="91"/>
      <c r="AI824" s="91"/>
      <c r="AJ824" s="91"/>
      <c r="AK824" s="91"/>
      <c r="AL824" s="91"/>
      <c r="AM824" s="91"/>
    </row>
    <row r="825" spans="1:39" ht="20.25" hidden="1" customHeight="1">
      <c r="A825" s="91"/>
      <c r="B825" s="113" t="s">
        <v>2848</v>
      </c>
      <c r="C825" s="91" t="s">
        <v>36</v>
      </c>
      <c r="D825" s="106" t="s">
        <v>2985</v>
      </c>
      <c r="E825" s="106" t="s">
        <v>2986</v>
      </c>
      <c r="F825" s="92" t="s">
        <v>2987</v>
      </c>
      <c r="G825" s="103">
        <v>44746</v>
      </c>
      <c r="H825" s="103">
        <v>28776</v>
      </c>
      <c r="I825" s="94" t="s">
        <v>2988</v>
      </c>
      <c r="J825" s="94" t="s">
        <v>2853</v>
      </c>
      <c r="K825" s="92">
        <v>934350851</v>
      </c>
      <c r="L825" s="91" t="s">
        <v>54</v>
      </c>
      <c r="M825" s="98">
        <f ca="1">(TODAY()-H825)/365</f>
        <v>47.194520547945203</v>
      </c>
      <c r="N825" s="99">
        <f>(G825-H825)/365</f>
        <v>43.753424657534246</v>
      </c>
      <c r="O825" s="98">
        <f ca="1">(TODAY()-G825)/365</f>
        <v>3.441095890410959</v>
      </c>
      <c r="P825" s="91" t="s">
        <v>43</v>
      </c>
      <c r="Q825" s="91">
        <v>0</v>
      </c>
      <c r="R825" s="91">
        <v>0</v>
      </c>
      <c r="S825" s="91">
        <v>0</v>
      </c>
      <c r="T825" s="91"/>
      <c r="U825" s="91"/>
      <c r="V825" s="91"/>
      <c r="W825" s="91"/>
      <c r="X825" s="91"/>
      <c r="Y825" s="91"/>
      <c r="Z825" s="91"/>
      <c r="AA825" s="91"/>
      <c r="AB825" s="91"/>
      <c r="AC825" s="91"/>
      <c r="AD825" s="91"/>
      <c r="AE825" s="91"/>
      <c r="AF825" s="91"/>
      <c r="AG825" s="91"/>
      <c r="AH825" s="91"/>
      <c r="AI825" s="91"/>
      <c r="AJ825" s="91"/>
      <c r="AK825" s="91"/>
      <c r="AL825" s="91"/>
      <c r="AM825" s="91"/>
    </row>
    <row r="826" spans="1:39" ht="20.25" hidden="1" customHeight="1">
      <c r="A826" s="91"/>
      <c r="B826" s="113" t="s">
        <v>2848</v>
      </c>
      <c r="C826" s="91" t="s">
        <v>36</v>
      </c>
      <c r="D826" s="106" t="s">
        <v>2989</v>
      </c>
      <c r="E826" s="106" t="s">
        <v>2990</v>
      </c>
      <c r="F826" s="92" t="s">
        <v>2991</v>
      </c>
      <c r="G826" s="103">
        <v>45485</v>
      </c>
      <c r="H826" s="103">
        <v>34037</v>
      </c>
      <c r="I826" s="94" t="s">
        <v>58</v>
      </c>
      <c r="J826" s="94" t="s">
        <v>2853</v>
      </c>
      <c r="K826" s="92">
        <v>978704616</v>
      </c>
      <c r="L826" s="91" t="s">
        <v>60</v>
      </c>
      <c r="M826" s="98">
        <f ca="1">(TODAY()-H826)/365</f>
        <v>32.780821917808218</v>
      </c>
      <c r="N826" s="99">
        <f>(G826-H826)/365</f>
        <v>31.364383561643837</v>
      </c>
      <c r="O826" s="98">
        <f ca="1">(TODAY()-G826)/365</f>
        <v>1.4164383561643836</v>
      </c>
      <c r="P826" s="91" t="s">
        <v>43</v>
      </c>
      <c r="Q826" s="91">
        <v>0</v>
      </c>
      <c r="R826" s="91">
        <v>0</v>
      </c>
      <c r="S826" s="91">
        <v>0</v>
      </c>
      <c r="T826" s="91"/>
      <c r="U826" s="91"/>
      <c r="V826" s="91"/>
      <c r="W826" s="91"/>
      <c r="X826" s="91"/>
      <c r="Y826" s="91"/>
      <c r="Z826" s="91"/>
      <c r="AA826" s="91"/>
      <c r="AB826" s="91"/>
      <c r="AC826" s="91"/>
      <c r="AD826" s="91"/>
      <c r="AE826" s="91"/>
      <c r="AF826" s="91"/>
      <c r="AG826" s="91"/>
      <c r="AH826" s="91"/>
      <c r="AI826" s="91"/>
      <c r="AJ826" s="91"/>
      <c r="AK826" s="91"/>
      <c r="AL826" s="91"/>
      <c r="AM826" s="91"/>
    </row>
    <row r="827" spans="1:39" ht="20.25" hidden="1" customHeight="1">
      <c r="A827" s="91"/>
      <c r="B827" s="113" t="s">
        <v>2848</v>
      </c>
      <c r="C827" s="91" t="s">
        <v>36</v>
      </c>
      <c r="D827" s="106" t="s">
        <v>2992</v>
      </c>
      <c r="E827" s="106" t="s">
        <v>2993</v>
      </c>
      <c r="F827" s="92" t="s">
        <v>2994</v>
      </c>
      <c r="G827" s="103">
        <v>45517</v>
      </c>
      <c r="H827" s="103">
        <v>32932</v>
      </c>
      <c r="I827" s="94" t="s">
        <v>2995</v>
      </c>
      <c r="J827" s="94" t="s">
        <v>2853</v>
      </c>
      <c r="K827" s="92">
        <v>988809771</v>
      </c>
      <c r="L827" s="91" t="s">
        <v>167</v>
      </c>
      <c r="M827" s="98">
        <f ca="1">(TODAY()-H827)/365</f>
        <v>35.80821917808219</v>
      </c>
      <c r="N827" s="99">
        <f>(G827-H827)/365</f>
        <v>34.479452054794521</v>
      </c>
      <c r="O827" s="98">
        <f ca="1">(TODAY()-G827)/365</f>
        <v>1.3287671232876712</v>
      </c>
      <c r="P827" s="91" t="s">
        <v>272</v>
      </c>
      <c r="Q827" s="91">
        <v>0</v>
      </c>
      <c r="R827" s="91">
        <v>0</v>
      </c>
      <c r="S827" s="91">
        <v>0</v>
      </c>
      <c r="T827" s="91"/>
      <c r="U827" s="91"/>
      <c r="V827" s="91"/>
      <c r="W827" s="91"/>
      <c r="X827" s="91"/>
      <c r="Y827" s="91"/>
      <c r="Z827" s="91"/>
      <c r="AA827" s="91"/>
      <c r="AB827" s="91"/>
      <c r="AC827" s="91"/>
      <c r="AD827" s="91"/>
      <c r="AE827" s="91"/>
      <c r="AF827" s="91">
        <v>1</v>
      </c>
      <c r="AG827" s="91"/>
      <c r="AH827" s="91"/>
      <c r="AI827" s="91"/>
      <c r="AJ827" s="91"/>
      <c r="AK827" s="91"/>
      <c r="AL827" s="91"/>
      <c r="AM827" s="91"/>
    </row>
    <row r="828" spans="1:39" ht="20.25" hidden="1" customHeight="1">
      <c r="A828" s="91"/>
      <c r="B828" s="113" t="s">
        <v>2848</v>
      </c>
      <c r="C828" s="91" t="s">
        <v>36</v>
      </c>
      <c r="D828" s="106" t="s">
        <v>2996</v>
      </c>
      <c r="E828" s="106" t="s">
        <v>2997</v>
      </c>
      <c r="F828" s="92" t="s">
        <v>2998</v>
      </c>
      <c r="G828" s="103">
        <v>45485</v>
      </c>
      <c r="H828" s="103">
        <v>33496</v>
      </c>
      <c r="I828" s="94" t="s">
        <v>2999</v>
      </c>
      <c r="J828" s="94" t="s">
        <v>2853</v>
      </c>
      <c r="K828" s="92">
        <v>974793207</v>
      </c>
      <c r="L828" s="91" t="s">
        <v>60</v>
      </c>
      <c r="M828" s="98">
        <f ca="1">(TODAY()-H828)/365</f>
        <v>34.263013698630139</v>
      </c>
      <c r="N828" s="99">
        <f>(G828-H828)/365</f>
        <v>32.846575342465755</v>
      </c>
      <c r="O828" s="98">
        <f ca="1">(TODAY()-G828)/365</f>
        <v>1.4164383561643836</v>
      </c>
      <c r="P828" s="91" t="s">
        <v>272</v>
      </c>
      <c r="Q828" s="91">
        <v>0</v>
      </c>
      <c r="R828" s="91">
        <v>0</v>
      </c>
      <c r="S828" s="91">
        <v>0</v>
      </c>
      <c r="T828" s="91"/>
      <c r="U828" s="91"/>
      <c r="V828" s="91"/>
      <c r="W828" s="91"/>
      <c r="X828" s="91"/>
      <c r="Y828" s="91"/>
      <c r="Z828" s="91"/>
      <c r="AA828" s="91"/>
      <c r="AB828" s="91"/>
      <c r="AC828" s="91"/>
      <c r="AD828" s="91"/>
      <c r="AE828" s="91"/>
      <c r="AF828" s="91"/>
      <c r="AG828" s="91"/>
      <c r="AH828" s="91"/>
      <c r="AI828" s="91"/>
      <c r="AJ828" s="91"/>
      <c r="AK828" s="91"/>
      <c r="AL828" s="91"/>
      <c r="AM828" s="91"/>
    </row>
    <row r="829" spans="1:39" ht="20.25" hidden="1" customHeight="1">
      <c r="A829" s="91"/>
      <c r="B829" s="113" t="s">
        <v>2848</v>
      </c>
      <c r="C829" s="91" t="s">
        <v>36</v>
      </c>
      <c r="D829" s="106" t="s">
        <v>3000</v>
      </c>
      <c r="E829" s="106" t="s">
        <v>3001</v>
      </c>
      <c r="F829" s="92" t="s">
        <v>3002</v>
      </c>
      <c r="G829" s="103">
        <v>45437</v>
      </c>
      <c r="H829" s="103">
        <v>25990</v>
      </c>
      <c r="I829" s="94" t="s">
        <v>58</v>
      </c>
      <c r="J829" s="94" t="s">
        <v>2853</v>
      </c>
      <c r="K829" s="92">
        <v>932284155</v>
      </c>
      <c r="L829" s="91" t="s">
        <v>60</v>
      </c>
      <c r="M829" s="98">
        <f ca="1">(TODAY()-H829)/365</f>
        <v>54.827397260273976</v>
      </c>
      <c r="N829" s="99">
        <f>(G829-H829)/365</f>
        <v>53.279452054794518</v>
      </c>
      <c r="O829" s="98">
        <f ca="1">(TODAY()-G829)/365</f>
        <v>1.547945205479452</v>
      </c>
      <c r="P829" s="91" t="s">
        <v>272</v>
      </c>
      <c r="Q829" s="91"/>
      <c r="R829" s="91"/>
      <c r="S829" s="91"/>
      <c r="T829" s="91"/>
      <c r="U829" s="91"/>
      <c r="V829" s="91"/>
      <c r="W829" s="91"/>
      <c r="X829" s="91"/>
      <c r="Y829" s="91"/>
      <c r="Z829" s="91"/>
      <c r="AA829" s="91"/>
      <c r="AB829" s="91"/>
      <c r="AC829" s="91"/>
      <c r="AD829" s="91"/>
      <c r="AE829" s="91"/>
      <c r="AF829" s="91"/>
      <c r="AG829" s="91"/>
      <c r="AH829" s="91"/>
      <c r="AI829" s="91"/>
      <c r="AJ829" s="91"/>
      <c r="AK829" s="91"/>
      <c r="AL829" s="91"/>
      <c r="AM829" s="91"/>
    </row>
    <row r="830" spans="1:39" ht="20.25" hidden="1" customHeight="1">
      <c r="A830" s="91"/>
      <c r="B830" s="113" t="s">
        <v>2848</v>
      </c>
      <c r="C830" s="91" t="s">
        <v>36</v>
      </c>
      <c r="D830" s="106" t="s">
        <v>3003</v>
      </c>
      <c r="E830" s="106" t="s">
        <v>3004</v>
      </c>
      <c r="F830" s="92" t="s">
        <v>3005</v>
      </c>
      <c r="G830" s="103">
        <v>43530</v>
      </c>
      <c r="H830" s="103">
        <v>34695</v>
      </c>
      <c r="I830" s="94" t="s">
        <v>3006</v>
      </c>
      <c r="J830" s="94" t="s">
        <v>2853</v>
      </c>
      <c r="K830" s="92">
        <v>945165826</v>
      </c>
      <c r="L830" s="91" t="s">
        <v>60</v>
      </c>
      <c r="M830" s="98">
        <f ca="1">(TODAY()-H830)/365</f>
        <v>30.978082191780821</v>
      </c>
      <c r="N830" s="99">
        <f>(G830-H830)/365</f>
        <v>24.205479452054796</v>
      </c>
      <c r="O830" s="98">
        <f ca="1">(TODAY()-G830)/365</f>
        <v>6.7726027397260271</v>
      </c>
      <c r="P830" s="91" t="s">
        <v>272</v>
      </c>
      <c r="Q830" s="91"/>
      <c r="R830" s="91">
        <v>1</v>
      </c>
      <c r="S830" s="91"/>
      <c r="T830" s="91"/>
      <c r="U830" s="91"/>
      <c r="V830" s="91"/>
      <c r="W830" s="91"/>
      <c r="X830" s="91"/>
      <c r="Y830" s="91"/>
      <c r="Z830" s="91"/>
      <c r="AA830" s="91"/>
      <c r="AB830" s="91"/>
      <c r="AC830" s="91"/>
      <c r="AD830" s="91"/>
      <c r="AE830" s="91"/>
      <c r="AF830" s="91"/>
      <c r="AG830" s="91"/>
      <c r="AH830" s="91"/>
      <c r="AI830" s="91"/>
      <c r="AJ830" s="91"/>
      <c r="AK830" s="91"/>
      <c r="AL830" s="91"/>
      <c r="AM830" s="91"/>
    </row>
    <row r="831" spans="1:39" ht="20.25" hidden="1" customHeight="1">
      <c r="A831" s="91"/>
      <c r="B831" s="113" t="s">
        <v>2848</v>
      </c>
      <c r="C831" s="91" t="s">
        <v>36</v>
      </c>
      <c r="D831" s="106" t="s">
        <v>3007</v>
      </c>
      <c r="E831" s="106" t="s">
        <v>3008</v>
      </c>
      <c r="F831" s="92" t="s">
        <v>3009</v>
      </c>
      <c r="G831" s="103">
        <v>43054</v>
      </c>
      <c r="H831" s="103" t="s">
        <v>58</v>
      </c>
      <c r="I831" s="94" t="s">
        <v>3010</v>
      </c>
      <c r="J831" s="94" t="s">
        <v>2853</v>
      </c>
      <c r="K831" s="92">
        <v>964614747</v>
      </c>
      <c r="L831" s="91" t="s">
        <v>60</v>
      </c>
      <c r="M831" s="98" t="e">
        <f ca="1">(TODAY()-H831)/365</f>
        <v>#VALUE!</v>
      </c>
      <c r="N831" s="99" t="e">
        <f>(G831-H831)/365</f>
        <v>#VALUE!</v>
      </c>
      <c r="O831" s="98">
        <f ca="1">(TODAY()-G831)/365</f>
        <v>8.0767123287671225</v>
      </c>
      <c r="P831" s="91" t="s">
        <v>43</v>
      </c>
      <c r="Q831" s="91">
        <v>0</v>
      </c>
      <c r="R831" s="91">
        <v>0</v>
      </c>
      <c r="S831" s="91">
        <v>0</v>
      </c>
      <c r="T831" s="91"/>
      <c r="U831" s="91"/>
      <c r="V831" s="91"/>
      <c r="W831" s="91"/>
      <c r="X831" s="91"/>
      <c r="Y831" s="91"/>
      <c r="Z831" s="91"/>
      <c r="AA831" s="91"/>
      <c r="AB831" s="91"/>
      <c r="AC831" s="91"/>
      <c r="AD831" s="91"/>
      <c r="AE831" s="91"/>
      <c r="AF831" s="91"/>
      <c r="AG831" s="91"/>
      <c r="AH831" s="91"/>
      <c r="AI831" s="91"/>
      <c r="AJ831" s="91"/>
      <c r="AK831" s="91"/>
      <c r="AL831" s="91"/>
      <c r="AM831" s="91"/>
    </row>
    <row r="832" spans="1:39" ht="20.25" hidden="1" customHeight="1">
      <c r="A832" s="91"/>
      <c r="B832" s="113" t="s">
        <v>2848</v>
      </c>
      <c r="C832" s="91" t="s">
        <v>36</v>
      </c>
      <c r="D832" s="106" t="s">
        <v>3011</v>
      </c>
      <c r="E832" s="106" t="s">
        <v>3012</v>
      </c>
      <c r="F832" s="92" t="s">
        <v>3013</v>
      </c>
      <c r="G832" s="103">
        <v>45483</v>
      </c>
      <c r="H832" s="103">
        <v>39315</v>
      </c>
      <c r="I832" s="94" t="s">
        <v>3014</v>
      </c>
      <c r="J832" s="94" t="s">
        <v>2853</v>
      </c>
      <c r="K832" s="92">
        <v>985596834</v>
      </c>
      <c r="L832" s="91" t="s">
        <v>60</v>
      </c>
      <c r="M832" s="98">
        <f ca="1">(TODAY()-H832)/365</f>
        <v>18.32054794520548</v>
      </c>
      <c r="N832" s="99">
        <f>(G832-H832)/365</f>
        <v>16.898630136986302</v>
      </c>
      <c r="O832" s="98">
        <f ca="1">(TODAY()-G832)/365</f>
        <v>1.4219178082191781</v>
      </c>
      <c r="P832" s="91" t="s">
        <v>43</v>
      </c>
      <c r="Q832" s="91"/>
      <c r="R832" s="91"/>
      <c r="S832" s="91"/>
      <c r="T832" s="91"/>
      <c r="U832" s="91"/>
      <c r="V832" s="91"/>
      <c r="W832" s="91"/>
      <c r="X832" s="91"/>
      <c r="Y832" s="91"/>
      <c r="Z832" s="91"/>
      <c r="AA832" s="91"/>
      <c r="AB832" s="91"/>
      <c r="AC832" s="91"/>
      <c r="AD832" s="91"/>
      <c r="AE832" s="91"/>
      <c r="AF832" s="91"/>
      <c r="AG832" s="91"/>
      <c r="AH832" s="91"/>
      <c r="AI832" s="91"/>
      <c r="AJ832" s="91"/>
      <c r="AK832" s="91"/>
      <c r="AL832" s="91"/>
      <c r="AM832" s="91"/>
    </row>
    <row r="833" spans="1:39" ht="20.25" hidden="1" customHeight="1">
      <c r="A833" s="91"/>
      <c r="B833" s="113" t="s">
        <v>2848</v>
      </c>
      <c r="C833" s="91" t="s">
        <v>36</v>
      </c>
      <c r="D833" s="106" t="s">
        <v>3015</v>
      </c>
      <c r="E833" s="106" t="s">
        <v>3016</v>
      </c>
      <c r="F833" s="92" t="s">
        <v>3017</v>
      </c>
      <c r="G833" s="103">
        <v>43057</v>
      </c>
      <c r="H833" s="103">
        <v>35814</v>
      </c>
      <c r="I833" s="94" t="s">
        <v>3018</v>
      </c>
      <c r="J833" s="94" t="s">
        <v>2853</v>
      </c>
      <c r="K833" s="92">
        <v>987311498</v>
      </c>
      <c r="L833" s="91" t="s">
        <v>60</v>
      </c>
      <c r="M833" s="98">
        <f ca="1">(TODAY()-H833)/365</f>
        <v>27.912328767123288</v>
      </c>
      <c r="N833" s="99">
        <f>(G833-H833)/365</f>
        <v>19.843835616438355</v>
      </c>
      <c r="O833" s="98">
        <f ca="1">(TODAY()-G833)/365</f>
        <v>8.0684931506849313</v>
      </c>
      <c r="P833" s="91" t="s">
        <v>272</v>
      </c>
      <c r="Q833" s="91"/>
      <c r="R833" s="91"/>
      <c r="S833" s="91"/>
      <c r="T833" s="91"/>
      <c r="U833" s="91"/>
      <c r="V833" s="91"/>
      <c r="W833" s="91"/>
      <c r="X833" s="91"/>
      <c r="Y833" s="91"/>
      <c r="Z833" s="91"/>
      <c r="AA833" s="91"/>
      <c r="AB833" s="91"/>
      <c r="AC833" s="91"/>
      <c r="AD833" s="91"/>
      <c r="AE833" s="91"/>
      <c r="AF833" s="91"/>
      <c r="AG833" s="91"/>
      <c r="AH833" s="91"/>
      <c r="AI833" s="91"/>
      <c r="AJ833" s="91"/>
      <c r="AK833" s="91"/>
      <c r="AL833" s="91"/>
      <c r="AM833" s="91"/>
    </row>
    <row r="834" spans="1:39" ht="20.25" hidden="1" customHeight="1">
      <c r="A834" s="91"/>
      <c r="B834" s="113" t="s">
        <v>2848</v>
      </c>
      <c r="C834" s="91" t="s">
        <v>36</v>
      </c>
      <c r="D834" s="106" t="s">
        <v>3019</v>
      </c>
      <c r="E834" s="106" t="s">
        <v>3020</v>
      </c>
      <c r="F834" s="92" t="s">
        <v>3021</v>
      </c>
      <c r="G834" s="103">
        <v>44047</v>
      </c>
      <c r="H834" s="103">
        <v>19858</v>
      </c>
      <c r="I834" s="94" t="s">
        <v>58</v>
      </c>
      <c r="J834" s="94" t="s">
        <v>2853</v>
      </c>
      <c r="K834" s="92">
        <v>999873268</v>
      </c>
      <c r="L834" s="91" t="s">
        <v>60</v>
      </c>
      <c r="M834" s="98">
        <f ca="1">(TODAY()-H834)/365</f>
        <v>71.627397260273966</v>
      </c>
      <c r="N834" s="99">
        <f>(G834-H834)/365</f>
        <v>66.271232876712332</v>
      </c>
      <c r="O834" s="98">
        <f ca="1">(TODAY()-G834)/365</f>
        <v>5.3561643835616435</v>
      </c>
      <c r="P834" s="91" t="s">
        <v>272</v>
      </c>
      <c r="Q834" s="91"/>
      <c r="R834" s="91"/>
      <c r="S834" s="91"/>
      <c r="T834" s="91"/>
      <c r="U834" s="91"/>
      <c r="V834" s="91"/>
      <c r="W834" s="91"/>
      <c r="X834" s="91"/>
      <c r="Y834" s="91"/>
      <c r="Z834" s="91"/>
      <c r="AA834" s="91"/>
      <c r="AB834" s="91"/>
      <c r="AC834" s="91"/>
      <c r="AD834" s="91"/>
      <c r="AE834" s="91"/>
      <c r="AF834" s="91"/>
      <c r="AG834" s="91"/>
      <c r="AH834" s="91"/>
      <c r="AI834" s="91"/>
      <c r="AJ834" s="91"/>
      <c r="AK834" s="91"/>
      <c r="AL834" s="91"/>
      <c r="AM834" s="91"/>
    </row>
    <row r="835" spans="1:39" ht="20.25" hidden="1" customHeight="1">
      <c r="A835" s="91"/>
      <c r="B835" s="113" t="s">
        <v>2848</v>
      </c>
      <c r="C835" s="91" t="s">
        <v>36</v>
      </c>
      <c r="D835" s="106" t="s">
        <v>3022</v>
      </c>
      <c r="E835" s="106" t="s">
        <v>3023</v>
      </c>
      <c r="F835" s="92" t="s">
        <v>3024</v>
      </c>
      <c r="G835" s="103">
        <v>43530</v>
      </c>
      <c r="H835" s="103">
        <v>30140</v>
      </c>
      <c r="I835" s="94" t="s">
        <v>3025</v>
      </c>
      <c r="J835" s="94" t="s">
        <v>2853</v>
      </c>
      <c r="K835" s="92">
        <v>932485532</v>
      </c>
      <c r="L835" s="91" t="s">
        <v>60</v>
      </c>
      <c r="M835" s="98">
        <f ca="1">(TODAY()-H835)/365</f>
        <v>43.457534246575342</v>
      </c>
      <c r="N835" s="99">
        <f>(G835-H835)/365</f>
        <v>36.684931506849317</v>
      </c>
      <c r="O835" s="98">
        <f ca="1">(TODAY()-G835)/365</f>
        <v>6.7726027397260271</v>
      </c>
      <c r="P835" s="91" t="s">
        <v>43</v>
      </c>
      <c r="Q835" s="91"/>
      <c r="R835" s="91"/>
      <c r="S835" s="91"/>
      <c r="T835" s="91"/>
      <c r="U835" s="91"/>
      <c r="V835" s="91"/>
      <c r="W835" s="91"/>
      <c r="X835" s="91"/>
      <c r="Y835" s="91"/>
      <c r="Z835" s="91"/>
      <c r="AA835" s="91"/>
      <c r="AB835" s="91"/>
      <c r="AC835" s="91"/>
      <c r="AD835" s="91"/>
      <c r="AE835" s="91"/>
      <c r="AF835" s="91"/>
      <c r="AG835" s="91"/>
      <c r="AH835" s="91"/>
      <c r="AI835" s="91"/>
      <c r="AJ835" s="91"/>
      <c r="AK835" s="91"/>
      <c r="AL835" s="91"/>
      <c r="AM835" s="91"/>
    </row>
    <row r="836" spans="1:39" ht="20.25" hidden="1" customHeight="1">
      <c r="A836" s="91"/>
      <c r="B836" s="113" t="s">
        <v>2848</v>
      </c>
      <c r="C836" s="91" t="s">
        <v>73</v>
      </c>
      <c r="D836" s="106" t="s">
        <v>3026</v>
      </c>
      <c r="E836" s="106" t="s">
        <v>3027</v>
      </c>
      <c r="F836" s="92" t="s">
        <v>3028</v>
      </c>
      <c r="G836" s="103">
        <v>41437</v>
      </c>
      <c r="H836" s="103">
        <v>24112</v>
      </c>
      <c r="I836" s="94" t="s">
        <v>58</v>
      </c>
      <c r="J836" s="100" t="s">
        <v>58</v>
      </c>
      <c r="K836" s="91" t="s">
        <v>58</v>
      </c>
      <c r="L836" s="91" t="s">
        <v>60</v>
      </c>
      <c r="M836" s="98">
        <f ca="1">(TODAY()-H836)/365</f>
        <v>59.972602739726028</v>
      </c>
      <c r="N836" s="99">
        <f>(G836-H836)/365</f>
        <v>47.465753424657535</v>
      </c>
      <c r="O836" s="98">
        <f ca="1">(TODAY()-G836)/365</f>
        <v>12.506849315068493</v>
      </c>
      <c r="P836" s="91" t="s">
        <v>43</v>
      </c>
      <c r="Q836" s="91"/>
      <c r="R836" s="91"/>
      <c r="S836" s="91"/>
      <c r="T836" s="91"/>
      <c r="U836" s="91"/>
      <c r="V836" s="91"/>
      <c r="W836" s="91"/>
      <c r="X836" s="91"/>
      <c r="Y836" s="91"/>
      <c r="Z836" s="91"/>
      <c r="AA836" s="91"/>
      <c r="AB836" s="91"/>
      <c r="AC836" s="91"/>
      <c r="AD836" s="91"/>
      <c r="AE836" s="91"/>
      <c r="AF836" s="91"/>
      <c r="AG836" s="91"/>
      <c r="AH836" s="91"/>
      <c r="AI836" s="91"/>
      <c r="AJ836" s="91"/>
      <c r="AK836" s="91"/>
      <c r="AL836" s="91"/>
      <c r="AM836" s="91"/>
    </row>
    <row r="837" spans="1:39" ht="20.25" hidden="1" customHeight="1">
      <c r="A837" s="91"/>
      <c r="B837" s="113" t="s">
        <v>2848</v>
      </c>
      <c r="C837" s="91" t="s">
        <v>73</v>
      </c>
      <c r="D837" s="106" t="s">
        <v>3029</v>
      </c>
      <c r="E837" s="106" t="s">
        <v>3030</v>
      </c>
      <c r="F837" s="92" t="s">
        <v>3031</v>
      </c>
      <c r="G837" s="103">
        <v>40135</v>
      </c>
      <c r="H837" s="103">
        <v>33213</v>
      </c>
      <c r="I837" s="94" t="s">
        <v>58</v>
      </c>
      <c r="J837" s="100" t="s">
        <v>58</v>
      </c>
      <c r="K837" s="91" t="s">
        <v>58</v>
      </c>
      <c r="L837" s="91" t="s">
        <v>60</v>
      </c>
      <c r="M837" s="98">
        <f ca="1">(TODAY()-H837)/365</f>
        <v>35.038356164383565</v>
      </c>
      <c r="N837" s="99">
        <f>(G837-H837)/365</f>
        <v>18.964383561643835</v>
      </c>
      <c r="O837" s="98">
        <f ca="1">(TODAY()-G837)/365</f>
        <v>16.073972602739726</v>
      </c>
      <c r="P837" s="91" t="s">
        <v>272</v>
      </c>
      <c r="Q837" s="91"/>
      <c r="R837" s="91"/>
      <c r="S837" s="91"/>
      <c r="T837" s="91"/>
      <c r="U837" s="91"/>
      <c r="V837" s="91"/>
      <c r="W837" s="91"/>
      <c r="X837" s="91"/>
      <c r="Y837" s="91"/>
      <c r="Z837" s="91"/>
      <c r="AA837" s="91"/>
      <c r="AB837" s="91"/>
      <c r="AC837" s="91"/>
      <c r="AD837" s="91"/>
      <c r="AE837" s="91"/>
      <c r="AF837" s="91"/>
      <c r="AG837" s="91"/>
      <c r="AH837" s="91"/>
      <c r="AI837" s="91"/>
      <c r="AJ837" s="91"/>
      <c r="AK837" s="91"/>
      <c r="AL837" s="91"/>
      <c r="AM837" s="91"/>
    </row>
    <row r="838" spans="1:39" ht="20.25" hidden="1" customHeight="1">
      <c r="A838" s="91"/>
      <c r="B838" s="113" t="s">
        <v>2848</v>
      </c>
      <c r="C838" s="91" t="s">
        <v>36</v>
      </c>
      <c r="D838" s="106" t="s">
        <v>3032</v>
      </c>
      <c r="E838" s="106" t="s">
        <v>3033</v>
      </c>
      <c r="F838" s="92" t="s">
        <v>3034</v>
      </c>
      <c r="G838" s="103">
        <v>45092</v>
      </c>
      <c r="H838" s="103">
        <v>39513</v>
      </c>
      <c r="I838" s="94" t="s">
        <v>3035</v>
      </c>
      <c r="J838" s="94" t="s">
        <v>2853</v>
      </c>
      <c r="K838" s="92">
        <v>998193908</v>
      </c>
      <c r="L838" s="91" t="s">
        <v>60</v>
      </c>
      <c r="M838" s="98">
        <f ca="1">(TODAY()-H838)/365</f>
        <v>17.778082191780822</v>
      </c>
      <c r="N838" s="99">
        <f>(G838-H838)/365</f>
        <v>15.284931506849315</v>
      </c>
      <c r="O838" s="98">
        <f ca="1">(TODAY()-G838)/365</f>
        <v>2.493150684931507</v>
      </c>
      <c r="P838" s="91" t="s">
        <v>272</v>
      </c>
      <c r="Q838" s="91"/>
      <c r="R838" s="91"/>
      <c r="S838" s="91"/>
      <c r="T838" s="91"/>
      <c r="U838" s="91"/>
      <c r="V838" s="91" t="s">
        <v>3036</v>
      </c>
      <c r="W838" s="91"/>
      <c r="X838" s="91"/>
      <c r="Y838" s="91"/>
      <c r="Z838" s="91"/>
      <c r="AA838" s="91"/>
      <c r="AB838" s="91"/>
      <c r="AC838" s="91"/>
      <c r="AD838" s="91"/>
      <c r="AE838" s="91"/>
      <c r="AF838" s="91"/>
      <c r="AG838" s="91"/>
      <c r="AH838" s="91"/>
      <c r="AI838" s="91"/>
      <c r="AJ838" s="91"/>
      <c r="AK838" s="91"/>
      <c r="AL838" s="91"/>
      <c r="AM838" s="91"/>
    </row>
    <row r="839" spans="1:39" ht="20.25" hidden="1" customHeight="1">
      <c r="A839" s="91"/>
      <c r="B839" s="113" t="s">
        <v>2848</v>
      </c>
      <c r="C839" s="91" t="s">
        <v>36</v>
      </c>
      <c r="D839" s="106" t="s">
        <v>3037</v>
      </c>
      <c r="E839" s="106" t="s">
        <v>3038</v>
      </c>
      <c r="F839" s="92" t="s">
        <v>3039</v>
      </c>
      <c r="G839" s="103">
        <v>45514</v>
      </c>
      <c r="H839" s="103">
        <v>35104</v>
      </c>
      <c r="I839" s="94" t="s">
        <v>3040</v>
      </c>
      <c r="J839" s="94" t="s">
        <v>2853</v>
      </c>
      <c r="K839" s="92">
        <v>955101168</v>
      </c>
      <c r="L839" s="91" t="s">
        <v>60</v>
      </c>
      <c r="M839" s="98">
        <f ca="1">(TODAY()-H839)/365</f>
        <v>29.857534246575341</v>
      </c>
      <c r="N839" s="99">
        <f>(G839-H839)/365</f>
        <v>28.520547945205479</v>
      </c>
      <c r="O839" s="98">
        <f ca="1">(TODAY()-G839)/365</f>
        <v>1.3369863013698631</v>
      </c>
      <c r="P839" s="91" t="s">
        <v>272</v>
      </c>
      <c r="Q839" s="91"/>
      <c r="R839" s="91"/>
      <c r="S839" s="91"/>
      <c r="T839" s="91"/>
      <c r="U839" s="91"/>
      <c r="V839" s="91"/>
      <c r="W839" s="91"/>
      <c r="X839" s="91"/>
      <c r="Y839" s="91"/>
      <c r="Z839" s="91"/>
      <c r="AA839" s="91"/>
      <c r="AB839" s="91"/>
      <c r="AC839" s="91"/>
      <c r="AD839" s="91"/>
      <c r="AE839" s="91"/>
      <c r="AF839" s="91"/>
      <c r="AG839" s="91"/>
      <c r="AH839" s="91"/>
      <c r="AI839" s="91"/>
      <c r="AJ839" s="91"/>
      <c r="AK839" s="91"/>
      <c r="AL839" s="91"/>
      <c r="AM839" s="91"/>
    </row>
    <row r="840" spans="1:39" ht="20.25" hidden="1" customHeight="1">
      <c r="A840" s="91"/>
      <c r="B840" s="113" t="s">
        <v>2848</v>
      </c>
      <c r="C840" s="91" t="s">
        <v>36</v>
      </c>
      <c r="D840" s="106" t="s">
        <v>3041</v>
      </c>
      <c r="E840" s="106" t="s">
        <v>3042</v>
      </c>
      <c r="F840" s="92" t="s">
        <v>3043</v>
      </c>
      <c r="G840" s="103">
        <v>45485</v>
      </c>
      <c r="H840" s="103">
        <v>34281</v>
      </c>
      <c r="I840" s="94" t="s">
        <v>3044</v>
      </c>
      <c r="J840" s="94" t="s">
        <v>2853</v>
      </c>
      <c r="K840" s="92">
        <v>999883979</v>
      </c>
      <c r="L840" s="91" t="s">
        <v>60</v>
      </c>
      <c r="M840" s="98">
        <f ca="1">(TODAY()-H840)/365</f>
        <v>32.112328767123287</v>
      </c>
      <c r="N840" s="99">
        <f>(G840-H840)/365</f>
        <v>30.695890410958903</v>
      </c>
      <c r="O840" s="98">
        <f ca="1">(TODAY()-G840)/365</f>
        <v>1.4164383561643836</v>
      </c>
      <c r="P840" s="91" t="s">
        <v>43</v>
      </c>
      <c r="Q840" s="91"/>
      <c r="R840" s="91"/>
      <c r="S840" s="91"/>
      <c r="T840" s="91"/>
      <c r="U840" s="91"/>
      <c r="V840" s="91"/>
      <c r="W840" s="91"/>
      <c r="X840" s="91"/>
      <c r="Y840" s="91"/>
      <c r="Z840" s="91"/>
      <c r="AA840" s="91"/>
      <c r="AB840" s="91"/>
      <c r="AC840" s="91"/>
      <c r="AD840" s="91"/>
      <c r="AE840" s="91"/>
      <c r="AF840" s="91"/>
      <c r="AG840" s="91"/>
      <c r="AH840" s="91"/>
      <c r="AI840" s="91"/>
      <c r="AJ840" s="91"/>
      <c r="AK840" s="91"/>
      <c r="AL840" s="91"/>
      <c r="AM840" s="91"/>
    </row>
    <row r="841" spans="1:39" ht="20.25" hidden="1" customHeight="1">
      <c r="A841" s="91"/>
      <c r="B841" s="113" t="s">
        <v>2848</v>
      </c>
      <c r="C841" s="91" t="s">
        <v>36</v>
      </c>
      <c r="D841" s="106" t="s">
        <v>3045</v>
      </c>
      <c r="E841" s="106" t="s">
        <v>3046</v>
      </c>
      <c r="F841" s="92" t="s">
        <v>3047</v>
      </c>
      <c r="G841" s="103">
        <v>44684</v>
      </c>
      <c r="H841" s="103">
        <v>21056</v>
      </c>
      <c r="I841" s="94" t="s">
        <v>3048</v>
      </c>
      <c r="J841" s="94" t="s">
        <v>2853</v>
      </c>
      <c r="K841" s="92">
        <v>945751458</v>
      </c>
      <c r="L841" s="91" t="s">
        <v>60</v>
      </c>
      <c r="M841" s="98">
        <f ca="1">(TODAY()-H841)/365</f>
        <v>68.345205479452048</v>
      </c>
      <c r="N841" s="99">
        <f>(G841-H841)/365</f>
        <v>64.734246575342468</v>
      </c>
      <c r="O841" s="98">
        <f ca="1">(TODAY()-G841)/365</f>
        <v>3.6109589041095891</v>
      </c>
      <c r="P841" s="91" t="s">
        <v>272</v>
      </c>
      <c r="Q841" s="91"/>
      <c r="R841" s="91"/>
      <c r="S841" s="91"/>
      <c r="T841" s="91"/>
      <c r="U841" s="91"/>
      <c r="V841" s="91"/>
      <c r="W841" s="91"/>
      <c r="X841" s="91"/>
      <c r="Y841" s="91"/>
      <c r="Z841" s="91"/>
      <c r="AA841" s="91"/>
      <c r="AB841" s="91"/>
      <c r="AC841" s="91"/>
      <c r="AD841" s="91"/>
      <c r="AE841" s="91"/>
      <c r="AF841" s="91"/>
      <c r="AG841" s="91"/>
      <c r="AH841" s="91"/>
      <c r="AI841" s="91"/>
      <c r="AJ841" s="91"/>
      <c r="AK841" s="91"/>
      <c r="AL841" s="91"/>
      <c r="AM841" s="91"/>
    </row>
    <row r="842" spans="1:39" ht="20.25" hidden="1" customHeight="1">
      <c r="A842" s="91"/>
      <c r="B842" s="113" t="s">
        <v>2848</v>
      </c>
      <c r="C842" s="91" t="s">
        <v>36</v>
      </c>
      <c r="D842" s="106" t="s">
        <v>3049</v>
      </c>
      <c r="E842" s="106" t="s">
        <v>3050</v>
      </c>
      <c r="F842" s="92" t="s">
        <v>3051</v>
      </c>
      <c r="G842" s="103">
        <v>45514</v>
      </c>
      <c r="H842" s="103">
        <v>38018</v>
      </c>
      <c r="I842" s="94" t="s">
        <v>3052</v>
      </c>
      <c r="J842" s="94" t="s">
        <v>2853</v>
      </c>
      <c r="K842" s="92">
        <v>931729550</v>
      </c>
      <c r="L842" s="91" t="s">
        <v>60</v>
      </c>
      <c r="M842" s="98">
        <f ca="1">(TODAY()-H842)/365</f>
        <v>21.873972602739727</v>
      </c>
      <c r="N842" s="99">
        <f>(G842-H842)/365</f>
        <v>20.536986301369861</v>
      </c>
      <c r="O842" s="98">
        <f ca="1">(TODAY()-G842)/365</f>
        <v>1.3369863013698631</v>
      </c>
      <c r="P842" s="91" t="s">
        <v>43</v>
      </c>
      <c r="Q842" s="91"/>
      <c r="R842" s="91"/>
      <c r="S842" s="91"/>
      <c r="T842" s="91"/>
      <c r="U842" s="91"/>
      <c r="V842" s="91"/>
      <c r="W842" s="91"/>
      <c r="X842" s="91"/>
      <c r="Y842" s="91"/>
      <c r="Z842" s="91"/>
      <c r="AA842" s="91"/>
      <c r="AB842" s="91"/>
      <c r="AC842" s="91"/>
      <c r="AD842" s="91"/>
      <c r="AE842" s="91"/>
      <c r="AF842" s="91"/>
      <c r="AG842" s="91"/>
      <c r="AH842" s="91"/>
      <c r="AI842" s="91"/>
      <c r="AJ842" s="91"/>
      <c r="AK842" s="91"/>
      <c r="AL842" s="91"/>
      <c r="AM842" s="91"/>
    </row>
    <row r="843" spans="1:39" ht="20.25" hidden="1" customHeight="1">
      <c r="A843" s="91"/>
      <c r="B843" s="113" t="s">
        <v>2848</v>
      </c>
      <c r="C843" s="91" t="s">
        <v>36</v>
      </c>
      <c r="D843" s="106" t="s">
        <v>3053</v>
      </c>
      <c r="E843" s="106" t="s">
        <v>3054</v>
      </c>
      <c r="F843" s="92" t="s">
        <v>3055</v>
      </c>
      <c r="G843" s="103">
        <v>45458</v>
      </c>
      <c r="H843" s="103">
        <v>26188</v>
      </c>
      <c r="I843" s="94" t="s">
        <v>3056</v>
      </c>
      <c r="J843" s="94" t="s">
        <v>2853</v>
      </c>
      <c r="K843" s="92">
        <v>926976403</v>
      </c>
      <c r="L843" s="91" t="s">
        <v>60</v>
      </c>
      <c r="M843" s="98">
        <f ca="1">(TODAY()-H843)/365</f>
        <v>54.284931506849318</v>
      </c>
      <c r="N843" s="99">
        <f>(G843-H843)/365</f>
        <v>52.794520547945204</v>
      </c>
      <c r="O843" s="98">
        <f ca="1">(TODAY()-G843)/365</f>
        <v>1.4904109589041097</v>
      </c>
      <c r="P843" s="91" t="s">
        <v>272</v>
      </c>
      <c r="Q843" s="91"/>
      <c r="R843" s="91"/>
      <c r="S843" s="91"/>
      <c r="T843" s="91"/>
      <c r="U843" s="91"/>
      <c r="V843" s="91"/>
      <c r="W843" s="91"/>
      <c r="X843" s="91"/>
      <c r="Y843" s="91"/>
      <c r="Z843" s="91"/>
      <c r="AA843" s="91"/>
      <c r="AB843" s="91"/>
      <c r="AC843" s="91"/>
      <c r="AD843" s="91"/>
      <c r="AE843" s="91"/>
      <c r="AF843" s="91"/>
      <c r="AG843" s="91"/>
      <c r="AH843" s="91"/>
      <c r="AI843" s="91"/>
      <c r="AJ843" s="91"/>
      <c r="AK843" s="91"/>
      <c r="AL843" s="91"/>
      <c r="AM843" s="91"/>
    </row>
    <row r="844" spans="1:39" ht="20.25" hidden="1" customHeight="1">
      <c r="A844" s="91"/>
      <c r="B844" s="113" t="s">
        <v>2848</v>
      </c>
      <c r="C844" s="91" t="s">
        <v>36</v>
      </c>
      <c r="D844" s="106" t="s">
        <v>3057</v>
      </c>
      <c r="E844" s="106" t="s">
        <v>3058</v>
      </c>
      <c r="F844" s="92" t="s">
        <v>3059</v>
      </c>
      <c r="G844" s="103">
        <v>44294</v>
      </c>
      <c r="H844" s="103">
        <v>37459</v>
      </c>
      <c r="I844" s="94" t="s">
        <v>3060</v>
      </c>
      <c r="J844" s="94" t="s">
        <v>2853</v>
      </c>
      <c r="K844" s="92">
        <v>952376894</v>
      </c>
      <c r="L844" s="91" t="s">
        <v>60</v>
      </c>
      <c r="M844" s="98">
        <f ca="1">(TODAY()-H844)/365</f>
        <v>23.405479452054795</v>
      </c>
      <c r="N844" s="99">
        <f>(G844-H844)/365</f>
        <v>18.726027397260275</v>
      </c>
      <c r="O844" s="98">
        <f ca="1">(TODAY()-G844)/365</f>
        <v>4.6794520547945204</v>
      </c>
      <c r="P844" s="91" t="s">
        <v>272</v>
      </c>
      <c r="Q844" s="91"/>
      <c r="R844" s="91"/>
      <c r="S844" s="91"/>
      <c r="T844" s="91"/>
      <c r="U844" s="91"/>
      <c r="V844" s="91"/>
      <c r="W844" s="91"/>
      <c r="X844" s="91"/>
      <c r="Y844" s="91"/>
      <c r="Z844" s="91"/>
      <c r="AA844" s="91"/>
      <c r="AB844" s="91"/>
      <c r="AC844" s="91"/>
      <c r="AD844" s="91"/>
      <c r="AE844" s="91"/>
      <c r="AF844" s="91"/>
      <c r="AG844" s="91"/>
      <c r="AH844" s="91"/>
      <c r="AI844" s="91"/>
      <c r="AJ844" s="91"/>
      <c r="AK844" s="91"/>
      <c r="AL844" s="91"/>
      <c r="AM844" s="91"/>
    </row>
    <row r="845" spans="1:39" ht="20.25" hidden="1" customHeight="1">
      <c r="A845" s="91"/>
      <c r="B845" s="113" t="s">
        <v>2848</v>
      </c>
      <c r="C845" s="91" t="s">
        <v>36</v>
      </c>
      <c r="D845" s="106" t="s">
        <v>3061</v>
      </c>
      <c r="E845" s="106" t="s">
        <v>3062</v>
      </c>
      <c r="F845" s="92" t="s">
        <v>3063</v>
      </c>
      <c r="G845" s="103">
        <v>44746</v>
      </c>
      <c r="H845" s="103">
        <v>31941</v>
      </c>
      <c r="I845" s="94" t="s">
        <v>3064</v>
      </c>
      <c r="J845" s="94" t="s">
        <v>2853</v>
      </c>
      <c r="K845" s="92">
        <v>999117774</v>
      </c>
      <c r="L845" s="91" t="s">
        <v>60</v>
      </c>
      <c r="M845" s="98">
        <f ca="1">(TODAY()-H845)/365</f>
        <v>38.523287671232879</v>
      </c>
      <c r="N845" s="99">
        <f>(G845-H845)/365</f>
        <v>35.082191780821915</v>
      </c>
      <c r="O845" s="98">
        <f ca="1">(TODAY()-G845)/365</f>
        <v>3.441095890410959</v>
      </c>
      <c r="P845" s="91" t="s">
        <v>43</v>
      </c>
      <c r="Q845" s="91"/>
      <c r="R845" s="91"/>
      <c r="S845" s="91"/>
      <c r="T845" s="91"/>
      <c r="U845" s="91"/>
      <c r="V845" s="91"/>
      <c r="W845" s="91"/>
      <c r="X845" s="91"/>
      <c r="Y845" s="91"/>
      <c r="Z845" s="91"/>
      <c r="AA845" s="91"/>
      <c r="AB845" s="91"/>
      <c r="AC845" s="91"/>
      <c r="AD845" s="91"/>
      <c r="AE845" s="91"/>
      <c r="AF845" s="91"/>
      <c r="AG845" s="91"/>
      <c r="AH845" s="91"/>
      <c r="AI845" s="91"/>
      <c r="AJ845" s="91"/>
      <c r="AK845" s="91"/>
      <c r="AL845" s="91"/>
      <c r="AM845" s="91"/>
    </row>
    <row r="846" spans="1:39" ht="20.25" hidden="1" customHeight="1">
      <c r="A846" s="91"/>
      <c r="B846" s="113" t="s">
        <v>2848</v>
      </c>
      <c r="C846" s="91" t="s">
        <v>36</v>
      </c>
      <c r="D846" s="106" t="s">
        <v>3065</v>
      </c>
      <c r="E846" s="106" t="s">
        <v>3066</v>
      </c>
      <c r="F846" s="92" t="s">
        <v>3067</v>
      </c>
      <c r="G846" s="103">
        <v>41746</v>
      </c>
      <c r="H846" s="103">
        <v>36027</v>
      </c>
      <c r="I846" s="94" t="s">
        <v>3068</v>
      </c>
      <c r="J846" s="94" t="s">
        <v>2853</v>
      </c>
      <c r="K846" s="92">
        <v>963717259</v>
      </c>
      <c r="L846" s="91" t="s">
        <v>60</v>
      </c>
      <c r="M846" s="98">
        <f ca="1">(TODAY()-H846)/365</f>
        <v>27.328767123287673</v>
      </c>
      <c r="N846" s="99">
        <f>(G846-H846)/365</f>
        <v>15.668493150684931</v>
      </c>
      <c r="O846" s="98">
        <f ca="1">(TODAY()-G846)/365</f>
        <v>11.66027397260274</v>
      </c>
      <c r="P846" s="91" t="s">
        <v>43</v>
      </c>
      <c r="Q846" s="91"/>
      <c r="R846" s="91"/>
      <c r="S846" s="91"/>
      <c r="T846" s="91"/>
      <c r="U846" s="91"/>
      <c r="V846" s="91"/>
      <c r="W846" s="91"/>
      <c r="X846" s="91"/>
      <c r="Y846" s="91"/>
      <c r="Z846" s="91"/>
      <c r="AA846" s="91"/>
      <c r="AB846" s="91"/>
      <c r="AC846" s="91"/>
      <c r="AD846" s="91"/>
      <c r="AE846" s="91"/>
      <c r="AF846" s="91"/>
      <c r="AG846" s="91"/>
      <c r="AH846" s="91"/>
      <c r="AI846" s="91"/>
      <c r="AJ846" s="91"/>
      <c r="AK846" s="91"/>
      <c r="AL846" s="91"/>
      <c r="AM846" s="91"/>
    </row>
    <row r="847" spans="1:39" ht="20.25" hidden="1" customHeight="1">
      <c r="A847" s="91"/>
      <c r="B847" s="113" t="s">
        <v>2848</v>
      </c>
      <c r="C847" s="91" t="s">
        <v>73</v>
      </c>
      <c r="D847" s="106" t="s">
        <v>3069</v>
      </c>
      <c r="E847" s="106" t="s">
        <v>3070</v>
      </c>
      <c r="F847" s="92" t="s">
        <v>3071</v>
      </c>
      <c r="G847" s="103">
        <v>36489</v>
      </c>
      <c r="H847" s="103">
        <v>25781</v>
      </c>
      <c r="I847" s="94" t="s">
        <v>58</v>
      </c>
      <c r="J847" s="100" t="s">
        <v>58</v>
      </c>
      <c r="K847" s="91" t="s">
        <v>58</v>
      </c>
      <c r="L847" s="91" t="s">
        <v>60</v>
      </c>
      <c r="M847" s="98">
        <f ca="1">(TODAY()-H847)/365</f>
        <v>55.4</v>
      </c>
      <c r="N847" s="99">
        <f>(G847-H847)/365</f>
        <v>29.336986301369862</v>
      </c>
      <c r="O847" s="98">
        <f ca="1">(TODAY()-G847)/365</f>
        <v>26.063013698630137</v>
      </c>
      <c r="P847" s="91" t="s">
        <v>272</v>
      </c>
      <c r="Q847" s="91"/>
      <c r="R847" s="91"/>
      <c r="S847" s="91"/>
      <c r="T847" s="91"/>
      <c r="U847" s="91"/>
      <c r="V847" s="91"/>
      <c r="W847" s="91"/>
      <c r="X847" s="91"/>
      <c r="Y847" s="91"/>
      <c r="Z847" s="91"/>
      <c r="AA847" s="91"/>
      <c r="AB847" s="91"/>
      <c r="AC847" s="91"/>
      <c r="AD847" s="91"/>
      <c r="AE847" s="91"/>
      <c r="AF847" s="91"/>
      <c r="AG847" s="91"/>
      <c r="AH847" s="91"/>
      <c r="AI847" s="91"/>
      <c r="AJ847" s="91"/>
      <c r="AK847" s="91"/>
      <c r="AL847" s="91"/>
      <c r="AM847" s="91"/>
    </row>
    <row r="848" spans="1:39" ht="20.25" hidden="1" customHeight="1">
      <c r="A848" s="91"/>
      <c r="B848" s="113" t="s">
        <v>2848</v>
      </c>
      <c r="C848" s="91" t="s">
        <v>73</v>
      </c>
      <c r="D848" s="106" t="s">
        <v>3072</v>
      </c>
      <c r="E848" s="106" t="s">
        <v>2933</v>
      </c>
      <c r="F848" s="92" t="s">
        <v>3073</v>
      </c>
      <c r="G848" s="103">
        <v>35567</v>
      </c>
      <c r="H848" s="103">
        <v>20695</v>
      </c>
      <c r="I848" s="94" t="s">
        <v>3074</v>
      </c>
      <c r="J848" s="100" t="s">
        <v>58</v>
      </c>
      <c r="K848" s="91" t="s">
        <v>58</v>
      </c>
      <c r="L848" s="91" t="s">
        <v>60</v>
      </c>
      <c r="M848" s="98">
        <f ca="1">(TODAY()-H848)/365</f>
        <v>69.334246575342462</v>
      </c>
      <c r="N848" s="99">
        <f>(G848-H848)/365</f>
        <v>40.745205479452054</v>
      </c>
      <c r="O848" s="98">
        <f ca="1">(TODAY()-G848)/365</f>
        <v>28.589041095890412</v>
      </c>
      <c r="P848" s="91" t="s">
        <v>272</v>
      </c>
      <c r="Q848" s="91"/>
      <c r="R848" s="91"/>
      <c r="S848" s="91"/>
      <c r="T848" s="91"/>
      <c r="U848" s="91"/>
      <c r="V848" s="91"/>
      <c r="W848" s="91"/>
      <c r="X848" s="91"/>
      <c r="Y848" s="91"/>
      <c r="Z848" s="91"/>
      <c r="AA848" s="91"/>
      <c r="AB848" s="91"/>
      <c r="AC848" s="91"/>
      <c r="AD848" s="91"/>
      <c r="AE848" s="91"/>
      <c r="AF848" s="91"/>
      <c r="AG848" s="91"/>
      <c r="AH848" s="91"/>
      <c r="AI848" s="91"/>
      <c r="AJ848" s="91"/>
      <c r="AK848" s="91"/>
      <c r="AL848" s="91"/>
      <c r="AM848" s="91"/>
    </row>
    <row r="849" spans="1:39" ht="20.25" hidden="1" customHeight="1">
      <c r="A849" s="91"/>
      <c r="B849" s="113" t="s">
        <v>2848</v>
      </c>
      <c r="C849" s="91" t="s">
        <v>73</v>
      </c>
      <c r="D849" s="106" t="s">
        <v>3075</v>
      </c>
      <c r="E849" s="106" t="s">
        <v>3076</v>
      </c>
      <c r="F849" s="92" t="s">
        <v>3077</v>
      </c>
      <c r="G849" s="103">
        <v>43168</v>
      </c>
      <c r="H849" s="103">
        <v>31955</v>
      </c>
      <c r="I849" s="94" t="s">
        <v>3078</v>
      </c>
      <c r="J849" s="100" t="s">
        <v>58</v>
      </c>
      <c r="K849" s="91" t="s">
        <v>58</v>
      </c>
      <c r="L849" s="91" t="s">
        <v>60</v>
      </c>
      <c r="M849" s="98">
        <f ca="1">(TODAY()-H849)/365</f>
        <v>38.484931506849314</v>
      </c>
      <c r="N849" s="99">
        <f>(G849-H849)/365</f>
        <v>30.720547945205478</v>
      </c>
      <c r="O849" s="98">
        <f ca="1">(TODAY()-G849)/365</f>
        <v>7.7643835616438359</v>
      </c>
      <c r="P849" s="91" t="s">
        <v>272</v>
      </c>
      <c r="Q849" s="91"/>
      <c r="R849" s="91"/>
      <c r="S849" s="91"/>
      <c r="T849" s="91"/>
      <c r="U849" s="91"/>
      <c r="V849" s="91"/>
      <c r="W849" s="91"/>
      <c r="X849" s="91"/>
      <c r="Y849" s="91"/>
      <c r="Z849" s="91"/>
      <c r="AA849" s="91"/>
      <c r="AB849" s="91"/>
      <c r="AC849" s="91"/>
      <c r="AD849" s="91"/>
      <c r="AE849" s="91"/>
      <c r="AF849" s="91"/>
      <c r="AG849" s="91"/>
      <c r="AH849" s="91"/>
      <c r="AI849" s="91"/>
      <c r="AJ849" s="91"/>
      <c r="AK849" s="91"/>
      <c r="AL849" s="91"/>
      <c r="AM849" s="91"/>
    </row>
    <row r="850" spans="1:39" ht="20.25" hidden="1" customHeight="1">
      <c r="A850" s="91"/>
      <c r="B850" s="113" t="s">
        <v>2848</v>
      </c>
      <c r="C850" s="91" t="s">
        <v>36</v>
      </c>
      <c r="D850" s="106" t="s">
        <v>3079</v>
      </c>
      <c r="E850" s="106" t="s">
        <v>3080</v>
      </c>
      <c r="F850" s="92" t="s">
        <v>3081</v>
      </c>
      <c r="G850" s="103">
        <v>43530</v>
      </c>
      <c r="H850" s="103">
        <v>32651</v>
      </c>
      <c r="I850" s="94" t="s">
        <v>3082</v>
      </c>
      <c r="J850" s="94" t="s">
        <v>2853</v>
      </c>
      <c r="K850" s="92">
        <v>933031677</v>
      </c>
      <c r="L850" s="91" t="s">
        <v>60</v>
      </c>
      <c r="M850" s="98">
        <f ca="1">(TODAY()-H850)/365</f>
        <v>36.578082191780823</v>
      </c>
      <c r="N850" s="99">
        <f>(G850-H850)/365</f>
        <v>29.805479452054794</v>
      </c>
      <c r="O850" s="98">
        <f ca="1">(TODAY()-G850)/365</f>
        <v>6.7726027397260271</v>
      </c>
      <c r="P850" s="91" t="s">
        <v>43</v>
      </c>
      <c r="Q850" s="91"/>
      <c r="R850" s="91"/>
      <c r="S850" s="91"/>
      <c r="T850" s="91"/>
      <c r="U850" s="91"/>
      <c r="V850" s="91"/>
      <c r="W850" s="91"/>
      <c r="X850" s="91"/>
      <c r="Y850" s="91"/>
      <c r="Z850" s="91"/>
      <c r="AA850" s="91"/>
      <c r="AB850" s="91"/>
      <c r="AC850" s="91"/>
      <c r="AD850" s="91"/>
      <c r="AE850" s="91"/>
      <c r="AF850" s="91"/>
      <c r="AG850" s="91"/>
      <c r="AH850" s="91"/>
      <c r="AI850" s="91"/>
      <c r="AJ850" s="91"/>
      <c r="AK850" s="91"/>
      <c r="AL850" s="91"/>
      <c r="AM850" s="91"/>
    </row>
    <row r="851" spans="1:39" ht="20.25" hidden="1" customHeight="1">
      <c r="A851" s="91"/>
      <c r="B851" s="113" t="s">
        <v>2848</v>
      </c>
      <c r="C851" s="91" t="s">
        <v>36</v>
      </c>
      <c r="D851" s="106" t="s">
        <v>3083</v>
      </c>
      <c r="E851" s="106" t="s">
        <v>3084</v>
      </c>
      <c r="F851" s="92" t="s">
        <v>3085</v>
      </c>
      <c r="G851" s="103">
        <v>45524</v>
      </c>
      <c r="H851" s="103">
        <v>34312</v>
      </c>
      <c r="I851" s="94" t="s">
        <v>3086</v>
      </c>
      <c r="J851" s="94" t="s">
        <v>2853</v>
      </c>
      <c r="K851" s="92">
        <v>964552845</v>
      </c>
      <c r="L851" s="91" t="s">
        <v>60</v>
      </c>
      <c r="M851" s="98">
        <f ca="1">(TODAY()-H851)/365</f>
        <v>32.027397260273972</v>
      </c>
      <c r="N851" s="99">
        <f>(G851-H851)/365</f>
        <v>30.717808219178082</v>
      </c>
      <c r="O851" s="98">
        <f ca="1">(TODAY()-G851)/365</f>
        <v>1.3095890410958904</v>
      </c>
      <c r="P851" s="91" t="s">
        <v>272</v>
      </c>
      <c r="Q851" s="91"/>
      <c r="R851" s="91"/>
      <c r="S851" s="91"/>
      <c r="T851" s="91"/>
      <c r="U851" s="91"/>
      <c r="V851" s="91"/>
      <c r="W851" s="91"/>
      <c r="X851" s="91"/>
      <c r="Y851" s="91"/>
      <c r="Z851" s="91"/>
      <c r="AA851" s="91"/>
      <c r="AB851" s="91"/>
      <c r="AC851" s="91"/>
      <c r="AD851" s="91"/>
      <c r="AE851" s="91"/>
      <c r="AF851" s="91"/>
      <c r="AG851" s="91"/>
      <c r="AH851" s="91"/>
      <c r="AI851" s="91"/>
      <c r="AJ851" s="91"/>
      <c r="AK851" s="91"/>
      <c r="AL851" s="91"/>
      <c r="AM851" s="91"/>
    </row>
    <row r="852" spans="1:39" ht="20.25" hidden="1" customHeight="1">
      <c r="A852" s="91"/>
      <c r="B852" s="113" t="s">
        <v>2848</v>
      </c>
      <c r="C852" s="91" t="s">
        <v>36</v>
      </c>
      <c r="D852" s="106" t="s">
        <v>3087</v>
      </c>
      <c r="E852" s="106" t="s">
        <v>3088</v>
      </c>
      <c r="F852" s="92" t="s">
        <v>3089</v>
      </c>
      <c r="G852" s="103">
        <v>45232</v>
      </c>
      <c r="H852" s="103">
        <v>32261</v>
      </c>
      <c r="I852" s="94" t="s">
        <v>3090</v>
      </c>
      <c r="J852" s="94" t="s">
        <v>2853</v>
      </c>
      <c r="K852" s="92">
        <v>952688804</v>
      </c>
      <c r="L852" s="91" t="s">
        <v>60</v>
      </c>
      <c r="M852" s="98">
        <f ca="1">(TODAY()-H852)/365</f>
        <v>37.646575342465752</v>
      </c>
      <c r="N852" s="99">
        <f>(G852-H852)/365</f>
        <v>35.536986301369865</v>
      </c>
      <c r="O852" s="98">
        <f ca="1">(TODAY()-G852)/365</f>
        <v>2.1095890410958904</v>
      </c>
      <c r="P852" s="91" t="s">
        <v>43</v>
      </c>
      <c r="Q852" s="91"/>
      <c r="R852" s="91"/>
      <c r="S852" s="91"/>
      <c r="T852" s="91"/>
      <c r="U852" s="91"/>
      <c r="V852" s="91"/>
      <c r="W852" s="91"/>
      <c r="X852" s="91"/>
      <c r="Y852" s="91"/>
      <c r="Z852" s="91"/>
      <c r="AA852" s="91"/>
      <c r="AB852" s="91"/>
      <c r="AC852" s="91"/>
      <c r="AD852" s="91"/>
      <c r="AE852" s="91"/>
      <c r="AF852" s="91"/>
      <c r="AG852" s="91"/>
      <c r="AH852" s="91"/>
      <c r="AI852" s="91"/>
      <c r="AJ852" s="91"/>
      <c r="AK852" s="91"/>
      <c r="AL852" s="91"/>
      <c r="AM852" s="91"/>
    </row>
    <row r="853" spans="1:39" ht="20.25" hidden="1" customHeight="1">
      <c r="A853" s="91"/>
      <c r="B853" s="113" t="s">
        <v>2848</v>
      </c>
      <c r="C853" s="91" t="s">
        <v>36</v>
      </c>
      <c r="D853" s="106" t="s">
        <v>3091</v>
      </c>
      <c r="E853" s="106" t="s">
        <v>3092</v>
      </c>
      <c r="F853" s="92" t="s">
        <v>3093</v>
      </c>
      <c r="G853" s="103">
        <v>45232</v>
      </c>
      <c r="H853" s="103">
        <v>33615</v>
      </c>
      <c r="I853" s="94" t="s">
        <v>3090</v>
      </c>
      <c r="J853" s="94" t="s">
        <v>2853</v>
      </c>
      <c r="K853" s="92">
        <v>993545922</v>
      </c>
      <c r="L853" s="91" t="s">
        <v>121</v>
      </c>
      <c r="M853" s="98">
        <f ca="1">(TODAY()-H853)/365</f>
        <v>33.936986301369863</v>
      </c>
      <c r="N853" s="99">
        <f>(G853-H853)/365</f>
        <v>31.827397260273973</v>
      </c>
      <c r="O853" s="98">
        <f ca="1">(TODAY()-G853)/365</f>
        <v>2.1095890410958904</v>
      </c>
      <c r="P853" s="91" t="s">
        <v>272</v>
      </c>
      <c r="Q853" s="91"/>
      <c r="R853" s="91"/>
      <c r="S853" s="91"/>
      <c r="T853" s="91"/>
      <c r="U853" s="91"/>
      <c r="V853" s="91"/>
      <c r="W853" s="91"/>
      <c r="X853" s="91"/>
      <c r="Y853" s="91"/>
      <c r="Z853" s="91"/>
      <c r="AA853" s="91"/>
      <c r="AB853" s="91"/>
      <c r="AC853" s="91"/>
      <c r="AD853" s="91"/>
      <c r="AE853" s="91"/>
      <c r="AF853" s="91"/>
      <c r="AG853" s="91"/>
      <c r="AH853" s="91"/>
      <c r="AI853" s="91"/>
      <c r="AJ853" s="91"/>
      <c r="AK853" s="91"/>
      <c r="AL853" s="91"/>
      <c r="AM853" s="91"/>
    </row>
    <row r="854" spans="1:39" ht="20.25" hidden="1" customHeight="1">
      <c r="A854" s="91"/>
      <c r="B854" s="113" t="s">
        <v>2848</v>
      </c>
      <c r="C854" s="91" t="s">
        <v>36</v>
      </c>
      <c r="D854" s="106" t="s">
        <v>3094</v>
      </c>
      <c r="E854" s="106" t="s">
        <v>3095</v>
      </c>
      <c r="F854" s="92" t="s">
        <v>3096</v>
      </c>
      <c r="G854" s="103">
        <v>45584</v>
      </c>
      <c r="H854" s="103">
        <v>29268</v>
      </c>
      <c r="I854" s="94" t="s">
        <v>3097</v>
      </c>
      <c r="J854" s="94" t="s">
        <v>2853</v>
      </c>
      <c r="K854" s="92">
        <v>991489975</v>
      </c>
      <c r="L854" s="91" t="s">
        <v>49</v>
      </c>
      <c r="M854" s="98">
        <f ca="1">(TODAY()-H854)/365</f>
        <v>45.846575342465755</v>
      </c>
      <c r="N854" s="99">
        <f>(G854-H854)/365</f>
        <v>44.701369863013696</v>
      </c>
      <c r="O854" s="98">
        <f ca="1">(TODAY()-G854)/365</f>
        <v>1.1452054794520548</v>
      </c>
      <c r="P854" s="91" t="s">
        <v>43</v>
      </c>
      <c r="Q854" s="91"/>
      <c r="R854" s="91"/>
      <c r="S854" s="91"/>
      <c r="T854" s="91"/>
      <c r="U854" s="91"/>
      <c r="V854" s="91"/>
      <c r="W854" s="91"/>
      <c r="X854" s="91"/>
      <c r="Y854" s="91"/>
      <c r="Z854" s="91"/>
      <c r="AA854" s="91"/>
      <c r="AB854" s="91"/>
      <c r="AC854" s="91"/>
      <c r="AD854" s="91"/>
      <c r="AE854" s="91"/>
      <c r="AF854" s="91"/>
      <c r="AG854" s="91"/>
      <c r="AH854" s="91"/>
      <c r="AI854" s="91"/>
      <c r="AJ854" s="91"/>
      <c r="AK854" s="91"/>
      <c r="AL854" s="91"/>
      <c r="AM854" s="91"/>
    </row>
    <row r="855" spans="1:39" ht="20.25" hidden="1" customHeight="1">
      <c r="A855" s="91"/>
      <c r="B855" s="113" t="s">
        <v>2848</v>
      </c>
      <c r="C855" s="91" t="s">
        <v>36</v>
      </c>
      <c r="D855" s="106" t="s">
        <v>3098</v>
      </c>
      <c r="E855" s="106" t="s">
        <v>3099</v>
      </c>
      <c r="F855" s="92" t="s">
        <v>3100</v>
      </c>
      <c r="G855" s="103">
        <v>43558</v>
      </c>
      <c r="H855" s="103">
        <v>32998</v>
      </c>
      <c r="I855" s="94" t="s">
        <v>3101</v>
      </c>
      <c r="J855" s="94" t="s">
        <v>2853</v>
      </c>
      <c r="K855" s="92">
        <v>949254086</v>
      </c>
      <c r="L855" s="91" t="s">
        <v>216</v>
      </c>
      <c r="M855" s="98">
        <f ca="1">(TODAY()-H855)/365</f>
        <v>35.627397260273973</v>
      </c>
      <c r="N855" s="99">
        <f>(G855-H855)/365</f>
        <v>28.931506849315067</v>
      </c>
      <c r="O855" s="98">
        <f ca="1">(TODAY()-G855)/365</f>
        <v>6.6958904109589037</v>
      </c>
      <c r="P855" s="91" t="s">
        <v>272</v>
      </c>
      <c r="Q855" s="91"/>
      <c r="R855" s="91">
        <v>1</v>
      </c>
      <c r="S855" s="91"/>
      <c r="T855" s="91"/>
      <c r="U855" s="91"/>
      <c r="V855" s="91"/>
      <c r="W855" s="91"/>
      <c r="X855" s="91"/>
      <c r="Y855" s="91"/>
      <c r="Z855" s="91"/>
      <c r="AA855" s="91"/>
      <c r="AB855" s="91"/>
      <c r="AC855" s="91"/>
      <c r="AD855" s="91"/>
      <c r="AE855" s="91"/>
      <c r="AF855" s="91"/>
      <c r="AG855" s="91"/>
      <c r="AH855" s="91"/>
      <c r="AI855" s="91"/>
      <c r="AJ855" s="91"/>
      <c r="AK855" s="91"/>
      <c r="AL855" s="91"/>
      <c r="AM855" s="91"/>
    </row>
    <row r="856" spans="1:39" ht="20.25" hidden="1" customHeight="1">
      <c r="A856" s="91"/>
      <c r="B856" s="113" t="s">
        <v>2848</v>
      </c>
      <c r="C856" s="91" t="s">
        <v>36</v>
      </c>
      <c r="D856" s="106" t="s">
        <v>3102</v>
      </c>
      <c r="E856" s="106" t="s">
        <v>3103</v>
      </c>
      <c r="F856" s="92" t="s">
        <v>3104</v>
      </c>
      <c r="G856" s="103">
        <v>43558</v>
      </c>
      <c r="H856" s="103">
        <v>33375</v>
      </c>
      <c r="I856" s="94" t="s">
        <v>3105</v>
      </c>
      <c r="J856" s="94" t="s">
        <v>2853</v>
      </c>
      <c r="K856" s="92">
        <v>940567234</v>
      </c>
      <c r="L856" s="91" t="s">
        <v>60</v>
      </c>
      <c r="M856" s="98">
        <f ca="1">(TODAY()-H856)/365</f>
        <v>34.594520547945208</v>
      </c>
      <c r="N856" s="99">
        <f>(G856-H856)/365</f>
        <v>27.898630136986302</v>
      </c>
      <c r="O856" s="98">
        <f ca="1">(TODAY()-G856)/365</f>
        <v>6.6958904109589037</v>
      </c>
      <c r="P856" s="91" t="s">
        <v>272</v>
      </c>
      <c r="Q856" s="91"/>
      <c r="R856" s="91"/>
      <c r="S856" s="91"/>
      <c r="T856" s="91"/>
      <c r="U856" s="91"/>
      <c r="V856" s="91"/>
      <c r="W856" s="91"/>
      <c r="X856" s="91"/>
      <c r="Y856" s="91"/>
      <c r="Z856" s="91"/>
      <c r="AA856" s="91"/>
      <c r="AB856" s="91"/>
      <c r="AC856" s="91"/>
      <c r="AD856" s="91"/>
      <c r="AE856" s="91"/>
      <c r="AF856" s="91"/>
      <c r="AG856" s="91"/>
      <c r="AH856" s="91"/>
      <c r="AI856" s="91"/>
      <c r="AJ856" s="91"/>
      <c r="AK856" s="91"/>
      <c r="AL856" s="91"/>
      <c r="AM856" s="91"/>
    </row>
    <row r="857" spans="1:39" ht="20.25" hidden="1" customHeight="1">
      <c r="A857" s="91"/>
      <c r="B857" s="113" t="s">
        <v>2848</v>
      </c>
      <c r="C857" s="91" t="s">
        <v>36</v>
      </c>
      <c r="D857" s="106" t="s">
        <v>3106</v>
      </c>
      <c r="E857" s="106" t="s">
        <v>3107</v>
      </c>
      <c r="F857" s="92" t="s">
        <v>3108</v>
      </c>
      <c r="G857" s="103">
        <v>44261</v>
      </c>
      <c r="H857" s="103">
        <v>27510</v>
      </c>
      <c r="I857" s="94" t="s">
        <v>3109</v>
      </c>
      <c r="J857" s="94" t="s">
        <v>2853</v>
      </c>
      <c r="K857" s="92">
        <v>990512099</v>
      </c>
      <c r="L857" s="91" t="s">
        <v>216</v>
      </c>
      <c r="M857" s="98">
        <f ca="1">(TODAY()-H857)/365</f>
        <v>50.663013698630138</v>
      </c>
      <c r="N857" s="99">
        <f>(G857-H857)/365</f>
        <v>45.893150684931506</v>
      </c>
      <c r="O857" s="98">
        <f ca="1">(TODAY()-G857)/365</f>
        <v>4.7698630136986298</v>
      </c>
      <c r="P857" s="91" t="s">
        <v>272</v>
      </c>
      <c r="Q857" s="91"/>
      <c r="R857" s="91"/>
      <c r="S857" s="91"/>
      <c r="T857" s="91"/>
      <c r="U857" s="91"/>
      <c r="V857" s="91"/>
      <c r="W857" s="91"/>
      <c r="X857" s="91"/>
      <c r="Y857" s="91"/>
      <c r="Z857" s="91"/>
      <c r="AA857" s="91"/>
      <c r="AB857" s="91"/>
      <c r="AC857" s="91"/>
      <c r="AD857" s="91"/>
      <c r="AE857" s="91"/>
      <c r="AF857" s="91"/>
      <c r="AG857" s="91"/>
      <c r="AH857" s="91"/>
      <c r="AI857" s="91"/>
      <c r="AJ857" s="91"/>
      <c r="AK857" s="91"/>
      <c r="AL857" s="91"/>
      <c r="AM857" s="91"/>
    </row>
    <row r="858" spans="1:39" ht="20.25" hidden="1" customHeight="1">
      <c r="A858" s="91"/>
      <c r="B858" s="113" t="s">
        <v>2848</v>
      </c>
      <c r="C858" s="91" t="s">
        <v>73</v>
      </c>
      <c r="D858" s="106" t="s">
        <v>10220</v>
      </c>
      <c r="E858" s="106" t="s">
        <v>10221</v>
      </c>
      <c r="F858" s="92" t="s">
        <v>10222</v>
      </c>
      <c r="G858" s="103">
        <v>41646</v>
      </c>
      <c r="H858" s="103" t="s">
        <v>58</v>
      </c>
      <c r="I858" s="94" t="s">
        <v>58</v>
      </c>
      <c r="J858" s="100" t="s">
        <v>58</v>
      </c>
      <c r="K858" s="95" t="s">
        <v>58</v>
      </c>
      <c r="L858" s="91"/>
      <c r="M858" s="98">
        <v>0</v>
      </c>
      <c r="N858" s="99" t="e">
        <f>(G858-H858)/365</f>
        <v>#VALUE!</v>
      </c>
      <c r="O858" s="98">
        <f ca="1">(TODAY()-G858)/365</f>
        <v>11.934246575342465</v>
      </c>
      <c r="P858" s="91" t="s">
        <v>272</v>
      </c>
      <c r="Q858" s="91"/>
      <c r="R858" s="91"/>
      <c r="S858" s="91"/>
      <c r="T858" s="91"/>
      <c r="U858" s="91"/>
      <c r="V858" s="91"/>
      <c r="W858" s="91"/>
      <c r="X858" s="91"/>
      <c r="Y858" s="91"/>
      <c r="Z858" s="91"/>
      <c r="AA858" s="91"/>
      <c r="AB858" s="91"/>
      <c r="AC858" s="91"/>
      <c r="AD858" s="91"/>
      <c r="AE858" s="91"/>
      <c r="AF858" s="91"/>
      <c r="AG858" s="91"/>
      <c r="AH858" s="91"/>
      <c r="AI858" s="91"/>
      <c r="AJ858" s="91"/>
      <c r="AK858" s="91"/>
      <c r="AL858" s="91"/>
      <c r="AM858" s="91"/>
    </row>
    <row r="859" spans="1:39" ht="20.25" hidden="1" customHeight="1">
      <c r="A859" s="91"/>
      <c r="B859" s="113" t="s">
        <v>2848</v>
      </c>
      <c r="C859" s="91" t="s">
        <v>73</v>
      </c>
      <c r="D859" s="106" t="s">
        <v>10223</v>
      </c>
      <c r="E859" s="106" t="s">
        <v>10224</v>
      </c>
      <c r="F859" s="92" t="s">
        <v>10225</v>
      </c>
      <c r="G859" s="103">
        <v>43927</v>
      </c>
      <c r="H859" s="103">
        <v>22072</v>
      </c>
      <c r="I859" s="94" t="s">
        <v>58</v>
      </c>
      <c r="J859" s="100" t="s">
        <v>58</v>
      </c>
      <c r="K859" s="95" t="s">
        <v>58</v>
      </c>
      <c r="L859" s="91"/>
      <c r="M859" s="98">
        <f ca="1">(TODAY()-H859)/365</f>
        <v>65.561643835616437</v>
      </c>
      <c r="N859" s="99">
        <f>(G859-H859)/365</f>
        <v>59.876712328767127</v>
      </c>
      <c r="O859" s="98">
        <f ca="1">(TODAY()-G859)/365</f>
        <v>5.6849315068493151</v>
      </c>
      <c r="P859" s="91" t="s">
        <v>272</v>
      </c>
      <c r="Q859" s="91"/>
      <c r="R859" s="91"/>
      <c r="S859" s="91"/>
      <c r="T859" s="91"/>
      <c r="U859" s="91"/>
      <c r="V859" s="91"/>
      <c r="W859" s="91"/>
      <c r="X859" s="91"/>
      <c r="Y859" s="91"/>
      <c r="Z859" s="91"/>
      <c r="AA859" s="91"/>
      <c r="AB859" s="91"/>
      <c r="AC859" s="91"/>
      <c r="AD859" s="91"/>
      <c r="AE859" s="91"/>
      <c r="AF859" s="91"/>
      <c r="AG859" s="91"/>
      <c r="AH859" s="91"/>
      <c r="AI859" s="91"/>
      <c r="AJ859" s="91"/>
      <c r="AK859" s="91"/>
      <c r="AL859" s="91"/>
      <c r="AM859" s="91"/>
    </row>
    <row r="860" spans="1:39" ht="20.25" hidden="1" customHeight="1">
      <c r="A860" s="91"/>
      <c r="B860" s="113" t="s">
        <v>2848</v>
      </c>
      <c r="C860" s="91" t="s">
        <v>73</v>
      </c>
      <c r="D860" s="106" t="s">
        <v>10226</v>
      </c>
      <c r="E860" s="106" t="s">
        <v>10227</v>
      </c>
      <c r="F860" s="92" t="s">
        <v>10228</v>
      </c>
      <c r="G860" s="103">
        <v>42567</v>
      </c>
      <c r="H860" s="103" t="s">
        <v>58</v>
      </c>
      <c r="I860" s="94" t="s">
        <v>58</v>
      </c>
      <c r="J860" s="100" t="s">
        <v>58</v>
      </c>
      <c r="K860" s="95" t="s">
        <v>58</v>
      </c>
      <c r="L860" s="91"/>
      <c r="M860" s="98">
        <v>0</v>
      </c>
      <c r="N860" s="99" t="e">
        <f>(G860-H860)/365</f>
        <v>#VALUE!</v>
      </c>
      <c r="O860" s="98">
        <f ca="1">(TODAY()-G860)/365</f>
        <v>9.4109589041095898</v>
      </c>
      <c r="P860" s="91" t="s">
        <v>272</v>
      </c>
      <c r="Q860" s="91"/>
      <c r="R860" s="91"/>
      <c r="S860" s="91"/>
      <c r="T860" s="91"/>
      <c r="U860" s="91"/>
      <c r="V860" s="91"/>
      <c r="W860" s="91"/>
      <c r="X860" s="91"/>
      <c r="Y860" s="91"/>
      <c r="Z860" s="91"/>
      <c r="AA860" s="91"/>
      <c r="AB860" s="91"/>
      <c r="AC860" s="91"/>
      <c r="AD860" s="91"/>
      <c r="AE860" s="91"/>
      <c r="AF860" s="91"/>
      <c r="AG860" s="91"/>
      <c r="AH860" s="91"/>
      <c r="AI860" s="91"/>
      <c r="AJ860" s="91"/>
      <c r="AK860" s="91"/>
      <c r="AL860" s="91"/>
      <c r="AM860" s="91"/>
    </row>
    <row r="861" spans="1:39" ht="20.25" hidden="1" customHeight="1">
      <c r="A861" s="91"/>
      <c r="B861" s="113" t="s">
        <v>2848</v>
      </c>
      <c r="C861" s="91" t="s">
        <v>73</v>
      </c>
      <c r="D861" s="106" t="s">
        <v>10229</v>
      </c>
      <c r="E861" s="106" t="s">
        <v>10230</v>
      </c>
      <c r="F861" s="92" t="s">
        <v>10231</v>
      </c>
      <c r="G861" s="103">
        <v>44047</v>
      </c>
      <c r="H861" s="103">
        <v>34795</v>
      </c>
      <c r="I861" s="94" t="s">
        <v>58</v>
      </c>
      <c r="J861" s="100" t="s">
        <v>58</v>
      </c>
      <c r="K861" s="95" t="s">
        <v>58</v>
      </c>
      <c r="L861" s="91"/>
      <c r="M861" s="98">
        <f ca="1">(TODAY()-H861)/365</f>
        <v>30.704109589041096</v>
      </c>
      <c r="N861" s="99">
        <f>(G861-H861)/365</f>
        <v>25.347945205479451</v>
      </c>
      <c r="O861" s="98">
        <f ca="1">(TODAY()-G861)/365</f>
        <v>5.3561643835616435</v>
      </c>
      <c r="P861" s="91" t="s">
        <v>272</v>
      </c>
      <c r="Q861" s="91"/>
      <c r="R861" s="91"/>
      <c r="S861" s="91"/>
      <c r="T861" s="91"/>
      <c r="U861" s="91"/>
      <c r="V861" s="91"/>
      <c r="W861" s="91"/>
      <c r="X861" s="91"/>
      <c r="Y861" s="91"/>
      <c r="Z861" s="91"/>
      <c r="AA861" s="91"/>
      <c r="AB861" s="91"/>
      <c r="AC861" s="91"/>
      <c r="AD861" s="91"/>
      <c r="AE861" s="91"/>
      <c r="AF861" s="91"/>
      <c r="AG861" s="91"/>
      <c r="AH861" s="91"/>
      <c r="AI861" s="91"/>
      <c r="AJ861" s="91"/>
      <c r="AK861" s="91"/>
      <c r="AL861" s="91"/>
      <c r="AM861" s="91"/>
    </row>
    <row r="862" spans="1:39" ht="20.25" hidden="1" customHeight="1">
      <c r="A862" s="91"/>
      <c r="B862" s="93" t="s">
        <v>3110</v>
      </c>
      <c r="C862" s="91" t="s">
        <v>36</v>
      </c>
      <c r="D862" s="107" t="s">
        <v>3111</v>
      </c>
      <c r="E862" s="107" t="s">
        <v>3112</v>
      </c>
      <c r="F862" s="91" t="s">
        <v>3113</v>
      </c>
      <c r="G862" s="96">
        <v>44343</v>
      </c>
      <c r="H862" s="97">
        <v>37759</v>
      </c>
      <c r="I862" s="100" t="s">
        <v>3114</v>
      </c>
      <c r="J862" s="100" t="s">
        <v>3115</v>
      </c>
      <c r="K862" s="91">
        <f>56938794112</f>
        <v>56938794112</v>
      </c>
      <c r="L862" s="91" t="s">
        <v>60</v>
      </c>
      <c r="M862" s="98">
        <f ca="1">(TODAY()-H862)/365</f>
        <v>22.583561643835615</v>
      </c>
      <c r="N862" s="99">
        <f>(G862-H862)/365</f>
        <v>18.038356164383561</v>
      </c>
      <c r="O862" s="98">
        <f ca="1">(TODAY()-G862)/365</f>
        <v>4.5452054794520551</v>
      </c>
      <c r="P862" s="91" t="s">
        <v>43</v>
      </c>
      <c r="Q862" s="91">
        <v>0</v>
      </c>
      <c r="R862" s="91">
        <v>0</v>
      </c>
      <c r="S862" s="91">
        <v>0</v>
      </c>
      <c r="T862" s="91"/>
      <c r="U862" s="91"/>
      <c r="V862" s="91"/>
      <c r="W862" s="91"/>
      <c r="X862" s="91"/>
      <c r="Y862" s="91"/>
      <c r="Z862" s="91"/>
      <c r="AA862" s="91"/>
      <c r="AB862" s="91"/>
      <c r="AC862" s="91"/>
      <c r="AD862" s="91"/>
      <c r="AE862" s="91"/>
      <c r="AF862" s="91"/>
      <c r="AG862" s="91"/>
      <c r="AH862" s="91"/>
      <c r="AI862" s="91"/>
      <c r="AJ862" s="91"/>
      <c r="AK862" s="91"/>
      <c r="AL862" s="91"/>
      <c r="AM862" s="91"/>
    </row>
    <row r="863" spans="1:39" ht="20.25" hidden="1" customHeight="1">
      <c r="A863" s="91"/>
      <c r="B863" s="93" t="s">
        <v>3110</v>
      </c>
      <c r="C863" s="91" t="s">
        <v>36</v>
      </c>
      <c r="D863" s="107" t="s">
        <v>3116</v>
      </c>
      <c r="E863" s="107" t="s">
        <v>3117</v>
      </c>
      <c r="F863" s="91" t="s">
        <v>3118</v>
      </c>
      <c r="G863" s="96">
        <v>43182</v>
      </c>
      <c r="H863" s="97">
        <v>36486</v>
      </c>
      <c r="I863" s="100" t="s">
        <v>3119</v>
      </c>
      <c r="J863" s="100" t="s">
        <v>3120</v>
      </c>
      <c r="K863" s="91">
        <f>56968593790</f>
        <v>56968593790</v>
      </c>
      <c r="L863" s="91" t="s">
        <v>66</v>
      </c>
      <c r="M863" s="98">
        <f ca="1">(TODAY()-H863)/365</f>
        <v>26.07123287671233</v>
      </c>
      <c r="N863" s="99">
        <f>(G863-H863)/365</f>
        <v>18.345205479452055</v>
      </c>
      <c r="O863" s="98">
        <f ca="1">(TODAY()-G863)/365</f>
        <v>7.7260273972602738</v>
      </c>
      <c r="P863" s="91" t="s">
        <v>43</v>
      </c>
      <c r="Q863" s="91">
        <v>0</v>
      </c>
      <c r="R863" s="91">
        <v>0</v>
      </c>
      <c r="S863" s="91">
        <v>0</v>
      </c>
      <c r="T863" s="91"/>
      <c r="U863" s="91"/>
      <c r="V863" s="91"/>
      <c r="W863" s="91"/>
      <c r="X863" s="91"/>
      <c r="Y863" s="91"/>
      <c r="Z863" s="91"/>
      <c r="AA863" s="91"/>
      <c r="AB863" s="91"/>
      <c r="AC863" s="91"/>
      <c r="AD863" s="91"/>
      <c r="AE863" s="91"/>
      <c r="AF863" s="91"/>
      <c r="AG863" s="91"/>
      <c r="AH863" s="91"/>
      <c r="AI863" s="91"/>
      <c r="AJ863" s="91"/>
      <c r="AK863" s="91"/>
      <c r="AL863" s="91"/>
      <c r="AM863" s="91"/>
    </row>
    <row r="864" spans="1:39" ht="20.25" hidden="1" customHeight="1">
      <c r="A864" s="91"/>
      <c r="B864" s="93" t="s">
        <v>3110</v>
      </c>
      <c r="C864" s="91" t="s">
        <v>36</v>
      </c>
      <c r="D864" s="107" t="s">
        <v>3121</v>
      </c>
      <c r="E864" s="107" t="s">
        <v>3122</v>
      </c>
      <c r="F864" s="91" t="s">
        <v>3123</v>
      </c>
      <c r="G864" s="96">
        <v>30825</v>
      </c>
      <c r="H864" s="97">
        <v>20170</v>
      </c>
      <c r="I864" s="100" t="s">
        <v>3124</v>
      </c>
      <c r="J864" s="100" t="s">
        <v>3125</v>
      </c>
      <c r="K864" s="91">
        <f>56982383360</f>
        <v>56982383360</v>
      </c>
      <c r="L864" s="91" t="s">
        <v>42</v>
      </c>
      <c r="M864" s="98">
        <f ca="1">(TODAY()-H864)/365</f>
        <v>70.772602739726025</v>
      </c>
      <c r="N864" s="99">
        <f>(G864-H864)/365</f>
        <v>29.19178082191781</v>
      </c>
      <c r="O864" s="98">
        <f ca="1">(TODAY()-G864)/365</f>
        <v>41.580821917808223</v>
      </c>
      <c r="P864" s="91" t="s">
        <v>43</v>
      </c>
      <c r="Q864" s="91">
        <v>0</v>
      </c>
      <c r="R864" s="91">
        <v>0</v>
      </c>
      <c r="S864" s="91">
        <v>0</v>
      </c>
      <c r="T864" s="91"/>
      <c r="U864" s="91"/>
      <c r="V864" s="91"/>
      <c r="W864" s="91"/>
      <c r="X864" s="91"/>
      <c r="Y864" s="91"/>
      <c r="Z864" s="91"/>
      <c r="AA864" s="91"/>
      <c r="AB864" s="91"/>
      <c r="AC864" s="91"/>
      <c r="AD864" s="91"/>
      <c r="AE864" s="91"/>
      <c r="AF864" s="91"/>
      <c r="AG864" s="91"/>
      <c r="AH864" s="91"/>
      <c r="AI864" s="91"/>
      <c r="AJ864" s="91"/>
      <c r="AK864" s="91"/>
      <c r="AL864" s="91"/>
      <c r="AM864" s="91"/>
    </row>
    <row r="865" spans="1:39" ht="20.25" hidden="1" customHeight="1">
      <c r="A865" s="91"/>
      <c r="B865" s="93" t="s">
        <v>3110</v>
      </c>
      <c r="C865" s="91" t="s">
        <v>36</v>
      </c>
      <c r="D865" s="107" t="s">
        <v>3126</v>
      </c>
      <c r="E865" s="107" t="s">
        <v>3127</v>
      </c>
      <c r="F865" s="91" t="s">
        <v>3128</v>
      </c>
      <c r="G865" s="96">
        <v>42529</v>
      </c>
      <c r="H865" s="97">
        <v>31866</v>
      </c>
      <c r="I865" s="100" t="s">
        <v>3129</v>
      </c>
      <c r="J865" s="100" t="s">
        <v>3130</v>
      </c>
      <c r="K865" s="91">
        <f>56984375883</f>
        <v>56984375883</v>
      </c>
      <c r="L865" s="91" t="s">
        <v>49</v>
      </c>
      <c r="M865" s="98">
        <f ca="1">(TODAY()-H865)/365</f>
        <v>38.728767123287675</v>
      </c>
      <c r="N865" s="99">
        <f>(G865-H865)/365</f>
        <v>29.213698630136985</v>
      </c>
      <c r="O865" s="98">
        <f ca="1">(TODAY()-G865)/365</f>
        <v>9.5150684931506841</v>
      </c>
      <c r="P865" s="91" t="s">
        <v>43</v>
      </c>
      <c r="Q865" s="91">
        <v>0</v>
      </c>
      <c r="R865" s="91">
        <v>0</v>
      </c>
      <c r="S865" s="91">
        <v>0</v>
      </c>
      <c r="T865" s="91"/>
      <c r="U865" s="91"/>
      <c r="V865" s="91"/>
      <c r="W865" s="91"/>
      <c r="X865" s="91"/>
      <c r="Y865" s="91"/>
      <c r="Z865" s="91"/>
      <c r="AA865" s="91"/>
      <c r="AB865" s="91"/>
      <c r="AC865" s="91"/>
      <c r="AD865" s="91"/>
      <c r="AE865" s="91"/>
      <c r="AF865" s="91"/>
      <c r="AG865" s="91"/>
      <c r="AH865" s="91"/>
      <c r="AI865" s="91"/>
      <c r="AJ865" s="91"/>
      <c r="AK865" s="91"/>
      <c r="AL865" s="91"/>
      <c r="AM865" s="91"/>
    </row>
    <row r="866" spans="1:39" ht="20.25" customHeight="1">
      <c r="A866" s="91"/>
      <c r="B866" s="93" t="s">
        <v>11928</v>
      </c>
      <c r="C866" s="91" t="s">
        <v>73</v>
      </c>
      <c r="D866" s="107" t="s">
        <v>7499</v>
      </c>
      <c r="E866" s="107" t="s">
        <v>7500</v>
      </c>
      <c r="F866" s="91" t="s">
        <v>7501</v>
      </c>
      <c r="G866" s="96">
        <v>44535</v>
      </c>
      <c r="H866" s="97">
        <v>31342</v>
      </c>
      <c r="I866" s="94" t="s">
        <v>58</v>
      </c>
      <c r="J866" s="94" t="s">
        <v>58</v>
      </c>
      <c r="K866" s="95" t="s">
        <v>58</v>
      </c>
      <c r="L866" s="91" t="s">
        <v>60</v>
      </c>
      <c r="M866" s="98">
        <f ca="1">(TODAY()-H866)/365</f>
        <v>40.164383561643838</v>
      </c>
      <c r="N866" s="99">
        <f>(G866-H866)/365</f>
        <v>36.145205479452052</v>
      </c>
      <c r="O866" s="98">
        <f ca="1">(TODAY()-G866)/365</f>
        <v>4.0191780821917806</v>
      </c>
      <c r="P866" s="91" t="s">
        <v>43</v>
      </c>
      <c r="Q866" s="91">
        <v>0</v>
      </c>
      <c r="R866" s="91">
        <v>0</v>
      </c>
      <c r="S866" s="91">
        <v>0</v>
      </c>
      <c r="T866" s="91"/>
      <c r="U866" s="91"/>
      <c r="V866" s="91"/>
      <c r="W866" s="91"/>
      <c r="X866" s="91"/>
      <c r="Y866" s="91"/>
      <c r="Z866" s="91"/>
      <c r="AA866" s="91"/>
      <c r="AB866" s="91"/>
      <c r="AC866" s="91"/>
      <c r="AD866" s="91"/>
      <c r="AE866" s="91"/>
      <c r="AF866" s="91"/>
      <c r="AG866" s="91"/>
      <c r="AH866" s="91"/>
      <c r="AI866" s="91"/>
      <c r="AJ866" s="91"/>
      <c r="AK866" s="91"/>
      <c r="AL866" s="91"/>
      <c r="AM866" s="91"/>
    </row>
    <row r="867" spans="1:39" ht="20.25" hidden="1" customHeight="1">
      <c r="A867" s="91"/>
      <c r="B867" s="93" t="s">
        <v>3110</v>
      </c>
      <c r="C867" s="91" t="s">
        <v>36</v>
      </c>
      <c r="D867" s="107" t="s">
        <v>3134</v>
      </c>
      <c r="E867" s="107" t="s">
        <v>3135</v>
      </c>
      <c r="F867" s="91" t="s">
        <v>3136</v>
      </c>
      <c r="G867" s="96">
        <v>38007</v>
      </c>
      <c r="H867" s="97">
        <v>26245</v>
      </c>
      <c r="I867" s="100" t="s">
        <v>58</v>
      </c>
      <c r="J867" s="100" t="s">
        <v>3137</v>
      </c>
      <c r="K867" s="91">
        <f>56984711934</f>
        <v>56984711934</v>
      </c>
      <c r="L867" s="91" t="s">
        <v>60</v>
      </c>
      <c r="M867" s="98">
        <f ca="1">(TODAY()-H867)/365</f>
        <v>54.128767123287673</v>
      </c>
      <c r="N867" s="99">
        <f>(G867-H867)/365</f>
        <v>32.224657534246575</v>
      </c>
      <c r="O867" s="98">
        <f ca="1">(TODAY()-G867)/365</f>
        <v>21.904109589041095</v>
      </c>
      <c r="P867" s="91" t="s">
        <v>43</v>
      </c>
      <c r="Q867" s="91">
        <v>0</v>
      </c>
      <c r="R867" s="91">
        <v>0</v>
      </c>
      <c r="S867" s="91">
        <v>0</v>
      </c>
      <c r="T867" s="91"/>
      <c r="U867" s="91"/>
      <c r="V867" s="91"/>
      <c r="W867" s="91"/>
      <c r="X867" s="91"/>
      <c r="Y867" s="91"/>
      <c r="Z867" s="91"/>
      <c r="AA867" s="91"/>
      <c r="AB867" s="91"/>
      <c r="AC867" s="91"/>
      <c r="AD867" s="91"/>
      <c r="AE867" s="91"/>
      <c r="AF867" s="91"/>
      <c r="AG867" s="91"/>
      <c r="AH867" s="91"/>
      <c r="AI867" s="91"/>
      <c r="AJ867" s="91"/>
      <c r="AK867" s="91"/>
      <c r="AL867" s="91"/>
      <c r="AM867" s="91"/>
    </row>
    <row r="868" spans="1:39" ht="20.25" customHeight="1">
      <c r="A868" s="91"/>
      <c r="B868" s="93" t="s">
        <v>371</v>
      </c>
      <c r="C868" s="91" t="s">
        <v>73</v>
      </c>
      <c r="D868" s="94" t="s">
        <v>494</v>
      </c>
      <c r="E868" s="94" t="s">
        <v>495</v>
      </c>
      <c r="F868" s="95" t="s">
        <v>496</v>
      </c>
      <c r="G868" s="96">
        <v>45504</v>
      </c>
      <c r="H868" s="97">
        <v>33292</v>
      </c>
      <c r="I868" s="100" t="s">
        <v>497</v>
      </c>
      <c r="J868" s="100" t="s">
        <v>58</v>
      </c>
      <c r="K868" s="91" t="s">
        <v>58</v>
      </c>
      <c r="L868" s="91" t="s">
        <v>60</v>
      </c>
      <c r="M868" s="98">
        <f ca="1">(TODAY()-H868)/365</f>
        <v>34.821917808219176</v>
      </c>
      <c r="N868" s="99">
        <f>(G868-H868)/365</f>
        <v>33.457534246575342</v>
      </c>
      <c r="O868" s="98">
        <f ca="1">(TODAY()-G868)/365</f>
        <v>1.3643835616438356</v>
      </c>
      <c r="P868" s="91" t="s">
        <v>272</v>
      </c>
      <c r="Q868" s="91">
        <v>0</v>
      </c>
      <c r="R868" s="91">
        <v>0</v>
      </c>
      <c r="S868" s="91">
        <v>0</v>
      </c>
      <c r="T868" s="91"/>
      <c r="U868" s="91"/>
      <c r="V868" s="91"/>
      <c r="W868" s="91"/>
      <c r="X868" s="91"/>
      <c r="Y868" s="91"/>
      <c r="Z868" s="91"/>
      <c r="AA868" s="91"/>
      <c r="AB868" s="91"/>
      <c r="AC868" s="91"/>
      <c r="AD868" s="91"/>
      <c r="AE868" s="91"/>
      <c r="AF868" s="91"/>
      <c r="AG868" s="91"/>
      <c r="AH868" s="91"/>
      <c r="AI868" s="91"/>
      <c r="AJ868" s="91"/>
      <c r="AK868" s="91"/>
      <c r="AL868" s="91"/>
      <c r="AM868" s="91"/>
    </row>
    <row r="869" spans="1:39" ht="20.25" hidden="1" customHeight="1">
      <c r="A869" s="91"/>
      <c r="B869" s="93" t="s">
        <v>3110</v>
      </c>
      <c r="C869" s="91" t="s">
        <v>36</v>
      </c>
      <c r="D869" s="107" t="s">
        <v>3140</v>
      </c>
      <c r="E869" s="107" t="s">
        <v>3141</v>
      </c>
      <c r="F869" s="91" t="s">
        <v>3142</v>
      </c>
      <c r="G869" s="96">
        <v>38007</v>
      </c>
      <c r="H869" s="97">
        <v>24231</v>
      </c>
      <c r="I869" s="100" t="s">
        <v>3143</v>
      </c>
      <c r="J869" s="100" t="s">
        <v>3144</v>
      </c>
      <c r="K869" s="91">
        <f>56996695519</f>
        <v>56996695519</v>
      </c>
      <c r="L869" s="91" t="s">
        <v>60</v>
      </c>
      <c r="M869" s="98">
        <f ca="1">(TODAY()-H869)/365</f>
        <v>59.646575342465752</v>
      </c>
      <c r="N869" s="99">
        <f>(G869-H869)/365</f>
        <v>37.742465753424661</v>
      </c>
      <c r="O869" s="98">
        <f ca="1">(TODAY()-G869)/365</f>
        <v>21.904109589041095</v>
      </c>
      <c r="P869" s="91" t="s">
        <v>43</v>
      </c>
      <c r="Q869" s="91">
        <v>0</v>
      </c>
      <c r="R869" s="91">
        <v>0</v>
      </c>
      <c r="S869" s="91">
        <v>0</v>
      </c>
      <c r="T869" s="91"/>
      <c r="U869" s="91"/>
      <c r="V869" s="91"/>
      <c r="W869" s="91"/>
      <c r="X869" s="91"/>
      <c r="Y869" s="91"/>
      <c r="Z869" s="91"/>
      <c r="AA869" s="91"/>
      <c r="AB869" s="91"/>
      <c r="AC869" s="91"/>
      <c r="AD869" s="91"/>
      <c r="AE869" s="91"/>
      <c r="AF869" s="91"/>
      <c r="AG869" s="91"/>
      <c r="AH869" s="91"/>
      <c r="AI869" s="91"/>
      <c r="AJ869" s="91"/>
      <c r="AK869" s="91"/>
      <c r="AL869" s="91"/>
      <c r="AM869" s="91"/>
    </row>
    <row r="870" spans="1:39" ht="20.25" hidden="1" customHeight="1">
      <c r="A870" s="91"/>
      <c r="B870" s="93" t="s">
        <v>3110</v>
      </c>
      <c r="C870" s="91" t="s">
        <v>36</v>
      </c>
      <c r="D870" s="107" t="s">
        <v>3145</v>
      </c>
      <c r="E870" s="107" t="s">
        <v>3146</v>
      </c>
      <c r="F870" s="91" t="s">
        <v>3147</v>
      </c>
      <c r="G870" s="96">
        <v>30630</v>
      </c>
      <c r="H870" s="97">
        <v>16453</v>
      </c>
      <c r="I870" s="100" t="s">
        <v>58</v>
      </c>
      <c r="J870" s="100" t="s">
        <v>3148</v>
      </c>
      <c r="K870" s="91">
        <f>56997686885</f>
        <v>56997686885</v>
      </c>
      <c r="L870" s="91" t="s">
        <v>54</v>
      </c>
      <c r="M870" s="98">
        <f ca="1">(TODAY()-H870)/365</f>
        <v>80.956164383561642</v>
      </c>
      <c r="N870" s="99">
        <f>(G870-H870)/365</f>
        <v>38.841095890410962</v>
      </c>
      <c r="O870" s="98">
        <f ca="1">(TODAY()-G870)/365</f>
        <v>42.115068493150687</v>
      </c>
      <c r="P870" s="91" t="s">
        <v>43</v>
      </c>
      <c r="Q870" s="91">
        <v>0</v>
      </c>
      <c r="R870" s="91">
        <v>0</v>
      </c>
      <c r="S870" s="91">
        <v>0</v>
      </c>
      <c r="T870" s="91"/>
      <c r="U870" s="91"/>
      <c r="V870" s="91"/>
      <c r="W870" s="91"/>
      <c r="X870" s="91"/>
      <c r="Y870" s="91"/>
      <c r="Z870" s="91"/>
      <c r="AA870" s="91"/>
      <c r="AB870" s="91"/>
      <c r="AC870" s="91"/>
      <c r="AD870" s="91"/>
      <c r="AE870" s="91"/>
      <c r="AF870" s="91"/>
      <c r="AG870" s="91"/>
      <c r="AH870" s="91"/>
      <c r="AI870" s="91"/>
      <c r="AJ870" s="91"/>
      <c r="AK870" s="91"/>
      <c r="AL870" s="91"/>
      <c r="AM870" s="91"/>
    </row>
    <row r="871" spans="1:39" ht="20.25" customHeight="1">
      <c r="A871" s="91"/>
      <c r="B871" s="93" t="s">
        <v>4896</v>
      </c>
      <c r="C871" s="91" t="s">
        <v>73</v>
      </c>
      <c r="D871" s="107" t="s">
        <v>4947</v>
      </c>
      <c r="E871" s="107" t="s">
        <v>4948</v>
      </c>
      <c r="F871" s="91" t="s">
        <v>4949</v>
      </c>
      <c r="G871" s="96">
        <v>45202</v>
      </c>
      <c r="H871" s="97">
        <v>37725</v>
      </c>
      <c r="I871" s="94" t="s">
        <v>58</v>
      </c>
      <c r="J871" s="94" t="s">
        <v>58</v>
      </c>
      <c r="K871" s="91">
        <v>956545077</v>
      </c>
      <c r="L871" s="91" t="s">
        <v>60</v>
      </c>
      <c r="M871" s="98">
        <f ca="1">(TODAY()-H871)/365</f>
        <v>22.676712328767124</v>
      </c>
      <c r="N871" s="99">
        <f>(G871-H871)/365</f>
        <v>20.484931506849314</v>
      </c>
      <c r="O871" s="98">
        <f ca="1">(TODAY()-G871)/365</f>
        <v>2.1917808219178081</v>
      </c>
      <c r="P871" s="91" t="s">
        <v>43</v>
      </c>
      <c r="Q871" s="91">
        <v>0</v>
      </c>
      <c r="R871" s="91">
        <v>0</v>
      </c>
      <c r="S871" s="91">
        <v>0</v>
      </c>
      <c r="T871" s="91"/>
      <c r="U871" s="91"/>
      <c r="V871" s="91"/>
      <c r="W871" s="91"/>
      <c r="X871" s="91"/>
      <c r="Y871" s="91"/>
      <c r="Z871" s="91"/>
      <c r="AA871" s="91"/>
      <c r="AB871" s="91"/>
      <c r="AC871" s="91"/>
      <c r="AD871" s="91"/>
      <c r="AE871" s="91"/>
      <c r="AF871" s="91"/>
      <c r="AG871" s="91"/>
      <c r="AH871" s="91"/>
      <c r="AI871" s="91"/>
      <c r="AJ871" s="91"/>
      <c r="AK871" s="91"/>
      <c r="AL871" s="91"/>
      <c r="AM871" s="91"/>
    </row>
    <row r="872" spans="1:39" ht="20.25" hidden="1" customHeight="1">
      <c r="A872" s="91"/>
      <c r="B872" s="93" t="s">
        <v>3110</v>
      </c>
      <c r="C872" s="91" t="s">
        <v>36</v>
      </c>
      <c r="D872" s="107" t="s">
        <v>3152</v>
      </c>
      <c r="E872" s="107" t="s">
        <v>3153</v>
      </c>
      <c r="F872" s="91" t="s">
        <v>3154</v>
      </c>
      <c r="G872" s="96">
        <v>44429</v>
      </c>
      <c r="H872" s="97">
        <v>26472</v>
      </c>
      <c r="I872" s="100" t="s">
        <v>3155</v>
      </c>
      <c r="J872" s="100" t="s">
        <v>3156</v>
      </c>
      <c r="K872" s="91">
        <f>56998659893</f>
        <v>56998659893</v>
      </c>
      <c r="L872" s="91" t="s">
        <v>60</v>
      </c>
      <c r="M872" s="98">
        <f ca="1">(TODAY()-H872)/365</f>
        <v>53.506849315068493</v>
      </c>
      <c r="N872" s="99">
        <f>(G872-H872)/365</f>
        <v>49.197260273972603</v>
      </c>
      <c r="O872" s="98">
        <f ca="1">(TODAY()-G872)/365</f>
        <v>4.3095890410958901</v>
      </c>
      <c r="P872" s="91" t="s">
        <v>43</v>
      </c>
      <c r="Q872" s="91">
        <v>0</v>
      </c>
      <c r="R872" s="91">
        <v>0</v>
      </c>
      <c r="S872" s="91">
        <v>0</v>
      </c>
      <c r="T872" s="91"/>
      <c r="U872" s="91"/>
      <c r="V872" s="91"/>
      <c r="W872" s="91"/>
      <c r="X872" s="91"/>
      <c r="Y872" s="91"/>
      <c r="Z872" s="91"/>
      <c r="AA872" s="91"/>
      <c r="AB872" s="91"/>
      <c r="AC872" s="91"/>
      <c r="AD872" s="91"/>
      <c r="AE872" s="91"/>
      <c r="AF872" s="91"/>
      <c r="AG872" s="91"/>
      <c r="AH872" s="91"/>
      <c r="AI872" s="91"/>
      <c r="AJ872" s="91"/>
      <c r="AK872" s="91"/>
      <c r="AL872" s="91"/>
      <c r="AM872" s="91"/>
    </row>
    <row r="873" spans="1:39" ht="20.25" hidden="1" customHeight="1">
      <c r="A873" s="91"/>
      <c r="B873" s="93" t="s">
        <v>3110</v>
      </c>
      <c r="C873" s="91" t="s">
        <v>36</v>
      </c>
      <c r="D873" s="107" t="s">
        <v>3157</v>
      </c>
      <c r="E873" s="107" t="s">
        <v>3141</v>
      </c>
      <c r="F873" s="91" t="s">
        <v>3158</v>
      </c>
      <c r="G873" s="96">
        <v>44343</v>
      </c>
      <c r="H873" s="97">
        <v>24673</v>
      </c>
      <c r="I873" s="100" t="s">
        <v>3159</v>
      </c>
      <c r="J873" s="100" t="s">
        <v>3115</v>
      </c>
      <c r="K873" s="91">
        <f>56966609280</f>
        <v>56966609280</v>
      </c>
      <c r="L873" s="91" t="s">
        <v>60</v>
      </c>
      <c r="M873" s="98">
        <f ca="1">(TODAY()-H873)/365</f>
        <v>58.435616438356163</v>
      </c>
      <c r="N873" s="99">
        <f>(G873-H873)/365</f>
        <v>53.890410958904113</v>
      </c>
      <c r="O873" s="98">
        <f ca="1">(TODAY()-G873)/365</f>
        <v>4.5452054794520551</v>
      </c>
      <c r="P873" s="91" t="s">
        <v>43</v>
      </c>
      <c r="Q873" s="91">
        <v>0</v>
      </c>
      <c r="R873" s="91">
        <v>0</v>
      </c>
      <c r="S873" s="91">
        <v>0</v>
      </c>
      <c r="T873" s="91"/>
      <c r="U873" s="91"/>
      <c r="V873" s="91"/>
      <c r="W873" s="91"/>
      <c r="X873" s="91"/>
      <c r="Y873" s="91"/>
      <c r="Z873" s="91"/>
      <c r="AA873" s="91"/>
      <c r="AB873" s="91"/>
      <c r="AC873" s="91"/>
      <c r="AD873" s="91"/>
      <c r="AE873" s="91"/>
      <c r="AF873" s="91"/>
      <c r="AG873" s="91"/>
      <c r="AH873" s="91"/>
      <c r="AI873" s="91"/>
      <c r="AJ873" s="91"/>
      <c r="AK873" s="91"/>
      <c r="AL873" s="91"/>
      <c r="AM873" s="91"/>
    </row>
    <row r="874" spans="1:39" ht="20.25" hidden="1" customHeight="1">
      <c r="A874" s="91"/>
      <c r="B874" s="93" t="s">
        <v>3110</v>
      </c>
      <c r="C874" s="91" t="s">
        <v>36</v>
      </c>
      <c r="D874" s="107" t="s">
        <v>3160</v>
      </c>
      <c r="E874" s="107" t="s">
        <v>3161</v>
      </c>
      <c r="F874" s="91" t="s">
        <v>3162</v>
      </c>
      <c r="G874" s="96">
        <v>44477</v>
      </c>
      <c r="H874" s="97">
        <v>22991</v>
      </c>
      <c r="I874" s="100" t="s">
        <v>3163</v>
      </c>
      <c r="J874" s="100" t="s">
        <v>3164</v>
      </c>
      <c r="K874" s="91">
        <f>56971754795</f>
        <v>56971754795</v>
      </c>
      <c r="L874" s="91" t="s">
        <v>60</v>
      </c>
      <c r="M874" s="98">
        <f ca="1">(TODAY()-H874)/365</f>
        <v>63.043835616438358</v>
      </c>
      <c r="N874" s="99">
        <f>(G874-H874)/365</f>
        <v>58.865753424657534</v>
      </c>
      <c r="O874" s="98">
        <f ca="1">(TODAY()-G874)/365</f>
        <v>4.1780821917808222</v>
      </c>
      <c r="P874" s="91" t="s">
        <v>272</v>
      </c>
      <c r="Q874" s="91">
        <v>0</v>
      </c>
      <c r="R874" s="91">
        <v>0</v>
      </c>
      <c r="S874" s="91">
        <v>0</v>
      </c>
      <c r="T874" s="91"/>
      <c r="U874" s="91"/>
      <c r="V874" s="91"/>
      <c r="W874" s="91"/>
      <c r="X874" s="91"/>
      <c r="Y874" s="91"/>
      <c r="Z874" s="91"/>
      <c r="AA874" s="91"/>
      <c r="AB874" s="91"/>
      <c r="AC874" s="91"/>
      <c r="AD874" s="91"/>
      <c r="AE874" s="91"/>
      <c r="AF874" s="91"/>
      <c r="AG874" s="91"/>
      <c r="AH874" s="91"/>
      <c r="AI874" s="91"/>
      <c r="AJ874" s="91"/>
      <c r="AK874" s="91"/>
      <c r="AL874" s="91"/>
      <c r="AM874" s="91"/>
    </row>
    <row r="875" spans="1:39" ht="20.25" hidden="1" customHeight="1">
      <c r="A875" s="91"/>
      <c r="B875" s="93" t="s">
        <v>3110</v>
      </c>
      <c r="C875" s="91" t="s">
        <v>36</v>
      </c>
      <c r="D875" s="107" t="s">
        <v>3165</v>
      </c>
      <c r="E875" s="107" t="s">
        <v>3166</v>
      </c>
      <c r="F875" s="91" t="s">
        <v>3167</v>
      </c>
      <c r="G875" s="96">
        <v>44518</v>
      </c>
      <c r="H875" s="97">
        <v>21787</v>
      </c>
      <c r="I875" s="100" t="s">
        <v>3168</v>
      </c>
      <c r="J875" s="100" t="s">
        <v>3148</v>
      </c>
      <c r="K875" s="91">
        <f>56958515028</f>
        <v>56958515028</v>
      </c>
      <c r="L875" s="91" t="s">
        <v>60</v>
      </c>
      <c r="M875" s="98">
        <f ca="1">(TODAY()-H875)/365</f>
        <v>66.342465753424662</v>
      </c>
      <c r="N875" s="99">
        <f>(G875-H875)/365</f>
        <v>62.276712328767125</v>
      </c>
      <c r="O875" s="98">
        <f ca="1">(TODAY()-G875)/365</f>
        <v>4.065753424657534</v>
      </c>
      <c r="P875" s="91" t="s">
        <v>43</v>
      </c>
      <c r="Q875" s="91">
        <v>0</v>
      </c>
      <c r="R875" s="91">
        <v>0</v>
      </c>
      <c r="S875" s="91">
        <v>0</v>
      </c>
      <c r="T875" s="91"/>
      <c r="U875" s="91"/>
      <c r="V875" s="91"/>
      <c r="W875" s="91"/>
      <c r="X875" s="91"/>
      <c r="Y875" s="91"/>
      <c r="Z875" s="91"/>
      <c r="AA875" s="91"/>
      <c r="AB875" s="91"/>
      <c r="AC875" s="91"/>
      <c r="AD875" s="91"/>
      <c r="AE875" s="91"/>
      <c r="AF875" s="91"/>
      <c r="AG875" s="91"/>
      <c r="AH875" s="91"/>
      <c r="AI875" s="91"/>
      <c r="AJ875" s="91"/>
      <c r="AK875" s="91"/>
      <c r="AL875" s="91"/>
      <c r="AM875" s="91"/>
    </row>
    <row r="876" spans="1:39" ht="20.25" hidden="1" customHeight="1">
      <c r="A876" s="91"/>
      <c r="B876" s="93" t="s">
        <v>3169</v>
      </c>
      <c r="C876" s="91" t="s">
        <v>36</v>
      </c>
      <c r="D876" s="94" t="s">
        <v>217</v>
      </c>
      <c r="E876" s="94" t="s">
        <v>3170</v>
      </c>
      <c r="F876" s="95" t="s">
        <v>3171</v>
      </c>
      <c r="G876" s="96">
        <v>31654</v>
      </c>
      <c r="H876" s="97">
        <v>18497</v>
      </c>
      <c r="I876" s="94" t="s">
        <v>3172</v>
      </c>
      <c r="J876" s="100" t="s">
        <v>58</v>
      </c>
      <c r="K876" s="95">
        <v>995985661</v>
      </c>
      <c r="L876" s="91" t="s">
        <v>42</v>
      </c>
      <c r="M876" s="98">
        <f ca="1">(TODAY()-H876)/365</f>
        <v>75.356164383561648</v>
      </c>
      <c r="N876" s="99">
        <f>(G876-H876)/365</f>
        <v>36.046575342465751</v>
      </c>
      <c r="O876" s="98">
        <f ca="1">(TODAY()-G876)/365</f>
        <v>39.30958904109589</v>
      </c>
      <c r="P876" s="91" t="s">
        <v>43</v>
      </c>
      <c r="Q876" s="91">
        <v>0</v>
      </c>
      <c r="R876" s="91">
        <v>0</v>
      </c>
      <c r="S876" s="91">
        <v>0</v>
      </c>
      <c r="T876" s="91"/>
      <c r="U876" s="91"/>
      <c r="V876" s="91"/>
      <c r="W876" s="91"/>
      <c r="X876" s="91"/>
      <c r="Y876" s="91"/>
      <c r="Z876" s="91"/>
      <c r="AA876" s="91"/>
      <c r="AB876" s="91"/>
      <c r="AC876" s="91"/>
      <c r="AD876" s="91"/>
      <c r="AE876" s="91"/>
      <c r="AF876" s="91"/>
      <c r="AG876" s="91"/>
      <c r="AH876" s="91"/>
      <c r="AI876" s="91"/>
      <c r="AJ876" s="91"/>
      <c r="AK876" s="91"/>
      <c r="AL876" s="91"/>
      <c r="AM876" s="91"/>
    </row>
    <row r="877" spans="1:39" ht="20.25" hidden="1" customHeight="1">
      <c r="A877" s="91"/>
      <c r="B877" s="93" t="s">
        <v>3169</v>
      </c>
      <c r="C877" s="91" t="s">
        <v>36</v>
      </c>
      <c r="D877" s="94" t="s">
        <v>2500</v>
      </c>
      <c r="E877" s="94" t="s">
        <v>3173</v>
      </c>
      <c r="F877" s="95" t="s">
        <v>3174</v>
      </c>
      <c r="G877" s="96">
        <v>44937</v>
      </c>
      <c r="H877" s="97">
        <v>28700</v>
      </c>
      <c r="I877" s="115" t="s">
        <v>3175</v>
      </c>
      <c r="J877" s="94" t="s">
        <v>3176</v>
      </c>
      <c r="K877" s="95">
        <v>977535944</v>
      </c>
      <c r="L877" s="91" t="s">
        <v>60</v>
      </c>
      <c r="M877" s="98">
        <f ca="1">(TODAY()-H877)/365</f>
        <v>47.402739726027399</v>
      </c>
      <c r="N877" s="99">
        <f>(G877-H877)/365</f>
        <v>44.484931506849314</v>
      </c>
      <c r="O877" s="98">
        <f ca="1">(TODAY()-G877)/365</f>
        <v>2.9178082191780823</v>
      </c>
      <c r="P877" s="91" t="s">
        <v>43</v>
      </c>
      <c r="Q877" s="91">
        <v>0</v>
      </c>
      <c r="R877" s="91">
        <v>0</v>
      </c>
      <c r="S877" s="91">
        <v>0</v>
      </c>
      <c r="T877" s="91"/>
      <c r="U877" s="91"/>
      <c r="V877" s="91"/>
      <c r="W877" s="91"/>
      <c r="X877" s="91"/>
      <c r="Y877" s="91"/>
      <c r="Z877" s="91"/>
      <c r="AA877" s="91"/>
      <c r="AB877" s="91"/>
      <c r="AC877" s="91"/>
      <c r="AD877" s="91"/>
      <c r="AE877" s="91"/>
      <c r="AF877" s="91"/>
      <c r="AG877" s="91"/>
      <c r="AH877" s="91"/>
      <c r="AI877" s="91"/>
      <c r="AJ877" s="91"/>
      <c r="AK877" s="91"/>
      <c r="AL877" s="91"/>
      <c r="AM877" s="91"/>
    </row>
    <row r="878" spans="1:39" ht="20.25" hidden="1" customHeight="1">
      <c r="A878" s="91"/>
      <c r="B878" s="93" t="s">
        <v>3169</v>
      </c>
      <c r="C878" s="91" t="s">
        <v>36</v>
      </c>
      <c r="D878" s="94" t="s">
        <v>3177</v>
      </c>
      <c r="E878" s="94" t="s">
        <v>3178</v>
      </c>
      <c r="F878" s="95" t="s">
        <v>3179</v>
      </c>
      <c r="G878" s="96">
        <v>45014</v>
      </c>
      <c r="H878" s="97">
        <v>22921</v>
      </c>
      <c r="I878" s="94" t="s">
        <v>3180</v>
      </c>
      <c r="J878" s="94" t="s">
        <v>3181</v>
      </c>
      <c r="K878" s="95">
        <v>998411139</v>
      </c>
      <c r="L878" s="91" t="s">
        <v>60</v>
      </c>
      <c r="M878" s="98">
        <f ca="1">(TODAY()-H878)/365</f>
        <v>63.235616438356168</v>
      </c>
      <c r="N878" s="99">
        <f>(G878-H878)/365</f>
        <v>60.528767123287672</v>
      </c>
      <c r="O878" s="98">
        <f ca="1">(TODAY()-G878)/365</f>
        <v>2.7068493150684931</v>
      </c>
      <c r="P878" s="91" t="s">
        <v>43</v>
      </c>
      <c r="Q878" s="91">
        <v>0</v>
      </c>
      <c r="R878" s="91">
        <v>0</v>
      </c>
      <c r="S878" s="91">
        <v>0</v>
      </c>
      <c r="T878" s="91"/>
      <c r="U878" s="91"/>
      <c r="V878" s="91"/>
      <c r="W878" s="91"/>
      <c r="X878" s="91"/>
      <c r="Y878" s="91"/>
      <c r="Z878" s="91"/>
      <c r="AA878" s="91"/>
      <c r="AB878" s="91"/>
      <c r="AC878" s="91"/>
      <c r="AD878" s="91"/>
      <c r="AE878" s="91"/>
      <c r="AF878" s="91"/>
      <c r="AG878" s="91"/>
      <c r="AH878" s="91"/>
      <c r="AI878" s="91"/>
      <c r="AJ878" s="91"/>
      <c r="AK878" s="91"/>
      <c r="AL878" s="91"/>
      <c r="AM878" s="91"/>
    </row>
    <row r="879" spans="1:39" ht="20.25" hidden="1" customHeight="1">
      <c r="A879" s="91"/>
      <c r="B879" s="93" t="s">
        <v>3169</v>
      </c>
      <c r="C879" s="91" t="s">
        <v>36</v>
      </c>
      <c r="D879" s="94" t="s">
        <v>3182</v>
      </c>
      <c r="E879" s="94" t="s">
        <v>3183</v>
      </c>
      <c r="F879" s="95" t="s">
        <v>3184</v>
      </c>
      <c r="G879" s="96">
        <v>45014</v>
      </c>
      <c r="H879" s="97">
        <v>22205</v>
      </c>
      <c r="I879" s="94" t="s">
        <v>3185</v>
      </c>
      <c r="J879" s="94" t="s">
        <v>3186</v>
      </c>
      <c r="K879" s="95">
        <v>981372495</v>
      </c>
      <c r="L879" s="91" t="s">
        <v>60</v>
      </c>
      <c r="M879" s="98">
        <f ca="1">(TODAY()-H879)/365</f>
        <v>65.197260273972603</v>
      </c>
      <c r="N879" s="99">
        <f>(G879-H879)/365</f>
        <v>62.490410958904107</v>
      </c>
      <c r="O879" s="98">
        <f ca="1">(TODAY()-G879)/365</f>
        <v>2.7068493150684931</v>
      </c>
      <c r="P879" s="91" t="s">
        <v>272</v>
      </c>
      <c r="Q879" s="91">
        <v>0</v>
      </c>
      <c r="R879" s="91">
        <v>0</v>
      </c>
      <c r="S879" s="91">
        <v>0</v>
      </c>
      <c r="T879" s="91"/>
      <c r="U879" s="91"/>
      <c r="V879" s="91"/>
      <c r="W879" s="91"/>
      <c r="X879" s="91"/>
      <c r="Y879" s="91"/>
      <c r="Z879" s="91"/>
      <c r="AA879" s="91"/>
      <c r="AB879" s="91"/>
      <c r="AC879" s="91"/>
      <c r="AD879" s="91"/>
      <c r="AE879" s="91"/>
      <c r="AF879" s="91"/>
      <c r="AG879" s="91"/>
      <c r="AH879" s="91"/>
      <c r="AI879" s="91"/>
      <c r="AJ879" s="91"/>
      <c r="AK879" s="91"/>
      <c r="AL879" s="91"/>
      <c r="AM879" s="91"/>
    </row>
    <row r="880" spans="1:39" ht="20.25" hidden="1" customHeight="1">
      <c r="A880" s="91"/>
      <c r="B880" s="93" t="s">
        <v>3169</v>
      </c>
      <c r="C880" s="91" t="s">
        <v>36</v>
      </c>
      <c r="D880" s="94" t="s">
        <v>3187</v>
      </c>
      <c r="E880" s="94" t="s">
        <v>3188</v>
      </c>
      <c r="F880" s="95" t="s">
        <v>3189</v>
      </c>
      <c r="G880" s="96">
        <v>43832</v>
      </c>
      <c r="H880" s="97">
        <v>18946</v>
      </c>
      <c r="I880" s="94" t="s">
        <v>3190</v>
      </c>
      <c r="J880" s="94" t="s">
        <v>3191</v>
      </c>
      <c r="K880" s="95">
        <v>956131824</v>
      </c>
      <c r="L880" s="91" t="s">
        <v>72</v>
      </c>
      <c r="M880" s="98">
        <f ca="1">(TODAY()-H880)/365</f>
        <v>74.126027397260273</v>
      </c>
      <c r="N880" s="99">
        <f>(G880-H880)/365</f>
        <v>68.180821917808217</v>
      </c>
      <c r="O880" s="98">
        <f ca="1">(TODAY()-G880)/365</f>
        <v>5.9452054794520546</v>
      </c>
      <c r="P880" s="91" t="s">
        <v>272</v>
      </c>
      <c r="Q880" s="91">
        <v>0</v>
      </c>
      <c r="R880" s="91">
        <v>0</v>
      </c>
      <c r="S880" s="91">
        <v>0</v>
      </c>
      <c r="T880" s="91"/>
      <c r="U880" s="91"/>
      <c r="V880" s="91"/>
      <c r="W880" s="91"/>
      <c r="X880" s="91"/>
      <c r="Y880" s="91"/>
      <c r="Z880" s="91"/>
      <c r="AA880" s="91"/>
      <c r="AB880" s="91"/>
      <c r="AC880" s="91"/>
      <c r="AD880" s="91"/>
      <c r="AE880" s="91"/>
      <c r="AF880" s="91"/>
      <c r="AG880" s="91"/>
      <c r="AH880" s="91"/>
      <c r="AI880" s="91"/>
      <c r="AJ880" s="91"/>
      <c r="AK880" s="91"/>
      <c r="AL880" s="91"/>
      <c r="AM880" s="91"/>
    </row>
    <row r="881" spans="1:39" ht="20.25" hidden="1" customHeight="1">
      <c r="A881" s="91"/>
      <c r="B881" s="93" t="s">
        <v>3169</v>
      </c>
      <c r="C881" s="91" t="s">
        <v>36</v>
      </c>
      <c r="D881" s="94" t="s">
        <v>3192</v>
      </c>
      <c r="E881" s="94" t="s">
        <v>3193</v>
      </c>
      <c r="F881" s="95" t="s">
        <v>3194</v>
      </c>
      <c r="G881" s="96">
        <v>45126</v>
      </c>
      <c r="H881" s="97">
        <v>18332</v>
      </c>
      <c r="I881" s="94" t="s">
        <v>3195</v>
      </c>
      <c r="J881" s="94" t="s">
        <v>3196</v>
      </c>
      <c r="K881" s="95">
        <v>936006538</v>
      </c>
      <c r="L881" s="91" t="s">
        <v>60</v>
      </c>
      <c r="M881" s="98">
        <f ca="1">(TODAY()-H881)/365</f>
        <v>75.808219178082197</v>
      </c>
      <c r="N881" s="99">
        <f>(G881-H881)/365</f>
        <v>73.408219178082192</v>
      </c>
      <c r="O881" s="98">
        <f ca="1">(TODAY()-G881)/365</f>
        <v>2.4</v>
      </c>
      <c r="P881" s="91" t="s">
        <v>43</v>
      </c>
      <c r="Q881" s="91">
        <v>0</v>
      </c>
      <c r="R881" s="91">
        <v>0</v>
      </c>
      <c r="S881" s="91">
        <v>0</v>
      </c>
      <c r="T881" s="91"/>
      <c r="U881" s="91"/>
      <c r="V881" s="91"/>
      <c r="W881" s="91"/>
      <c r="X881" s="91"/>
      <c r="Y881" s="91"/>
      <c r="Z881" s="91"/>
      <c r="AA881" s="91"/>
      <c r="AB881" s="91"/>
      <c r="AC881" s="91"/>
      <c r="AD881" s="91"/>
      <c r="AE881" s="91"/>
      <c r="AF881" s="91"/>
      <c r="AG881" s="91"/>
      <c r="AH881" s="91"/>
      <c r="AI881" s="91"/>
      <c r="AJ881" s="91"/>
      <c r="AK881" s="91"/>
      <c r="AL881" s="91"/>
      <c r="AM881" s="91"/>
    </row>
    <row r="882" spans="1:39" ht="20.25" hidden="1" customHeight="1">
      <c r="A882" s="91"/>
      <c r="B882" s="93" t="s">
        <v>3169</v>
      </c>
      <c r="C882" s="91" t="s">
        <v>36</v>
      </c>
      <c r="D882" s="94" t="s">
        <v>513</v>
      </c>
      <c r="E882" s="94" t="s">
        <v>3197</v>
      </c>
      <c r="F882" s="95" t="s">
        <v>3198</v>
      </c>
      <c r="G882" s="96">
        <v>44942</v>
      </c>
      <c r="H882" s="97">
        <v>17207</v>
      </c>
      <c r="I882" s="94" t="s">
        <v>3199</v>
      </c>
      <c r="J882" s="94" t="s">
        <v>3200</v>
      </c>
      <c r="K882" s="95">
        <v>9687863559</v>
      </c>
      <c r="L882" s="91" t="s">
        <v>60</v>
      </c>
      <c r="M882" s="98">
        <f ca="1">(TODAY()-H882)/365</f>
        <v>78.890410958904113</v>
      </c>
      <c r="N882" s="99">
        <f>(G882-H882)/365</f>
        <v>75.986301369863014</v>
      </c>
      <c r="O882" s="98">
        <f ca="1">(TODAY()-G882)/365</f>
        <v>2.904109589041096</v>
      </c>
      <c r="P882" s="91" t="s">
        <v>43</v>
      </c>
      <c r="Q882" s="91">
        <v>0</v>
      </c>
      <c r="R882" s="91">
        <v>0</v>
      </c>
      <c r="S882" s="91">
        <v>0</v>
      </c>
      <c r="T882" s="91"/>
      <c r="U882" s="91"/>
      <c r="V882" s="91"/>
      <c r="W882" s="91"/>
      <c r="X882" s="91"/>
      <c r="Y882" s="91"/>
      <c r="Z882" s="91"/>
      <c r="AA882" s="91"/>
      <c r="AB882" s="91"/>
      <c r="AC882" s="91"/>
      <c r="AD882" s="91"/>
      <c r="AE882" s="91"/>
      <c r="AF882" s="91"/>
      <c r="AG882" s="91"/>
      <c r="AH882" s="91"/>
      <c r="AI882" s="91"/>
      <c r="AJ882" s="91"/>
      <c r="AK882" s="91"/>
      <c r="AL882" s="91"/>
      <c r="AM882" s="91"/>
    </row>
    <row r="883" spans="1:39" ht="20.25" hidden="1" customHeight="1">
      <c r="A883" s="91"/>
      <c r="B883" s="93" t="s">
        <v>3169</v>
      </c>
      <c r="C883" s="91" t="s">
        <v>36</v>
      </c>
      <c r="D883" s="94" t="s">
        <v>646</v>
      </c>
      <c r="E883" s="94" t="s">
        <v>3201</v>
      </c>
      <c r="F883" s="95" t="s">
        <v>3202</v>
      </c>
      <c r="G883" s="96">
        <v>45259</v>
      </c>
      <c r="H883" s="97">
        <v>19048</v>
      </c>
      <c r="I883" s="94" t="s">
        <v>3203</v>
      </c>
      <c r="J883" s="94" t="s">
        <v>3204</v>
      </c>
      <c r="K883" s="95">
        <v>993992365</v>
      </c>
      <c r="L883" s="91" t="s">
        <v>60</v>
      </c>
      <c r="M883" s="98">
        <f ca="1">(TODAY()-H883)/365</f>
        <v>73.846575342465755</v>
      </c>
      <c r="N883" s="95"/>
      <c r="O883" s="98">
        <f ca="1">(TODAY()-G883)/365</f>
        <v>2.0356164383561643</v>
      </c>
      <c r="P883" s="91" t="s">
        <v>43</v>
      </c>
      <c r="Q883" s="91">
        <v>0</v>
      </c>
      <c r="R883" s="91">
        <v>0</v>
      </c>
      <c r="S883" s="91">
        <v>0</v>
      </c>
      <c r="T883" s="91"/>
      <c r="U883" s="91"/>
      <c r="V883" s="91"/>
      <c r="W883" s="91"/>
      <c r="X883" s="91"/>
      <c r="Y883" s="91"/>
      <c r="Z883" s="91"/>
      <c r="AA883" s="91"/>
      <c r="AB883" s="91"/>
      <c r="AC883" s="91"/>
      <c r="AD883" s="91"/>
      <c r="AE883" s="91"/>
      <c r="AF883" s="91"/>
      <c r="AG883" s="91"/>
      <c r="AH883" s="91"/>
      <c r="AI883" s="91"/>
      <c r="AJ883" s="91"/>
      <c r="AK883" s="91"/>
      <c r="AL883" s="91"/>
      <c r="AM883" s="91"/>
    </row>
    <row r="884" spans="1:39" ht="20.25" hidden="1" customHeight="1">
      <c r="A884" s="91"/>
      <c r="B884" s="93" t="s">
        <v>3169</v>
      </c>
      <c r="C884" s="91" t="s">
        <v>36</v>
      </c>
      <c r="D884" s="94" t="s">
        <v>2211</v>
      </c>
      <c r="E884" s="94" t="s">
        <v>3205</v>
      </c>
      <c r="F884" s="95" t="s">
        <v>3206</v>
      </c>
      <c r="G884" s="96">
        <v>43832</v>
      </c>
      <c r="H884" s="97">
        <v>20655</v>
      </c>
      <c r="I884" s="115" t="s">
        <v>3207</v>
      </c>
      <c r="J884" s="94" t="s">
        <v>3191</v>
      </c>
      <c r="K884" s="95">
        <v>930215831</v>
      </c>
      <c r="L884" s="91" t="s">
        <v>49</v>
      </c>
      <c r="M884" s="98">
        <f ca="1">(TODAY()-H884)/365</f>
        <v>69.443835616438349</v>
      </c>
      <c r="N884" s="99">
        <f>(G884-H884)/365</f>
        <v>63.4986301369863</v>
      </c>
      <c r="O884" s="98">
        <f ca="1">(TODAY()-G884)/365</f>
        <v>5.9452054794520546</v>
      </c>
      <c r="P884" s="91" t="s">
        <v>43</v>
      </c>
      <c r="Q884" s="91">
        <v>0</v>
      </c>
      <c r="R884" s="91">
        <v>0</v>
      </c>
      <c r="S884" s="91">
        <v>0</v>
      </c>
      <c r="T884" s="91"/>
      <c r="U884" s="91"/>
      <c r="V884" s="91"/>
      <c r="W884" s="91"/>
      <c r="X884" s="91"/>
      <c r="Y884" s="91"/>
      <c r="Z884" s="91"/>
      <c r="AA884" s="91"/>
      <c r="AB884" s="91"/>
      <c r="AC884" s="91"/>
      <c r="AD884" s="91"/>
      <c r="AE884" s="91"/>
      <c r="AF884" s="91"/>
      <c r="AG884" s="91"/>
      <c r="AH884" s="91"/>
      <c r="AI884" s="91"/>
      <c r="AJ884" s="91"/>
      <c r="AK884" s="91"/>
      <c r="AL884" s="91"/>
      <c r="AM884" s="91"/>
    </row>
    <row r="885" spans="1:39" ht="20.25" hidden="1" customHeight="1">
      <c r="A885" s="91"/>
      <c r="B885" s="93" t="s">
        <v>3169</v>
      </c>
      <c r="C885" s="91" t="s">
        <v>36</v>
      </c>
      <c r="D885" s="94" t="s">
        <v>688</v>
      </c>
      <c r="E885" s="94" t="s">
        <v>3208</v>
      </c>
      <c r="F885" s="95" t="s">
        <v>3209</v>
      </c>
      <c r="G885" s="97" t="s">
        <v>58</v>
      </c>
      <c r="H885" s="97">
        <v>17651</v>
      </c>
      <c r="I885" s="100" t="s">
        <v>58</v>
      </c>
      <c r="J885" s="94" t="s">
        <v>3210</v>
      </c>
      <c r="K885" s="95">
        <v>956623458</v>
      </c>
      <c r="L885" s="91" t="s">
        <v>60</v>
      </c>
      <c r="M885" s="98">
        <f ca="1">(TODAY()-H885)/365</f>
        <v>77.673972602739724</v>
      </c>
      <c r="N885" s="95" t="s">
        <v>58</v>
      </c>
      <c r="O885" s="98" t="e">
        <f ca="1">(TODAY()-G885)/365</f>
        <v>#VALUE!</v>
      </c>
      <c r="P885" s="91" t="s">
        <v>272</v>
      </c>
      <c r="Q885" s="91">
        <v>0</v>
      </c>
      <c r="R885" s="91">
        <v>0</v>
      </c>
      <c r="S885" s="91">
        <v>0</v>
      </c>
      <c r="T885" s="91"/>
      <c r="U885" s="91"/>
      <c r="V885" s="91"/>
      <c r="W885" s="91"/>
      <c r="X885" s="91"/>
      <c r="Y885" s="91"/>
      <c r="Z885" s="91"/>
      <c r="AA885" s="91"/>
      <c r="AB885" s="91"/>
      <c r="AC885" s="91"/>
      <c r="AD885" s="91"/>
      <c r="AE885" s="91"/>
      <c r="AF885" s="91"/>
      <c r="AG885" s="91"/>
      <c r="AH885" s="91"/>
      <c r="AI885" s="91"/>
      <c r="AJ885" s="91"/>
      <c r="AK885" s="91"/>
      <c r="AL885" s="91"/>
      <c r="AM885" s="91"/>
    </row>
    <row r="886" spans="1:39" ht="20.25" hidden="1" customHeight="1">
      <c r="A886" s="91"/>
      <c r="B886" s="93" t="s">
        <v>11085</v>
      </c>
      <c r="C886" s="91" t="s">
        <v>36</v>
      </c>
      <c r="D886" s="106" t="s">
        <v>11086</v>
      </c>
      <c r="E886" s="106" t="s">
        <v>11087</v>
      </c>
      <c r="F886" s="92" t="s">
        <v>11088</v>
      </c>
      <c r="G886" s="103" t="s">
        <v>58</v>
      </c>
      <c r="H886" s="103">
        <v>16502</v>
      </c>
      <c r="I886" s="94" t="s">
        <v>58</v>
      </c>
      <c r="J886" s="94" t="s">
        <v>11089</v>
      </c>
      <c r="K886" s="92" t="s">
        <v>11090</v>
      </c>
      <c r="L886" s="91"/>
      <c r="M886" s="98">
        <f ca="1">(TODAY()-H886)/365</f>
        <v>80.821917808219183</v>
      </c>
      <c r="N886" s="99" t="e">
        <f>(G886-H886)/365</f>
        <v>#VALUE!</v>
      </c>
      <c r="O886" s="98" t="e">
        <f ca="1">(TODAY()-G886)/365</f>
        <v>#VALUE!</v>
      </c>
      <c r="P886" s="91" t="s">
        <v>43</v>
      </c>
      <c r="Q886" s="91"/>
      <c r="R886" s="91"/>
      <c r="S886" s="91"/>
      <c r="T886" s="91"/>
      <c r="U886" s="91"/>
      <c r="V886" s="91"/>
      <c r="W886" s="91"/>
      <c r="X886" s="91"/>
      <c r="Y886" s="91"/>
      <c r="Z886" s="91"/>
      <c r="AA886" s="91"/>
      <c r="AB886" s="91"/>
      <c r="AC886" s="91"/>
      <c r="AD886" s="91"/>
      <c r="AE886" s="91"/>
      <c r="AF886" s="91"/>
      <c r="AG886" s="91"/>
      <c r="AH886" s="91"/>
      <c r="AI886" s="91"/>
      <c r="AJ886" s="91"/>
      <c r="AK886" s="91"/>
      <c r="AL886" s="91"/>
      <c r="AM886" s="91"/>
    </row>
    <row r="887" spans="1:39" ht="20.25" hidden="1" customHeight="1">
      <c r="A887" s="91"/>
      <c r="B887" s="93" t="s">
        <v>11085</v>
      </c>
      <c r="C887" s="91" t="s">
        <v>36</v>
      </c>
      <c r="D887" s="106" t="s">
        <v>11091</v>
      </c>
      <c r="E887" s="106" t="s">
        <v>11092</v>
      </c>
      <c r="F887" s="92" t="s">
        <v>11093</v>
      </c>
      <c r="G887" s="103">
        <v>44623</v>
      </c>
      <c r="H887" s="103">
        <v>22559</v>
      </c>
      <c r="I887" s="94" t="s">
        <v>58</v>
      </c>
      <c r="J887" s="94" t="s">
        <v>11094</v>
      </c>
      <c r="K887" s="92">
        <v>981729023</v>
      </c>
      <c r="L887" s="91"/>
      <c r="M887" s="98">
        <f ca="1">(TODAY()-H887)/365</f>
        <v>64.227397260273975</v>
      </c>
      <c r="N887" s="99">
        <f>(G887-H887)/365</f>
        <v>60.449315068493149</v>
      </c>
      <c r="O887" s="98">
        <f ca="1">(TODAY()-G887)/365</f>
        <v>3.7780821917808218</v>
      </c>
      <c r="P887" s="91" t="s">
        <v>43</v>
      </c>
      <c r="Q887" s="91"/>
      <c r="R887" s="91"/>
      <c r="S887" s="91"/>
      <c r="T887" s="91"/>
      <c r="U887" s="91"/>
      <c r="V887" s="91"/>
      <c r="W887" s="91"/>
      <c r="X887" s="91"/>
      <c r="Y887" s="91"/>
      <c r="Z887" s="91"/>
      <c r="AA887" s="91"/>
      <c r="AB887" s="91"/>
      <c r="AC887" s="91"/>
      <c r="AD887" s="91"/>
      <c r="AE887" s="91"/>
      <c r="AF887" s="91"/>
      <c r="AG887" s="91"/>
      <c r="AH887" s="91"/>
      <c r="AI887" s="91"/>
      <c r="AJ887" s="91"/>
      <c r="AK887" s="91"/>
      <c r="AL887" s="91"/>
      <c r="AM887" s="91"/>
    </row>
    <row r="888" spans="1:39" ht="20.25" hidden="1" customHeight="1">
      <c r="A888" s="91"/>
      <c r="B888" s="93" t="s">
        <v>11085</v>
      </c>
      <c r="C888" s="91" t="s">
        <v>36</v>
      </c>
      <c r="D888" s="106" t="s">
        <v>4649</v>
      </c>
      <c r="E888" s="106" t="s">
        <v>11095</v>
      </c>
      <c r="F888" s="92" t="s">
        <v>11096</v>
      </c>
      <c r="G888" s="103">
        <v>44853</v>
      </c>
      <c r="H888" s="103">
        <v>18528</v>
      </c>
      <c r="I888" s="94" t="s">
        <v>58</v>
      </c>
      <c r="J888" s="94" t="s">
        <v>11097</v>
      </c>
      <c r="K888" s="92">
        <v>988619216</v>
      </c>
      <c r="L888" s="91"/>
      <c r="M888" s="98">
        <f ca="1">(TODAY()-H888)/365</f>
        <v>75.271232876712332</v>
      </c>
      <c r="N888" s="99">
        <f>(G888-H888)/365</f>
        <v>72.123287671232873</v>
      </c>
      <c r="O888" s="98">
        <f ca="1">(TODAY()-G888)/365</f>
        <v>3.1479452054794521</v>
      </c>
      <c r="P888" s="91" t="s">
        <v>43</v>
      </c>
      <c r="Q888" s="91"/>
      <c r="R888" s="91"/>
      <c r="S888" s="91"/>
      <c r="T888" s="91"/>
      <c r="U888" s="91"/>
      <c r="V888" s="91"/>
      <c r="W888" s="91"/>
      <c r="X888" s="91"/>
      <c r="Y888" s="91"/>
      <c r="Z888" s="91"/>
      <c r="AA888" s="91"/>
      <c r="AB888" s="91"/>
      <c r="AC888" s="91"/>
      <c r="AD888" s="91"/>
      <c r="AE888" s="91"/>
      <c r="AF888" s="91"/>
      <c r="AG888" s="91"/>
      <c r="AH888" s="91"/>
      <c r="AI888" s="91"/>
      <c r="AJ888" s="91"/>
      <c r="AK888" s="91"/>
      <c r="AL888" s="91"/>
      <c r="AM888" s="91"/>
    </row>
    <row r="889" spans="1:39" ht="20.25" hidden="1" customHeight="1">
      <c r="A889" s="91"/>
      <c r="B889" s="93" t="s">
        <v>11085</v>
      </c>
      <c r="C889" s="91" t="s">
        <v>36</v>
      </c>
      <c r="D889" s="106" t="s">
        <v>6274</v>
      </c>
      <c r="E889" s="106" t="s">
        <v>11098</v>
      </c>
      <c r="F889" s="92" t="s">
        <v>11099</v>
      </c>
      <c r="G889" s="103">
        <v>30378</v>
      </c>
      <c r="H889" s="103">
        <v>18903</v>
      </c>
      <c r="I889" s="108" t="s">
        <v>12638</v>
      </c>
      <c r="J889" s="94" t="s">
        <v>11100</v>
      </c>
      <c r="K889" s="92">
        <v>957297029</v>
      </c>
      <c r="L889" s="91"/>
      <c r="M889" s="98">
        <f ca="1">(TODAY()-H889)/365</f>
        <v>74.243835616438361</v>
      </c>
      <c r="N889" s="99">
        <f>(G889-H889)/365</f>
        <v>31.438356164383563</v>
      </c>
      <c r="O889" s="98">
        <f ca="1">(TODAY()-G889)/365</f>
        <v>42.805479452054797</v>
      </c>
      <c r="P889" s="91" t="s">
        <v>43</v>
      </c>
      <c r="Q889" s="91"/>
      <c r="R889" s="91"/>
      <c r="S889" s="91"/>
      <c r="T889" s="91"/>
      <c r="U889" s="91"/>
      <c r="V889" s="91"/>
      <c r="W889" s="91"/>
      <c r="X889" s="91"/>
      <c r="Y889" s="91"/>
      <c r="Z889" s="91"/>
      <c r="AA889" s="91"/>
      <c r="AB889" s="91"/>
      <c r="AC889" s="91"/>
      <c r="AD889" s="91"/>
      <c r="AE889" s="91"/>
      <c r="AF889" s="91"/>
      <c r="AG889" s="91"/>
      <c r="AH889" s="91"/>
      <c r="AI889" s="91"/>
      <c r="AJ889" s="91"/>
      <c r="AK889" s="91"/>
      <c r="AL889" s="91"/>
      <c r="AM889" s="91"/>
    </row>
    <row r="890" spans="1:39" ht="20.25" hidden="1" customHeight="1">
      <c r="A890" s="91"/>
      <c r="B890" s="93" t="s">
        <v>11085</v>
      </c>
      <c r="C890" s="91" t="s">
        <v>36</v>
      </c>
      <c r="D890" s="106" t="s">
        <v>576</v>
      </c>
      <c r="E890" s="106" t="s">
        <v>11101</v>
      </c>
      <c r="F890" s="92" t="s">
        <v>11102</v>
      </c>
      <c r="G890" s="103">
        <v>37413</v>
      </c>
      <c r="H890" s="103">
        <v>22904</v>
      </c>
      <c r="I890" s="94" t="s">
        <v>58</v>
      </c>
      <c r="J890" s="94" t="s">
        <v>11103</v>
      </c>
      <c r="K890" s="92">
        <v>992659103</v>
      </c>
      <c r="L890" s="91"/>
      <c r="M890" s="98">
        <f ca="1">(TODAY()-H890)/365</f>
        <v>63.282191780821918</v>
      </c>
      <c r="N890" s="99">
        <f>(G890-H890)/365</f>
        <v>39.750684931506846</v>
      </c>
      <c r="O890" s="98">
        <f ca="1">(TODAY()-G890)/365</f>
        <v>23.531506849315068</v>
      </c>
      <c r="P890" s="91" t="s">
        <v>43</v>
      </c>
      <c r="Q890" s="91"/>
      <c r="R890" s="91"/>
      <c r="S890" s="91"/>
      <c r="T890" s="91"/>
      <c r="U890" s="91"/>
      <c r="V890" s="91"/>
      <c r="W890" s="91"/>
      <c r="X890" s="91"/>
      <c r="Y890" s="91"/>
      <c r="Z890" s="91"/>
      <c r="AA890" s="91"/>
      <c r="AB890" s="91"/>
      <c r="AC890" s="91"/>
      <c r="AD890" s="91"/>
      <c r="AE890" s="91"/>
      <c r="AF890" s="91"/>
      <c r="AG890" s="91"/>
      <c r="AH890" s="91"/>
      <c r="AI890" s="91"/>
      <c r="AJ890" s="91"/>
      <c r="AK890" s="91"/>
      <c r="AL890" s="91"/>
      <c r="AM890" s="91"/>
    </row>
    <row r="891" spans="1:39" ht="20.25" hidden="1" customHeight="1">
      <c r="A891" s="91"/>
      <c r="B891" s="93" t="s">
        <v>11085</v>
      </c>
      <c r="C891" s="91" t="s">
        <v>36</v>
      </c>
      <c r="D891" s="106" t="s">
        <v>4315</v>
      </c>
      <c r="E891" s="106" t="s">
        <v>11104</v>
      </c>
      <c r="F891" s="92" t="s">
        <v>11105</v>
      </c>
      <c r="G891" s="103">
        <v>37413</v>
      </c>
      <c r="H891" s="103">
        <v>22952</v>
      </c>
      <c r="I891" s="94" t="s">
        <v>58</v>
      </c>
      <c r="J891" s="94" t="s">
        <v>11106</v>
      </c>
      <c r="K891" s="92">
        <v>984031024</v>
      </c>
      <c r="L891" s="91"/>
      <c r="M891" s="98">
        <f ca="1">(TODAY()-H891)/365</f>
        <v>63.150684931506852</v>
      </c>
      <c r="N891" s="99">
        <f>(G891-H891)/365</f>
        <v>39.61917808219178</v>
      </c>
      <c r="O891" s="98">
        <f ca="1">(TODAY()-G891)/365</f>
        <v>23.531506849315068</v>
      </c>
      <c r="P891" s="91" t="s">
        <v>43</v>
      </c>
      <c r="Q891" s="91"/>
      <c r="R891" s="91"/>
      <c r="S891" s="91"/>
      <c r="T891" s="91"/>
      <c r="U891" s="91"/>
      <c r="V891" s="91"/>
      <c r="W891" s="91"/>
      <c r="X891" s="91"/>
      <c r="Y891" s="91"/>
      <c r="Z891" s="91"/>
      <c r="AA891" s="91"/>
      <c r="AB891" s="91"/>
      <c r="AC891" s="91"/>
      <c r="AD891" s="91"/>
      <c r="AE891" s="91"/>
      <c r="AF891" s="91"/>
      <c r="AG891" s="91"/>
      <c r="AH891" s="91"/>
      <c r="AI891" s="91"/>
      <c r="AJ891" s="91"/>
      <c r="AK891" s="91"/>
      <c r="AL891" s="91"/>
      <c r="AM891" s="91"/>
    </row>
    <row r="892" spans="1:39" ht="20.25" hidden="1" customHeight="1">
      <c r="A892" s="91"/>
      <c r="B892" s="93" t="s">
        <v>11085</v>
      </c>
      <c r="C892" s="91" t="s">
        <v>36</v>
      </c>
      <c r="D892" s="106" t="s">
        <v>675</v>
      </c>
      <c r="E892" s="106" t="s">
        <v>11107</v>
      </c>
      <c r="F892" s="92" t="s">
        <v>11108</v>
      </c>
      <c r="G892" s="103">
        <v>32205</v>
      </c>
      <c r="H892" s="103">
        <v>18091</v>
      </c>
      <c r="I892" s="108" t="s">
        <v>12639</v>
      </c>
      <c r="J892" s="94" t="s">
        <v>11109</v>
      </c>
      <c r="K892" s="92">
        <v>993241761</v>
      </c>
      <c r="L892" s="91"/>
      <c r="M892" s="98">
        <f ca="1">(TODAY()-H892)/365</f>
        <v>76.468493150684935</v>
      </c>
      <c r="N892" s="99">
        <f>(G892-H892)/365</f>
        <v>38.668493150684931</v>
      </c>
      <c r="O892" s="98">
        <f ca="1">(TODAY()-G892)/365</f>
        <v>37.799999999999997</v>
      </c>
      <c r="P892" s="91" t="s">
        <v>43</v>
      </c>
      <c r="Q892" s="91"/>
      <c r="R892" s="91"/>
      <c r="S892" s="91"/>
      <c r="T892" s="91"/>
      <c r="U892" s="91"/>
      <c r="V892" s="91"/>
      <c r="W892" s="91"/>
      <c r="X892" s="91"/>
      <c r="Y892" s="91"/>
      <c r="Z892" s="91"/>
      <c r="AA892" s="91"/>
      <c r="AB892" s="91"/>
      <c r="AC892" s="91"/>
      <c r="AD892" s="91"/>
      <c r="AE892" s="91"/>
      <c r="AF892" s="91"/>
      <c r="AG892" s="91"/>
      <c r="AH892" s="91"/>
      <c r="AI892" s="91"/>
      <c r="AJ892" s="91"/>
      <c r="AK892" s="91"/>
      <c r="AL892" s="91"/>
      <c r="AM892" s="91"/>
    </row>
    <row r="893" spans="1:39" ht="20.25" hidden="1" customHeight="1">
      <c r="A893" s="91"/>
      <c r="B893" s="93" t="s">
        <v>11085</v>
      </c>
      <c r="C893" s="91" t="s">
        <v>36</v>
      </c>
      <c r="D893" s="106" t="s">
        <v>513</v>
      </c>
      <c r="E893" s="106" t="s">
        <v>11110</v>
      </c>
      <c r="F893" s="92" t="s">
        <v>11111</v>
      </c>
      <c r="G893" s="103">
        <v>21967</v>
      </c>
      <c r="H893" s="103">
        <v>20972</v>
      </c>
      <c r="I893" s="108" t="s">
        <v>12640</v>
      </c>
      <c r="J893" s="94" t="s">
        <v>11112</v>
      </c>
      <c r="K893" s="92">
        <v>997433475</v>
      </c>
      <c r="L893" s="91"/>
      <c r="M893" s="98">
        <f ca="1">(TODAY()-H893)/365</f>
        <v>68.575342465753423</v>
      </c>
      <c r="N893" s="99">
        <f>(G893-H893)/365</f>
        <v>2.7260273972602738</v>
      </c>
      <c r="O893" s="98">
        <f ca="1">(TODAY()-G893)/365</f>
        <v>65.849315068493155</v>
      </c>
      <c r="P893" s="91" t="s">
        <v>43</v>
      </c>
      <c r="Q893" s="91"/>
      <c r="R893" s="91"/>
      <c r="S893" s="91"/>
      <c r="T893" s="91"/>
      <c r="U893" s="91"/>
      <c r="V893" s="91"/>
      <c r="W893" s="91"/>
      <c r="X893" s="91"/>
      <c r="Y893" s="91"/>
      <c r="Z893" s="91"/>
      <c r="AA893" s="91"/>
      <c r="AB893" s="91"/>
      <c r="AC893" s="91"/>
      <c r="AD893" s="91"/>
      <c r="AE893" s="91"/>
      <c r="AF893" s="91"/>
      <c r="AG893" s="91"/>
      <c r="AH893" s="91"/>
      <c r="AI893" s="91"/>
      <c r="AJ893" s="91"/>
      <c r="AK893" s="91"/>
      <c r="AL893" s="91"/>
      <c r="AM893" s="91"/>
    </row>
    <row r="894" spans="1:39" ht="20.25" hidden="1" customHeight="1">
      <c r="A894" s="91"/>
      <c r="B894" s="93" t="s">
        <v>11085</v>
      </c>
      <c r="C894" s="91" t="s">
        <v>36</v>
      </c>
      <c r="D894" s="106" t="s">
        <v>666</v>
      </c>
      <c r="E894" s="106" t="s">
        <v>11113</v>
      </c>
      <c r="F894" s="92" t="s">
        <v>11114</v>
      </c>
      <c r="G894" s="103">
        <v>20925</v>
      </c>
      <c r="H894" s="103" t="s">
        <v>58</v>
      </c>
      <c r="I894" s="94" t="s">
        <v>58</v>
      </c>
      <c r="J894" s="94" t="s">
        <v>11115</v>
      </c>
      <c r="K894" s="92">
        <v>983515023</v>
      </c>
      <c r="L894" s="91"/>
      <c r="M894" s="98" t="e">
        <f ca="1">(TODAY()-H894)/365</f>
        <v>#VALUE!</v>
      </c>
      <c r="N894" s="99" t="e">
        <f>(G894-H894)/365</f>
        <v>#VALUE!</v>
      </c>
      <c r="O894" s="98">
        <f ca="1">(TODAY()-G894)/365</f>
        <v>68.704109589041096</v>
      </c>
      <c r="P894" s="91" t="s">
        <v>43</v>
      </c>
      <c r="Q894" s="91"/>
      <c r="R894" s="91"/>
      <c r="S894" s="91"/>
      <c r="T894" s="91"/>
      <c r="U894" s="91"/>
      <c r="V894" s="91"/>
      <c r="W894" s="91"/>
      <c r="X894" s="91"/>
      <c r="Y894" s="91"/>
      <c r="Z894" s="91"/>
      <c r="AA894" s="91"/>
      <c r="AB894" s="91"/>
      <c r="AC894" s="91"/>
      <c r="AD894" s="91"/>
      <c r="AE894" s="91"/>
      <c r="AF894" s="91"/>
      <c r="AG894" s="91"/>
      <c r="AH894" s="91"/>
      <c r="AI894" s="91"/>
      <c r="AJ894" s="91"/>
      <c r="AK894" s="91"/>
      <c r="AL894" s="91"/>
      <c r="AM894" s="91"/>
    </row>
    <row r="895" spans="1:39" ht="20.25" hidden="1" customHeight="1">
      <c r="A895" s="91"/>
      <c r="B895" s="93" t="s">
        <v>9659</v>
      </c>
      <c r="C895" s="91" t="s">
        <v>36</v>
      </c>
      <c r="D895" s="107" t="s">
        <v>6938</v>
      </c>
      <c r="E895" s="107" t="s">
        <v>9660</v>
      </c>
      <c r="F895" s="91" t="s">
        <v>9661</v>
      </c>
      <c r="G895" s="97">
        <v>23802</v>
      </c>
      <c r="H895" s="97">
        <v>15494</v>
      </c>
      <c r="I895" s="100" t="s">
        <v>58</v>
      </c>
      <c r="J895" s="100" t="s">
        <v>9662</v>
      </c>
      <c r="K895" s="91" t="s">
        <v>9663</v>
      </c>
      <c r="L895" s="91" t="s">
        <v>60</v>
      </c>
      <c r="M895" s="98">
        <f ca="1">(TODAY()-H895)/365</f>
        <v>83.583561643835623</v>
      </c>
      <c r="N895" s="99">
        <f>(G895-H895)/365</f>
        <v>22.761643835616439</v>
      </c>
      <c r="O895" s="98">
        <f ca="1">(TODAY()-G895)/365</f>
        <v>60.821917808219176</v>
      </c>
      <c r="P895" s="91" t="s">
        <v>43</v>
      </c>
      <c r="Q895" s="91">
        <v>0</v>
      </c>
      <c r="R895" s="91">
        <v>0</v>
      </c>
      <c r="S895" s="91">
        <v>0</v>
      </c>
      <c r="T895" s="91"/>
      <c r="U895" s="91"/>
      <c r="V895" s="91"/>
      <c r="W895" s="91"/>
      <c r="X895" s="91"/>
      <c r="Y895" s="91"/>
      <c r="Z895" s="91"/>
      <c r="AA895" s="91"/>
      <c r="AB895" s="91"/>
      <c r="AC895" s="91"/>
      <c r="AD895" s="91"/>
      <c r="AE895" s="91"/>
      <c r="AF895" s="91"/>
      <c r="AG895" s="91"/>
      <c r="AH895" s="91"/>
      <c r="AI895" s="91"/>
      <c r="AJ895" s="91"/>
      <c r="AK895" s="91"/>
      <c r="AL895" s="91"/>
      <c r="AM895" s="91"/>
    </row>
    <row r="896" spans="1:39" ht="20.25" hidden="1" customHeight="1">
      <c r="A896" s="91"/>
      <c r="B896" s="93" t="s">
        <v>9659</v>
      </c>
      <c r="C896" s="91" t="s">
        <v>36</v>
      </c>
      <c r="D896" s="107" t="s">
        <v>1017</v>
      </c>
      <c r="E896" s="107" t="s">
        <v>9664</v>
      </c>
      <c r="F896" s="91" t="s">
        <v>9665</v>
      </c>
      <c r="G896" s="97">
        <v>23802</v>
      </c>
      <c r="H896" s="97">
        <v>15114</v>
      </c>
      <c r="I896" s="100" t="s">
        <v>58</v>
      </c>
      <c r="J896" s="100" t="s">
        <v>9666</v>
      </c>
      <c r="K896" s="91" t="s">
        <v>9667</v>
      </c>
      <c r="L896" s="91" t="s">
        <v>60</v>
      </c>
      <c r="M896" s="98">
        <f ca="1">(TODAY()-H896)/365</f>
        <v>84.62465753424658</v>
      </c>
      <c r="N896" s="99">
        <f>(G896-H896)/365</f>
        <v>23.802739726027397</v>
      </c>
      <c r="O896" s="98">
        <f ca="1">(TODAY()-G896)/365</f>
        <v>60.821917808219176</v>
      </c>
      <c r="P896" s="91" t="s">
        <v>43</v>
      </c>
      <c r="Q896" s="91">
        <v>0</v>
      </c>
      <c r="R896" s="91">
        <v>0</v>
      </c>
      <c r="S896" s="91">
        <v>0</v>
      </c>
      <c r="T896" s="91"/>
      <c r="U896" s="91"/>
      <c r="V896" s="91"/>
      <c r="W896" s="91"/>
      <c r="X896" s="91"/>
      <c r="Y896" s="91"/>
      <c r="Z896" s="91"/>
      <c r="AA896" s="91"/>
      <c r="AB896" s="91"/>
      <c r="AC896" s="91"/>
      <c r="AD896" s="91"/>
      <c r="AE896" s="91"/>
      <c r="AF896" s="91"/>
      <c r="AG896" s="91"/>
      <c r="AH896" s="91"/>
      <c r="AI896" s="91"/>
      <c r="AJ896" s="91"/>
      <c r="AK896" s="91"/>
      <c r="AL896" s="91"/>
      <c r="AM896" s="91"/>
    </row>
    <row r="897" spans="1:39" ht="20.25" hidden="1" customHeight="1">
      <c r="A897" s="91"/>
      <c r="B897" s="93" t="s">
        <v>9659</v>
      </c>
      <c r="C897" s="91" t="s">
        <v>36</v>
      </c>
      <c r="D897" s="107" t="s">
        <v>7512</v>
      </c>
      <c r="E897" s="107" t="s">
        <v>9668</v>
      </c>
      <c r="F897" s="91" t="s">
        <v>9669</v>
      </c>
      <c r="G897" s="97">
        <v>23802</v>
      </c>
      <c r="H897" s="97">
        <v>16053</v>
      </c>
      <c r="I897" s="100" t="s">
        <v>58</v>
      </c>
      <c r="J897" s="100" t="s">
        <v>9670</v>
      </c>
      <c r="K897" s="95" t="s">
        <v>58</v>
      </c>
      <c r="L897" s="91" t="s">
        <v>60</v>
      </c>
      <c r="M897" s="98">
        <f ca="1">(TODAY()-H897)/365</f>
        <v>82.052054794520544</v>
      </c>
      <c r="N897" s="99">
        <f>(G897-H897)/365</f>
        <v>21.230136986301371</v>
      </c>
      <c r="O897" s="98">
        <f ca="1">(TODAY()-G897)/365</f>
        <v>60.821917808219176</v>
      </c>
      <c r="P897" s="91" t="s">
        <v>43</v>
      </c>
      <c r="Q897" s="91">
        <v>0</v>
      </c>
      <c r="R897" s="91">
        <v>0</v>
      </c>
      <c r="S897" s="91">
        <v>0</v>
      </c>
      <c r="T897" s="91"/>
      <c r="U897" s="91"/>
      <c r="V897" s="91"/>
      <c r="W897" s="91"/>
      <c r="X897" s="91"/>
      <c r="Y897" s="91"/>
      <c r="Z897" s="91"/>
      <c r="AA897" s="91"/>
      <c r="AB897" s="91"/>
      <c r="AC897" s="91"/>
      <c r="AD897" s="91"/>
      <c r="AE897" s="91"/>
      <c r="AF897" s="91"/>
      <c r="AG897" s="91"/>
      <c r="AH897" s="91"/>
      <c r="AI897" s="91"/>
      <c r="AJ897" s="91"/>
      <c r="AK897" s="91"/>
      <c r="AL897" s="91"/>
      <c r="AM897" s="91"/>
    </row>
    <row r="898" spans="1:39" ht="20.25" hidden="1" customHeight="1">
      <c r="A898" s="91"/>
      <c r="B898" s="93" t="s">
        <v>9659</v>
      </c>
      <c r="C898" s="91" t="s">
        <v>36</v>
      </c>
      <c r="D898" s="107" t="s">
        <v>295</v>
      </c>
      <c r="E898" s="107" t="s">
        <v>9671</v>
      </c>
      <c r="F898" s="91" t="s">
        <v>9672</v>
      </c>
      <c r="G898" s="97">
        <v>32143</v>
      </c>
      <c r="H898" s="97">
        <v>25387</v>
      </c>
      <c r="I898" s="100" t="s">
        <v>9673</v>
      </c>
      <c r="J898" s="100" t="s">
        <v>9674</v>
      </c>
      <c r="K898" s="91">
        <v>984897227</v>
      </c>
      <c r="L898" s="91" t="s">
        <v>42</v>
      </c>
      <c r="M898" s="98">
        <f ca="1">(TODAY()-H898)/365</f>
        <v>56.479452054794521</v>
      </c>
      <c r="N898" s="99">
        <f>(G898-H898)/365</f>
        <v>18.509589041095889</v>
      </c>
      <c r="O898" s="98">
        <f ca="1">(TODAY()-G898)/365</f>
        <v>37.969863013698628</v>
      </c>
      <c r="P898" s="91" t="s">
        <v>43</v>
      </c>
      <c r="Q898" s="91">
        <v>0</v>
      </c>
      <c r="R898" s="91">
        <v>1</v>
      </c>
      <c r="S898" s="91">
        <v>0</v>
      </c>
      <c r="T898" s="91">
        <v>1</v>
      </c>
      <c r="U898" s="91"/>
      <c r="V898" s="91"/>
      <c r="W898" s="91"/>
      <c r="X898" s="91"/>
      <c r="Y898" s="91">
        <v>1</v>
      </c>
      <c r="Z898" s="91"/>
      <c r="AA898" s="91"/>
      <c r="AB898" s="91"/>
      <c r="AC898" s="91">
        <v>1</v>
      </c>
      <c r="AD898" s="91"/>
      <c r="AE898" s="91"/>
      <c r="AF898" s="91"/>
      <c r="AG898" s="91"/>
      <c r="AH898" s="91"/>
      <c r="AI898" s="91"/>
      <c r="AJ898" s="91"/>
      <c r="AK898" s="91"/>
      <c r="AL898" s="91"/>
      <c r="AM898" s="91"/>
    </row>
    <row r="899" spans="1:39" ht="20.25" hidden="1" customHeight="1">
      <c r="A899" s="91"/>
      <c r="B899" s="113" t="s">
        <v>9659</v>
      </c>
      <c r="C899" s="91" t="s">
        <v>36</v>
      </c>
      <c r="D899" s="107" t="s">
        <v>3272</v>
      </c>
      <c r="E899" s="107" t="s">
        <v>9675</v>
      </c>
      <c r="F899" s="91" t="s">
        <v>9676</v>
      </c>
      <c r="G899" s="97">
        <v>34182</v>
      </c>
      <c r="H899" s="97">
        <v>16562</v>
      </c>
      <c r="I899" s="100" t="s">
        <v>58</v>
      </c>
      <c r="J899" s="100" t="s">
        <v>9677</v>
      </c>
      <c r="K899" s="91" t="s">
        <v>9678</v>
      </c>
      <c r="L899" s="91" t="s">
        <v>60</v>
      </c>
      <c r="M899" s="98">
        <f ca="1">(TODAY()-H899)/365</f>
        <v>80.657534246575338</v>
      </c>
      <c r="N899" s="99">
        <f>(G899-H899)/365</f>
        <v>48.273972602739725</v>
      </c>
      <c r="O899" s="98">
        <f ca="1">(TODAY()-G899)/365</f>
        <v>32.38356164383562</v>
      </c>
      <c r="P899" s="91" t="s">
        <v>43</v>
      </c>
      <c r="Q899" s="91">
        <v>0</v>
      </c>
      <c r="R899" s="91">
        <v>0</v>
      </c>
      <c r="S899" s="91">
        <v>0</v>
      </c>
      <c r="T899" s="91"/>
      <c r="U899" s="91"/>
      <c r="V899" s="91"/>
      <c r="W899" s="91"/>
      <c r="X899" s="91"/>
      <c r="Y899" s="91"/>
      <c r="Z899" s="91"/>
      <c r="AA899" s="91"/>
      <c r="AB899" s="91"/>
      <c r="AC899" s="91"/>
      <c r="AD899" s="91"/>
      <c r="AE899" s="91"/>
      <c r="AF899" s="91"/>
      <c r="AG899" s="91"/>
      <c r="AH899" s="91"/>
      <c r="AI899" s="91"/>
      <c r="AJ899" s="91"/>
      <c r="AK899" s="91"/>
      <c r="AL899" s="91"/>
      <c r="AM899" s="91"/>
    </row>
    <row r="900" spans="1:39" ht="20.25" hidden="1" customHeight="1">
      <c r="A900" s="91"/>
      <c r="B900" s="93" t="s">
        <v>9659</v>
      </c>
      <c r="C900" s="91" t="s">
        <v>36</v>
      </c>
      <c r="D900" s="107" t="s">
        <v>494</v>
      </c>
      <c r="E900" s="107" t="s">
        <v>2462</v>
      </c>
      <c r="F900" s="91" t="s">
        <v>9679</v>
      </c>
      <c r="G900" s="97">
        <v>38412</v>
      </c>
      <c r="H900" s="97">
        <v>33959</v>
      </c>
      <c r="I900" s="100" t="s">
        <v>9680</v>
      </c>
      <c r="J900" s="100" t="s">
        <v>9681</v>
      </c>
      <c r="K900" s="91">
        <v>950116612</v>
      </c>
      <c r="L900" s="91" t="s">
        <v>60</v>
      </c>
      <c r="M900" s="98">
        <f ca="1">(TODAY()-H900)/365</f>
        <v>32.994520547945207</v>
      </c>
      <c r="N900" s="99">
        <f>(G900-H900)/365</f>
        <v>12.2</v>
      </c>
      <c r="O900" s="98">
        <f ca="1">(TODAY()-G900)/365</f>
        <v>20.794520547945204</v>
      </c>
      <c r="P900" s="91" t="s">
        <v>272</v>
      </c>
      <c r="Q900" s="91">
        <v>0</v>
      </c>
      <c r="R900" s="91">
        <v>0</v>
      </c>
      <c r="S900" s="91">
        <v>1</v>
      </c>
      <c r="T900" s="91"/>
      <c r="U900" s="91"/>
      <c r="V900" s="91"/>
      <c r="W900" s="91"/>
      <c r="X900" s="91"/>
      <c r="Y900" s="91"/>
      <c r="Z900" s="91"/>
      <c r="AA900" s="91"/>
      <c r="AB900" s="91"/>
      <c r="AC900" s="91"/>
      <c r="AD900" s="91"/>
      <c r="AE900" s="91"/>
      <c r="AF900" s="91"/>
      <c r="AG900" s="91"/>
      <c r="AH900" s="91"/>
      <c r="AI900" s="91"/>
      <c r="AJ900" s="91"/>
      <c r="AK900" s="91"/>
      <c r="AL900" s="91"/>
      <c r="AM900" s="91"/>
    </row>
    <row r="901" spans="1:39" ht="20.25" hidden="1" customHeight="1">
      <c r="A901" s="91"/>
      <c r="B901" s="93" t="s">
        <v>9659</v>
      </c>
      <c r="C901" s="91" t="s">
        <v>36</v>
      </c>
      <c r="D901" s="107" t="s">
        <v>658</v>
      </c>
      <c r="E901" s="107" t="s">
        <v>9682</v>
      </c>
      <c r="F901" s="91" t="s">
        <v>9683</v>
      </c>
      <c r="G901" s="97">
        <v>40834</v>
      </c>
      <c r="H901" s="97">
        <v>18286</v>
      </c>
      <c r="I901" s="100" t="s">
        <v>58</v>
      </c>
      <c r="J901" s="100" t="s">
        <v>9684</v>
      </c>
      <c r="K901" s="91" t="s">
        <v>9685</v>
      </c>
      <c r="L901" s="91" t="s">
        <v>60</v>
      </c>
      <c r="M901" s="98">
        <f ca="1">(TODAY()-H901)/365</f>
        <v>75.93424657534247</v>
      </c>
      <c r="N901" s="99">
        <f>(G901-H901)/365</f>
        <v>61.775342465753425</v>
      </c>
      <c r="O901" s="98">
        <f ca="1">(TODAY()-G901)/365</f>
        <v>14.158904109589042</v>
      </c>
      <c r="P901" s="91" t="s">
        <v>43</v>
      </c>
      <c r="Q901" s="91">
        <v>0</v>
      </c>
      <c r="R901" s="91">
        <v>0</v>
      </c>
      <c r="S901" s="91">
        <v>0</v>
      </c>
      <c r="T901" s="91"/>
      <c r="U901" s="91"/>
      <c r="V901" s="91"/>
      <c r="W901" s="91"/>
      <c r="X901" s="91"/>
      <c r="Y901" s="91"/>
      <c r="Z901" s="91"/>
      <c r="AA901" s="91"/>
      <c r="AB901" s="91"/>
      <c r="AC901" s="91"/>
      <c r="AD901" s="91"/>
      <c r="AE901" s="91"/>
      <c r="AF901" s="91"/>
      <c r="AG901" s="91"/>
      <c r="AH901" s="91"/>
      <c r="AI901" s="91"/>
      <c r="AJ901" s="91"/>
      <c r="AK901" s="91"/>
      <c r="AL901" s="91"/>
      <c r="AM901" s="91"/>
    </row>
    <row r="902" spans="1:39" ht="20.25" hidden="1" customHeight="1">
      <c r="A902" s="91"/>
      <c r="B902" s="93" t="s">
        <v>9659</v>
      </c>
      <c r="C902" s="91" t="s">
        <v>36</v>
      </c>
      <c r="D902" s="107" t="s">
        <v>3971</v>
      </c>
      <c r="E902" s="107" t="s">
        <v>9686</v>
      </c>
      <c r="F902" s="91" t="s">
        <v>9687</v>
      </c>
      <c r="G902" s="97">
        <v>42286</v>
      </c>
      <c r="H902" s="97">
        <v>23848</v>
      </c>
      <c r="I902" s="100" t="s">
        <v>58</v>
      </c>
      <c r="J902" s="100" t="s">
        <v>9688</v>
      </c>
      <c r="K902" s="91" t="s">
        <v>9689</v>
      </c>
      <c r="L902" s="91" t="s">
        <v>60</v>
      </c>
      <c r="M902" s="98">
        <f ca="1">(TODAY()-H902)/365</f>
        <v>60.695890410958903</v>
      </c>
      <c r="N902" s="99">
        <f>(G902-H902)/365</f>
        <v>50.515068493150686</v>
      </c>
      <c r="O902" s="98">
        <f ca="1">(TODAY()-G902)/365</f>
        <v>10.180821917808219</v>
      </c>
      <c r="P902" s="91" t="s">
        <v>43</v>
      </c>
      <c r="Q902" s="91">
        <v>0</v>
      </c>
      <c r="R902" s="91">
        <v>0</v>
      </c>
      <c r="S902" s="91">
        <v>0</v>
      </c>
      <c r="T902" s="91"/>
      <c r="U902" s="91"/>
      <c r="V902" s="91"/>
      <c r="W902" s="91"/>
      <c r="X902" s="91"/>
      <c r="Y902" s="91"/>
      <c r="Z902" s="91"/>
      <c r="AA902" s="91"/>
      <c r="AB902" s="91"/>
      <c r="AC902" s="91"/>
      <c r="AD902" s="91"/>
      <c r="AE902" s="91"/>
      <c r="AF902" s="91"/>
      <c r="AG902" s="91"/>
      <c r="AH902" s="91"/>
      <c r="AI902" s="91"/>
      <c r="AJ902" s="91"/>
      <c r="AK902" s="91"/>
      <c r="AL902" s="91"/>
      <c r="AM902" s="91"/>
    </row>
    <row r="903" spans="1:39" ht="20.25" hidden="1" customHeight="1">
      <c r="A903" s="91"/>
      <c r="B903" s="93" t="s">
        <v>9659</v>
      </c>
      <c r="C903" s="91" t="s">
        <v>36</v>
      </c>
      <c r="D903" s="107" t="s">
        <v>3412</v>
      </c>
      <c r="E903" s="107" t="s">
        <v>7702</v>
      </c>
      <c r="F903" s="91" t="s">
        <v>9690</v>
      </c>
      <c r="G903" s="97">
        <v>43507</v>
      </c>
      <c r="H903" s="97">
        <v>31638</v>
      </c>
      <c r="I903" s="100" t="s">
        <v>9691</v>
      </c>
      <c r="J903" s="100" t="s">
        <v>9692</v>
      </c>
      <c r="K903" s="91" t="s">
        <v>9693</v>
      </c>
      <c r="L903" s="91" t="s">
        <v>66</v>
      </c>
      <c r="M903" s="98">
        <f ca="1">(TODAY()-H903)/365</f>
        <v>39.353424657534248</v>
      </c>
      <c r="N903" s="99">
        <f>(G903-H903)/365</f>
        <v>32.517808219178079</v>
      </c>
      <c r="O903" s="98">
        <f ca="1">(TODAY()-G903)/365</f>
        <v>6.8356164383561646</v>
      </c>
      <c r="P903" s="91" t="s">
        <v>43</v>
      </c>
      <c r="Q903" s="91">
        <v>0</v>
      </c>
      <c r="R903" s="91">
        <v>0</v>
      </c>
      <c r="S903" s="91">
        <v>0</v>
      </c>
      <c r="T903" s="91"/>
      <c r="U903" s="91"/>
      <c r="V903" s="91"/>
      <c r="W903" s="91"/>
      <c r="X903" s="91"/>
      <c r="Y903" s="91">
        <v>1</v>
      </c>
      <c r="Z903" s="91"/>
      <c r="AA903" s="91"/>
      <c r="AB903" s="91"/>
      <c r="AC903" s="91">
        <v>1</v>
      </c>
      <c r="AD903" s="91"/>
      <c r="AE903" s="91"/>
      <c r="AF903" s="91"/>
      <c r="AG903" s="91"/>
      <c r="AH903" s="91"/>
      <c r="AI903" s="91"/>
      <c r="AJ903" s="91"/>
      <c r="AK903" s="91"/>
      <c r="AL903" s="91"/>
      <c r="AM903" s="91"/>
    </row>
    <row r="904" spans="1:39" ht="20.25" hidden="1" customHeight="1">
      <c r="A904" s="91"/>
      <c r="B904" s="93" t="s">
        <v>9659</v>
      </c>
      <c r="C904" s="91" t="s">
        <v>36</v>
      </c>
      <c r="D904" s="107" t="s">
        <v>9694</v>
      </c>
      <c r="E904" s="107" t="s">
        <v>9695</v>
      </c>
      <c r="F904" s="91" t="s">
        <v>9696</v>
      </c>
      <c r="G904" s="97">
        <v>44044</v>
      </c>
      <c r="H904" s="97">
        <v>28732</v>
      </c>
      <c r="I904" s="94" t="s">
        <v>9697</v>
      </c>
      <c r="J904" s="100" t="s">
        <v>9698</v>
      </c>
      <c r="K904" s="92" t="s">
        <v>9699</v>
      </c>
      <c r="L904" s="91" t="s">
        <v>60</v>
      </c>
      <c r="M904" s="98">
        <f ca="1">(TODAY()-H904)/365</f>
        <v>47.315068493150683</v>
      </c>
      <c r="N904" s="99">
        <f>(G904-H904)/365</f>
        <v>41.950684931506849</v>
      </c>
      <c r="O904" s="98">
        <f ca="1">(TODAY()-G904)/365</f>
        <v>5.3643835616438356</v>
      </c>
      <c r="P904" s="91" t="s">
        <v>272</v>
      </c>
      <c r="Q904" s="91">
        <v>0</v>
      </c>
      <c r="R904" s="91">
        <v>0</v>
      </c>
      <c r="S904" s="91">
        <v>0</v>
      </c>
      <c r="T904" s="91"/>
      <c r="U904" s="91"/>
      <c r="V904" s="91"/>
      <c r="W904" s="91"/>
      <c r="X904" s="91"/>
      <c r="Y904" s="91"/>
      <c r="Z904" s="91"/>
      <c r="AA904" s="91"/>
      <c r="AB904" s="91"/>
      <c r="AC904" s="91"/>
      <c r="AD904" s="91"/>
      <c r="AE904" s="91"/>
      <c r="AF904" s="91"/>
      <c r="AG904" s="91"/>
      <c r="AH904" s="91"/>
      <c r="AI904" s="91"/>
      <c r="AJ904" s="91"/>
      <c r="AK904" s="91"/>
      <c r="AL904" s="91"/>
      <c r="AM904" s="91"/>
    </row>
    <row r="905" spans="1:39" ht="20.25" hidden="1" customHeight="1">
      <c r="A905" s="91"/>
      <c r="B905" s="93" t="s">
        <v>9659</v>
      </c>
      <c r="C905" s="91" t="s">
        <v>36</v>
      </c>
      <c r="D905" s="107" t="s">
        <v>1330</v>
      </c>
      <c r="E905" s="107" t="s">
        <v>9700</v>
      </c>
      <c r="F905" s="92" t="s">
        <v>9701</v>
      </c>
      <c r="G905" s="97">
        <v>43507</v>
      </c>
      <c r="H905" s="97">
        <v>33823</v>
      </c>
      <c r="I905" s="94" t="s">
        <v>9702</v>
      </c>
      <c r="J905" s="94" t="s">
        <v>9703</v>
      </c>
      <c r="K905" s="92" t="s">
        <v>9704</v>
      </c>
      <c r="L905" s="91" t="s">
        <v>49</v>
      </c>
      <c r="M905" s="98">
        <f ca="1">(TODAY()-H905)/365</f>
        <v>33.367123287671234</v>
      </c>
      <c r="N905" s="99">
        <f>(G905-H905)/365</f>
        <v>26.531506849315068</v>
      </c>
      <c r="O905" s="98">
        <f ca="1">(TODAY()-G905)/365</f>
        <v>6.8356164383561646</v>
      </c>
      <c r="P905" s="91" t="s">
        <v>43</v>
      </c>
      <c r="Q905" s="91">
        <v>0</v>
      </c>
      <c r="R905" s="91">
        <v>0</v>
      </c>
      <c r="S905" s="91">
        <v>0</v>
      </c>
      <c r="T905" s="91"/>
      <c r="U905" s="91"/>
      <c r="V905" s="91"/>
      <c r="W905" s="91"/>
      <c r="X905" s="91"/>
      <c r="Y905" s="91"/>
      <c r="Z905" s="91"/>
      <c r="AA905" s="91"/>
      <c r="AB905" s="91"/>
      <c r="AC905" s="91"/>
      <c r="AD905" s="91"/>
      <c r="AE905" s="91"/>
      <c r="AF905" s="91"/>
      <c r="AG905" s="91"/>
      <c r="AH905" s="91"/>
      <c r="AI905" s="91"/>
      <c r="AJ905" s="91"/>
      <c r="AK905" s="91"/>
      <c r="AL905" s="91"/>
      <c r="AM905" s="91"/>
    </row>
    <row r="906" spans="1:39" ht="20.25" hidden="1" customHeight="1">
      <c r="A906" s="91"/>
      <c r="B906" s="93" t="s">
        <v>9659</v>
      </c>
      <c r="C906" s="91" t="s">
        <v>36</v>
      </c>
      <c r="D906" s="107" t="s">
        <v>9705</v>
      </c>
      <c r="E906" s="107" t="s">
        <v>9706</v>
      </c>
      <c r="F906" s="92" t="s">
        <v>9707</v>
      </c>
      <c r="G906" s="103">
        <v>43783</v>
      </c>
      <c r="H906" s="103">
        <v>36421</v>
      </c>
      <c r="I906" s="94" t="s">
        <v>9708</v>
      </c>
      <c r="J906" s="94" t="s">
        <v>9709</v>
      </c>
      <c r="K906" s="92" t="s">
        <v>9710</v>
      </c>
      <c r="L906" s="91" t="s">
        <v>121</v>
      </c>
      <c r="M906" s="98">
        <f ca="1">(TODAY()-H906)/365</f>
        <v>26.24931506849315</v>
      </c>
      <c r="N906" s="99">
        <f>(G906-H906)/365</f>
        <v>20.169863013698631</v>
      </c>
      <c r="O906" s="98">
        <f ca="1">(TODAY()-G906)/365</f>
        <v>6.0794520547945208</v>
      </c>
      <c r="P906" s="91" t="s">
        <v>272</v>
      </c>
      <c r="Q906" s="91">
        <v>0</v>
      </c>
      <c r="R906" s="91">
        <v>0</v>
      </c>
      <c r="S906" s="91">
        <v>0</v>
      </c>
      <c r="T906" s="91"/>
      <c r="U906" s="91"/>
      <c r="V906" s="91"/>
      <c r="W906" s="91"/>
      <c r="X906" s="91"/>
      <c r="Y906" s="91"/>
      <c r="Z906" s="91"/>
      <c r="AA906" s="91"/>
      <c r="AB906" s="91"/>
      <c r="AC906" s="91"/>
      <c r="AD906" s="91"/>
      <c r="AE906" s="91"/>
      <c r="AF906" s="91"/>
      <c r="AG906" s="91"/>
      <c r="AH906" s="91"/>
      <c r="AI906" s="91"/>
      <c r="AJ906" s="91"/>
      <c r="AK906" s="91"/>
      <c r="AL906" s="91"/>
      <c r="AM906" s="91"/>
    </row>
    <row r="907" spans="1:39" ht="20.25" hidden="1" customHeight="1">
      <c r="A907" s="91"/>
      <c r="B907" s="93" t="s">
        <v>9659</v>
      </c>
      <c r="C907" s="91" t="s">
        <v>36</v>
      </c>
      <c r="D907" s="107" t="s">
        <v>9711</v>
      </c>
      <c r="E907" s="107" t="s">
        <v>9712</v>
      </c>
      <c r="F907" s="92" t="s">
        <v>9713</v>
      </c>
      <c r="G907" s="103">
        <v>43507</v>
      </c>
      <c r="H907" s="103">
        <v>33302</v>
      </c>
      <c r="I907" s="94" t="s">
        <v>9714</v>
      </c>
      <c r="J907" s="100" t="s">
        <v>9681</v>
      </c>
      <c r="K907" s="92">
        <v>966931420</v>
      </c>
      <c r="L907" s="91" t="s">
        <v>197</v>
      </c>
      <c r="M907" s="98">
        <f ca="1">(TODAY()-H907)/365</f>
        <v>34.794520547945204</v>
      </c>
      <c r="N907" s="99">
        <f>(G907-H907)/365</f>
        <v>27.958904109589042</v>
      </c>
      <c r="O907" s="98">
        <f ca="1">(TODAY()-G907)/365</f>
        <v>6.8356164383561646</v>
      </c>
      <c r="P907" s="91" t="s">
        <v>43</v>
      </c>
      <c r="Q907" s="91">
        <v>0</v>
      </c>
      <c r="R907" s="91">
        <v>0</v>
      </c>
      <c r="S907" s="91">
        <v>0</v>
      </c>
      <c r="T907" s="91"/>
      <c r="U907" s="91"/>
      <c r="V907" s="91"/>
      <c r="W907" s="91"/>
      <c r="X907" s="91"/>
      <c r="Y907" s="91">
        <v>1</v>
      </c>
      <c r="Z907" s="91"/>
      <c r="AA907" s="91"/>
      <c r="AB907" s="91"/>
      <c r="AC907" s="91"/>
      <c r="AD907" s="91"/>
      <c r="AE907" s="91"/>
      <c r="AF907" s="91"/>
      <c r="AG907" s="91"/>
      <c r="AH907" s="91"/>
      <c r="AI907" s="91"/>
      <c r="AJ907" s="91"/>
      <c r="AK907" s="91"/>
      <c r="AL907" s="91"/>
      <c r="AM907" s="91"/>
    </row>
    <row r="908" spans="1:39" ht="20.25" hidden="1" customHeight="1">
      <c r="A908" s="91"/>
      <c r="B908" s="93" t="s">
        <v>9659</v>
      </c>
      <c r="C908" s="91" t="s">
        <v>36</v>
      </c>
      <c r="D908" s="107" t="s">
        <v>1344</v>
      </c>
      <c r="E908" s="107" t="s">
        <v>9715</v>
      </c>
      <c r="F908" s="92" t="s">
        <v>9716</v>
      </c>
      <c r="G908" s="103">
        <v>43470</v>
      </c>
      <c r="H908" s="103">
        <v>29880</v>
      </c>
      <c r="I908" s="94" t="s">
        <v>9717</v>
      </c>
      <c r="J908" s="100" t="s">
        <v>9718</v>
      </c>
      <c r="K908" s="92" t="s">
        <v>9719</v>
      </c>
      <c r="L908" s="91" t="s">
        <v>60</v>
      </c>
      <c r="M908" s="98">
        <f ca="1">(TODAY()-H908)/365</f>
        <v>44.169863013698631</v>
      </c>
      <c r="N908" s="99">
        <f>(G908-H908)/365</f>
        <v>37.232876712328768</v>
      </c>
      <c r="O908" s="98">
        <f ca="1">(TODAY()-G908)/365</f>
        <v>6.9369863013698634</v>
      </c>
      <c r="P908" s="91" t="s">
        <v>43</v>
      </c>
      <c r="Q908" s="91">
        <v>0</v>
      </c>
      <c r="R908" s="91">
        <v>0</v>
      </c>
      <c r="S908" s="91">
        <v>0</v>
      </c>
      <c r="T908" s="91"/>
      <c r="U908" s="91"/>
      <c r="V908" s="91"/>
      <c r="W908" s="91"/>
      <c r="X908" s="91"/>
      <c r="Y908" s="91"/>
      <c r="Z908" s="91"/>
      <c r="AA908" s="91"/>
      <c r="AB908" s="91"/>
      <c r="AC908" s="91"/>
      <c r="AD908" s="91"/>
      <c r="AE908" s="91"/>
      <c r="AF908" s="91"/>
      <c r="AG908" s="91"/>
      <c r="AH908" s="91"/>
      <c r="AI908" s="91"/>
      <c r="AJ908" s="91"/>
      <c r="AK908" s="91"/>
      <c r="AL908" s="91"/>
      <c r="AM908" s="91"/>
    </row>
    <row r="909" spans="1:39" ht="20.25" hidden="1" customHeight="1">
      <c r="A909" s="91"/>
      <c r="B909" s="93" t="s">
        <v>9659</v>
      </c>
      <c r="C909" s="91" t="s">
        <v>36</v>
      </c>
      <c r="D909" s="107" t="s">
        <v>9720</v>
      </c>
      <c r="E909" s="107" t="s">
        <v>9721</v>
      </c>
      <c r="F909" s="92" t="s">
        <v>9722</v>
      </c>
      <c r="G909" s="103">
        <v>43470</v>
      </c>
      <c r="H909" s="97">
        <v>29154</v>
      </c>
      <c r="I909" s="100" t="s">
        <v>58</v>
      </c>
      <c r="J909" s="100" t="s">
        <v>9718</v>
      </c>
      <c r="K909" s="92" t="s">
        <v>9719</v>
      </c>
      <c r="L909" s="91" t="s">
        <v>60</v>
      </c>
      <c r="M909" s="98">
        <f ca="1">(TODAY()-H909)/365</f>
        <v>46.158904109589038</v>
      </c>
      <c r="N909" s="99">
        <f>(G909-H909)/365</f>
        <v>39.221917808219175</v>
      </c>
      <c r="O909" s="98">
        <f ca="1">(TODAY()-G909)/365</f>
        <v>6.9369863013698634</v>
      </c>
      <c r="P909" s="91" t="s">
        <v>272</v>
      </c>
      <c r="Q909" s="91">
        <v>0</v>
      </c>
      <c r="R909" s="91">
        <v>0</v>
      </c>
      <c r="S909" s="91">
        <v>0</v>
      </c>
      <c r="T909" s="91"/>
      <c r="U909" s="91"/>
      <c r="V909" s="91"/>
      <c r="W909" s="91"/>
      <c r="X909" s="91"/>
      <c r="Y909" s="91"/>
      <c r="Z909" s="91"/>
      <c r="AA909" s="91"/>
      <c r="AB909" s="91"/>
      <c r="AC909" s="91"/>
      <c r="AD909" s="91"/>
      <c r="AE909" s="91"/>
      <c r="AF909" s="91"/>
      <c r="AG909" s="91"/>
      <c r="AH909" s="91"/>
      <c r="AI909" s="91"/>
      <c r="AJ909" s="91"/>
      <c r="AK909" s="91"/>
      <c r="AL909" s="91"/>
      <c r="AM909" s="91"/>
    </row>
    <row r="910" spans="1:39" ht="20.25" hidden="1" customHeight="1">
      <c r="A910" s="91"/>
      <c r="B910" s="93" t="s">
        <v>9659</v>
      </c>
      <c r="C910" s="91" t="s">
        <v>36</v>
      </c>
      <c r="D910" s="107" t="s">
        <v>9723</v>
      </c>
      <c r="E910" s="107" t="s">
        <v>9724</v>
      </c>
      <c r="F910" s="92" t="s">
        <v>9725</v>
      </c>
      <c r="G910" s="103">
        <v>43507</v>
      </c>
      <c r="H910" s="103">
        <v>24991</v>
      </c>
      <c r="I910" s="94" t="s">
        <v>9726</v>
      </c>
      <c r="J910" s="94" t="s">
        <v>9670</v>
      </c>
      <c r="K910" s="92" t="s">
        <v>9727</v>
      </c>
      <c r="L910" s="91" t="s">
        <v>72</v>
      </c>
      <c r="M910" s="98">
        <f ca="1">(TODAY()-H910)/365</f>
        <v>57.564383561643837</v>
      </c>
      <c r="N910" s="99">
        <f>(G910-H910)/365</f>
        <v>50.728767123287675</v>
      </c>
      <c r="O910" s="98">
        <f ca="1">(TODAY()-G910)/365</f>
        <v>6.8356164383561646</v>
      </c>
      <c r="P910" s="91" t="s">
        <v>43</v>
      </c>
      <c r="Q910" s="91">
        <v>0</v>
      </c>
      <c r="R910" s="91">
        <v>0</v>
      </c>
      <c r="S910" s="91">
        <v>0</v>
      </c>
      <c r="T910" s="91"/>
      <c r="U910" s="91"/>
      <c r="V910" s="91"/>
      <c r="W910" s="91"/>
      <c r="X910" s="91"/>
      <c r="Y910" s="91"/>
      <c r="Z910" s="91"/>
      <c r="AA910" s="91"/>
      <c r="AB910" s="91"/>
      <c r="AC910" s="91"/>
      <c r="AD910" s="91"/>
      <c r="AE910" s="91"/>
      <c r="AF910" s="91"/>
      <c r="AG910" s="91"/>
      <c r="AH910" s="91"/>
      <c r="AI910" s="91"/>
      <c r="AJ910" s="91"/>
      <c r="AK910" s="91"/>
      <c r="AL910" s="91"/>
      <c r="AM910" s="91"/>
    </row>
    <row r="911" spans="1:39" ht="20.25" hidden="1" customHeight="1">
      <c r="A911" s="91"/>
      <c r="B911" s="93" t="s">
        <v>9659</v>
      </c>
      <c r="C911" s="91" t="s">
        <v>36</v>
      </c>
      <c r="D911" s="107" t="s">
        <v>9728</v>
      </c>
      <c r="E911" s="107" t="s">
        <v>9729</v>
      </c>
      <c r="F911" s="92" t="s">
        <v>9730</v>
      </c>
      <c r="G911" s="103">
        <v>44475</v>
      </c>
      <c r="H911" s="103">
        <v>29069</v>
      </c>
      <c r="I911" s="94" t="s">
        <v>9731</v>
      </c>
      <c r="J911" s="94" t="s">
        <v>9732</v>
      </c>
      <c r="K911" s="92" t="s">
        <v>9733</v>
      </c>
      <c r="L911" s="91" t="s">
        <v>60</v>
      </c>
      <c r="M911" s="98">
        <f ca="1">(TODAY()-H911)/365</f>
        <v>46.391780821917806</v>
      </c>
      <c r="N911" s="99">
        <f>(G911-H911)/365</f>
        <v>42.208219178082189</v>
      </c>
      <c r="O911" s="98">
        <f ca="1">(TODAY()-G911)/365</f>
        <v>4.183561643835616</v>
      </c>
      <c r="P911" s="91" t="s">
        <v>43</v>
      </c>
      <c r="Q911" s="91">
        <v>0</v>
      </c>
      <c r="R911" s="91">
        <v>0</v>
      </c>
      <c r="S911" s="91">
        <v>0</v>
      </c>
      <c r="T911" s="91"/>
      <c r="U911" s="91"/>
      <c r="V911" s="91"/>
      <c r="W911" s="91"/>
      <c r="X911" s="91"/>
      <c r="Y911" s="91"/>
      <c r="Z911" s="91"/>
      <c r="AA911" s="91"/>
      <c r="AB911" s="91"/>
      <c r="AC911" s="91"/>
      <c r="AD911" s="91"/>
      <c r="AE911" s="91"/>
      <c r="AF911" s="91"/>
      <c r="AG911" s="91"/>
      <c r="AH911" s="91"/>
      <c r="AI911" s="91"/>
      <c r="AJ911" s="91"/>
      <c r="AK911" s="91"/>
      <c r="AL911" s="91"/>
      <c r="AM911" s="91"/>
    </row>
    <row r="912" spans="1:39" ht="20.25" hidden="1" customHeight="1">
      <c r="A912" s="91"/>
      <c r="B912" s="93" t="s">
        <v>9659</v>
      </c>
      <c r="C912" s="91" t="s">
        <v>36</v>
      </c>
      <c r="D912" s="107" t="s">
        <v>3269</v>
      </c>
      <c r="E912" s="107" t="s">
        <v>9734</v>
      </c>
      <c r="F912" s="91" t="s">
        <v>9735</v>
      </c>
      <c r="G912" s="103">
        <v>43783</v>
      </c>
      <c r="H912" s="97">
        <v>23944</v>
      </c>
      <c r="I912" s="100" t="s">
        <v>58</v>
      </c>
      <c r="J912" s="100" t="s">
        <v>9681</v>
      </c>
      <c r="K912" s="91">
        <v>984897227</v>
      </c>
      <c r="L912" s="91" t="s">
        <v>60</v>
      </c>
      <c r="M912" s="98">
        <f ca="1">(TODAY()-H912)/365</f>
        <v>60.43287671232877</v>
      </c>
      <c r="N912" s="99">
        <f>(G912-H912)/365</f>
        <v>54.353424657534248</v>
      </c>
      <c r="O912" s="98">
        <f ca="1">(TODAY()-G912)/365</f>
        <v>6.0794520547945208</v>
      </c>
      <c r="P912" s="91" t="s">
        <v>272</v>
      </c>
      <c r="Q912" s="91">
        <v>0</v>
      </c>
      <c r="R912" s="91">
        <v>0</v>
      </c>
      <c r="S912" s="91">
        <v>0</v>
      </c>
      <c r="T912" s="91"/>
      <c r="U912" s="91"/>
      <c r="V912" s="91"/>
      <c r="W912" s="91"/>
      <c r="X912" s="91"/>
      <c r="Y912" s="91"/>
      <c r="Z912" s="91"/>
      <c r="AA912" s="91"/>
      <c r="AB912" s="91"/>
      <c r="AC912" s="91"/>
      <c r="AD912" s="91"/>
      <c r="AE912" s="91"/>
      <c r="AF912" s="91"/>
      <c r="AG912" s="91"/>
      <c r="AH912" s="91"/>
      <c r="AI912" s="91"/>
      <c r="AJ912" s="91"/>
      <c r="AK912" s="91"/>
      <c r="AL912" s="91"/>
      <c r="AM912" s="91"/>
    </row>
    <row r="913" spans="1:39" ht="20.25" hidden="1" customHeight="1">
      <c r="A913" s="91"/>
      <c r="B913" s="93" t="s">
        <v>9659</v>
      </c>
      <c r="C913" s="91" t="s">
        <v>36</v>
      </c>
      <c r="D913" s="107" t="s">
        <v>416</v>
      </c>
      <c r="E913" s="107" t="s">
        <v>9671</v>
      </c>
      <c r="F913" s="92" t="s">
        <v>9736</v>
      </c>
      <c r="G913" s="103">
        <v>45457</v>
      </c>
      <c r="H913" s="103">
        <v>30286</v>
      </c>
      <c r="I913" s="94" t="s">
        <v>9737</v>
      </c>
      <c r="J913" s="100" t="s">
        <v>9738</v>
      </c>
      <c r="K913" s="92" t="s">
        <v>9739</v>
      </c>
      <c r="L913" s="91" t="s">
        <v>60</v>
      </c>
      <c r="M913" s="98">
        <f ca="1">(TODAY()-H913)/365</f>
        <v>43.057534246575344</v>
      </c>
      <c r="N913" s="99">
        <f>(G913-H913)/365</f>
        <v>41.564383561643837</v>
      </c>
      <c r="O913" s="98">
        <f ca="1">(TODAY()-G913)/365</f>
        <v>1.4931506849315068</v>
      </c>
      <c r="P913" s="91" t="s">
        <v>43</v>
      </c>
      <c r="Q913" s="91">
        <v>0</v>
      </c>
      <c r="R913" s="91">
        <v>0</v>
      </c>
      <c r="S913" s="91">
        <v>0</v>
      </c>
      <c r="T913" s="91"/>
      <c r="U913" s="91"/>
      <c r="V913" s="91"/>
      <c r="W913" s="91"/>
      <c r="X913" s="91"/>
      <c r="Y913" s="91"/>
      <c r="Z913" s="91"/>
      <c r="AA913" s="91"/>
      <c r="AB913" s="91"/>
      <c r="AC913" s="91"/>
      <c r="AD913" s="91"/>
      <c r="AE913" s="91"/>
      <c r="AF913" s="91"/>
      <c r="AG913" s="91"/>
      <c r="AH913" s="91"/>
      <c r="AI913" s="91"/>
      <c r="AJ913" s="91"/>
      <c r="AK913" s="91"/>
      <c r="AL913" s="91"/>
      <c r="AM913" s="91"/>
    </row>
    <row r="914" spans="1:39" ht="20.25" hidden="1" customHeight="1">
      <c r="A914" s="91"/>
      <c r="B914" s="93" t="s">
        <v>9659</v>
      </c>
      <c r="C914" s="91" t="s">
        <v>36</v>
      </c>
      <c r="D914" s="107" t="s">
        <v>9740</v>
      </c>
      <c r="E914" s="107" t="s">
        <v>9741</v>
      </c>
      <c r="F914" s="92" t="s">
        <v>9742</v>
      </c>
      <c r="G914" s="103">
        <v>45457</v>
      </c>
      <c r="H914" s="97">
        <v>29463</v>
      </c>
      <c r="I914" s="94" t="s">
        <v>9743</v>
      </c>
      <c r="J914" s="94" t="s">
        <v>9744</v>
      </c>
      <c r="K914" s="92" t="s">
        <v>9745</v>
      </c>
      <c r="L914" s="91" t="s">
        <v>60</v>
      </c>
      <c r="M914" s="98">
        <f ca="1">(TODAY()-H914)/365</f>
        <v>45.31232876712329</v>
      </c>
      <c r="N914" s="99">
        <f>(G914-H914)/365</f>
        <v>43.819178082191783</v>
      </c>
      <c r="O914" s="98">
        <f ca="1">(TODAY()-G914)/365</f>
        <v>1.4931506849315068</v>
      </c>
      <c r="P914" s="91" t="s">
        <v>43</v>
      </c>
      <c r="Q914" s="91">
        <v>0</v>
      </c>
      <c r="R914" s="91">
        <v>0</v>
      </c>
      <c r="S914" s="91">
        <v>0</v>
      </c>
      <c r="T914" s="91"/>
      <c r="U914" s="91"/>
      <c r="V914" s="91"/>
      <c r="W914" s="91"/>
      <c r="X914" s="91"/>
      <c r="Y914" s="91"/>
      <c r="Z914" s="91"/>
      <c r="AA914" s="91"/>
      <c r="AB914" s="91"/>
      <c r="AC914" s="91"/>
      <c r="AD914" s="91"/>
      <c r="AE914" s="91"/>
      <c r="AF914" s="91"/>
      <c r="AG914" s="91"/>
      <c r="AH914" s="91"/>
      <c r="AI914" s="91"/>
      <c r="AJ914" s="91"/>
      <c r="AK914" s="91"/>
      <c r="AL914" s="91"/>
      <c r="AM914" s="91"/>
    </row>
    <row r="915" spans="1:39" ht="20.25" hidden="1" customHeight="1">
      <c r="A915" s="91"/>
      <c r="B915" s="93" t="s">
        <v>9659</v>
      </c>
      <c r="C915" s="91" t="s">
        <v>36</v>
      </c>
      <c r="D915" s="107" t="s">
        <v>2500</v>
      </c>
      <c r="E915" s="107" t="s">
        <v>9746</v>
      </c>
      <c r="F915" s="92" t="s">
        <v>9747</v>
      </c>
      <c r="G915" s="103">
        <v>45457</v>
      </c>
      <c r="H915" s="103">
        <v>22450</v>
      </c>
      <c r="I915" s="100" t="s">
        <v>58</v>
      </c>
      <c r="J915" s="94" t="s">
        <v>9748</v>
      </c>
      <c r="K915" s="92" t="s">
        <v>9749</v>
      </c>
      <c r="L915" s="91" t="s">
        <v>60</v>
      </c>
      <c r="M915" s="98">
        <f ca="1">(TODAY()-H915)/365</f>
        <v>64.526027397260279</v>
      </c>
      <c r="N915" s="99">
        <f>(G915-H915)/365</f>
        <v>63.032876712328765</v>
      </c>
      <c r="O915" s="98">
        <f ca="1">(TODAY()-G915)/365</f>
        <v>1.4931506849315068</v>
      </c>
      <c r="P915" s="91" t="s">
        <v>43</v>
      </c>
      <c r="Q915" s="91">
        <v>0</v>
      </c>
      <c r="R915" s="91">
        <v>0</v>
      </c>
      <c r="S915" s="91">
        <v>0</v>
      </c>
      <c r="T915" s="91"/>
      <c r="U915" s="91"/>
      <c r="V915" s="91"/>
      <c r="W915" s="91"/>
      <c r="X915" s="91"/>
      <c r="Y915" s="91"/>
      <c r="Z915" s="91"/>
      <c r="AA915" s="91"/>
      <c r="AB915" s="91"/>
      <c r="AC915" s="91"/>
      <c r="AD915" s="91"/>
      <c r="AE915" s="91"/>
      <c r="AF915" s="91"/>
      <c r="AG915" s="91"/>
      <c r="AH915" s="91"/>
      <c r="AI915" s="91"/>
      <c r="AJ915" s="91"/>
      <c r="AK915" s="91"/>
      <c r="AL915" s="91"/>
      <c r="AM915" s="91"/>
    </row>
    <row r="916" spans="1:39" ht="20.25" hidden="1" customHeight="1">
      <c r="A916" s="91"/>
      <c r="B916" s="93" t="s">
        <v>9659</v>
      </c>
      <c r="C916" s="91" t="s">
        <v>36</v>
      </c>
      <c r="D916" s="107" t="s">
        <v>2695</v>
      </c>
      <c r="E916" s="107" t="s">
        <v>9750</v>
      </c>
      <c r="F916" s="92" t="s">
        <v>9751</v>
      </c>
      <c r="G916" s="103">
        <v>45457</v>
      </c>
      <c r="H916" s="103">
        <v>17983</v>
      </c>
      <c r="I916" s="100" t="s">
        <v>58</v>
      </c>
      <c r="J916" s="94" t="s">
        <v>9748</v>
      </c>
      <c r="K916" s="92" t="s">
        <v>9752</v>
      </c>
      <c r="L916" s="91" t="s">
        <v>60</v>
      </c>
      <c r="M916" s="98">
        <f ca="1">(TODAY()-H916)/365</f>
        <v>76.764383561643839</v>
      </c>
      <c r="N916" s="99">
        <f>(G916-H916)/365</f>
        <v>75.271232876712332</v>
      </c>
      <c r="O916" s="98">
        <f ca="1">(TODAY()-G916)/365</f>
        <v>1.4931506849315068</v>
      </c>
      <c r="P916" s="91" t="s">
        <v>43</v>
      </c>
      <c r="Q916" s="91">
        <v>0</v>
      </c>
      <c r="R916" s="91">
        <v>0</v>
      </c>
      <c r="S916" s="91">
        <v>0</v>
      </c>
      <c r="T916" s="91"/>
      <c r="U916" s="91"/>
      <c r="V916" s="91"/>
      <c r="W916" s="91"/>
      <c r="X916" s="91"/>
      <c r="Y916" s="91"/>
      <c r="Z916" s="91"/>
      <c r="AA916" s="91"/>
      <c r="AB916" s="91"/>
      <c r="AC916" s="91"/>
      <c r="AD916" s="91"/>
      <c r="AE916" s="91"/>
      <c r="AF916" s="91"/>
      <c r="AG916" s="91"/>
      <c r="AH916" s="91"/>
      <c r="AI916" s="91"/>
      <c r="AJ916" s="91"/>
      <c r="AK916" s="91"/>
      <c r="AL916" s="91"/>
      <c r="AM916" s="91"/>
    </row>
    <row r="917" spans="1:39" ht="20.25" hidden="1" customHeight="1">
      <c r="A917" s="91"/>
      <c r="B917" s="93" t="s">
        <v>9659</v>
      </c>
      <c r="C917" s="91" t="s">
        <v>36</v>
      </c>
      <c r="D917" s="107" t="s">
        <v>5700</v>
      </c>
      <c r="E917" s="107" t="s">
        <v>9753</v>
      </c>
      <c r="F917" s="92" t="s">
        <v>9754</v>
      </c>
      <c r="G917" s="103">
        <v>45457</v>
      </c>
      <c r="H917" s="103">
        <v>34130</v>
      </c>
      <c r="I917" s="94" t="s">
        <v>9755</v>
      </c>
      <c r="J917" s="94" t="s">
        <v>9756</v>
      </c>
      <c r="K917" s="92" t="s">
        <v>9757</v>
      </c>
      <c r="L917" s="91" t="s">
        <v>60</v>
      </c>
      <c r="M917" s="98">
        <f ca="1">(TODAY()-H917)/365</f>
        <v>32.526027397260272</v>
      </c>
      <c r="N917" s="99">
        <f>(G917-H917)/365</f>
        <v>31.032876712328768</v>
      </c>
      <c r="O917" s="98">
        <f ca="1">(TODAY()-G917)/365</f>
        <v>1.4931506849315068</v>
      </c>
      <c r="P917" s="91" t="s">
        <v>43</v>
      </c>
      <c r="Q917" s="91">
        <v>0</v>
      </c>
      <c r="R917" s="91">
        <v>0</v>
      </c>
      <c r="S917" s="91">
        <v>0</v>
      </c>
      <c r="T917" s="91"/>
      <c r="U917" s="91"/>
      <c r="V917" s="91"/>
      <c r="W917" s="91"/>
      <c r="X917" s="91"/>
      <c r="Y917" s="91"/>
      <c r="Z917" s="91"/>
      <c r="AA917" s="91"/>
      <c r="AB917" s="91"/>
      <c r="AC917" s="91"/>
      <c r="AD917" s="91"/>
      <c r="AE917" s="91"/>
      <c r="AF917" s="91"/>
      <c r="AG917" s="91"/>
      <c r="AH917" s="91"/>
      <c r="AI917" s="91"/>
      <c r="AJ917" s="91"/>
      <c r="AK917" s="91"/>
      <c r="AL917" s="91"/>
      <c r="AM917" s="91"/>
    </row>
    <row r="918" spans="1:39" ht="20.25" customHeight="1">
      <c r="A918" s="91"/>
      <c r="B918" s="93" t="s">
        <v>11748</v>
      </c>
      <c r="C918" s="91" t="s">
        <v>73</v>
      </c>
      <c r="D918" s="107" t="s">
        <v>2812</v>
      </c>
      <c r="E918" s="107" t="s">
        <v>2813</v>
      </c>
      <c r="F918" s="91" t="s">
        <v>2814</v>
      </c>
      <c r="G918" s="96">
        <v>37690</v>
      </c>
      <c r="H918" s="97">
        <v>23733</v>
      </c>
      <c r="I918" s="94" t="s">
        <v>58</v>
      </c>
      <c r="J918" s="94" t="s">
        <v>58</v>
      </c>
      <c r="K918" s="95" t="s">
        <v>58</v>
      </c>
      <c r="L918" s="91" t="s">
        <v>60</v>
      </c>
      <c r="M918" s="98">
        <f ca="1">(TODAY()-H918)/365</f>
        <v>61.010958904109586</v>
      </c>
      <c r="N918" s="99">
        <f>(G918-H918)/365</f>
        <v>38.238356164383561</v>
      </c>
      <c r="O918" s="98">
        <f ca="1">(TODAY()-G918)/365</f>
        <v>22.772602739726029</v>
      </c>
      <c r="P918" s="91" t="s">
        <v>43</v>
      </c>
      <c r="Q918" s="91">
        <v>0</v>
      </c>
      <c r="R918" s="91">
        <v>0</v>
      </c>
      <c r="S918" s="91">
        <v>0</v>
      </c>
      <c r="T918" s="91"/>
      <c r="U918" s="91"/>
      <c r="V918" s="91"/>
      <c r="W918" s="91"/>
      <c r="X918" s="91"/>
      <c r="Y918" s="91"/>
      <c r="Z918" s="91"/>
      <c r="AA918" s="91"/>
      <c r="AB918" s="91"/>
      <c r="AC918" s="91"/>
      <c r="AD918" s="91"/>
      <c r="AE918" s="91"/>
      <c r="AF918" s="91"/>
      <c r="AG918" s="91"/>
      <c r="AH918" s="91"/>
      <c r="AI918" s="91"/>
      <c r="AJ918" s="91"/>
      <c r="AK918" s="91"/>
      <c r="AL918" s="91"/>
      <c r="AM918" s="91"/>
    </row>
    <row r="919" spans="1:39" ht="20.25" customHeight="1">
      <c r="A919" s="91"/>
      <c r="B919" s="93" t="s">
        <v>10137</v>
      </c>
      <c r="C919" s="91" t="s">
        <v>73</v>
      </c>
      <c r="D919" s="106" t="s">
        <v>10192</v>
      </c>
      <c r="E919" s="106" t="s">
        <v>10193</v>
      </c>
      <c r="F919" s="92" t="s">
        <v>10194</v>
      </c>
      <c r="G919" s="103">
        <v>35496</v>
      </c>
      <c r="H919" s="103">
        <v>23735</v>
      </c>
      <c r="I919" s="108" t="s">
        <v>12586</v>
      </c>
      <c r="J919" s="100" t="s">
        <v>58</v>
      </c>
      <c r="K919" s="95" t="s">
        <v>58</v>
      </c>
      <c r="L919" s="91"/>
      <c r="M919" s="98">
        <f ca="1">(TODAY()-H919)/365</f>
        <v>61.005479452054793</v>
      </c>
      <c r="N919" s="99">
        <f>(G919-H919)/365</f>
        <v>32.221917808219175</v>
      </c>
      <c r="O919" s="98">
        <f ca="1">(TODAY()-G919)/365</f>
        <v>28.783561643835615</v>
      </c>
      <c r="P919" s="91" t="s">
        <v>43</v>
      </c>
      <c r="Q919" s="91"/>
      <c r="R919" s="91"/>
      <c r="S919" s="91"/>
      <c r="T919" s="91"/>
      <c r="U919" s="91"/>
      <c r="V919" s="91"/>
      <c r="W919" s="91"/>
      <c r="X919" s="91"/>
      <c r="Y919" s="91"/>
      <c r="Z919" s="91"/>
      <c r="AA919" s="91"/>
      <c r="AB919" s="91"/>
      <c r="AC919" s="91"/>
      <c r="AD919" s="91"/>
      <c r="AE919" s="91"/>
      <c r="AF919" s="91"/>
      <c r="AG919" s="91"/>
      <c r="AH919" s="91"/>
      <c r="AI919" s="91"/>
      <c r="AJ919" s="91"/>
      <c r="AK919" s="91"/>
      <c r="AL919" s="91"/>
      <c r="AM919" s="91"/>
    </row>
    <row r="920" spans="1:39" ht="20.25" customHeight="1">
      <c r="A920" s="91"/>
      <c r="B920" s="93" t="s">
        <v>5484</v>
      </c>
      <c r="C920" s="91" t="s">
        <v>73</v>
      </c>
      <c r="D920" s="107" t="s">
        <v>5667</v>
      </c>
      <c r="E920" s="107" t="s">
        <v>5668</v>
      </c>
      <c r="F920" s="91" t="s">
        <v>5669</v>
      </c>
      <c r="G920" s="97" t="s">
        <v>58</v>
      </c>
      <c r="H920" s="97" t="s">
        <v>58</v>
      </c>
      <c r="I920" s="100" t="s">
        <v>58</v>
      </c>
      <c r="J920" s="100" t="s">
        <v>58</v>
      </c>
      <c r="K920" s="91" t="s">
        <v>58</v>
      </c>
      <c r="L920" s="91" t="s">
        <v>60</v>
      </c>
      <c r="M920" s="98">
        <v>0</v>
      </c>
      <c r="N920" s="91"/>
      <c r="O920" s="98" t="e">
        <f ca="1">(TODAY()-G920)/365</f>
        <v>#VALUE!</v>
      </c>
      <c r="P920" s="91" t="s">
        <v>43</v>
      </c>
      <c r="Q920" s="91">
        <v>0</v>
      </c>
      <c r="R920" s="91">
        <v>0</v>
      </c>
      <c r="S920" s="91">
        <v>0</v>
      </c>
      <c r="T920" s="91"/>
      <c r="U920" s="91"/>
      <c r="V920" s="91"/>
      <c r="W920" s="91"/>
      <c r="X920" s="91"/>
      <c r="Y920" s="91"/>
      <c r="Z920" s="91"/>
      <c r="AA920" s="91"/>
      <c r="AB920" s="91"/>
      <c r="AC920" s="91"/>
      <c r="AD920" s="91"/>
      <c r="AE920" s="91"/>
      <c r="AF920" s="91"/>
      <c r="AG920" s="91"/>
      <c r="AH920" s="91"/>
      <c r="AI920" s="91"/>
      <c r="AJ920" s="91"/>
      <c r="AK920" s="91"/>
      <c r="AL920" s="91"/>
      <c r="AM920" s="91"/>
    </row>
    <row r="921" spans="1:39" ht="20.25" customHeight="1">
      <c r="A921" s="91"/>
      <c r="B921" s="93" t="s">
        <v>371</v>
      </c>
      <c r="C921" s="91" t="s">
        <v>73</v>
      </c>
      <c r="D921" s="94" t="s">
        <v>376</v>
      </c>
      <c r="E921" s="94" t="s">
        <v>377</v>
      </c>
      <c r="F921" s="95" t="s">
        <v>378</v>
      </c>
      <c r="G921" s="96">
        <v>44265</v>
      </c>
      <c r="H921" s="97">
        <v>39676</v>
      </c>
      <c r="I921" s="100" t="s">
        <v>379</v>
      </c>
      <c r="J921" s="100" t="s">
        <v>58</v>
      </c>
      <c r="K921" s="91" t="s">
        <v>58</v>
      </c>
      <c r="L921" s="91" t="s">
        <v>60</v>
      </c>
      <c r="M921" s="98">
        <f ca="1">(TODAY()-H921)/365</f>
        <v>17.331506849315069</v>
      </c>
      <c r="N921" s="99">
        <f>(G921-H921)/365</f>
        <v>12.572602739726028</v>
      </c>
      <c r="O921" s="98">
        <f ca="1">(TODAY()-G921)/365</f>
        <v>4.7589041095890412</v>
      </c>
      <c r="P921" s="91" t="s">
        <v>43</v>
      </c>
      <c r="Q921" s="91">
        <v>0</v>
      </c>
      <c r="R921" s="91">
        <v>0</v>
      </c>
      <c r="S921" s="91">
        <v>0</v>
      </c>
      <c r="T921" s="91"/>
      <c r="U921" s="91"/>
      <c r="V921" s="91"/>
      <c r="W921" s="91"/>
      <c r="X921" s="91"/>
      <c r="Y921" s="91"/>
      <c r="Z921" s="91"/>
      <c r="AA921" s="91"/>
      <c r="AB921" s="91"/>
      <c r="AC921" s="91"/>
      <c r="AD921" s="91"/>
      <c r="AE921" s="91"/>
      <c r="AF921" s="91"/>
      <c r="AG921" s="91"/>
      <c r="AH921" s="91"/>
      <c r="AI921" s="91"/>
      <c r="AJ921" s="91"/>
      <c r="AK921" s="91"/>
      <c r="AL921" s="91"/>
      <c r="AM921" s="91"/>
    </row>
    <row r="922" spans="1:39" ht="20.25" customHeight="1">
      <c r="A922" s="91"/>
      <c r="B922" s="93" t="s">
        <v>12002</v>
      </c>
      <c r="C922" s="91" t="s">
        <v>73</v>
      </c>
      <c r="D922" s="107" t="s">
        <v>9197</v>
      </c>
      <c r="E922" s="107" t="s">
        <v>9198</v>
      </c>
      <c r="F922" s="91" t="s">
        <v>9199</v>
      </c>
      <c r="G922" s="96">
        <v>45564</v>
      </c>
      <c r="H922" s="97">
        <v>31115</v>
      </c>
      <c r="I922" s="100" t="s">
        <v>9200</v>
      </c>
      <c r="J922" s="94" t="s">
        <v>58</v>
      </c>
      <c r="K922" s="95" t="s">
        <v>58</v>
      </c>
      <c r="L922" s="91" t="s">
        <v>60</v>
      </c>
      <c r="M922" s="98">
        <f ca="1">(TODAY()-H922)/365</f>
        <v>40.786301369863011</v>
      </c>
      <c r="N922" s="99">
        <f>(G922-H922)/365</f>
        <v>39.586301369863016</v>
      </c>
      <c r="O922" s="98">
        <f ca="1">(TODAY()-G922)/365</f>
        <v>1.2</v>
      </c>
      <c r="P922" s="91" t="s">
        <v>272</v>
      </c>
      <c r="Q922" s="91">
        <v>0</v>
      </c>
      <c r="R922" s="91">
        <v>0</v>
      </c>
      <c r="S922" s="91">
        <v>0</v>
      </c>
      <c r="T922" s="91"/>
      <c r="U922" s="91"/>
      <c r="V922" s="91"/>
      <c r="W922" s="91"/>
      <c r="X922" s="91"/>
      <c r="Y922" s="91"/>
      <c r="Z922" s="91"/>
      <c r="AA922" s="91"/>
      <c r="AB922" s="91"/>
      <c r="AC922" s="91"/>
      <c r="AD922" s="91"/>
      <c r="AE922" s="91"/>
      <c r="AF922" s="91"/>
      <c r="AG922" s="91"/>
      <c r="AH922" s="91"/>
      <c r="AI922" s="91"/>
      <c r="AJ922" s="91"/>
      <c r="AK922" s="91"/>
      <c r="AL922" s="91"/>
      <c r="AM922" s="91"/>
    </row>
    <row r="923" spans="1:39" ht="20.25" customHeight="1">
      <c r="A923" s="91"/>
      <c r="B923" s="93" t="s">
        <v>3610</v>
      </c>
      <c r="C923" s="91" t="s">
        <v>73</v>
      </c>
      <c r="D923" s="94" t="s">
        <v>712</v>
      </c>
      <c r="E923" s="94" t="s">
        <v>3707</v>
      </c>
      <c r="F923" s="95" t="s">
        <v>3708</v>
      </c>
      <c r="G923" s="96">
        <v>43200</v>
      </c>
      <c r="H923" s="97">
        <v>22330</v>
      </c>
      <c r="I923" s="100" t="s">
        <v>58</v>
      </c>
      <c r="J923" s="94" t="s">
        <v>58</v>
      </c>
      <c r="K923" s="91" t="s">
        <v>58</v>
      </c>
      <c r="L923" s="91" t="s">
        <v>60</v>
      </c>
      <c r="M923" s="98">
        <f ca="1">(TODAY()-H923)/365</f>
        <v>64.854794520547941</v>
      </c>
      <c r="N923" s="99">
        <f>(G923-H923)/365</f>
        <v>57.178082191780824</v>
      </c>
      <c r="O923" s="98">
        <f ca="1">(TODAY()-G923)/365</f>
        <v>7.6767123287671231</v>
      </c>
      <c r="P923" s="91" t="s">
        <v>43</v>
      </c>
      <c r="Q923" s="91">
        <v>0</v>
      </c>
      <c r="R923" s="91">
        <v>0</v>
      </c>
      <c r="S923" s="91">
        <v>0</v>
      </c>
      <c r="T923" s="91"/>
      <c r="U923" s="91"/>
      <c r="V923" s="91"/>
      <c r="W923" s="91"/>
      <c r="X923" s="91"/>
      <c r="Y923" s="91"/>
      <c r="Z923" s="91"/>
      <c r="AA923" s="91"/>
      <c r="AB923" s="91"/>
      <c r="AC923" s="91"/>
      <c r="AD923" s="91"/>
      <c r="AE923" s="91"/>
      <c r="AF923" s="91"/>
      <c r="AG923" s="91"/>
      <c r="AH923" s="91"/>
      <c r="AI923" s="91"/>
      <c r="AJ923" s="91"/>
      <c r="AK923" s="91"/>
      <c r="AL923" s="91"/>
      <c r="AM923" s="91"/>
    </row>
    <row r="924" spans="1:39" ht="20.25" customHeight="1">
      <c r="A924" s="91"/>
      <c r="B924" s="93" t="s">
        <v>8287</v>
      </c>
      <c r="C924" s="91" t="s">
        <v>73</v>
      </c>
      <c r="D924" s="94" t="s">
        <v>8301</v>
      </c>
      <c r="E924" s="94" t="s">
        <v>8302</v>
      </c>
      <c r="F924" s="95" t="s">
        <v>8303</v>
      </c>
      <c r="G924" s="96">
        <v>43221</v>
      </c>
      <c r="H924" s="97">
        <v>36520</v>
      </c>
      <c r="I924" s="94" t="s">
        <v>8304</v>
      </c>
      <c r="J924" s="100" t="s">
        <v>58</v>
      </c>
      <c r="K924" s="91" t="s">
        <v>58</v>
      </c>
      <c r="L924" s="91" t="s">
        <v>54</v>
      </c>
      <c r="M924" s="98">
        <f ca="1">(TODAY()-H924)/365</f>
        <v>25.978082191780821</v>
      </c>
      <c r="N924" s="99">
        <f>(G924-H924)/365</f>
        <v>18.358904109589041</v>
      </c>
      <c r="O924" s="98">
        <f ca="1">(TODAY()-G924)/365</f>
        <v>7.6191780821917812</v>
      </c>
      <c r="P924" s="91" t="s">
        <v>43</v>
      </c>
      <c r="Q924" s="91">
        <v>0</v>
      </c>
      <c r="R924" s="91">
        <v>0</v>
      </c>
      <c r="S924" s="91">
        <v>0</v>
      </c>
      <c r="T924" s="91"/>
      <c r="U924" s="91"/>
      <c r="V924" s="91"/>
      <c r="W924" s="91"/>
      <c r="X924" s="91"/>
      <c r="Y924" s="91"/>
      <c r="Z924" s="91"/>
      <c r="AA924" s="91"/>
      <c r="AB924" s="91"/>
      <c r="AC924" s="91"/>
      <c r="AD924" s="91"/>
      <c r="AE924" s="91"/>
      <c r="AF924" s="91"/>
      <c r="AG924" s="91"/>
      <c r="AH924" s="91"/>
      <c r="AI924" s="91"/>
      <c r="AJ924" s="91"/>
      <c r="AK924" s="91"/>
      <c r="AL924" s="91"/>
      <c r="AM924" s="91"/>
    </row>
    <row r="925" spans="1:39" ht="20.25" hidden="1" customHeight="1">
      <c r="A925" s="91"/>
      <c r="B925" s="93" t="s">
        <v>9659</v>
      </c>
      <c r="C925" s="91" t="s">
        <v>36</v>
      </c>
      <c r="D925" s="107" t="s">
        <v>8569</v>
      </c>
      <c r="E925" s="107" t="s">
        <v>9776</v>
      </c>
      <c r="F925" s="91" t="s">
        <v>9777</v>
      </c>
      <c r="G925" s="97">
        <v>45457</v>
      </c>
      <c r="H925" s="97">
        <v>33987</v>
      </c>
      <c r="I925" s="94" t="s">
        <v>9778</v>
      </c>
      <c r="J925" s="100" t="s">
        <v>58</v>
      </c>
      <c r="K925" s="95" t="s">
        <v>58</v>
      </c>
      <c r="L925" s="91" t="s">
        <v>60</v>
      </c>
      <c r="M925" s="98">
        <f ca="1">(TODAY()-H925)/365</f>
        <v>32.917808219178085</v>
      </c>
      <c r="N925" s="99">
        <f>(G925-H925)/365</f>
        <v>31.424657534246574</v>
      </c>
      <c r="O925" s="98">
        <f ca="1">(TODAY()-G925)/365</f>
        <v>1.4931506849315068</v>
      </c>
      <c r="P925" s="91" t="s">
        <v>43</v>
      </c>
      <c r="Q925" s="91">
        <v>0</v>
      </c>
      <c r="R925" s="91">
        <v>0</v>
      </c>
      <c r="S925" s="91">
        <v>0</v>
      </c>
      <c r="T925" s="91"/>
      <c r="U925" s="91"/>
      <c r="V925" s="91"/>
      <c r="W925" s="91"/>
      <c r="X925" s="91"/>
      <c r="Y925" s="91"/>
      <c r="Z925" s="91"/>
      <c r="AA925" s="91"/>
      <c r="AB925" s="91"/>
      <c r="AC925" s="91"/>
      <c r="AD925" s="91"/>
      <c r="AE925" s="91"/>
      <c r="AF925" s="91"/>
      <c r="AG925" s="91"/>
      <c r="AH925" s="91"/>
      <c r="AI925" s="91"/>
      <c r="AJ925" s="91"/>
      <c r="AK925" s="91"/>
      <c r="AL925" s="91"/>
      <c r="AM925" s="91"/>
    </row>
    <row r="926" spans="1:39" ht="20.25" hidden="1" customHeight="1">
      <c r="A926" s="91"/>
      <c r="B926" s="93" t="s">
        <v>3211</v>
      </c>
      <c r="C926" s="91" t="s">
        <v>36</v>
      </c>
      <c r="D926" s="107" t="s">
        <v>1286</v>
      </c>
      <c r="E926" s="107" t="s">
        <v>3212</v>
      </c>
      <c r="F926" s="91" t="s">
        <v>3213</v>
      </c>
      <c r="G926" s="96">
        <v>43963</v>
      </c>
      <c r="H926" s="97">
        <v>36341</v>
      </c>
      <c r="I926" s="94" t="s">
        <v>3214</v>
      </c>
      <c r="J926" s="94" t="s">
        <v>3215</v>
      </c>
      <c r="K926" s="92">
        <v>944712267</v>
      </c>
      <c r="L926" s="91" t="s">
        <v>60</v>
      </c>
      <c r="M926" s="98">
        <f ca="1">(TODAY()-H926)/365</f>
        <v>26.468493150684932</v>
      </c>
      <c r="N926" s="99">
        <f>(G926-H926)/365</f>
        <v>20.882191780821916</v>
      </c>
      <c r="O926" s="98">
        <f ca="1">(TODAY()-G926)/365</f>
        <v>5.5863013698630137</v>
      </c>
      <c r="P926" s="91" t="s">
        <v>43</v>
      </c>
      <c r="Q926" s="91"/>
      <c r="R926" s="91">
        <v>0</v>
      </c>
      <c r="S926" s="91"/>
      <c r="T926" s="91"/>
      <c r="U926" s="91"/>
      <c r="V926" s="91"/>
      <c r="W926" s="91"/>
      <c r="X926" s="91"/>
      <c r="Y926" s="91"/>
      <c r="Z926" s="91"/>
      <c r="AA926" s="91"/>
      <c r="AB926" s="91"/>
      <c r="AC926" s="91"/>
      <c r="AD926" s="91"/>
      <c r="AE926" s="91"/>
      <c r="AF926" s="91"/>
      <c r="AG926" s="91"/>
      <c r="AH926" s="91"/>
      <c r="AI926" s="91"/>
      <c r="AJ926" s="91"/>
      <c r="AK926" s="91"/>
      <c r="AL926" s="91"/>
      <c r="AM926" s="91"/>
    </row>
    <row r="927" spans="1:39" ht="20.25" customHeight="1">
      <c r="A927" s="91"/>
      <c r="B927" s="93" t="s">
        <v>9659</v>
      </c>
      <c r="C927" s="91" t="s">
        <v>73</v>
      </c>
      <c r="D927" s="107" t="s">
        <v>1660</v>
      </c>
      <c r="E927" s="106" t="s">
        <v>9768</v>
      </c>
      <c r="F927" s="92" t="s">
        <v>9769</v>
      </c>
      <c r="G927" s="103">
        <v>45457</v>
      </c>
      <c r="H927" s="103">
        <v>36277</v>
      </c>
      <c r="I927" s="94" t="s">
        <v>58</v>
      </c>
      <c r="J927" s="100" t="s">
        <v>58</v>
      </c>
      <c r="K927" s="95" t="s">
        <v>58</v>
      </c>
      <c r="L927" s="91" t="s">
        <v>60</v>
      </c>
      <c r="M927" s="98">
        <f ca="1">(TODAY()-H927)/365</f>
        <v>26.643835616438356</v>
      </c>
      <c r="N927" s="99">
        <f>(G927-H927)/365</f>
        <v>25.150684931506849</v>
      </c>
      <c r="O927" s="98">
        <f ca="1">(TODAY()-G927)/365</f>
        <v>1.4931506849315068</v>
      </c>
      <c r="P927" s="91" t="s">
        <v>43</v>
      </c>
      <c r="Q927" s="91">
        <v>0</v>
      </c>
      <c r="R927" s="91">
        <v>0</v>
      </c>
      <c r="S927" s="91">
        <v>0</v>
      </c>
      <c r="T927" s="91"/>
      <c r="U927" s="91"/>
      <c r="V927" s="91"/>
      <c r="W927" s="91"/>
      <c r="X927" s="91"/>
      <c r="Y927" s="91"/>
      <c r="Z927" s="91"/>
      <c r="AA927" s="91"/>
      <c r="AB927" s="91"/>
      <c r="AC927" s="91"/>
      <c r="AD927" s="91"/>
      <c r="AE927" s="91"/>
      <c r="AF927" s="91"/>
      <c r="AG927" s="91"/>
      <c r="AH927" s="91"/>
      <c r="AI927" s="91"/>
      <c r="AJ927" s="91"/>
      <c r="AK927" s="91"/>
      <c r="AL927" s="91"/>
      <c r="AM927" s="91"/>
    </row>
    <row r="928" spans="1:39" ht="20.25" hidden="1" customHeight="1">
      <c r="A928" s="91"/>
      <c r="B928" s="93" t="s">
        <v>3211</v>
      </c>
      <c r="C928" s="91" t="s">
        <v>36</v>
      </c>
      <c r="D928" s="107" t="s">
        <v>2455</v>
      </c>
      <c r="E928" s="107" t="s">
        <v>3212</v>
      </c>
      <c r="F928" s="91" t="s">
        <v>3218</v>
      </c>
      <c r="G928" s="96">
        <v>43963</v>
      </c>
      <c r="H928" s="97">
        <v>35300</v>
      </c>
      <c r="I928" s="94" t="s">
        <v>3219</v>
      </c>
      <c r="J928" s="94" t="s">
        <v>3215</v>
      </c>
      <c r="K928" s="92">
        <v>942309220</v>
      </c>
      <c r="L928" s="91" t="s">
        <v>60</v>
      </c>
      <c r="M928" s="98">
        <f ca="1">(TODAY()-H928)/365</f>
        <v>29.32054794520548</v>
      </c>
      <c r="N928" s="99">
        <f>(G928-H928)/365</f>
        <v>23.734246575342464</v>
      </c>
      <c r="O928" s="98">
        <f ca="1">(TODAY()-G928)/365</f>
        <v>5.5863013698630137</v>
      </c>
      <c r="P928" s="91" t="s">
        <v>43</v>
      </c>
      <c r="Q928" s="91"/>
      <c r="R928" s="91">
        <v>0</v>
      </c>
      <c r="S928" s="91"/>
      <c r="T928" s="91"/>
      <c r="U928" s="91"/>
      <c r="V928" s="91"/>
      <c r="W928" s="91"/>
      <c r="X928" s="91"/>
      <c r="Y928" s="91"/>
      <c r="Z928" s="91"/>
      <c r="AA928" s="91"/>
      <c r="AB928" s="91"/>
      <c r="AC928" s="91"/>
      <c r="AD928" s="91"/>
      <c r="AE928" s="91"/>
      <c r="AF928" s="91"/>
      <c r="AG928" s="91"/>
      <c r="AH928" s="91"/>
      <c r="AI928" s="91"/>
      <c r="AJ928" s="91"/>
      <c r="AK928" s="91"/>
      <c r="AL928" s="91"/>
      <c r="AM928" s="91"/>
    </row>
    <row r="929" spans="1:39" ht="20.25" customHeight="1">
      <c r="A929" s="91"/>
      <c r="B929" s="93" t="s">
        <v>10232</v>
      </c>
      <c r="C929" s="91" t="s">
        <v>73</v>
      </c>
      <c r="D929" s="106" t="s">
        <v>1241</v>
      </c>
      <c r="E929" s="106" t="s">
        <v>10250</v>
      </c>
      <c r="F929" s="92" t="s">
        <v>10251</v>
      </c>
      <c r="G929" s="103">
        <v>43510</v>
      </c>
      <c r="H929" s="103">
        <v>37447</v>
      </c>
      <c r="I929" s="108" t="s">
        <v>12600</v>
      </c>
      <c r="J929" s="94" t="s">
        <v>10252</v>
      </c>
      <c r="K929" s="92">
        <v>947878879</v>
      </c>
      <c r="L929" s="91"/>
      <c r="M929" s="98">
        <f ca="1">(TODAY()-H929)/365</f>
        <v>23.438356164383563</v>
      </c>
      <c r="N929" s="99">
        <f>(G929-H929)/365</f>
        <v>16.610958904109587</v>
      </c>
      <c r="O929" s="98">
        <f ca="1">(TODAY()-G929)/365</f>
        <v>6.8273972602739725</v>
      </c>
      <c r="P929" s="91" t="s">
        <v>43</v>
      </c>
      <c r="Q929" s="91"/>
      <c r="R929" s="91"/>
      <c r="S929" s="91"/>
      <c r="T929" s="91"/>
      <c r="U929" s="91"/>
      <c r="V929" s="91"/>
      <c r="W929" s="91"/>
      <c r="X929" s="91"/>
      <c r="Y929" s="91"/>
      <c r="Z929" s="91"/>
      <c r="AA929" s="91"/>
      <c r="AB929" s="91"/>
      <c r="AC929" s="91"/>
      <c r="AD929" s="91"/>
      <c r="AE929" s="91"/>
      <c r="AF929" s="91"/>
      <c r="AG929" s="91"/>
      <c r="AH929" s="91"/>
      <c r="AI929" s="91"/>
      <c r="AJ929" s="91"/>
      <c r="AK929" s="91"/>
      <c r="AL929" s="91"/>
      <c r="AM929" s="91"/>
    </row>
    <row r="930" spans="1:39" ht="20.25" hidden="1" customHeight="1">
      <c r="A930" s="91"/>
      <c r="B930" s="93" t="s">
        <v>3211</v>
      </c>
      <c r="C930" s="91" t="s">
        <v>36</v>
      </c>
      <c r="D930" s="107" t="s">
        <v>675</v>
      </c>
      <c r="E930" s="107" t="s">
        <v>3222</v>
      </c>
      <c r="F930" s="91" t="s">
        <v>3223</v>
      </c>
      <c r="G930" s="96">
        <v>32056</v>
      </c>
      <c r="H930" s="97">
        <v>21749</v>
      </c>
      <c r="I930" s="94" t="s">
        <v>3224</v>
      </c>
      <c r="J930" s="94" t="s">
        <v>3225</v>
      </c>
      <c r="K930" s="92">
        <v>996385173</v>
      </c>
      <c r="L930" s="91" t="s">
        <v>60</v>
      </c>
      <c r="M930" s="98">
        <f ca="1">(TODAY()-H930)/365</f>
        <v>66.446575342465749</v>
      </c>
      <c r="N930" s="99">
        <f>(G930-H930)/365</f>
        <v>28.238356164383561</v>
      </c>
      <c r="O930" s="98">
        <f ca="1">(TODAY()-G930)/365</f>
        <v>38.208219178082189</v>
      </c>
      <c r="P930" s="91" t="s">
        <v>43</v>
      </c>
      <c r="Q930" s="91"/>
      <c r="R930" s="91">
        <v>0</v>
      </c>
      <c r="S930" s="91"/>
      <c r="T930" s="91"/>
      <c r="U930" s="91"/>
      <c r="V930" s="91"/>
      <c r="W930" s="91"/>
      <c r="X930" s="91"/>
      <c r="Y930" s="91"/>
      <c r="Z930" s="91"/>
      <c r="AA930" s="91"/>
      <c r="AB930" s="91"/>
      <c r="AC930" s="91"/>
      <c r="AD930" s="91"/>
      <c r="AE930" s="91"/>
      <c r="AF930" s="91"/>
      <c r="AG930" s="91"/>
      <c r="AH930" s="91"/>
      <c r="AI930" s="91"/>
      <c r="AJ930" s="91"/>
      <c r="AK930" s="91"/>
      <c r="AL930" s="91"/>
      <c r="AM930" s="91"/>
    </row>
    <row r="931" spans="1:39" ht="20.25" customHeight="1">
      <c r="A931" s="91"/>
      <c r="B931" s="93" t="s">
        <v>371</v>
      </c>
      <c r="C931" s="91" t="s">
        <v>73</v>
      </c>
      <c r="D931" s="94" t="s">
        <v>331</v>
      </c>
      <c r="E931" s="94" t="s">
        <v>535</v>
      </c>
      <c r="F931" s="95" t="s">
        <v>536</v>
      </c>
      <c r="G931" s="96">
        <v>45308</v>
      </c>
      <c r="H931" s="97">
        <v>36970</v>
      </c>
      <c r="I931" s="100" t="s">
        <v>537</v>
      </c>
      <c r="J931" s="100" t="s">
        <v>58</v>
      </c>
      <c r="K931" s="91" t="s">
        <v>58</v>
      </c>
      <c r="L931" s="91" t="s">
        <v>60</v>
      </c>
      <c r="M931" s="98">
        <f ca="1">(TODAY()-H931)/365</f>
        <v>24.745205479452054</v>
      </c>
      <c r="N931" s="99">
        <f>(G931-H931)/365</f>
        <v>22.843835616438355</v>
      </c>
      <c r="O931" s="98">
        <f ca="1">(TODAY()-G931)/365</f>
        <v>1.9013698630136986</v>
      </c>
      <c r="P931" s="91" t="s">
        <v>43</v>
      </c>
      <c r="Q931" s="91">
        <v>0</v>
      </c>
      <c r="R931" s="91">
        <v>0</v>
      </c>
      <c r="S931" s="91">
        <v>0</v>
      </c>
      <c r="T931" s="91"/>
      <c r="U931" s="91"/>
      <c r="V931" s="91"/>
      <c r="W931" s="91"/>
      <c r="X931" s="91"/>
      <c r="Y931" s="91"/>
      <c r="Z931" s="91"/>
      <c r="AA931" s="91"/>
      <c r="AB931" s="91"/>
      <c r="AC931" s="91"/>
      <c r="AD931" s="91"/>
      <c r="AE931" s="91"/>
      <c r="AF931" s="91"/>
      <c r="AG931" s="91"/>
      <c r="AH931" s="91"/>
      <c r="AI931" s="91"/>
      <c r="AJ931" s="91"/>
      <c r="AK931" s="91"/>
      <c r="AL931" s="91"/>
      <c r="AM931" s="91"/>
    </row>
    <row r="932" spans="1:39" ht="20.25" hidden="1" customHeight="1">
      <c r="A932" s="91"/>
      <c r="B932" s="93" t="s">
        <v>3211</v>
      </c>
      <c r="C932" s="91" t="s">
        <v>36</v>
      </c>
      <c r="D932" s="107" t="s">
        <v>1433</v>
      </c>
      <c r="E932" s="107" t="s">
        <v>693</v>
      </c>
      <c r="F932" s="91" t="s">
        <v>3227</v>
      </c>
      <c r="G932" s="96">
        <v>39571</v>
      </c>
      <c r="H932" s="97">
        <v>26350</v>
      </c>
      <c r="I932" s="94" t="s">
        <v>3228</v>
      </c>
      <c r="J932" s="94" t="s">
        <v>3229</v>
      </c>
      <c r="K932" s="92">
        <v>950169720</v>
      </c>
      <c r="L932" s="91" t="s">
        <v>42</v>
      </c>
      <c r="M932" s="98">
        <f ca="1">(TODAY()-H932)/365</f>
        <v>53.841095890410962</v>
      </c>
      <c r="N932" s="99">
        <f>(G932-H932)/365</f>
        <v>36.221917808219175</v>
      </c>
      <c r="O932" s="98">
        <f ca="1">(TODAY()-G932)/365</f>
        <v>17.61917808219178</v>
      </c>
      <c r="P932" s="91" t="s">
        <v>43</v>
      </c>
      <c r="Q932" s="91"/>
      <c r="R932" s="91">
        <v>0</v>
      </c>
      <c r="S932" s="91"/>
      <c r="T932" s="91"/>
      <c r="U932" s="91"/>
      <c r="V932" s="91"/>
      <c r="W932" s="91"/>
      <c r="X932" s="91"/>
      <c r="Y932" s="91"/>
      <c r="Z932" s="91"/>
      <c r="AA932" s="91"/>
      <c r="AB932" s="91"/>
      <c r="AC932" s="91"/>
      <c r="AD932" s="91"/>
      <c r="AE932" s="91"/>
      <c r="AF932" s="91"/>
      <c r="AG932" s="91"/>
      <c r="AH932" s="91"/>
      <c r="AI932" s="91"/>
      <c r="AJ932" s="91"/>
      <c r="AK932" s="91"/>
      <c r="AL932" s="91"/>
      <c r="AM932" s="91"/>
    </row>
    <row r="933" spans="1:39" ht="20.25" hidden="1" customHeight="1">
      <c r="A933" s="91"/>
      <c r="B933" s="93" t="s">
        <v>3211</v>
      </c>
      <c r="C933" s="91" t="s">
        <v>36</v>
      </c>
      <c r="D933" s="107" t="s">
        <v>2211</v>
      </c>
      <c r="E933" s="107" t="s">
        <v>3230</v>
      </c>
      <c r="F933" s="91" t="s">
        <v>3231</v>
      </c>
      <c r="G933" s="96">
        <v>39356</v>
      </c>
      <c r="H933" s="97">
        <v>23293</v>
      </c>
      <c r="I933" s="94" t="s">
        <v>3232</v>
      </c>
      <c r="J933" s="94" t="s">
        <v>3233</v>
      </c>
      <c r="K933" s="92">
        <v>990713461</v>
      </c>
      <c r="L933" s="91" t="s">
        <v>54</v>
      </c>
      <c r="M933" s="98">
        <f ca="1">(TODAY()-H933)/365</f>
        <v>62.216438356164382</v>
      </c>
      <c r="N933" s="99">
        <f>(G933-H933)/365</f>
        <v>44.008219178082193</v>
      </c>
      <c r="O933" s="98">
        <f ca="1">(TODAY()-G933)/365</f>
        <v>18.208219178082192</v>
      </c>
      <c r="P933" s="91" t="s">
        <v>43</v>
      </c>
      <c r="Q933" s="91"/>
      <c r="R933" s="91">
        <v>0</v>
      </c>
      <c r="S933" s="91"/>
      <c r="T933" s="91"/>
      <c r="U933" s="91"/>
      <c r="V933" s="91"/>
      <c r="W933" s="91"/>
      <c r="X933" s="91"/>
      <c r="Y933" s="91"/>
      <c r="Z933" s="91"/>
      <c r="AA933" s="91"/>
      <c r="AB933" s="91"/>
      <c r="AC933" s="91"/>
      <c r="AD933" s="91"/>
      <c r="AE933" s="91"/>
      <c r="AF933" s="91"/>
      <c r="AG933" s="91"/>
      <c r="AH933" s="91"/>
      <c r="AI933" s="91"/>
      <c r="AJ933" s="91"/>
      <c r="AK933" s="91"/>
      <c r="AL933" s="91"/>
      <c r="AM933" s="91"/>
    </row>
    <row r="934" spans="1:39" ht="20.25" hidden="1" customHeight="1">
      <c r="A934" s="91"/>
      <c r="B934" s="93" t="s">
        <v>3211</v>
      </c>
      <c r="C934" s="91" t="s">
        <v>36</v>
      </c>
      <c r="D934" s="107" t="s">
        <v>416</v>
      </c>
      <c r="E934" s="107" t="s">
        <v>3234</v>
      </c>
      <c r="F934" s="91" t="s">
        <v>3235</v>
      </c>
      <c r="G934" s="96">
        <v>34471</v>
      </c>
      <c r="H934" s="97">
        <v>17614</v>
      </c>
      <c r="I934" s="94" t="s">
        <v>3236</v>
      </c>
      <c r="J934" s="94" t="s">
        <v>3237</v>
      </c>
      <c r="K934" s="92">
        <v>999806438</v>
      </c>
      <c r="L934" s="91" t="s">
        <v>72</v>
      </c>
      <c r="M934" s="98">
        <f ca="1">(TODAY()-H934)/365</f>
        <v>77.775342465753425</v>
      </c>
      <c r="N934" s="99">
        <f>(G934-H934)/365</f>
        <v>46.183561643835617</v>
      </c>
      <c r="O934" s="98">
        <f ca="1">(TODAY()-G934)/365</f>
        <v>31.591780821917808</v>
      </c>
      <c r="P934" s="91" t="s">
        <v>43</v>
      </c>
      <c r="Q934" s="91"/>
      <c r="R934" s="91">
        <v>0</v>
      </c>
      <c r="S934" s="91"/>
      <c r="T934" s="91"/>
      <c r="U934" s="91"/>
      <c r="V934" s="91"/>
      <c r="W934" s="91"/>
      <c r="X934" s="91"/>
      <c r="Y934" s="91"/>
      <c r="Z934" s="91"/>
      <c r="AA934" s="91"/>
      <c r="AB934" s="91"/>
      <c r="AC934" s="91"/>
      <c r="AD934" s="91"/>
      <c r="AE934" s="91"/>
      <c r="AF934" s="91"/>
      <c r="AG934" s="91"/>
      <c r="AH934" s="91"/>
      <c r="AI934" s="91"/>
      <c r="AJ934" s="91"/>
      <c r="AK934" s="91"/>
      <c r="AL934" s="91"/>
      <c r="AM934" s="91"/>
    </row>
    <row r="935" spans="1:39" ht="20.25" hidden="1" customHeight="1">
      <c r="A935" s="91"/>
      <c r="B935" s="93" t="s">
        <v>3211</v>
      </c>
      <c r="C935" s="91" t="s">
        <v>36</v>
      </c>
      <c r="D935" s="107" t="s">
        <v>416</v>
      </c>
      <c r="E935" s="107" t="s">
        <v>3238</v>
      </c>
      <c r="F935" s="91" t="s">
        <v>3239</v>
      </c>
      <c r="G935" s="96">
        <v>39581</v>
      </c>
      <c r="H935" s="97">
        <v>19323</v>
      </c>
      <c r="I935" s="94" t="s">
        <v>3236</v>
      </c>
      <c r="J935" s="94" t="s">
        <v>3240</v>
      </c>
      <c r="K935" s="92">
        <v>984628818</v>
      </c>
      <c r="L935" s="91" t="s">
        <v>60</v>
      </c>
      <c r="M935" s="98">
        <f ca="1">(TODAY()-H935)/365</f>
        <v>73.093150684931501</v>
      </c>
      <c r="N935" s="99">
        <f>(G935-H935)/365</f>
        <v>55.5013698630137</v>
      </c>
      <c r="O935" s="98">
        <f ca="1">(TODAY()-G935)/365</f>
        <v>17.591780821917808</v>
      </c>
      <c r="P935" s="91" t="s">
        <v>43</v>
      </c>
      <c r="Q935" s="91"/>
      <c r="R935" s="91">
        <v>0</v>
      </c>
      <c r="S935" s="91"/>
      <c r="T935" s="91"/>
      <c r="U935" s="91"/>
      <c r="V935" s="91"/>
      <c r="W935" s="91"/>
      <c r="X935" s="91"/>
      <c r="Y935" s="91"/>
      <c r="Z935" s="91"/>
      <c r="AA935" s="91"/>
      <c r="AB935" s="91"/>
      <c r="AC935" s="91"/>
      <c r="AD935" s="91"/>
      <c r="AE935" s="91"/>
      <c r="AF935" s="91"/>
      <c r="AG935" s="91"/>
      <c r="AH935" s="91"/>
      <c r="AI935" s="91"/>
      <c r="AJ935" s="91"/>
      <c r="AK935" s="91"/>
      <c r="AL935" s="91"/>
      <c r="AM935" s="91"/>
    </row>
    <row r="936" spans="1:39" ht="20.25" hidden="1" customHeight="1">
      <c r="A936" s="91"/>
      <c r="B936" s="93" t="s">
        <v>3211</v>
      </c>
      <c r="C936" s="91" t="s">
        <v>36</v>
      </c>
      <c r="D936" s="107" t="s">
        <v>306</v>
      </c>
      <c r="E936" s="107" t="s">
        <v>3241</v>
      </c>
      <c r="F936" s="91" t="s">
        <v>3242</v>
      </c>
      <c r="G936" s="96">
        <v>37865</v>
      </c>
      <c r="H936" s="97">
        <v>16918</v>
      </c>
      <c r="I936" s="94" t="s">
        <v>3236</v>
      </c>
      <c r="J936" s="94" t="s">
        <v>3243</v>
      </c>
      <c r="K936" s="92">
        <v>987732591</v>
      </c>
      <c r="L936" s="91" t="s">
        <v>60</v>
      </c>
      <c r="M936" s="98">
        <f ca="1">(TODAY()-H936)/365</f>
        <v>79.682191780821924</v>
      </c>
      <c r="N936" s="99">
        <f>(G936-H936)/365</f>
        <v>57.389041095890413</v>
      </c>
      <c r="O936" s="98">
        <f ca="1">(TODAY()-G936)/365</f>
        <v>22.293150684931508</v>
      </c>
      <c r="P936" s="91" t="s">
        <v>43</v>
      </c>
      <c r="Q936" s="91"/>
      <c r="R936" s="91">
        <v>0</v>
      </c>
      <c r="S936" s="91"/>
      <c r="T936" s="91"/>
      <c r="U936" s="91"/>
      <c r="V936" s="91"/>
      <c r="W936" s="91"/>
      <c r="X936" s="91"/>
      <c r="Y936" s="91"/>
      <c r="Z936" s="91"/>
      <c r="AA936" s="91"/>
      <c r="AB936" s="91"/>
      <c r="AC936" s="91"/>
      <c r="AD936" s="91"/>
      <c r="AE936" s="91"/>
      <c r="AF936" s="91"/>
      <c r="AG936" s="91"/>
      <c r="AH936" s="91"/>
      <c r="AI936" s="91"/>
      <c r="AJ936" s="91"/>
      <c r="AK936" s="91"/>
      <c r="AL936" s="91"/>
      <c r="AM936" s="91"/>
    </row>
    <row r="937" spans="1:39" ht="20.25" hidden="1" customHeight="1">
      <c r="A937" s="91"/>
      <c r="B937" s="93" t="s">
        <v>3211</v>
      </c>
      <c r="C937" s="91" t="s">
        <v>36</v>
      </c>
      <c r="D937" s="107" t="s">
        <v>416</v>
      </c>
      <c r="E937" s="107" t="s">
        <v>3244</v>
      </c>
      <c r="F937" s="91" t="s">
        <v>3245</v>
      </c>
      <c r="G937" s="96">
        <v>39522</v>
      </c>
      <c r="H937" s="97">
        <v>17749</v>
      </c>
      <c r="I937" s="94" t="s">
        <v>3236</v>
      </c>
      <c r="J937" s="94" t="s">
        <v>3246</v>
      </c>
      <c r="K937" s="92">
        <v>999340653</v>
      </c>
      <c r="L937" s="91" t="s">
        <v>60</v>
      </c>
      <c r="M937" s="98">
        <f ca="1">(TODAY()-H937)/365</f>
        <v>77.405479452054792</v>
      </c>
      <c r="N937" s="99">
        <f>(G937-H937)/365</f>
        <v>59.652054794520545</v>
      </c>
      <c r="O937" s="98">
        <f ca="1">(TODAY()-G937)/365</f>
        <v>17.753424657534246</v>
      </c>
      <c r="P937" s="91" t="s">
        <v>43</v>
      </c>
      <c r="Q937" s="91"/>
      <c r="R937" s="91">
        <v>0</v>
      </c>
      <c r="S937" s="91"/>
      <c r="T937" s="91"/>
      <c r="U937" s="91"/>
      <c r="V937" s="91"/>
      <c r="W937" s="91"/>
      <c r="X937" s="91"/>
      <c r="Y937" s="91"/>
      <c r="Z937" s="91"/>
      <c r="AA937" s="91"/>
      <c r="AB937" s="91"/>
      <c r="AC937" s="91"/>
      <c r="AD937" s="91"/>
      <c r="AE937" s="91"/>
      <c r="AF937" s="91"/>
      <c r="AG937" s="91"/>
      <c r="AH937" s="91"/>
      <c r="AI937" s="91"/>
      <c r="AJ937" s="91"/>
      <c r="AK937" s="91"/>
      <c r="AL937" s="91"/>
      <c r="AM937" s="91"/>
    </row>
    <row r="938" spans="1:39" ht="20.25" hidden="1" customHeight="1">
      <c r="A938" s="91"/>
      <c r="B938" s="93" t="s">
        <v>3211</v>
      </c>
      <c r="C938" s="91" t="s">
        <v>36</v>
      </c>
      <c r="D938" s="107" t="s">
        <v>416</v>
      </c>
      <c r="E938" s="107" t="s">
        <v>3247</v>
      </c>
      <c r="F938" s="91" t="s">
        <v>3248</v>
      </c>
      <c r="G938" s="96">
        <v>43475</v>
      </c>
      <c r="H938" s="97">
        <v>20387</v>
      </c>
      <c r="I938" s="94" t="s">
        <v>3236</v>
      </c>
      <c r="J938" s="94" t="s">
        <v>3249</v>
      </c>
      <c r="K938" s="92">
        <v>931104996</v>
      </c>
      <c r="L938" s="91" t="s">
        <v>60</v>
      </c>
      <c r="M938" s="98">
        <f ca="1">(TODAY()-H938)/365</f>
        <v>70.178082191780817</v>
      </c>
      <c r="N938" s="99">
        <f>(G938-H938)/365</f>
        <v>63.254794520547946</v>
      </c>
      <c r="O938" s="98">
        <f ca="1">(TODAY()-G938)/365</f>
        <v>6.9232876712328766</v>
      </c>
      <c r="P938" s="91" t="s">
        <v>43</v>
      </c>
      <c r="Q938" s="91"/>
      <c r="R938" s="91">
        <v>0</v>
      </c>
      <c r="S938" s="91"/>
      <c r="T938" s="91"/>
      <c r="U938" s="91"/>
      <c r="V938" s="91"/>
      <c r="W938" s="91"/>
      <c r="X938" s="91"/>
      <c r="Y938" s="91"/>
      <c r="Z938" s="91"/>
      <c r="AA938" s="91"/>
      <c r="AB938" s="91"/>
      <c r="AC938" s="91"/>
      <c r="AD938" s="91"/>
      <c r="AE938" s="91"/>
      <c r="AF938" s="91"/>
      <c r="AG938" s="91"/>
      <c r="AH938" s="91"/>
      <c r="AI938" s="91"/>
      <c r="AJ938" s="91"/>
      <c r="AK938" s="91"/>
      <c r="AL938" s="91"/>
      <c r="AM938" s="91"/>
    </row>
    <row r="939" spans="1:39" ht="20.25" hidden="1" customHeight="1">
      <c r="A939" s="91"/>
      <c r="B939" s="93" t="s">
        <v>3211</v>
      </c>
      <c r="C939" s="91" t="s">
        <v>36</v>
      </c>
      <c r="D939" s="107" t="s">
        <v>416</v>
      </c>
      <c r="E939" s="107" t="s">
        <v>3250</v>
      </c>
      <c r="F939" s="91" t="s">
        <v>3251</v>
      </c>
      <c r="G939" s="96">
        <v>39142</v>
      </c>
      <c r="H939" s="97">
        <v>13426</v>
      </c>
      <c r="I939" s="94" t="s">
        <v>3252</v>
      </c>
      <c r="J939" s="94" t="s">
        <v>3253</v>
      </c>
      <c r="K939" s="92">
        <v>996429206</v>
      </c>
      <c r="L939" s="91" t="s">
        <v>49</v>
      </c>
      <c r="M939" s="98">
        <f ca="1">(TODAY()-H939)/365</f>
        <v>89.249315068493146</v>
      </c>
      <c r="N939" s="99">
        <f>(G939-H939)/365</f>
        <v>70.454794520547949</v>
      </c>
      <c r="O939" s="98">
        <f ca="1">(TODAY()-G939)/365</f>
        <v>18.794520547945204</v>
      </c>
      <c r="P939" s="91" t="s">
        <v>43</v>
      </c>
      <c r="Q939" s="91"/>
      <c r="R939" s="91">
        <v>0</v>
      </c>
      <c r="S939" s="91"/>
      <c r="T939" s="91"/>
      <c r="U939" s="91"/>
      <c r="V939" s="91"/>
      <c r="W939" s="91"/>
      <c r="X939" s="91"/>
      <c r="Y939" s="91"/>
      <c r="Z939" s="91"/>
      <c r="AA939" s="91"/>
      <c r="AB939" s="91"/>
      <c r="AC939" s="91"/>
      <c r="AD939" s="91"/>
      <c r="AE939" s="91"/>
      <c r="AF939" s="91"/>
      <c r="AG939" s="91"/>
      <c r="AH939" s="91"/>
      <c r="AI939" s="91"/>
      <c r="AJ939" s="91"/>
      <c r="AK939" s="91"/>
      <c r="AL939" s="91"/>
      <c r="AM939" s="91"/>
    </row>
    <row r="940" spans="1:39" ht="20.25" hidden="1" customHeight="1">
      <c r="A940" s="91"/>
      <c r="B940" s="93" t="s">
        <v>3211</v>
      </c>
      <c r="C940" s="91" t="s">
        <v>36</v>
      </c>
      <c r="D940" s="107" t="s">
        <v>180</v>
      </c>
      <c r="E940" s="107" t="s">
        <v>3254</v>
      </c>
      <c r="F940" s="91" t="s">
        <v>3255</v>
      </c>
      <c r="G940" s="96">
        <v>42150</v>
      </c>
      <c r="H940" s="97">
        <v>13897</v>
      </c>
      <c r="I940" s="94" t="s">
        <v>3236</v>
      </c>
      <c r="J940" s="94" t="s">
        <v>3256</v>
      </c>
      <c r="K940" s="92">
        <v>986224772</v>
      </c>
      <c r="L940" s="91" t="s">
        <v>60</v>
      </c>
      <c r="M940" s="98">
        <f ca="1">(TODAY()-H940)/365</f>
        <v>87.958904109589042</v>
      </c>
      <c r="N940" s="99">
        <f>(G940-H940)/365</f>
        <v>77.405479452054792</v>
      </c>
      <c r="O940" s="98">
        <f ca="1">(TODAY()-G940)/365</f>
        <v>10.553424657534247</v>
      </c>
      <c r="P940" s="91" t="s">
        <v>43</v>
      </c>
      <c r="Q940" s="91"/>
      <c r="R940" s="91">
        <v>0</v>
      </c>
      <c r="S940" s="91"/>
      <c r="T940" s="91"/>
      <c r="U940" s="91"/>
      <c r="V940" s="91"/>
      <c r="W940" s="91"/>
      <c r="X940" s="91"/>
      <c r="Y940" s="91"/>
      <c r="Z940" s="91"/>
      <c r="AA940" s="91"/>
      <c r="AB940" s="91"/>
      <c r="AC940" s="91"/>
      <c r="AD940" s="91"/>
      <c r="AE940" s="91"/>
      <c r="AF940" s="91"/>
      <c r="AG940" s="91"/>
      <c r="AH940" s="91"/>
      <c r="AI940" s="91"/>
      <c r="AJ940" s="91"/>
      <c r="AK940" s="91"/>
      <c r="AL940" s="91"/>
      <c r="AM940" s="91"/>
    </row>
    <row r="941" spans="1:39" ht="20.25" hidden="1" customHeight="1">
      <c r="A941" s="91"/>
      <c r="B941" s="93" t="s">
        <v>3211</v>
      </c>
      <c r="C941" s="91" t="s">
        <v>36</v>
      </c>
      <c r="D941" s="107" t="s">
        <v>416</v>
      </c>
      <c r="E941" s="107" t="s">
        <v>3257</v>
      </c>
      <c r="F941" s="91" t="s">
        <v>3258</v>
      </c>
      <c r="G941" s="96" t="s">
        <v>58</v>
      </c>
      <c r="H941" s="97">
        <v>24184</v>
      </c>
      <c r="I941" s="94" t="s">
        <v>3259</v>
      </c>
      <c r="J941" s="94" t="s">
        <v>3260</v>
      </c>
      <c r="K941" s="92">
        <v>979208241</v>
      </c>
      <c r="L941" s="91" t="s">
        <v>60</v>
      </c>
      <c r="M941" s="98">
        <f ca="1">(TODAY()-H941)/365</f>
        <v>59.775342465753425</v>
      </c>
      <c r="N941" s="95" t="s">
        <v>58</v>
      </c>
      <c r="O941" s="98" t="e">
        <f ca="1">(TODAY()-G941)/365</f>
        <v>#VALUE!</v>
      </c>
      <c r="P941" s="91" t="s">
        <v>43</v>
      </c>
      <c r="Q941" s="91"/>
      <c r="R941" s="91">
        <v>0</v>
      </c>
      <c r="S941" s="91"/>
      <c r="T941" s="91"/>
      <c r="U941" s="91"/>
      <c r="V941" s="91"/>
      <c r="W941" s="91"/>
      <c r="X941" s="91"/>
      <c r="Y941" s="91"/>
      <c r="Z941" s="91"/>
      <c r="AA941" s="91"/>
      <c r="AB941" s="91"/>
      <c r="AC941" s="91"/>
      <c r="AD941" s="91"/>
      <c r="AE941" s="91"/>
      <c r="AF941" s="91"/>
      <c r="AG941" s="91"/>
      <c r="AH941" s="91"/>
      <c r="AI941" s="91"/>
      <c r="AJ941" s="91"/>
      <c r="AK941" s="91"/>
      <c r="AL941" s="91"/>
      <c r="AM941" s="91"/>
    </row>
    <row r="942" spans="1:39" ht="20.25" hidden="1" customHeight="1">
      <c r="A942" s="91"/>
      <c r="B942" s="93" t="s">
        <v>3261</v>
      </c>
      <c r="C942" s="91" t="s">
        <v>36</v>
      </c>
      <c r="D942" s="94" t="s">
        <v>346</v>
      </c>
      <c r="E942" s="94" t="s">
        <v>3262</v>
      </c>
      <c r="F942" s="91" t="s">
        <v>58</v>
      </c>
      <c r="G942" s="96">
        <v>26756</v>
      </c>
      <c r="H942" s="97">
        <v>18505</v>
      </c>
      <c r="I942" s="94" t="s">
        <v>58</v>
      </c>
      <c r="J942" s="94" t="s">
        <v>58</v>
      </c>
      <c r="K942" s="95" t="s">
        <v>58</v>
      </c>
      <c r="L942" s="91" t="s">
        <v>60</v>
      </c>
      <c r="M942" s="98">
        <f ca="1">(TODAY()-H942)/365</f>
        <v>75.334246575342462</v>
      </c>
      <c r="N942" s="99">
        <f>(G942-H942)/365</f>
        <v>22.605479452054794</v>
      </c>
      <c r="O942" s="98">
        <f ca="1">(TODAY()-G942)/365</f>
        <v>52.728767123287675</v>
      </c>
      <c r="P942" s="91" t="s">
        <v>43</v>
      </c>
      <c r="Q942" s="91">
        <v>0</v>
      </c>
      <c r="R942" s="91">
        <v>0</v>
      </c>
      <c r="S942" s="91">
        <v>0</v>
      </c>
      <c r="T942" s="91"/>
      <c r="U942" s="91"/>
      <c r="V942" s="91"/>
      <c r="W942" s="91"/>
      <c r="X942" s="91"/>
      <c r="Y942" s="91"/>
      <c r="Z942" s="91"/>
      <c r="AA942" s="91"/>
      <c r="AB942" s="91"/>
      <c r="AC942" s="91"/>
      <c r="AD942" s="91"/>
      <c r="AE942" s="91"/>
      <c r="AF942" s="91"/>
      <c r="AG942" s="91"/>
      <c r="AH942" s="91"/>
      <c r="AI942" s="91"/>
      <c r="AJ942" s="91"/>
      <c r="AK942" s="91"/>
      <c r="AL942" s="91"/>
      <c r="AM942" s="91"/>
    </row>
    <row r="943" spans="1:39" ht="20.25" hidden="1" customHeight="1">
      <c r="A943" s="91"/>
      <c r="B943" s="93" t="s">
        <v>3261</v>
      </c>
      <c r="C943" s="91" t="s">
        <v>36</v>
      </c>
      <c r="D943" s="94" t="s">
        <v>3263</v>
      </c>
      <c r="E943" s="94" t="s">
        <v>597</v>
      </c>
      <c r="F943" s="95" t="s">
        <v>3264</v>
      </c>
      <c r="G943" s="96">
        <v>25490</v>
      </c>
      <c r="H943" s="97">
        <v>16901</v>
      </c>
      <c r="I943" s="94" t="s">
        <v>58</v>
      </c>
      <c r="J943" s="94" t="s">
        <v>58</v>
      </c>
      <c r="K943" s="95" t="s">
        <v>58</v>
      </c>
      <c r="L943" s="91" t="s">
        <v>60</v>
      </c>
      <c r="M943" s="98">
        <f ca="1">(TODAY()-H943)/365</f>
        <v>79.728767123287668</v>
      </c>
      <c r="N943" s="99">
        <f>(G943-H943)/365</f>
        <v>23.531506849315068</v>
      </c>
      <c r="O943" s="98">
        <f ca="1">(TODAY()-G943)/365</f>
        <v>56.197260273972603</v>
      </c>
      <c r="P943" s="91" t="s">
        <v>272</v>
      </c>
      <c r="Q943" s="91">
        <v>0</v>
      </c>
      <c r="R943" s="91">
        <v>0</v>
      </c>
      <c r="S943" s="91">
        <v>0</v>
      </c>
      <c r="T943" s="91"/>
      <c r="U943" s="91"/>
      <c r="V943" s="91"/>
      <c r="W943" s="91"/>
      <c r="X943" s="91"/>
      <c r="Y943" s="91"/>
      <c r="Z943" s="91"/>
      <c r="AA943" s="91"/>
      <c r="AB943" s="91"/>
      <c r="AC943" s="91"/>
      <c r="AD943" s="91"/>
      <c r="AE943" s="91"/>
      <c r="AF943" s="91"/>
      <c r="AG943" s="91"/>
      <c r="AH943" s="91"/>
      <c r="AI943" s="91"/>
      <c r="AJ943" s="91"/>
      <c r="AK943" s="91"/>
      <c r="AL943" s="91"/>
      <c r="AM943" s="91"/>
    </row>
    <row r="944" spans="1:39" ht="20.25" hidden="1" customHeight="1">
      <c r="A944" s="91"/>
      <c r="B944" s="93" t="s">
        <v>3261</v>
      </c>
      <c r="C944" s="91" t="s">
        <v>36</v>
      </c>
      <c r="D944" s="94" t="s">
        <v>3265</v>
      </c>
      <c r="E944" s="94" t="s">
        <v>3266</v>
      </c>
      <c r="F944" s="95" t="s">
        <v>3267</v>
      </c>
      <c r="G944" s="96">
        <v>45567</v>
      </c>
      <c r="H944" s="97">
        <v>36716</v>
      </c>
      <c r="I944" s="94" t="s">
        <v>3268</v>
      </c>
      <c r="J944" s="94" t="s">
        <v>58</v>
      </c>
      <c r="K944" s="95" t="s">
        <v>58</v>
      </c>
      <c r="L944" s="91" t="s">
        <v>60</v>
      </c>
      <c r="M944" s="98">
        <f ca="1">(TODAY()-H944)/365</f>
        <v>25.44109589041096</v>
      </c>
      <c r="N944" s="99">
        <f>(G944-H944)/365</f>
        <v>24.24931506849315</v>
      </c>
      <c r="O944" s="98">
        <f ca="1">(TODAY()-G944)/365</f>
        <v>1.1917808219178083</v>
      </c>
      <c r="P944" s="91" t="s">
        <v>43</v>
      </c>
      <c r="Q944" s="91">
        <v>0</v>
      </c>
      <c r="R944" s="91">
        <v>0</v>
      </c>
      <c r="S944" s="91">
        <v>0</v>
      </c>
      <c r="T944" s="91"/>
      <c r="U944" s="91"/>
      <c r="V944" s="91"/>
      <c r="W944" s="91"/>
      <c r="X944" s="91"/>
      <c r="Y944" s="91"/>
      <c r="Z944" s="91"/>
      <c r="AA944" s="91"/>
      <c r="AB944" s="91"/>
      <c r="AC944" s="91"/>
      <c r="AD944" s="91"/>
      <c r="AE944" s="91"/>
      <c r="AF944" s="91"/>
      <c r="AG944" s="91"/>
      <c r="AH944" s="91"/>
      <c r="AI944" s="91"/>
      <c r="AJ944" s="91"/>
      <c r="AK944" s="91"/>
      <c r="AL944" s="91"/>
      <c r="AM944" s="91"/>
    </row>
    <row r="945" spans="1:39" ht="20.25" hidden="1" customHeight="1">
      <c r="A945" s="91"/>
      <c r="B945" s="93" t="s">
        <v>3261</v>
      </c>
      <c r="C945" s="91" t="s">
        <v>36</v>
      </c>
      <c r="D945" s="94" t="s">
        <v>3269</v>
      </c>
      <c r="E945" s="94" t="s">
        <v>3270</v>
      </c>
      <c r="F945" s="95" t="s">
        <v>3271</v>
      </c>
      <c r="G945" s="96">
        <v>26554</v>
      </c>
      <c r="H945" s="97">
        <v>16257</v>
      </c>
      <c r="I945" s="94" t="s">
        <v>58</v>
      </c>
      <c r="J945" s="94" t="s">
        <v>58</v>
      </c>
      <c r="K945" s="95" t="s">
        <v>58</v>
      </c>
      <c r="L945" s="91" t="s">
        <v>60</v>
      </c>
      <c r="M945" s="98">
        <f ca="1">(TODAY()-H945)/365</f>
        <v>81.493150684931507</v>
      </c>
      <c r="N945" s="99">
        <f>(G945-H945)/365</f>
        <v>28.210958904109589</v>
      </c>
      <c r="O945" s="98">
        <f ca="1">(TODAY()-G945)/365</f>
        <v>53.282191780821918</v>
      </c>
      <c r="P945" s="91" t="s">
        <v>272</v>
      </c>
      <c r="Q945" s="91">
        <v>0</v>
      </c>
      <c r="R945" s="91">
        <v>0</v>
      </c>
      <c r="S945" s="91">
        <v>0</v>
      </c>
      <c r="T945" s="91"/>
      <c r="U945" s="91"/>
      <c r="V945" s="91"/>
      <c r="W945" s="91"/>
      <c r="X945" s="91"/>
      <c r="Y945" s="91"/>
      <c r="Z945" s="91"/>
      <c r="AA945" s="91"/>
      <c r="AB945" s="91"/>
      <c r="AC945" s="91"/>
      <c r="AD945" s="91"/>
      <c r="AE945" s="91"/>
      <c r="AF945" s="91"/>
      <c r="AG945" s="91"/>
      <c r="AH945" s="91"/>
      <c r="AI945" s="91"/>
      <c r="AJ945" s="91"/>
      <c r="AK945" s="91"/>
      <c r="AL945" s="91"/>
      <c r="AM945" s="91"/>
    </row>
    <row r="946" spans="1:39" ht="20.25" hidden="1" customHeight="1">
      <c r="A946" s="91"/>
      <c r="B946" s="93" t="s">
        <v>3261</v>
      </c>
      <c r="C946" s="91" t="s">
        <v>36</v>
      </c>
      <c r="D946" s="94" t="s">
        <v>3272</v>
      </c>
      <c r="E946" s="94" t="s">
        <v>3273</v>
      </c>
      <c r="F946" s="95" t="s">
        <v>3274</v>
      </c>
      <c r="G946" s="96">
        <v>31185</v>
      </c>
      <c r="H946" s="97">
        <v>19848</v>
      </c>
      <c r="I946" s="94" t="s">
        <v>58</v>
      </c>
      <c r="J946" s="94" t="s">
        <v>58</v>
      </c>
      <c r="K946" s="95" t="s">
        <v>58</v>
      </c>
      <c r="L946" s="91" t="s">
        <v>60</v>
      </c>
      <c r="M946" s="98">
        <f ca="1">(TODAY()-H946)/365</f>
        <v>71.654794520547952</v>
      </c>
      <c r="N946" s="99">
        <f>(G946-H946)/365</f>
        <v>31.06027397260274</v>
      </c>
      <c r="O946" s="98">
        <f ca="1">(TODAY()-G946)/365</f>
        <v>40.594520547945208</v>
      </c>
      <c r="P946" s="91" t="s">
        <v>43</v>
      </c>
      <c r="Q946" s="91">
        <v>0</v>
      </c>
      <c r="R946" s="91">
        <v>0</v>
      </c>
      <c r="S946" s="91">
        <v>0</v>
      </c>
      <c r="T946" s="91"/>
      <c r="U946" s="91"/>
      <c r="V946" s="91"/>
      <c r="W946" s="91"/>
      <c r="X946" s="91"/>
      <c r="Y946" s="91"/>
      <c r="Z946" s="91"/>
      <c r="AA946" s="91"/>
      <c r="AB946" s="91"/>
      <c r="AC946" s="91"/>
      <c r="AD946" s="91"/>
      <c r="AE946" s="91"/>
      <c r="AF946" s="91"/>
      <c r="AG946" s="91"/>
      <c r="AH946" s="91"/>
      <c r="AI946" s="91"/>
      <c r="AJ946" s="91"/>
      <c r="AK946" s="91"/>
      <c r="AL946" s="91"/>
      <c r="AM946" s="91"/>
    </row>
    <row r="947" spans="1:39" ht="20.25" hidden="1" customHeight="1">
      <c r="A947" s="91"/>
      <c r="B947" s="93" t="s">
        <v>3261</v>
      </c>
      <c r="C947" s="91" t="s">
        <v>36</v>
      </c>
      <c r="D947" s="94" t="s">
        <v>3275</v>
      </c>
      <c r="E947" s="94" t="s">
        <v>3276</v>
      </c>
      <c r="F947" s="95" t="s">
        <v>3277</v>
      </c>
      <c r="G947" s="96">
        <v>32194</v>
      </c>
      <c r="H947" s="97">
        <v>20464</v>
      </c>
      <c r="I947" s="94" t="s">
        <v>3278</v>
      </c>
      <c r="J947" s="94" t="s">
        <v>58</v>
      </c>
      <c r="K947" s="95" t="s">
        <v>58</v>
      </c>
      <c r="L947" s="91" t="s">
        <v>60</v>
      </c>
      <c r="M947" s="98">
        <f ca="1">(TODAY()-H947)/365</f>
        <v>69.967123287671228</v>
      </c>
      <c r="N947" s="99">
        <f>(G947-H947)/365</f>
        <v>32.136986301369866</v>
      </c>
      <c r="O947" s="98">
        <f ca="1">(TODAY()-G947)/365</f>
        <v>37.830136986301369</v>
      </c>
      <c r="P947" s="91" t="s">
        <v>272</v>
      </c>
      <c r="Q947" s="91">
        <v>0</v>
      </c>
      <c r="R947" s="91">
        <v>0</v>
      </c>
      <c r="S947" s="91">
        <v>0</v>
      </c>
      <c r="T947" s="91"/>
      <c r="U947" s="91"/>
      <c r="V947" s="91"/>
      <c r="W947" s="91"/>
      <c r="X947" s="91"/>
      <c r="Y947" s="91"/>
      <c r="Z947" s="91"/>
      <c r="AA947" s="91"/>
      <c r="AB947" s="91"/>
      <c r="AC947" s="91"/>
      <c r="AD947" s="91"/>
      <c r="AE947" s="91"/>
      <c r="AF947" s="91"/>
      <c r="AG947" s="91"/>
      <c r="AH947" s="91"/>
      <c r="AI947" s="91"/>
      <c r="AJ947" s="91"/>
      <c r="AK947" s="91"/>
      <c r="AL947" s="91"/>
      <c r="AM947" s="91"/>
    </row>
    <row r="948" spans="1:39" ht="20.25" hidden="1" customHeight="1">
      <c r="A948" s="91"/>
      <c r="B948" s="93" t="s">
        <v>3261</v>
      </c>
      <c r="C948" s="91" t="s">
        <v>36</v>
      </c>
      <c r="D948" s="94" t="s">
        <v>1271</v>
      </c>
      <c r="E948" s="94" t="s">
        <v>3279</v>
      </c>
      <c r="F948" s="95" t="s">
        <v>3280</v>
      </c>
      <c r="G948" s="96">
        <v>29122</v>
      </c>
      <c r="H948" s="97">
        <v>15278</v>
      </c>
      <c r="I948" s="94" t="s">
        <v>58</v>
      </c>
      <c r="J948" s="94" t="s">
        <v>58</v>
      </c>
      <c r="K948" s="95" t="s">
        <v>58</v>
      </c>
      <c r="L948" s="91" t="s">
        <v>60</v>
      </c>
      <c r="M948" s="98">
        <f ca="1">(TODAY()-H948)/365</f>
        <v>84.175342465753431</v>
      </c>
      <c r="N948" s="99">
        <f>(G948-H948)/365</f>
        <v>37.92876712328767</v>
      </c>
      <c r="O948" s="98">
        <f ca="1">(TODAY()-G948)/365</f>
        <v>46.246575342465754</v>
      </c>
      <c r="P948" s="91" t="s">
        <v>43</v>
      </c>
      <c r="Q948" s="91">
        <v>0</v>
      </c>
      <c r="R948" s="91">
        <v>0</v>
      </c>
      <c r="S948" s="91">
        <v>0</v>
      </c>
      <c r="T948" s="91"/>
      <c r="U948" s="91"/>
      <c r="V948" s="91"/>
      <c r="W948" s="91"/>
      <c r="X948" s="91"/>
      <c r="Y948" s="91"/>
      <c r="Z948" s="91"/>
      <c r="AA948" s="91"/>
      <c r="AB948" s="91"/>
      <c r="AC948" s="91"/>
      <c r="AD948" s="91"/>
      <c r="AE948" s="91"/>
      <c r="AF948" s="91"/>
      <c r="AG948" s="91"/>
      <c r="AH948" s="91"/>
      <c r="AI948" s="91"/>
      <c r="AJ948" s="91"/>
      <c r="AK948" s="91"/>
      <c r="AL948" s="91"/>
      <c r="AM948" s="91"/>
    </row>
    <row r="949" spans="1:39" ht="20.25" hidden="1" customHeight="1">
      <c r="A949" s="91"/>
      <c r="B949" s="93" t="s">
        <v>3261</v>
      </c>
      <c r="C949" s="91" t="s">
        <v>36</v>
      </c>
      <c r="D949" s="94" t="s">
        <v>840</v>
      </c>
      <c r="E949" s="94" t="s">
        <v>3281</v>
      </c>
      <c r="F949" s="95" t="s">
        <v>3282</v>
      </c>
      <c r="G949" s="96">
        <v>41556</v>
      </c>
      <c r="H949" s="97">
        <v>23610</v>
      </c>
      <c r="I949" s="94" t="s">
        <v>58</v>
      </c>
      <c r="J949" s="94" t="s">
        <v>58</v>
      </c>
      <c r="K949" s="95" t="s">
        <v>58</v>
      </c>
      <c r="L949" s="91" t="s">
        <v>60</v>
      </c>
      <c r="M949" s="98">
        <f ca="1">(TODAY()-H949)/365</f>
        <v>61.347945205479455</v>
      </c>
      <c r="N949" s="99">
        <f>(G949-H949)/365</f>
        <v>49.167123287671231</v>
      </c>
      <c r="O949" s="98">
        <f ca="1">(TODAY()-G949)/365</f>
        <v>12.180821917808219</v>
      </c>
      <c r="P949" s="91" t="s">
        <v>43</v>
      </c>
      <c r="Q949" s="91">
        <v>0</v>
      </c>
      <c r="R949" s="91">
        <v>0</v>
      </c>
      <c r="S949" s="91">
        <v>0</v>
      </c>
      <c r="T949" s="91"/>
      <c r="U949" s="91"/>
      <c r="V949" s="91"/>
      <c r="W949" s="91"/>
      <c r="X949" s="91"/>
      <c r="Y949" s="91"/>
      <c r="Z949" s="91"/>
      <c r="AA949" s="91"/>
      <c r="AB949" s="91"/>
      <c r="AC949" s="91"/>
      <c r="AD949" s="91"/>
      <c r="AE949" s="91"/>
      <c r="AF949" s="91"/>
      <c r="AG949" s="91"/>
      <c r="AH949" s="91"/>
      <c r="AI949" s="91"/>
      <c r="AJ949" s="91"/>
      <c r="AK949" s="91"/>
      <c r="AL949" s="91"/>
      <c r="AM949" s="91"/>
    </row>
    <row r="950" spans="1:39" ht="20.25" hidden="1" customHeight="1">
      <c r="A950" s="91"/>
      <c r="B950" s="93" t="s">
        <v>3261</v>
      </c>
      <c r="C950" s="91" t="s">
        <v>36</v>
      </c>
      <c r="D950" s="94" t="s">
        <v>310</v>
      </c>
      <c r="E950" s="94" t="s">
        <v>3283</v>
      </c>
      <c r="F950" s="95" t="s">
        <v>3284</v>
      </c>
      <c r="G950" s="96">
        <v>34220</v>
      </c>
      <c r="H950" s="97">
        <v>15316</v>
      </c>
      <c r="I950" s="94" t="s">
        <v>58</v>
      </c>
      <c r="J950" s="94" t="s">
        <v>58</v>
      </c>
      <c r="K950" s="95" t="s">
        <v>58</v>
      </c>
      <c r="L950" s="91" t="s">
        <v>60</v>
      </c>
      <c r="M950" s="98">
        <f ca="1">(TODAY()-H950)/365</f>
        <v>84.07123287671233</v>
      </c>
      <c r="N950" s="99">
        <f>(G950-H950)/365</f>
        <v>51.791780821917811</v>
      </c>
      <c r="O950" s="98">
        <f ca="1">(TODAY()-G950)/365</f>
        <v>32.279452054794518</v>
      </c>
      <c r="P950" s="91" t="s">
        <v>43</v>
      </c>
      <c r="Q950" s="91">
        <v>0</v>
      </c>
      <c r="R950" s="91">
        <v>0</v>
      </c>
      <c r="S950" s="91">
        <v>0</v>
      </c>
      <c r="T950" s="91"/>
      <c r="U950" s="91"/>
      <c r="V950" s="91"/>
      <c r="W950" s="91"/>
      <c r="X950" s="91"/>
      <c r="Y950" s="91"/>
      <c r="Z950" s="91"/>
      <c r="AA950" s="91"/>
      <c r="AB950" s="91"/>
      <c r="AC950" s="91"/>
      <c r="AD950" s="91"/>
      <c r="AE950" s="91"/>
      <c r="AF950" s="91"/>
      <c r="AG950" s="91"/>
      <c r="AH950" s="91"/>
      <c r="AI950" s="91"/>
      <c r="AJ950" s="91"/>
      <c r="AK950" s="91"/>
      <c r="AL950" s="91"/>
      <c r="AM950" s="91"/>
    </row>
    <row r="951" spans="1:39" ht="20.25" hidden="1" customHeight="1">
      <c r="A951" s="91"/>
      <c r="B951" s="93" t="s">
        <v>3261</v>
      </c>
      <c r="C951" s="91" t="s">
        <v>36</v>
      </c>
      <c r="D951" s="94" t="s">
        <v>875</v>
      </c>
      <c r="E951" s="94" t="s">
        <v>3285</v>
      </c>
      <c r="F951" s="95" t="s">
        <v>3286</v>
      </c>
      <c r="G951" s="96">
        <v>43327</v>
      </c>
      <c r="H951" s="97">
        <v>24053</v>
      </c>
      <c r="I951" s="94" t="s">
        <v>58</v>
      </c>
      <c r="J951" s="94" t="s">
        <v>58</v>
      </c>
      <c r="K951" s="95" t="s">
        <v>58</v>
      </c>
      <c r="L951" s="91" t="s">
        <v>60</v>
      </c>
      <c r="M951" s="98">
        <f ca="1">(TODAY()-H951)/365</f>
        <v>60.134246575342466</v>
      </c>
      <c r="N951" s="99">
        <f>(G951-H951)/365</f>
        <v>52.805479452054797</v>
      </c>
      <c r="O951" s="98">
        <f ca="1">(TODAY()-G951)/365</f>
        <v>7.3287671232876717</v>
      </c>
      <c r="P951" s="91" t="s">
        <v>43</v>
      </c>
      <c r="Q951" s="91">
        <v>0</v>
      </c>
      <c r="R951" s="91">
        <v>0</v>
      </c>
      <c r="S951" s="91">
        <v>0</v>
      </c>
      <c r="T951" s="91"/>
      <c r="U951" s="91"/>
      <c r="V951" s="91"/>
      <c r="W951" s="91"/>
      <c r="X951" s="91"/>
      <c r="Y951" s="91"/>
      <c r="Z951" s="91"/>
      <c r="AA951" s="91"/>
      <c r="AB951" s="91"/>
      <c r="AC951" s="91"/>
      <c r="AD951" s="91"/>
      <c r="AE951" s="91"/>
      <c r="AF951" s="91"/>
      <c r="AG951" s="91"/>
      <c r="AH951" s="91"/>
      <c r="AI951" s="91"/>
      <c r="AJ951" s="91"/>
      <c r="AK951" s="91"/>
      <c r="AL951" s="91"/>
      <c r="AM951" s="91"/>
    </row>
    <row r="952" spans="1:39" ht="20.25" hidden="1" customHeight="1">
      <c r="A952" s="91"/>
      <c r="B952" s="93" t="s">
        <v>3261</v>
      </c>
      <c r="C952" s="91" t="s">
        <v>36</v>
      </c>
      <c r="D952" s="94" t="s">
        <v>2641</v>
      </c>
      <c r="E952" s="94" t="s">
        <v>3287</v>
      </c>
      <c r="F952" s="95" t="s">
        <v>3288</v>
      </c>
      <c r="G952" s="96">
        <v>34220</v>
      </c>
      <c r="H952" s="97">
        <v>14807</v>
      </c>
      <c r="I952" s="94" t="s">
        <v>58</v>
      </c>
      <c r="J952" s="94" t="s">
        <v>58</v>
      </c>
      <c r="K952" s="95" t="s">
        <v>58</v>
      </c>
      <c r="L952" s="91" t="s">
        <v>60</v>
      </c>
      <c r="M952" s="98">
        <f ca="1">(TODAY()-H952)/365</f>
        <v>85.465753424657535</v>
      </c>
      <c r="N952" s="99">
        <f>(G952-H952)/365</f>
        <v>53.186301369863017</v>
      </c>
      <c r="O952" s="98">
        <f ca="1">(TODAY()-G952)/365</f>
        <v>32.279452054794518</v>
      </c>
      <c r="P952" s="91" t="s">
        <v>43</v>
      </c>
      <c r="Q952" s="91">
        <v>0</v>
      </c>
      <c r="R952" s="91">
        <v>0</v>
      </c>
      <c r="S952" s="91">
        <v>0</v>
      </c>
      <c r="T952" s="91"/>
      <c r="U952" s="91"/>
      <c r="V952" s="91"/>
      <c r="W952" s="91"/>
      <c r="X952" s="91"/>
      <c r="Y952" s="91"/>
      <c r="Z952" s="91"/>
      <c r="AA952" s="91"/>
      <c r="AB952" s="91"/>
      <c r="AC952" s="91"/>
      <c r="AD952" s="91"/>
      <c r="AE952" s="91"/>
      <c r="AF952" s="91"/>
      <c r="AG952" s="91"/>
      <c r="AH952" s="91"/>
      <c r="AI952" s="91"/>
      <c r="AJ952" s="91"/>
      <c r="AK952" s="91"/>
      <c r="AL952" s="91"/>
      <c r="AM952" s="91"/>
    </row>
    <row r="953" spans="1:39" ht="20.25" hidden="1" customHeight="1">
      <c r="A953" s="91"/>
      <c r="B953" s="93" t="s">
        <v>3261</v>
      </c>
      <c r="C953" s="91" t="s">
        <v>36</v>
      </c>
      <c r="D953" s="94" t="s">
        <v>3289</v>
      </c>
      <c r="E953" s="94" t="s">
        <v>3290</v>
      </c>
      <c r="F953" s="95" t="s">
        <v>3291</v>
      </c>
      <c r="G953" s="96">
        <v>42810</v>
      </c>
      <c r="H953" s="96" t="s">
        <v>58</v>
      </c>
      <c r="I953" s="94" t="s">
        <v>58</v>
      </c>
      <c r="J953" s="94" t="s">
        <v>58</v>
      </c>
      <c r="K953" s="95" t="s">
        <v>58</v>
      </c>
      <c r="L953" s="91" t="s">
        <v>60</v>
      </c>
      <c r="M953" s="98">
        <v>0</v>
      </c>
      <c r="N953" s="95"/>
      <c r="O953" s="98">
        <f ca="1">(TODAY()-G953)/365</f>
        <v>8.7452054794520553</v>
      </c>
      <c r="P953" s="91" t="s">
        <v>43</v>
      </c>
      <c r="Q953" s="91">
        <v>0</v>
      </c>
      <c r="R953" s="91">
        <v>0</v>
      </c>
      <c r="S953" s="91">
        <v>0</v>
      </c>
      <c r="T953" s="91"/>
      <c r="U953" s="91"/>
      <c r="V953" s="91"/>
      <c r="W953" s="91"/>
      <c r="X953" s="91"/>
      <c r="Y953" s="91"/>
      <c r="Z953" s="91"/>
      <c r="AA953" s="91"/>
      <c r="AB953" s="91"/>
      <c r="AC953" s="91"/>
      <c r="AD953" s="91"/>
      <c r="AE953" s="91"/>
      <c r="AF953" s="91"/>
      <c r="AG953" s="91"/>
      <c r="AH953" s="91"/>
      <c r="AI953" s="91"/>
      <c r="AJ953" s="91"/>
      <c r="AK953" s="91"/>
      <c r="AL953" s="91"/>
      <c r="AM953" s="91"/>
    </row>
    <row r="954" spans="1:39" ht="20.25" hidden="1" customHeight="1">
      <c r="A954" s="91"/>
      <c r="B954" s="93" t="s">
        <v>3261</v>
      </c>
      <c r="C954" s="91" t="s">
        <v>36</v>
      </c>
      <c r="D954" s="94" t="s">
        <v>3292</v>
      </c>
      <c r="E954" s="94" t="s">
        <v>3293</v>
      </c>
      <c r="F954" s="95" t="s">
        <v>3294</v>
      </c>
      <c r="G954" s="96">
        <v>44490</v>
      </c>
      <c r="H954" s="96" t="s">
        <v>58</v>
      </c>
      <c r="I954" s="94" t="s">
        <v>58</v>
      </c>
      <c r="J954" s="94" t="s">
        <v>58</v>
      </c>
      <c r="K954" s="95" t="s">
        <v>58</v>
      </c>
      <c r="L954" s="91" t="s">
        <v>60</v>
      </c>
      <c r="M954" s="98">
        <v>0</v>
      </c>
      <c r="N954" s="95"/>
      <c r="O954" s="98">
        <f ca="1">(TODAY()-G954)/365</f>
        <v>4.1424657534246574</v>
      </c>
      <c r="P954" s="91" t="s">
        <v>43</v>
      </c>
      <c r="Q954" s="91">
        <v>0</v>
      </c>
      <c r="R954" s="91">
        <v>0</v>
      </c>
      <c r="S954" s="91">
        <v>0</v>
      </c>
      <c r="T954" s="91"/>
      <c r="U954" s="91"/>
      <c r="V954" s="91"/>
      <c r="W954" s="91"/>
      <c r="X954" s="91"/>
      <c r="Y954" s="91"/>
      <c r="Z954" s="91"/>
      <c r="AA954" s="91"/>
      <c r="AB954" s="91"/>
      <c r="AC954" s="91"/>
      <c r="AD954" s="91"/>
      <c r="AE954" s="91"/>
      <c r="AF954" s="91"/>
      <c r="AG954" s="91"/>
      <c r="AH954" s="91"/>
      <c r="AI954" s="91"/>
      <c r="AJ954" s="91"/>
      <c r="AK954" s="91"/>
      <c r="AL954" s="91"/>
      <c r="AM954" s="91"/>
    </row>
    <row r="955" spans="1:39" ht="20.25" hidden="1" customHeight="1">
      <c r="A955" s="91"/>
      <c r="B955" s="93" t="s">
        <v>3261</v>
      </c>
      <c r="C955" s="91" t="s">
        <v>36</v>
      </c>
      <c r="D955" s="94" t="s">
        <v>3295</v>
      </c>
      <c r="E955" s="94" t="s">
        <v>3296</v>
      </c>
      <c r="F955" s="95" t="s">
        <v>3297</v>
      </c>
      <c r="G955" s="96">
        <v>43714</v>
      </c>
      <c r="H955" s="96" t="s">
        <v>58</v>
      </c>
      <c r="I955" s="94" t="s">
        <v>58</v>
      </c>
      <c r="J955" s="94" t="s">
        <v>58</v>
      </c>
      <c r="K955" s="95" t="s">
        <v>58</v>
      </c>
      <c r="L955" s="91" t="s">
        <v>60</v>
      </c>
      <c r="M955" s="98">
        <v>0</v>
      </c>
      <c r="N955" s="95"/>
      <c r="O955" s="98">
        <f ca="1">(TODAY()-G955)/365</f>
        <v>6.2684931506849315</v>
      </c>
      <c r="P955" s="91" t="s">
        <v>43</v>
      </c>
      <c r="Q955" s="91">
        <v>0</v>
      </c>
      <c r="R955" s="91">
        <v>0</v>
      </c>
      <c r="S955" s="91">
        <v>0</v>
      </c>
      <c r="T955" s="91"/>
      <c r="U955" s="91"/>
      <c r="V955" s="91"/>
      <c r="W955" s="91"/>
      <c r="X955" s="91"/>
      <c r="Y955" s="91"/>
      <c r="Z955" s="91"/>
      <c r="AA955" s="91"/>
      <c r="AB955" s="91"/>
      <c r="AC955" s="91"/>
      <c r="AD955" s="91"/>
      <c r="AE955" s="91"/>
      <c r="AF955" s="91"/>
      <c r="AG955" s="91"/>
      <c r="AH955" s="91"/>
      <c r="AI955" s="91"/>
      <c r="AJ955" s="91"/>
      <c r="AK955" s="91"/>
      <c r="AL955" s="91"/>
      <c r="AM955" s="91"/>
    </row>
    <row r="956" spans="1:39" ht="20.25" hidden="1" customHeight="1">
      <c r="A956" s="91"/>
      <c r="B956" s="93" t="s">
        <v>3261</v>
      </c>
      <c r="C956" s="91" t="s">
        <v>36</v>
      </c>
      <c r="D956" s="94" t="s">
        <v>3298</v>
      </c>
      <c r="E956" s="94" t="s">
        <v>3299</v>
      </c>
      <c r="F956" s="95" t="s">
        <v>3300</v>
      </c>
      <c r="G956" s="96">
        <v>44665</v>
      </c>
      <c r="H956" s="96" t="s">
        <v>58</v>
      </c>
      <c r="I956" s="94" t="s">
        <v>58</v>
      </c>
      <c r="J956" s="94" t="s">
        <v>58</v>
      </c>
      <c r="K956" s="95" t="s">
        <v>58</v>
      </c>
      <c r="L956" s="91" t="s">
        <v>60</v>
      </c>
      <c r="M956" s="98">
        <v>0</v>
      </c>
      <c r="N956" s="95"/>
      <c r="O956" s="98">
        <f ca="1">(TODAY()-G956)/365</f>
        <v>3.6630136986301371</v>
      </c>
      <c r="P956" s="91" t="s">
        <v>43</v>
      </c>
      <c r="Q956" s="91">
        <v>0</v>
      </c>
      <c r="R956" s="91">
        <v>0</v>
      </c>
      <c r="S956" s="91">
        <v>0</v>
      </c>
      <c r="T956" s="91"/>
      <c r="U956" s="91"/>
      <c r="V956" s="91"/>
      <c r="W956" s="91"/>
      <c r="X956" s="91"/>
      <c r="Y956" s="91"/>
      <c r="Z956" s="91"/>
      <c r="AA956" s="91"/>
      <c r="AB956" s="91"/>
      <c r="AC956" s="91"/>
      <c r="AD956" s="91"/>
      <c r="AE956" s="91"/>
      <c r="AF956" s="91"/>
      <c r="AG956" s="91"/>
      <c r="AH956" s="91"/>
      <c r="AI956" s="91"/>
      <c r="AJ956" s="91"/>
      <c r="AK956" s="91"/>
      <c r="AL956" s="91"/>
      <c r="AM956" s="91"/>
    </row>
    <row r="957" spans="1:39" ht="20.25" hidden="1" customHeight="1">
      <c r="A957" s="91"/>
      <c r="B957" s="93" t="s">
        <v>3261</v>
      </c>
      <c r="C957" s="91" t="s">
        <v>36</v>
      </c>
      <c r="D957" s="94" t="s">
        <v>3301</v>
      </c>
      <c r="E957" s="94" t="s">
        <v>3302</v>
      </c>
      <c r="F957" s="95" t="s">
        <v>3303</v>
      </c>
      <c r="G957" s="96">
        <v>44814</v>
      </c>
      <c r="H957" s="96" t="s">
        <v>58</v>
      </c>
      <c r="I957" s="94" t="s">
        <v>58</v>
      </c>
      <c r="J957" s="94" t="s">
        <v>58</v>
      </c>
      <c r="K957" s="95" t="s">
        <v>58</v>
      </c>
      <c r="L957" s="91" t="s">
        <v>60</v>
      </c>
      <c r="M957" s="98">
        <v>0</v>
      </c>
      <c r="N957" s="95"/>
      <c r="O957" s="98">
        <f ca="1">(TODAY()-G957)/365</f>
        <v>3.2547945205479452</v>
      </c>
      <c r="P957" s="91" t="s">
        <v>272</v>
      </c>
      <c r="Q957" s="91">
        <v>0</v>
      </c>
      <c r="R957" s="91">
        <v>0</v>
      </c>
      <c r="S957" s="91">
        <v>0</v>
      </c>
      <c r="T957" s="91"/>
      <c r="U957" s="91"/>
      <c r="V957" s="91"/>
      <c r="W957" s="91"/>
      <c r="X957" s="91"/>
      <c r="Y957" s="91"/>
      <c r="Z957" s="91"/>
      <c r="AA957" s="91"/>
      <c r="AB957" s="91"/>
      <c r="AC957" s="91"/>
      <c r="AD957" s="91"/>
      <c r="AE957" s="91"/>
      <c r="AF957" s="91"/>
      <c r="AG957" s="91"/>
      <c r="AH957" s="91"/>
      <c r="AI957" s="91"/>
      <c r="AJ957" s="91"/>
      <c r="AK957" s="91"/>
      <c r="AL957" s="91"/>
      <c r="AM957" s="91"/>
    </row>
    <row r="958" spans="1:39" ht="20.25" hidden="1" customHeight="1">
      <c r="A958" s="91"/>
      <c r="B958" s="93" t="s">
        <v>3261</v>
      </c>
      <c r="C958" s="91" t="s">
        <v>36</v>
      </c>
      <c r="D958" s="94" t="s">
        <v>3304</v>
      </c>
      <c r="E958" s="94" t="s">
        <v>3305</v>
      </c>
      <c r="F958" s="95" t="s">
        <v>3306</v>
      </c>
      <c r="G958" s="96">
        <v>45560</v>
      </c>
      <c r="H958" s="96" t="s">
        <v>58</v>
      </c>
      <c r="I958" s="94" t="s">
        <v>58</v>
      </c>
      <c r="J958" s="94" t="s">
        <v>58</v>
      </c>
      <c r="K958" s="95" t="s">
        <v>58</v>
      </c>
      <c r="L958" s="91" t="s">
        <v>60</v>
      </c>
      <c r="M958" s="98">
        <v>0</v>
      </c>
      <c r="N958" s="95"/>
      <c r="O958" s="98">
        <f ca="1">(TODAY()-G958)/365</f>
        <v>1.210958904109589</v>
      </c>
      <c r="P958" s="91" t="s">
        <v>272</v>
      </c>
      <c r="Q958" s="91">
        <v>0</v>
      </c>
      <c r="R958" s="91">
        <v>0</v>
      </c>
      <c r="S958" s="91">
        <v>0</v>
      </c>
      <c r="T958" s="91"/>
      <c r="U958" s="91"/>
      <c r="V958" s="91"/>
      <c r="W958" s="91"/>
      <c r="X958" s="91"/>
      <c r="Y958" s="91"/>
      <c r="Z958" s="91"/>
      <c r="AA958" s="91"/>
      <c r="AB958" s="91"/>
      <c r="AC958" s="91"/>
      <c r="AD958" s="91"/>
      <c r="AE958" s="91"/>
      <c r="AF958" s="91"/>
      <c r="AG958" s="91"/>
      <c r="AH958" s="91"/>
      <c r="AI958" s="91"/>
      <c r="AJ958" s="91"/>
      <c r="AK958" s="91"/>
      <c r="AL958" s="91"/>
      <c r="AM958" s="91"/>
    </row>
    <row r="959" spans="1:39" ht="20.25" hidden="1" customHeight="1">
      <c r="A959" s="91"/>
      <c r="B959" s="93" t="s">
        <v>3261</v>
      </c>
      <c r="C959" s="91" t="s">
        <v>36</v>
      </c>
      <c r="D959" s="94" t="s">
        <v>3307</v>
      </c>
      <c r="E959" s="94" t="s">
        <v>3308</v>
      </c>
      <c r="F959" s="95" t="s">
        <v>3309</v>
      </c>
      <c r="G959" s="96">
        <v>45560</v>
      </c>
      <c r="H959" s="96" t="s">
        <v>58</v>
      </c>
      <c r="I959" s="94" t="s">
        <v>3310</v>
      </c>
      <c r="J959" s="94" t="s">
        <v>58</v>
      </c>
      <c r="K959" s="95" t="s">
        <v>58</v>
      </c>
      <c r="L959" s="91" t="s">
        <v>60</v>
      </c>
      <c r="M959" s="98">
        <v>0</v>
      </c>
      <c r="N959" s="95"/>
      <c r="O959" s="98">
        <f ca="1">(TODAY()-G959)/365</f>
        <v>1.210958904109589</v>
      </c>
      <c r="P959" s="91" t="s">
        <v>272</v>
      </c>
      <c r="Q959" s="91">
        <v>0</v>
      </c>
      <c r="R959" s="91">
        <v>0</v>
      </c>
      <c r="S959" s="91">
        <v>0</v>
      </c>
      <c r="T959" s="91"/>
      <c r="U959" s="91"/>
      <c r="V959" s="91"/>
      <c r="W959" s="91"/>
      <c r="X959" s="91"/>
      <c r="Y959" s="91"/>
      <c r="Z959" s="91"/>
      <c r="AA959" s="91"/>
      <c r="AB959" s="91"/>
      <c r="AC959" s="91"/>
      <c r="AD959" s="91"/>
      <c r="AE959" s="91"/>
      <c r="AF959" s="91"/>
      <c r="AG959" s="91"/>
      <c r="AH959" s="91"/>
      <c r="AI959" s="91"/>
      <c r="AJ959" s="91"/>
      <c r="AK959" s="91"/>
      <c r="AL959" s="91"/>
      <c r="AM959" s="91"/>
    </row>
    <row r="960" spans="1:39" ht="20.25" hidden="1" customHeight="1">
      <c r="A960" s="91"/>
      <c r="B960" s="93" t="s">
        <v>3261</v>
      </c>
      <c r="C960" s="91" t="s">
        <v>36</v>
      </c>
      <c r="D960" s="94" t="s">
        <v>1286</v>
      </c>
      <c r="E960" s="94" t="s">
        <v>3311</v>
      </c>
      <c r="F960" s="95" t="s">
        <v>3312</v>
      </c>
      <c r="G960" s="96">
        <v>41907</v>
      </c>
      <c r="H960" s="96" t="s">
        <v>58</v>
      </c>
      <c r="I960" s="94" t="s">
        <v>58</v>
      </c>
      <c r="J960" s="94" t="s">
        <v>58</v>
      </c>
      <c r="K960" s="95" t="s">
        <v>58</v>
      </c>
      <c r="L960" s="91" t="s">
        <v>60</v>
      </c>
      <c r="M960" s="98">
        <v>0</v>
      </c>
      <c r="N960" s="95"/>
      <c r="O960" s="98">
        <f ca="1">(TODAY()-G960)/365</f>
        <v>11.219178082191782</v>
      </c>
      <c r="P960" s="91" t="s">
        <v>272</v>
      </c>
      <c r="Q960" s="91">
        <v>0</v>
      </c>
      <c r="R960" s="91">
        <v>0</v>
      </c>
      <c r="S960" s="91">
        <v>0</v>
      </c>
      <c r="T960" s="91"/>
      <c r="U960" s="91"/>
      <c r="V960" s="91"/>
      <c r="W960" s="91"/>
      <c r="X960" s="91"/>
      <c r="Y960" s="91"/>
      <c r="Z960" s="91"/>
      <c r="AA960" s="91"/>
      <c r="AB960" s="91"/>
      <c r="AC960" s="91"/>
      <c r="AD960" s="91"/>
      <c r="AE960" s="91"/>
      <c r="AF960" s="91"/>
      <c r="AG960" s="91"/>
      <c r="AH960" s="91"/>
      <c r="AI960" s="91"/>
      <c r="AJ960" s="91"/>
      <c r="AK960" s="91"/>
      <c r="AL960" s="91"/>
      <c r="AM960" s="91"/>
    </row>
    <row r="961" spans="1:39" ht="20.25" hidden="1" customHeight="1">
      <c r="A961" s="91"/>
      <c r="B961" s="93" t="s">
        <v>3261</v>
      </c>
      <c r="C961" s="91" t="s">
        <v>36</v>
      </c>
      <c r="D961" s="94" t="s">
        <v>3313</v>
      </c>
      <c r="E961" s="94" t="s">
        <v>3314</v>
      </c>
      <c r="F961" s="95" t="s">
        <v>3315</v>
      </c>
      <c r="G961" s="96">
        <v>45562</v>
      </c>
      <c r="H961" s="96" t="s">
        <v>58</v>
      </c>
      <c r="I961" s="94" t="s">
        <v>58</v>
      </c>
      <c r="J961" s="94" t="s">
        <v>58</v>
      </c>
      <c r="K961" s="95" t="s">
        <v>58</v>
      </c>
      <c r="L961" s="91" t="s">
        <v>60</v>
      </c>
      <c r="M961" s="98">
        <v>0</v>
      </c>
      <c r="N961" s="95"/>
      <c r="O961" s="98">
        <f ca="1">(TODAY()-G961)/365</f>
        <v>1.2054794520547945</v>
      </c>
      <c r="P961" s="91" t="s">
        <v>43</v>
      </c>
      <c r="Q961" s="91">
        <v>0</v>
      </c>
      <c r="R961" s="91">
        <v>0</v>
      </c>
      <c r="S961" s="91">
        <v>0</v>
      </c>
      <c r="T961" s="91"/>
      <c r="U961" s="91"/>
      <c r="V961" s="91"/>
      <c r="W961" s="91"/>
      <c r="X961" s="91"/>
      <c r="Y961" s="91"/>
      <c r="Z961" s="91"/>
      <c r="AA961" s="91"/>
      <c r="AB961" s="91"/>
      <c r="AC961" s="91"/>
      <c r="AD961" s="91"/>
      <c r="AE961" s="91"/>
      <c r="AF961" s="91"/>
      <c r="AG961" s="91"/>
      <c r="AH961" s="91"/>
      <c r="AI961" s="91"/>
      <c r="AJ961" s="91"/>
      <c r="AK961" s="91"/>
      <c r="AL961" s="91"/>
      <c r="AM961" s="91"/>
    </row>
    <row r="962" spans="1:39" ht="20.25" hidden="1" customHeight="1">
      <c r="A962" s="91"/>
      <c r="B962" s="93" t="s">
        <v>3261</v>
      </c>
      <c r="C962" s="91" t="s">
        <v>36</v>
      </c>
      <c r="D962" s="94" t="s">
        <v>3316</v>
      </c>
      <c r="E962" s="94" t="s">
        <v>3317</v>
      </c>
      <c r="F962" s="95" t="s">
        <v>3318</v>
      </c>
      <c r="G962" s="96">
        <v>45608</v>
      </c>
      <c r="H962" s="96" t="s">
        <v>58</v>
      </c>
      <c r="I962" s="94" t="s">
        <v>58</v>
      </c>
      <c r="J962" s="94" t="s">
        <v>58</v>
      </c>
      <c r="K962" s="95" t="s">
        <v>58</v>
      </c>
      <c r="L962" s="91" t="s">
        <v>60</v>
      </c>
      <c r="M962" s="98">
        <v>0</v>
      </c>
      <c r="N962" s="95"/>
      <c r="O962" s="98">
        <f ca="1">(TODAY()-G962)/365</f>
        <v>1.0794520547945206</v>
      </c>
      <c r="P962" s="91" t="s">
        <v>272</v>
      </c>
      <c r="Q962" s="91">
        <v>0</v>
      </c>
      <c r="R962" s="91">
        <v>0</v>
      </c>
      <c r="S962" s="91">
        <v>0</v>
      </c>
      <c r="T962" s="91"/>
      <c r="U962" s="91"/>
      <c r="V962" s="91"/>
      <c r="W962" s="91"/>
      <c r="X962" s="91"/>
      <c r="Y962" s="91"/>
      <c r="Z962" s="91"/>
      <c r="AA962" s="91"/>
      <c r="AB962" s="91"/>
      <c r="AC962" s="91"/>
      <c r="AD962" s="91"/>
      <c r="AE962" s="91"/>
      <c r="AF962" s="91"/>
      <c r="AG962" s="91"/>
      <c r="AH962" s="91"/>
      <c r="AI962" s="91"/>
      <c r="AJ962" s="91"/>
      <c r="AK962" s="91"/>
      <c r="AL962" s="91"/>
      <c r="AM962" s="91"/>
    </row>
    <row r="963" spans="1:39" ht="20.25" hidden="1" customHeight="1">
      <c r="A963" s="91"/>
      <c r="B963" s="93" t="s">
        <v>10722</v>
      </c>
      <c r="C963" s="91" t="s">
        <v>36</v>
      </c>
      <c r="D963" s="106" t="s">
        <v>10723</v>
      </c>
      <c r="E963" s="106" t="s">
        <v>10724</v>
      </c>
      <c r="F963" s="92" t="s">
        <v>10725</v>
      </c>
      <c r="G963" s="103" t="s">
        <v>10726</v>
      </c>
      <c r="H963" s="103">
        <v>13026</v>
      </c>
      <c r="I963" s="108" t="s">
        <v>12620</v>
      </c>
      <c r="J963" s="94" t="s">
        <v>10727</v>
      </c>
      <c r="K963" s="92">
        <v>985919666</v>
      </c>
      <c r="L963" s="91"/>
      <c r="M963" s="98">
        <f ca="1">(TODAY()-H963)/365</f>
        <v>90.345205479452048</v>
      </c>
      <c r="N963" s="99" t="e">
        <f>(G963-H963)/365</f>
        <v>#VALUE!</v>
      </c>
      <c r="O963" s="98" t="e">
        <f ca="1">(TODAY()-G963)/365</f>
        <v>#VALUE!</v>
      </c>
      <c r="P963" s="91" t="s">
        <v>43</v>
      </c>
      <c r="Q963" s="91"/>
      <c r="R963" s="91"/>
      <c r="S963" s="91"/>
      <c r="T963" s="91"/>
      <c r="U963" s="91"/>
      <c r="V963" s="91"/>
      <c r="W963" s="91"/>
      <c r="X963" s="91"/>
      <c r="Y963" s="91"/>
      <c r="Z963" s="91"/>
      <c r="AA963" s="91"/>
      <c r="AB963" s="91"/>
      <c r="AC963" s="91"/>
      <c r="AD963" s="91"/>
      <c r="AE963" s="91"/>
      <c r="AF963" s="91"/>
      <c r="AG963" s="91"/>
      <c r="AH963" s="91"/>
      <c r="AI963" s="91"/>
      <c r="AJ963" s="91"/>
      <c r="AK963" s="91"/>
      <c r="AL963" s="91"/>
      <c r="AM963" s="91"/>
    </row>
    <row r="964" spans="1:39" ht="20.25" hidden="1" customHeight="1">
      <c r="A964" s="91"/>
      <c r="B964" s="93" t="s">
        <v>10722</v>
      </c>
      <c r="C964" s="91" t="s">
        <v>36</v>
      </c>
      <c r="D964" s="106" t="s">
        <v>10728</v>
      </c>
      <c r="E964" s="106" t="s">
        <v>10729</v>
      </c>
      <c r="F964" s="92" t="s">
        <v>10730</v>
      </c>
      <c r="G964" s="103" t="s">
        <v>10731</v>
      </c>
      <c r="H964" s="103">
        <v>20577</v>
      </c>
      <c r="I964" s="94" t="s">
        <v>10732</v>
      </c>
      <c r="J964" s="94" t="s">
        <v>10733</v>
      </c>
      <c r="K964" s="92">
        <v>941835237</v>
      </c>
      <c r="L964" s="91"/>
      <c r="M964" s="98">
        <f ca="1">(TODAY()-H964)/365</f>
        <v>69.657534246575338</v>
      </c>
      <c r="N964" s="99" t="e">
        <f>(G964-H964)/365</f>
        <v>#VALUE!</v>
      </c>
      <c r="O964" s="98" t="e">
        <f ca="1">(TODAY()-G964)/365</f>
        <v>#VALUE!</v>
      </c>
      <c r="P964" s="91" t="s">
        <v>43</v>
      </c>
      <c r="Q964" s="91"/>
      <c r="R964" s="91"/>
      <c r="S964" s="91"/>
      <c r="T964" s="91"/>
      <c r="U964" s="91"/>
      <c r="V964" s="91"/>
      <c r="W964" s="91"/>
      <c r="X964" s="91"/>
      <c r="Y964" s="91"/>
      <c r="Z964" s="91"/>
      <c r="AA964" s="91"/>
      <c r="AB964" s="91"/>
      <c r="AC964" s="91"/>
      <c r="AD964" s="91"/>
      <c r="AE964" s="91"/>
      <c r="AF964" s="91"/>
      <c r="AG964" s="91"/>
      <c r="AH964" s="91"/>
      <c r="AI964" s="91"/>
      <c r="AJ964" s="91"/>
      <c r="AK964" s="91"/>
      <c r="AL964" s="91"/>
      <c r="AM964" s="91"/>
    </row>
    <row r="965" spans="1:39" ht="20.25" hidden="1" customHeight="1">
      <c r="A965" s="91"/>
      <c r="B965" s="93" t="s">
        <v>10722</v>
      </c>
      <c r="C965" s="91" t="s">
        <v>36</v>
      </c>
      <c r="D965" s="106" t="s">
        <v>10734</v>
      </c>
      <c r="E965" s="106" t="s">
        <v>10729</v>
      </c>
      <c r="F965" s="92" t="s">
        <v>10735</v>
      </c>
      <c r="G965" s="103">
        <v>2024</v>
      </c>
      <c r="H965" s="103">
        <v>18241</v>
      </c>
      <c r="I965" s="94" t="s">
        <v>10736</v>
      </c>
      <c r="J965" s="94" t="s">
        <v>10737</v>
      </c>
      <c r="K965" s="92">
        <v>940095482</v>
      </c>
      <c r="L965" s="91"/>
      <c r="M965" s="98">
        <f ca="1">(TODAY()-H965)/365</f>
        <v>76.057534246575344</v>
      </c>
      <c r="N965" s="99">
        <f>(G965-H965)/365</f>
        <v>-44.43013698630137</v>
      </c>
      <c r="O965" s="98">
        <f ca="1">(TODAY()-G965)/365</f>
        <v>120.48767123287671</v>
      </c>
      <c r="P965" s="91" t="s">
        <v>43</v>
      </c>
      <c r="Q965" s="91"/>
      <c r="R965" s="91"/>
      <c r="S965" s="91"/>
      <c r="T965" s="91"/>
      <c r="U965" s="91"/>
      <c r="V965" s="91"/>
      <c r="W965" s="91"/>
      <c r="X965" s="91"/>
      <c r="Y965" s="91"/>
      <c r="Z965" s="91"/>
      <c r="AA965" s="91"/>
      <c r="AB965" s="91"/>
      <c r="AC965" s="91"/>
      <c r="AD965" s="91"/>
      <c r="AE965" s="91"/>
      <c r="AF965" s="91"/>
      <c r="AG965" s="91"/>
      <c r="AH965" s="91"/>
      <c r="AI965" s="91"/>
      <c r="AJ965" s="91"/>
      <c r="AK965" s="91"/>
      <c r="AL965" s="91"/>
      <c r="AM965" s="91"/>
    </row>
    <row r="966" spans="1:39" ht="20.25" hidden="1" customHeight="1">
      <c r="A966" s="91"/>
      <c r="B966" s="93" t="s">
        <v>10722</v>
      </c>
      <c r="C966" s="91" t="s">
        <v>36</v>
      </c>
      <c r="D966" s="106" t="s">
        <v>10738</v>
      </c>
      <c r="E966" s="106" t="s">
        <v>10739</v>
      </c>
      <c r="F966" s="92" t="s">
        <v>10740</v>
      </c>
      <c r="G966" s="103">
        <v>2015</v>
      </c>
      <c r="H966" s="103">
        <v>19513</v>
      </c>
      <c r="I966" s="94" t="s">
        <v>10741</v>
      </c>
      <c r="J966" s="94" t="s">
        <v>10742</v>
      </c>
      <c r="K966" s="92">
        <v>993490647</v>
      </c>
      <c r="L966" s="91"/>
      <c r="M966" s="98">
        <f ca="1">(TODAY()-H966)/365</f>
        <v>72.572602739726022</v>
      </c>
      <c r="N966" s="99">
        <f>(G966-H966)/365</f>
        <v>-47.939726027397263</v>
      </c>
      <c r="O966" s="98">
        <f ca="1">(TODAY()-G966)/365</f>
        <v>120.51232876712329</v>
      </c>
      <c r="P966" s="91" t="s">
        <v>43</v>
      </c>
      <c r="Q966" s="91"/>
      <c r="R966" s="91"/>
      <c r="S966" s="91"/>
      <c r="T966" s="91"/>
      <c r="U966" s="91"/>
      <c r="V966" s="91"/>
      <c r="W966" s="91"/>
      <c r="X966" s="91"/>
      <c r="Y966" s="91"/>
      <c r="Z966" s="91"/>
      <c r="AA966" s="91"/>
      <c r="AB966" s="91"/>
      <c r="AC966" s="91"/>
      <c r="AD966" s="91"/>
      <c r="AE966" s="91"/>
      <c r="AF966" s="91"/>
      <c r="AG966" s="91"/>
      <c r="AH966" s="91"/>
      <c r="AI966" s="91"/>
      <c r="AJ966" s="91"/>
      <c r="AK966" s="91"/>
      <c r="AL966" s="91"/>
      <c r="AM966" s="91"/>
    </row>
    <row r="967" spans="1:39" ht="20.25" hidden="1" customHeight="1">
      <c r="A967" s="91"/>
      <c r="B967" s="93" t="s">
        <v>10722</v>
      </c>
      <c r="C967" s="91" t="s">
        <v>36</v>
      </c>
      <c r="D967" s="106" t="s">
        <v>10743</v>
      </c>
      <c r="E967" s="106" t="s">
        <v>10744</v>
      </c>
      <c r="F967" s="92" t="s">
        <v>10745</v>
      </c>
      <c r="G967" s="103">
        <v>2015</v>
      </c>
      <c r="H967" s="103">
        <v>19996</v>
      </c>
      <c r="I967" s="94" t="s">
        <v>10746</v>
      </c>
      <c r="J967" s="94" t="s">
        <v>10747</v>
      </c>
      <c r="K967" s="92">
        <v>996614693</v>
      </c>
      <c r="L967" s="91"/>
      <c r="M967" s="98">
        <f ca="1">(TODAY()-H967)/365</f>
        <v>71.249315068493146</v>
      </c>
      <c r="N967" s="99">
        <f>(G967-H967)/365</f>
        <v>-49.263013698630139</v>
      </c>
      <c r="O967" s="98">
        <f ca="1">(TODAY()-G967)/365</f>
        <v>120.51232876712329</v>
      </c>
      <c r="P967" s="91" t="s">
        <v>43</v>
      </c>
      <c r="Q967" s="91"/>
      <c r="R967" s="91"/>
      <c r="S967" s="91"/>
      <c r="T967" s="91"/>
      <c r="U967" s="91"/>
      <c r="V967" s="91"/>
      <c r="W967" s="91"/>
      <c r="X967" s="91"/>
      <c r="Y967" s="91"/>
      <c r="Z967" s="91"/>
      <c r="AA967" s="91"/>
      <c r="AB967" s="91"/>
      <c r="AC967" s="91"/>
      <c r="AD967" s="91"/>
      <c r="AE967" s="91"/>
      <c r="AF967" s="91"/>
      <c r="AG967" s="91"/>
      <c r="AH967" s="91"/>
      <c r="AI967" s="91"/>
      <c r="AJ967" s="91"/>
      <c r="AK967" s="91"/>
      <c r="AL967" s="91"/>
      <c r="AM967" s="91"/>
    </row>
    <row r="968" spans="1:39" ht="20.25" hidden="1" customHeight="1">
      <c r="A968" s="91"/>
      <c r="B968" s="93" t="s">
        <v>10722</v>
      </c>
      <c r="C968" s="91" t="s">
        <v>36</v>
      </c>
      <c r="D968" s="106" t="s">
        <v>10748</v>
      </c>
      <c r="E968" s="106" t="s">
        <v>10749</v>
      </c>
      <c r="F968" s="92" t="s">
        <v>10750</v>
      </c>
      <c r="G968" s="103">
        <v>1986</v>
      </c>
      <c r="H968" s="103">
        <v>31483</v>
      </c>
      <c r="I968" s="94" t="s">
        <v>10751</v>
      </c>
      <c r="J968" s="94" t="s">
        <v>10752</v>
      </c>
      <c r="K968" s="92">
        <v>973330427</v>
      </c>
      <c r="L968" s="91"/>
      <c r="M968" s="98">
        <f ca="1">(TODAY()-H968)/365</f>
        <v>39.778082191780825</v>
      </c>
      <c r="N968" s="99">
        <f>(G968-H968)/365</f>
        <v>-80.813698630136983</v>
      </c>
      <c r="O968" s="98">
        <f ca="1">(TODAY()-G968)/365</f>
        <v>120.59178082191781</v>
      </c>
      <c r="P968" s="91" t="s">
        <v>43</v>
      </c>
      <c r="Q968" s="91"/>
      <c r="R968" s="91"/>
      <c r="S968" s="91"/>
      <c r="T968" s="91"/>
      <c r="U968" s="91"/>
      <c r="V968" s="91"/>
      <c r="W968" s="91"/>
      <c r="X968" s="91"/>
      <c r="Y968" s="91"/>
      <c r="Z968" s="91"/>
      <c r="AA968" s="91"/>
      <c r="AB968" s="91"/>
      <c r="AC968" s="91"/>
      <c r="AD968" s="91"/>
      <c r="AE968" s="91"/>
      <c r="AF968" s="91"/>
      <c r="AG968" s="91"/>
      <c r="AH968" s="91"/>
      <c r="AI968" s="91"/>
      <c r="AJ968" s="91"/>
      <c r="AK968" s="91"/>
      <c r="AL968" s="91"/>
      <c r="AM968" s="91"/>
    </row>
    <row r="969" spans="1:39" ht="20.25" hidden="1" customHeight="1">
      <c r="A969" s="91"/>
      <c r="B969" s="93" t="s">
        <v>10722</v>
      </c>
      <c r="C969" s="91" t="s">
        <v>36</v>
      </c>
      <c r="D969" s="106" t="s">
        <v>10753</v>
      </c>
      <c r="E969" s="106" t="s">
        <v>10754</v>
      </c>
      <c r="F969" s="92" t="s">
        <v>10755</v>
      </c>
      <c r="G969" s="103" t="s">
        <v>58</v>
      </c>
      <c r="H969" s="103">
        <v>20234</v>
      </c>
      <c r="I969" s="94" t="s">
        <v>10756</v>
      </c>
      <c r="J969" s="94" t="s">
        <v>10757</v>
      </c>
      <c r="K969" s="92">
        <v>9968428601</v>
      </c>
      <c r="L969" s="91"/>
      <c r="M969" s="98">
        <f ca="1">(TODAY()-H969)/365</f>
        <v>70.597260273972609</v>
      </c>
      <c r="N969" s="99" t="e">
        <f>(G969-H969)/365</f>
        <v>#VALUE!</v>
      </c>
      <c r="O969" s="98" t="e">
        <f ca="1">(TODAY()-G969)/365</f>
        <v>#VALUE!</v>
      </c>
      <c r="P969" s="91" t="s">
        <v>43</v>
      </c>
      <c r="Q969" s="91"/>
      <c r="R969" s="91"/>
      <c r="S969" s="91"/>
      <c r="T969" s="91"/>
      <c r="U969" s="91"/>
      <c r="V969" s="91"/>
      <c r="W969" s="91"/>
      <c r="X969" s="91"/>
      <c r="Y969" s="91"/>
      <c r="Z969" s="91"/>
      <c r="AA969" s="91"/>
      <c r="AB969" s="91"/>
      <c r="AC969" s="91"/>
      <c r="AD969" s="91"/>
      <c r="AE969" s="91"/>
      <c r="AF969" s="91"/>
      <c r="AG969" s="91"/>
      <c r="AH969" s="91"/>
      <c r="AI969" s="91"/>
      <c r="AJ969" s="91"/>
      <c r="AK969" s="91"/>
      <c r="AL969" s="91"/>
      <c r="AM969" s="91"/>
    </row>
    <row r="970" spans="1:39" ht="20.25" hidden="1" customHeight="1">
      <c r="A970" s="91"/>
      <c r="B970" s="93" t="s">
        <v>10722</v>
      </c>
      <c r="C970" s="91" t="s">
        <v>36</v>
      </c>
      <c r="D970" s="106" t="s">
        <v>10758</v>
      </c>
      <c r="E970" s="106" t="s">
        <v>10759</v>
      </c>
      <c r="F970" s="92" t="s">
        <v>10760</v>
      </c>
      <c r="G970" s="103">
        <v>2023</v>
      </c>
      <c r="H970" s="103">
        <v>21277</v>
      </c>
      <c r="I970" s="94" t="s">
        <v>10761</v>
      </c>
      <c r="J970" s="94" t="s">
        <v>10762</v>
      </c>
      <c r="K970" s="92">
        <v>937080046</v>
      </c>
      <c r="L970" s="91"/>
      <c r="M970" s="98">
        <f ca="1">(TODAY()-H970)/365</f>
        <v>67.739726027397253</v>
      </c>
      <c r="N970" s="99">
        <f>(G970-H970)/365</f>
        <v>-52.750684931506846</v>
      </c>
      <c r="O970" s="98">
        <f ca="1">(TODAY()-G970)/365</f>
        <v>120.49041095890411</v>
      </c>
      <c r="P970" s="91" t="s">
        <v>43</v>
      </c>
      <c r="Q970" s="91"/>
      <c r="R970" s="91"/>
      <c r="S970" s="91"/>
      <c r="T970" s="91"/>
      <c r="U970" s="91"/>
      <c r="V970" s="91"/>
      <c r="W970" s="91"/>
      <c r="X970" s="91"/>
      <c r="Y970" s="91"/>
      <c r="Z970" s="91"/>
      <c r="AA970" s="91"/>
      <c r="AB970" s="91"/>
      <c r="AC970" s="91"/>
      <c r="AD970" s="91"/>
      <c r="AE970" s="91"/>
      <c r="AF970" s="91"/>
      <c r="AG970" s="91"/>
      <c r="AH970" s="91"/>
      <c r="AI970" s="91"/>
      <c r="AJ970" s="91"/>
      <c r="AK970" s="91"/>
      <c r="AL970" s="91"/>
      <c r="AM970" s="91"/>
    </row>
    <row r="971" spans="1:39" ht="20.25" hidden="1" customHeight="1">
      <c r="A971" s="91"/>
      <c r="B971" s="93" t="s">
        <v>10722</v>
      </c>
      <c r="C971" s="91" t="s">
        <v>36</v>
      </c>
      <c r="D971" s="106" t="s">
        <v>10763</v>
      </c>
      <c r="E971" s="106" t="s">
        <v>10764</v>
      </c>
      <c r="F971" s="92" t="s">
        <v>10765</v>
      </c>
      <c r="G971" s="103" t="s">
        <v>58</v>
      </c>
      <c r="H971" s="103">
        <v>15367</v>
      </c>
      <c r="I971" s="94" t="s">
        <v>10766</v>
      </c>
      <c r="J971" s="94" t="s">
        <v>10767</v>
      </c>
      <c r="K971" s="92">
        <v>982407968</v>
      </c>
      <c r="L971" s="91"/>
      <c r="M971" s="98">
        <f ca="1">(TODAY()-H971)/365</f>
        <v>83.93150684931507</v>
      </c>
      <c r="N971" s="99" t="e">
        <f>(G971-H971)/365</f>
        <v>#VALUE!</v>
      </c>
      <c r="O971" s="98" t="e">
        <f ca="1">(TODAY()-G971)/365</f>
        <v>#VALUE!</v>
      </c>
      <c r="P971" s="91" t="s">
        <v>43</v>
      </c>
      <c r="Q971" s="91"/>
      <c r="R971" s="91"/>
      <c r="S971" s="91"/>
      <c r="T971" s="91"/>
      <c r="U971" s="91"/>
      <c r="V971" s="91"/>
      <c r="W971" s="91"/>
      <c r="X971" s="91"/>
      <c r="Y971" s="91"/>
      <c r="Z971" s="91"/>
      <c r="AA971" s="91"/>
      <c r="AB971" s="91"/>
      <c r="AC971" s="91"/>
      <c r="AD971" s="91"/>
      <c r="AE971" s="91"/>
      <c r="AF971" s="91"/>
      <c r="AG971" s="91"/>
      <c r="AH971" s="91"/>
      <c r="AI971" s="91"/>
      <c r="AJ971" s="91"/>
      <c r="AK971" s="91"/>
      <c r="AL971" s="91"/>
      <c r="AM971" s="91"/>
    </row>
    <row r="972" spans="1:39" ht="20.25" hidden="1" customHeight="1">
      <c r="A972" s="91"/>
      <c r="B972" s="93" t="s">
        <v>10722</v>
      </c>
      <c r="C972" s="91" t="s">
        <v>36</v>
      </c>
      <c r="D972" s="106" t="s">
        <v>10768</v>
      </c>
      <c r="E972" s="106" t="s">
        <v>10769</v>
      </c>
      <c r="F972" s="92" t="s">
        <v>10770</v>
      </c>
      <c r="G972" s="103">
        <v>1990</v>
      </c>
      <c r="H972" s="103">
        <v>21590</v>
      </c>
      <c r="I972" s="94" t="s">
        <v>10771</v>
      </c>
      <c r="J972" s="94" t="s">
        <v>10772</v>
      </c>
      <c r="K972" s="92">
        <v>932130363</v>
      </c>
      <c r="L972" s="91"/>
      <c r="M972" s="98">
        <f ca="1">(TODAY()-H972)/365</f>
        <v>66.882191780821913</v>
      </c>
      <c r="N972" s="99">
        <f>(G972-H972)/365</f>
        <v>-53.698630136986303</v>
      </c>
      <c r="O972" s="98">
        <f ca="1">(TODAY()-G972)/365</f>
        <v>120.58082191780822</v>
      </c>
      <c r="P972" s="91" t="s">
        <v>43</v>
      </c>
      <c r="Q972" s="91"/>
      <c r="R972" s="91"/>
      <c r="S972" s="91"/>
      <c r="T972" s="91"/>
      <c r="U972" s="91"/>
      <c r="V972" s="91"/>
      <c r="W972" s="91"/>
      <c r="X972" s="91"/>
      <c r="Y972" s="91"/>
      <c r="Z972" s="91"/>
      <c r="AA972" s="91"/>
      <c r="AB972" s="91"/>
      <c r="AC972" s="91"/>
      <c r="AD972" s="91"/>
      <c r="AE972" s="91"/>
      <c r="AF972" s="91"/>
      <c r="AG972" s="91"/>
      <c r="AH972" s="91"/>
      <c r="AI972" s="91"/>
      <c r="AJ972" s="91"/>
      <c r="AK972" s="91"/>
      <c r="AL972" s="91"/>
      <c r="AM972" s="91"/>
    </row>
    <row r="973" spans="1:39" ht="20.25" hidden="1" customHeight="1">
      <c r="A973" s="91"/>
      <c r="B973" s="93" t="s">
        <v>10722</v>
      </c>
      <c r="C973" s="91" t="s">
        <v>36</v>
      </c>
      <c r="D973" s="106" t="s">
        <v>10773</v>
      </c>
      <c r="E973" s="106" t="s">
        <v>10774</v>
      </c>
      <c r="F973" s="92" t="s">
        <v>10775</v>
      </c>
      <c r="G973" s="103">
        <v>2018</v>
      </c>
      <c r="H973" s="103">
        <v>18136</v>
      </c>
      <c r="I973" s="94" t="s">
        <v>10776</v>
      </c>
      <c r="J973" s="94" t="s">
        <v>10777</v>
      </c>
      <c r="K973" s="92">
        <v>999036266</v>
      </c>
      <c r="L973" s="91"/>
      <c r="M973" s="98">
        <f ca="1">(TODAY()-H973)/365</f>
        <v>76.345205479452048</v>
      </c>
      <c r="N973" s="99">
        <f>(G973-H973)/365</f>
        <v>-44.158904109589038</v>
      </c>
      <c r="O973" s="98">
        <f ca="1">(TODAY()-G973)/365</f>
        <v>120.50410958904109</v>
      </c>
      <c r="P973" s="91" t="s">
        <v>43</v>
      </c>
      <c r="Q973" s="91"/>
      <c r="R973" s="91"/>
      <c r="S973" s="91"/>
      <c r="T973" s="91"/>
      <c r="U973" s="91"/>
      <c r="V973" s="91"/>
      <c r="W973" s="91"/>
      <c r="X973" s="91"/>
      <c r="Y973" s="91"/>
      <c r="Z973" s="91"/>
      <c r="AA973" s="91"/>
      <c r="AB973" s="91"/>
      <c r="AC973" s="91"/>
      <c r="AD973" s="91"/>
      <c r="AE973" s="91"/>
      <c r="AF973" s="91"/>
      <c r="AG973" s="91"/>
      <c r="AH973" s="91"/>
      <c r="AI973" s="91"/>
      <c r="AJ973" s="91"/>
      <c r="AK973" s="91"/>
      <c r="AL973" s="91"/>
      <c r="AM973" s="91"/>
    </row>
    <row r="974" spans="1:39" ht="20.25" hidden="1" customHeight="1">
      <c r="A974" s="91"/>
      <c r="B974" s="93" t="s">
        <v>10722</v>
      </c>
      <c r="C974" s="91" t="s">
        <v>36</v>
      </c>
      <c r="D974" s="106" t="s">
        <v>10778</v>
      </c>
      <c r="E974" s="106" t="s">
        <v>10774</v>
      </c>
      <c r="F974" s="92" t="s">
        <v>10779</v>
      </c>
      <c r="G974" s="103" t="s">
        <v>58</v>
      </c>
      <c r="H974" s="103">
        <v>20117</v>
      </c>
      <c r="I974" s="94" t="s">
        <v>10780</v>
      </c>
      <c r="J974" s="94" t="s">
        <v>10781</v>
      </c>
      <c r="K974" s="92">
        <v>999525937</v>
      </c>
      <c r="L974" s="91"/>
      <c r="M974" s="98">
        <f ca="1">(TODAY()-H974)/365</f>
        <v>70.917808219178085</v>
      </c>
      <c r="N974" s="99" t="e">
        <f>(G974-H974)/365</f>
        <v>#VALUE!</v>
      </c>
      <c r="O974" s="98" t="e">
        <f ca="1">(TODAY()-G974)/365</f>
        <v>#VALUE!</v>
      </c>
      <c r="P974" s="91" t="s">
        <v>43</v>
      </c>
      <c r="Q974" s="91"/>
      <c r="R974" s="91"/>
      <c r="S974" s="91"/>
      <c r="T974" s="91"/>
      <c r="U974" s="91"/>
      <c r="V974" s="91"/>
      <c r="W974" s="91"/>
      <c r="X974" s="91"/>
      <c r="Y974" s="91"/>
      <c r="Z974" s="91"/>
      <c r="AA974" s="91"/>
      <c r="AB974" s="91"/>
      <c r="AC974" s="91"/>
      <c r="AD974" s="91"/>
      <c r="AE974" s="91"/>
      <c r="AF974" s="91"/>
      <c r="AG974" s="91"/>
      <c r="AH974" s="91"/>
      <c r="AI974" s="91"/>
      <c r="AJ974" s="91"/>
      <c r="AK974" s="91"/>
      <c r="AL974" s="91"/>
      <c r="AM974" s="91"/>
    </row>
    <row r="975" spans="1:39" ht="20.25" hidden="1" customHeight="1">
      <c r="A975" s="91"/>
      <c r="B975" s="93" t="s">
        <v>10722</v>
      </c>
      <c r="C975" s="91" t="s">
        <v>36</v>
      </c>
      <c r="D975" s="106" t="s">
        <v>7619</v>
      </c>
      <c r="E975" s="106" t="s">
        <v>10782</v>
      </c>
      <c r="F975" s="92" t="s">
        <v>10783</v>
      </c>
      <c r="G975" s="103">
        <v>2017</v>
      </c>
      <c r="H975" s="103">
        <v>24488</v>
      </c>
      <c r="I975" s="94" t="s">
        <v>10784</v>
      </c>
      <c r="J975" s="94" t="s">
        <v>10785</v>
      </c>
      <c r="K975" s="92">
        <v>920672578</v>
      </c>
      <c r="L975" s="91"/>
      <c r="M975" s="98">
        <f ca="1">(TODAY()-H975)/365</f>
        <v>58.942465753424656</v>
      </c>
      <c r="N975" s="99">
        <f>(G975-H975)/365</f>
        <v>-61.564383561643837</v>
      </c>
      <c r="O975" s="98">
        <f ca="1">(TODAY()-G975)/365</f>
        <v>120.50684931506849</v>
      </c>
      <c r="P975" s="91" t="s">
        <v>43</v>
      </c>
      <c r="Q975" s="91"/>
      <c r="R975" s="91"/>
      <c r="S975" s="91"/>
      <c r="T975" s="91"/>
      <c r="U975" s="91"/>
      <c r="V975" s="91"/>
      <c r="W975" s="91"/>
      <c r="X975" s="91"/>
      <c r="Y975" s="91"/>
      <c r="Z975" s="91"/>
      <c r="AA975" s="91"/>
      <c r="AB975" s="91"/>
      <c r="AC975" s="91"/>
      <c r="AD975" s="91"/>
      <c r="AE975" s="91"/>
      <c r="AF975" s="91"/>
      <c r="AG975" s="91"/>
      <c r="AH975" s="91"/>
      <c r="AI975" s="91"/>
      <c r="AJ975" s="91"/>
      <c r="AK975" s="91"/>
      <c r="AL975" s="91"/>
      <c r="AM975" s="91"/>
    </row>
    <row r="976" spans="1:39" ht="20.25" hidden="1" customHeight="1">
      <c r="A976" s="91"/>
      <c r="B976" s="93" t="s">
        <v>10722</v>
      </c>
      <c r="C976" s="91" t="s">
        <v>36</v>
      </c>
      <c r="D976" s="106" t="s">
        <v>10786</v>
      </c>
      <c r="E976" s="106" t="s">
        <v>10787</v>
      </c>
      <c r="F976" s="92" t="s">
        <v>10788</v>
      </c>
      <c r="G976" s="103">
        <v>2024</v>
      </c>
      <c r="H976" s="103">
        <v>19676</v>
      </c>
      <c r="I976" s="94" t="s">
        <v>10789</v>
      </c>
      <c r="J976" s="94" t="s">
        <v>10790</v>
      </c>
      <c r="K976" s="92">
        <v>981832659</v>
      </c>
      <c r="L976" s="91"/>
      <c r="M976" s="98">
        <f ca="1">(TODAY()-H976)/365</f>
        <v>72.126027397260273</v>
      </c>
      <c r="N976" s="99">
        <f>(G976-H976)/365</f>
        <v>-48.361643835616441</v>
      </c>
      <c r="O976" s="98">
        <f ca="1">(TODAY()-G976)/365</f>
        <v>120.48767123287671</v>
      </c>
      <c r="P976" s="91" t="s">
        <v>43</v>
      </c>
      <c r="Q976" s="91"/>
      <c r="R976" s="91"/>
      <c r="S976" s="91"/>
      <c r="T976" s="91"/>
      <c r="U976" s="91"/>
      <c r="V976" s="91"/>
      <c r="W976" s="91"/>
      <c r="X976" s="91"/>
      <c r="Y976" s="91"/>
      <c r="Z976" s="91"/>
      <c r="AA976" s="91"/>
      <c r="AB976" s="91"/>
      <c r="AC976" s="91"/>
      <c r="AD976" s="91"/>
      <c r="AE976" s="91"/>
      <c r="AF976" s="91"/>
      <c r="AG976" s="91"/>
      <c r="AH976" s="91"/>
      <c r="AI976" s="91"/>
      <c r="AJ976" s="91"/>
      <c r="AK976" s="91"/>
      <c r="AL976" s="91"/>
      <c r="AM976" s="91"/>
    </row>
    <row r="977" spans="1:39" ht="20.25" hidden="1" customHeight="1">
      <c r="A977" s="91"/>
      <c r="B977" s="93" t="s">
        <v>10722</v>
      </c>
      <c r="C977" s="91" t="s">
        <v>36</v>
      </c>
      <c r="D977" s="106" t="s">
        <v>10791</v>
      </c>
      <c r="E977" s="106" t="s">
        <v>10792</v>
      </c>
      <c r="F977" s="92" t="s">
        <v>10793</v>
      </c>
      <c r="G977" s="103">
        <v>1988</v>
      </c>
      <c r="H977" s="103">
        <v>16309</v>
      </c>
      <c r="I977" s="94" t="s">
        <v>10794</v>
      </c>
      <c r="J977" s="94" t="s">
        <v>10795</v>
      </c>
      <c r="K977" s="92">
        <v>985950568</v>
      </c>
      <c r="L977" s="91"/>
      <c r="M977" s="98">
        <f ca="1">(TODAY()-H977)/365</f>
        <v>81.350684931506848</v>
      </c>
      <c r="N977" s="99">
        <f>(G977-H977)/365</f>
        <v>-39.235616438356168</v>
      </c>
      <c r="O977" s="98">
        <f ca="1">(TODAY()-G977)/365</f>
        <v>120.58630136986301</v>
      </c>
      <c r="P977" s="91" t="s">
        <v>43</v>
      </c>
      <c r="Q977" s="91"/>
      <c r="R977" s="91"/>
      <c r="S977" s="91"/>
      <c r="T977" s="91"/>
      <c r="U977" s="91"/>
      <c r="V977" s="91"/>
      <c r="W977" s="91"/>
      <c r="X977" s="91"/>
      <c r="Y977" s="91"/>
      <c r="Z977" s="91"/>
      <c r="AA977" s="91"/>
      <c r="AB977" s="91"/>
      <c r="AC977" s="91"/>
      <c r="AD977" s="91"/>
      <c r="AE977" s="91"/>
      <c r="AF977" s="91"/>
      <c r="AG977" s="91"/>
      <c r="AH977" s="91"/>
      <c r="AI977" s="91"/>
      <c r="AJ977" s="91"/>
      <c r="AK977" s="91"/>
      <c r="AL977" s="91"/>
      <c r="AM977" s="91"/>
    </row>
    <row r="978" spans="1:39" ht="20.25" hidden="1" customHeight="1">
      <c r="A978" s="91"/>
      <c r="B978" s="93" t="s">
        <v>10722</v>
      </c>
      <c r="C978" s="91" t="s">
        <v>36</v>
      </c>
      <c r="D978" s="106" t="s">
        <v>10796</v>
      </c>
      <c r="E978" s="106" t="s">
        <v>10797</v>
      </c>
      <c r="F978" s="92" t="s">
        <v>10798</v>
      </c>
      <c r="G978" s="103">
        <v>2024</v>
      </c>
      <c r="H978" s="103">
        <v>39112</v>
      </c>
      <c r="I978" s="94" t="s">
        <v>10799</v>
      </c>
      <c r="J978" s="94" t="s">
        <v>10800</v>
      </c>
      <c r="K978" s="92">
        <v>944182158</v>
      </c>
      <c r="L978" s="91"/>
      <c r="M978" s="98">
        <f ca="1">(TODAY()-H978)/365</f>
        <v>18.876712328767123</v>
      </c>
      <c r="N978" s="99">
        <f>(G978-H978)/365</f>
        <v>-101.61095890410959</v>
      </c>
      <c r="O978" s="98">
        <f ca="1">(TODAY()-G978)/365</f>
        <v>120.48767123287671</v>
      </c>
      <c r="P978" s="91" t="s">
        <v>43</v>
      </c>
      <c r="Q978" s="91"/>
      <c r="R978" s="91"/>
      <c r="S978" s="91"/>
      <c r="T978" s="91"/>
      <c r="U978" s="91"/>
      <c r="V978" s="91"/>
      <c r="W978" s="91"/>
      <c r="X978" s="91"/>
      <c r="Y978" s="91"/>
      <c r="Z978" s="91"/>
      <c r="AA978" s="91"/>
      <c r="AB978" s="91"/>
      <c r="AC978" s="91"/>
      <c r="AD978" s="91"/>
      <c r="AE978" s="91"/>
      <c r="AF978" s="91"/>
      <c r="AG978" s="91"/>
      <c r="AH978" s="91"/>
      <c r="AI978" s="91"/>
      <c r="AJ978" s="91"/>
      <c r="AK978" s="91"/>
      <c r="AL978" s="91"/>
      <c r="AM978" s="91"/>
    </row>
    <row r="979" spans="1:39" ht="20.25" hidden="1" customHeight="1">
      <c r="A979" s="91"/>
      <c r="B979" s="93" t="s">
        <v>10722</v>
      </c>
      <c r="C979" s="91" t="s">
        <v>36</v>
      </c>
      <c r="D979" s="106" t="s">
        <v>10442</v>
      </c>
      <c r="E979" s="106" t="s">
        <v>10801</v>
      </c>
      <c r="F979" s="92" t="s">
        <v>10802</v>
      </c>
      <c r="G979" s="103">
        <v>2005</v>
      </c>
      <c r="H979" s="103">
        <v>18294</v>
      </c>
      <c r="I979" s="94" t="s">
        <v>10803</v>
      </c>
      <c r="J979" s="94" t="s">
        <v>10804</v>
      </c>
      <c r="K979" s="92">
        <v>995612419</v>
      </c>
      <c r="L979" s="91"/>
      <c r="M979" s="98">
        <f ca="1">(TODAY()-H979)/365</f>
        <v>75.912328767123284</v>
      </c>
      <c r="N979" s="99">
        <f>(G979-H979)/365</f>
        <v>-44.627397260273973</v>
      </c>
      <c r="O979" s="98">
        <f ca="1">(TODAY()-G979)/365</f>
        <v>120.53972602739726</v>
      </c>
      <c r="P979" s="91" t="s">
        <v>43</v>
      </c>
      <c r="Q979" s="91"/>
      <c r="R979" s="91"/>
      <c r="S979" s="91"/>
      <c r="T979" s="91"/>
      <c r="U979" s="91"/>
      <c r="V979" s="91"/>
      <c r="W979" s="91"/>
      <c r="X979" s="91"/>
      <c r="Y979" s="91"/>
      <c r="Z979" s="91"/>
      <c r="AA979" s="91"/>
      <c r="AB979" s="91"/>
      <c r="AC979" s="91"/>
      <c r="AD979" s="91"/>
      <c r="AE979" s="91"/>
      <c r="AF979" s="91"/>
      <c r="AG979" s="91"/>
      <c r="AH979" s="91"/>
      <c r="AI979" s="91"/>
      <c r="AJ979" s="91"/>
      <c r="AK979" s="91"/>
      <c r="AL979" s="91"/>
      <c r="AM979" s="91"/>
    </row>
    <row r="980" spans="1:39" ht="20.25" hidden="1" customHeight="1">
      <c r="A980" s="91"/>
      <c r="B980" s="93" t="s">
        <v>10722</v>
      </c>
      <c r="C980" s="91" t="s">
        <v>36</v>
      </c>
      <c r="D980" s="106" t="s">
        <v>10753</v>
      </c>
      <c r="E980" s="106" t="s">
        <v>10805</v>
      </c>
      <c r="F980" s="92" t="s">
        <v>10806</v>
      </c>
      <c r="G980" s="103">
        <v>2015</v>
      </c>
      <c r="H980" s="103">
        <v>17865</v>
      </c>
      <c r="I980" s="94" t="s">
        <v>10807</v>
      </c>
      <c r="J980" s="94" t="s">
        <v>10808</v>
      </c>
      <c r="K980" s="92">
        <v>996520555</v>
      </c>
      <c r="L980" s="91"/>
      <c r="M980" s="98">
        <f ca="1">(TODAY()-H980)/365</f>
        <v>77.087671232876716</v>
      </c>
      <c r="N980" s="99">
        <f>(G980-H980)/365</f>
        <v>-43.424657534246577</v>
      </c>
      <c r="O980" s="98">
        <f ca="1">(TODAY()-G980)/365</f>
        <v>120.51232876712329</v>
      </c>
      <c r="P980" s="91" t="s">
        <v>43</v>
      </c>
      <c r="Q980" s="91"/>
      <c r="R980" s="91"/>
      <c r="S980" s="91"/>
      <c r="T980" s="91"/>
      <c r="U980" s="91"/>
      <c r="V980" s="91"/>
      <c r="W980" s="91"/>
      <c r="X980" s="91"/>
      <c r="Y980" s="91"/>
      <c r="Z980" s="91"/>
      <c r="AA980" s="91"/>
      <c r="AB980" s="91"/>
      <c r="AC980" s="91"/>
      <c r="AD980" s="91"/>
      <c r="AE980" s="91"/>
      <c r="AF980" s="91"/>
      <c r="AG980" s="91"/>
      <c r="AH980" s="91"/>
      <c r="AI980" s="91"/>
      <c r="AJ980" s="91"/>
      <c r="AK980" s="91"/>
      <c r="AL980" s="91"/>
      <c r="AM980" s="91"/>
    </row>
    <row r="981" spans="1:39" ht="20.25" hidden="1" customHeight="1">
      <c r="A981" s="91"/>
      <c r="B981" s="93" t="s">
        <v>10722</v>
      </c>
      <c r="C981" s="91" t="s">
        <v>36</v>
      </c>
      <c r="D981" s="106" t="s">
        <v>10809</v>
      </c>
      <c r="E981" s="106" t="s">
        <v>10810</v>
      </c>
      <c r="F981" s="92" t="s">
        <v>10811</v>
      </c>
      <c r="G981" s="103">
        <v>2000</v>
      </c>
      <c r="H981" s="103">
        <v>20220</v>
      </c>
      <c r="I981" s="108" t="s">
        <v>12621</v>
      </c>
      <c r="J981" s="94" t="s">
        <v>10812</v>
      </c>
      <c r="K981" s="92">
        <v>989782666</v>
      </c>
      <c r="L981" s="91"/>
      <c r="M981" s="98">
        <f ca="1">(TODAY()-H981)/365</f>
        <v>70.635616438356166</v>
      </c>
      <c r="N981" s="99">
        <f>(G981-H981)/365</f>
        <v>-49.917808219178085</v>
      </c>
      <c r="O981" s="98">
        <f ca="1">(TODAY()-G981)/365</f>
        <v>120.55342465753425</v>
      </c>
      <c r="P981" s="91" t="s">
        <v>43</v>
      </c>
      <c r="Q981" s="91"/>
      <c r="R981" s="91"/>
      <c r="S981" s="91"/>
      <c r="T981" s="91"/>
      <c r="U981" s="91"/>
      <c r="V981" s="91"/>
      <c r="W981" s="91"/>
      <c r="X981" s="91"/>
      <c r="Y981" s="91"/>
      <c r="Z981" s="91"/>
      <c r="AA981" s="91"/>
      <c r="AB981" s="91"/>
      <c r="AC981" s="91"/>
      <c r="AD981" s="91"/>
      <c r="AE981" s="91"/>
      <c r="AF981" s="91"/>
      <c r="AG981" s="91"/>
      <c r="AH981" s="91"/>
      <c r="AI981" s="91"/>
      <c r="AJ981" s="91"/>
      <c r="AK981" s="91"/>
      <c r="AL981" s="91"/>
      <c r="AM981" s="91"/>
    </row>
    <row r="982" spans="1:39" ht="20.25" hidden="1" customHeight="1">
      <c r="A982" s="91"/>
      <c r="B982" s="93" t="s">
        <v>10722</v>
      </c>
      <c r="C982" s="91" t="s">
        <v>36</v>
      </c>
      <c r="D982" s="106" t="s">
        <v>10813</v>
      </c>
      <c r="E982" s="106" t="s">
        <v>10814</v>
      </c>
      <c r="F982" s="92" t="s">
        <v>10815</v>
      </c>
      <c r="G982" s="103">
        <v>1988</v>
      </c>
      <c r="H982" s="103">
        <v>21190</v>
      </c>
      <c r="I982" s="108" t="s">
        <v>12622</v>
      </c>
      <c r="J982" s="94" t="s">
        <v>10816</v>
      </c>
      <c r="K982" s="92">
        <v>974450257</v>
      </c>
      <c r="L982" s="91"/>
      <c r="M982" s="98">
        <f ca="1">(TODAY()-H982)/365</f>
        <v>67.978082191780828</v>
      </c>
      <c r="N982" s="99">
        <f>(G982-H982)/365</f>
        <v>-52.608219178082194</v>
      </c>
      <c r="O982" s="98">
        <f ca="1">(TODAY()-G982)/365</f>
        <v>120.58630136986301</v>
      </c>
      <c r="P982" s="91" t="s">
        <v>43</v>
      </c>
      <c r="Q982" s="91"/>
      <c r="R982" s="91"/>
      <c r="S982" s="91"/>
      <c r="T982" s="91"/>
      <c r="U982" s="91"/>
      <c r="V982" s="91"/>
      <c r="W982" s="91"/>
      <c r="X982" s="91"/>
      <c r="Y982" s="91"/>
      <c r="Z982" s="91"/>
      <c r="AA982" s="91"/>
      <c r="AB982" s="91"/>
      <c r="AC982" s="91"/>
      <c r="AD982" s="91"/>
      <c r="AE982" s="91"/>
      <c r="AF982" s="91"/>
      <c r="AG982" s="91"/>
      <c r="AH982" s="91"/>
      <c r="AI982" s="91"/>
      <c r="AJ982" s="91"/>
      <c r="AK982" s="91"/>
      <c r="AL982" s="91"/>
      <c r="AM982" s="91"/>
    </row>
    <row r="983" spans="1:39" ht="20.25" customHeight="1">
      <c r="A983" s="91"/>
      <c r="B983" s="93" t="s">
        <v>10264</v>
      </c>
      <c r="C983" s="91" t="s">
        <v>73</v>
      </c>
      <c r="D983" s="106" t="s">
        <v>10308</v>
      </c>
      <c r="E983" s="106" t="s">
        <v>10309</v>
      </c>
      <c r="F983" s="92" t="s">
        <v>10310</v>
      </c>
      <c r="G983" s="103">
        <v>37846</v>
      </c>
      <c r="H983" s="103">
        <v>23316</v>
      </c>
      <c r="I983" s="94" t="s">
        <v>58</v>
      </c>
      <c r="J983" s="100" t="s">
        <v>58</v>
      </c>
      <c r="K983" s="95" t="s">
        <v>58</v>
      </c>
      <c r="L983" s="91"/>
      <c r="M983" s="98">
        <f ca="1">(TODAY()-H983)/365</f>
        <v>62.153424657534245</v>
      </c>
      <c r="N983" s="99">
        <f>(G983-H983)/365</f>
        <v>39.80821917808219</v>
      </c>
      <c r="O983" s="98">
        <f ca="1">(TODAY()-G983)/365</f>
        <v>22.345205479452055</v>
      </c>
      <c r="P983" s="91" t="s">
        <v>43</v>
      </c>
      <c r="Q983" s="91"/>
      <c r="R983" s="91"/>
      <c r="S983" s="91"/>
      <c r="T983" s="91"/>
      <c r="U983" s="91"/>
      <c r="V983" s="91"/>
      <c r="W983" s="91"/>
      <c r="X983" s="91"/>
      <c r="Y983" s="91"/>
      <c r="Z983" s="91"/>
      <c r="AA983" s="91"/>
      <c r="AB983" s="91"/>
      <c r="AC983" s="91"/>
      <c r="AD983" s="91"/>
      <c r="AE983" s="91"/>
      <c r="AF983" s="91"/>
      <c r="AG983" s="91"/>
      <c r="AH983" s="91"/>
      <c r="AI983" s="91"/>
      <c r="AJ983" s="91"/>
      <c r="AK983" s="91"/>
      <c r="AL983" s="91"/>
      <c r="AM983" s="91"/>
    </row>
    <row r="984" spans="1:39" ht="20.25" customHeight="1">
      <c r="A984" s="91"/>
      <c r="B984" s="93" t="s">
        <v>4457</v>
      </c>
      <c r="C984" s="91" t="s">
        <v>73</v>
      </c>
      <c r="D984" s="94" t="s">
        <v>4571</v>
      </c>
      <c r="E984" s="94" t="s">
        <v>4572</v>
      </c>
      <c r="F984" s="95" t="s">
        <v>4573</v>
      </c>
      <c r="G984" s="96">
        <v>40532</v>
      </c>
      <c r="H984" s="97" t="s">
        <v>58</v>
      </c>
      <c r="I984" s="100" t="s">
        <v>58</v>
      </c>
      <c r="J984" s="100" t="s">
        <v>58</v>
      </c>
      <c r="K984" s="95">
        <v>972107295</v>
      </c>
      <c r="L984" s="91" t="s">
        <v>60</v>
      </c>
      <c r="M984" s="98">
        <v>0</v>
      </c>
      <c r="N984" s="91"/>
      <c r="O984" s="98">
        <f ca="1">(TODAY()-G984)/365</f>
        <v>14.986301369863014</v>
      </c>
      <c r="P984" s="91" t="s">
        <v>272</v>
      </c>
      <c r="Q984" s="91">
        <v>0</v>
      </c>
      <c r="R984" s="91">
        <v>0</v>
      </c>
      <c r="S984" s="91">
        <v>0</v>
      </c>
      <c r="T984" s="91"/>
      <c r="U984" s="91"/>
      <c r="V984" s="91"/>
      <c r="W984" s="91"/>
      <c r="X984" s="91"/>
      <c r="Y984" s="91"/>
      <c r="Z984" s="91"/>
      <c r="AA984" s="91"/>
      <c r="AB984" s="91"/>
      <c r="AC984" s="91"/>
      <c r="AD984" s="91"/>
      <c r="AE984" s="91"/>
      <c r="AF984" s="91"/>
      <c r="AG984" s="91"/>
      <c r="AH984" s="91"/>
      <c r="AI984" s="91"/>
      <c r="AJ984" s="91"/>
      <c r="AK984" s="91"/>
      <c r="AL984" s="91"/>
      <c r="AM984" s="91"/>
    </row>
    <row r="985" spans="1:39" ht="20.25" customHeight="1">
      <c r="A985" s="91"/>
      <c r="B985" s="93" t="s">
        <v>3374</v>
      </c>
      <c r="C985" s="91" t="s">
        <v>73</v>
      </c>
      <c r="D985" s="107" t="s">
        <v>3421</v>
      </c>
      <c r="E985" s="107" t="s">
        <v>3422</v>
      </c>
      <c r="F985" s="91" t="s">
        <v>3423</v>
      </c>
      <c r="G985" s="96">
        <v>44986</v>
      </c>
      <c r="H985" s="97">
        <v>34689</v>
      </c>
      <c r="I985" s="100" t="s">
        <v>3424</v>
      </c>
      <c r="J985" s="94" t="s">
        <v>58</v>
      </c>
      <c r="K985" s="95" t="s">
        <v>58</v>
      </c>
      <c r="L985" s="91" t="s">
        <v>60</v>
      </c>
      <c r="M985" s="98">
        <f ca="1">(TODAY()-H985)/365</f>
        <v>30.994520547945207</v>
      </c>
      <c r="N985" s="99">
        <f>(G985-H985)/365</f>
        <v>28.210958904109589</v>
      </c>
      <c r="O985" s="98">
        <f ca="1">(TODAY()-G985)/365</f>
        <v>2.7835616438356166</v>
      </c>
      <c r="P985" s="91" t="s">
        <v>43</v>
      </c>
      <c r="Q985" s="91"/>
      <c r="R985" s="91"/>
      <c r="S985" s="91"/>
      <c r="T985" s="91"/>
      <c r="U985" s="91"/>
      <c r="V985" s="91"/>
      <c r="W985" s="91"/>
      <c r="X985" s="91"/>
      <c r="Y985" s="91"/>
      <c r="Z985" s="91"/>
      <c r="AA985" s="91"/>
      <c r="AB985" s="91"/>
      <c r="AC985" s="91"/>
      <c r="AD985" s="91"/>
      <c r="AE985" s="91"/>
      <c r="AF985" s="91"/>
      <c r="AG985" s="91"/>
      <c r="AH985" s="91"/>
      <c r="AI985" s="91"/>
      <c r="AJ985" s="91"/>
      <c r="AK985" s="91"/>
      <c r="AL985" s="91"/>
      <c r="AM985" s="91"/>
    </row>
    <row r="986" spans="1:39" ht="20.25" hidden="1" customHeight="1">
      <c r="A986" s="91"/>
      <c r="B986" s="93" t="s">
        <v>3319</v>
      </c>
      <c r="C986" s="91" t="s">
        <v>36</v>
      </c>
      <c r="D986" s="94" t="s">
        <v>217</v>
      </c>
      <c r="E986" s="94" t="s">
        <v>3324</v>
      </c>
      <c r="F986" s="95" t="s">
        <v>3325</v>
      </c>
      <c r="G986" s="96">
        <v>29466</v>
      </c>
      <c r="H986" s="97">
        <v>20279</v>
      </c>
      <c r="I986" s="94" t="s">
        <v>3326</v>
      </c>
      <c r="J986" s="100" t="s">
        <v>58</v>
      </c>
      <c r="K986" s="95">
        <v>977437773</v>
      </c>
      <c r="L986" s="91" t="s">
        <v>60</v>
      </c>
      <c r="M986" s="98">
        <f ca="1">(TODAY()-H986)/365</f>
        <v>70.473972602739721</v>
      </c>
      <c r="N986" s="99">
        <f>(G986-H986)/365</f>
        <v>25.169863013698631</v>
      </c>
      <c r="O986" s="98">
        <f ca="1">(TODAY()-G986)/365</f>
        <v>45.304109589041097</v>
      </c>
      <c r="P986" s="91" t="s">
        <v>43</v>
      </c>
      <c r="Q986" s="91">
        <v>0</v>
      </c>
      <c r="R986" s="91">
        <v>0</v>
      </c>
      <c r="S986" s="91">
        <v>0</v>
      </c>
      <c r="T986" s="91"/>
      <c r="U986" s="91"/>
      <c r="V986" s="91"/>
      <c r="W986" s="91"/>
      <c r="X986" s="91"/>
      <c r="Y986" s="91"/>
      <c r="Z986" s="91"/>
      <c r="AA986" s="91"/>
      <c r="AB986" s="91"/>
      <c r="AC986" s="91"/>
      <c r="AD986" s="91"/>
      <c r="AE986" s="91"/>
      <c r="AF986" s="91"/>
      <c r="AG986" s="91"/>
      <c r="AH986" s="91"/>
      <c r="AI986" s="91"/>
      <c r="AJ986" s="91"/>
      <c r="AK986" s="91"/>
      <c r="AL986" s="91"/>
      <c r="AM986" s="91"/>
    </row>
    <row r="987" spans="1:39" ht="20.25" hidden="1" customHeight="1">
      <c r="A987" s="91"/>
      <c r="B987" s="93" t="s">
        <v>3319</v>
      </c>
      <c r="C987" s="91" t="s">
        <v>36</v>
      </c>
      <c r="D987" s="94" t="s">
        <v>3327</v>
      </c>
      <c r="E987" s="94" t="s">
        <v>3328</v>
      </c>
      <c r="F987" s="95" t="s">
        <v>3329</v>
      </c>
      <c r="G987" s="96">
        <v>23325</v>
      </c>
      <c r="H987" s="97">
        <v>12947</v>
      </c>
      <c r="I987" s="94" t="s">
        <v>3330</v>
      </c>
      <c r="J987" s="100" t="s">
        <v>58</v>
      </c>
      <c r="K987" s="95">
        <v>965906546</v>
      </c>
      <c r="L987" s="91" t="s">
        <v>151</v>
      </c>
      <c r="M987" s="98">
        <f ca="1">(TODAY()-H987)/365</f>
        <v>90.561643835616437</v>
      </c>
      <c r="N987" s="99">
        <f>(G987-H987)/365</f>
        <v>28.432876712328767</v>
      </c>
      <c r="O987" s="98">
        <f ca="1">(TODAY()-G987)/365</f>
        <v>62.128767123287673</v>
      </c>
      <c r="P987" s="91" t="s">
        <v>43</v>
      </c>
      <c r="Q987" s="91">
        <v>0</v>
      </c>
      <c r="R987" s="91">
        <v>0</v>
      </c>
      <c r="S987" s="91">
        <v>0</v>
      </c>
      <c r="T987" s="91"/>
      <c r="U987" s="91"/>
      <c r="V987" s="91"/>
      <c r="W987" s="91"/>
      <c r="X987" s="91"/>
      <c r="Y987" s="91"/>
      <c r="Z987" s="91"/>
      <c r="AA987" s="91"/>
      <c r="AB987" s="91"/>
      <c r="AC987" s="91"/>
      <c r="AD987" s="91"/>
      <c r="AE987" s="91"/>
      <c r="AF987" s="91"/>
      <c r="AG987" s="91"/>
      <c r="AH987" s="91"/>
      <c r="AI987" s="91"/>
      <c r="AJ987" s="91"/>
      <c r="AK987" s="91"/>
      <c r="AL987" s="91"/>
      <c r="AM987" s="91"/>
    </row>
    <row r="988" spans="1:39" ht="20.25" hidden="1" customHeight="1">
      <c r="A988" s="91"/>
      <c r="B988" s="93" t="s">
        <v>3319</v>
      </c>
      <c r="C988" s="91" t="s">
        <v>36</v>
      </c>
      <c r="D988" s="94" t="s">
        <v>3331</v>
      </c>
      <c r="E988" s="94" t="s">
        <v>3332</v>
      </c>
      <c r="F988" s="95" t="s">
        <v>3333</v>
      </c>
      <c r="G988" s="96">
        <v>30594</v>
      </c>
      <c r="H988" s="97">
        <v>18925</v>
      </c>
      <c r="I988" s="94" t="s">
        <v>3334</v>
      </c>
      <c r="J988" s="100" t="s">
        <v>58</v>
      </c>
      <c r="K988" s="95">
        <v>987196252</v>
      </c>
      <c r="L988" s="91" t="s">
        <v>54</v>
      </c>
      <c r="M988" s="98">
        <f ca="1">(TODAY()-H988)/365</f>
        <v>74.183561643835617</v>
      </c>
      <c r="N988" s="99">
        <f>(G988-H988)/365</f>
        <v>31.969863013698632</v>
      </c>
      <c r="O988" s="98">
        <f ca="1">(TODAY()-G988)/365</f>
        <v>42.213698630136989</v>
      </c>
      <c r="P988" s="91" t="s">
        <v>43</v>
      </c>
      <c r="Q988" s="91">
        <v>0</v>
      </c>
      <c r="R988" s="91">
        <v>0</v>
      </c>
      <c r="S988" s="91">
        <v>0</v>
      </c>
      <c r="T988" s="91"/>
      <c r="U988" s="91"/>
      <c r="V988" s="91"/>
      <c r="W988" s="91"/>
      <c r="X988" s="91"/>
      <c r="Y988" s="91"/>
      <c r="Z988" s="91"/>
      <c r="AA988" s="91"/>
      <c r="AB988" s="91"/>
      <c r="AC988" s="91"/>
      <c r="AD988" s="91"/>
      <c r="AE988" s="91"/>
      <c r="AF988" s="91"/>
      <c r="AG988" s="91"/>
      <c r="AH988" s="91"/>
      <c r="AI988" s="91"/>
      <c r="AJ988" s="91"/>
      <c r="AK988" s="91"/>
      <c r="AL988" s="91"/>
      <c r="AM988" s="91"/>
    </row>
    <row r="989" spans="1:39" ht="20.25" hidden="1" customHeight="1">
      <c r="A989" s="91"/>
      <c r="B989" s="93" t="s">
        <v>3319</v>
      </c>
      <c r="C989" s="91" t="s">
        <v>36</v>
      </c>
      <c r="D989" s="94" t="s">
        <v>3335</v>
      </c>
      <c r="E989" s="94" t="s">
        <v>3336</v>
      </c>
      <c r="F989" s="95" t="s">
        <v>3337</v>
      </c>
      <c r="G989" s="96">
        <v>25486</v>
      </c>
      <c r="H989" s="97">
        <v>11004</v>
      </c>
      <c r="I989" s="100" t="s">
        <v>58</v>
      </c>
      <c r="J989" s="100" t="s">
        <v>58</v>
      </c>
      <c r="K989" s="95">
        <v>984608156</v>
      </c>
      <c r="L989" s="91" t="s">
        <v>60</v>
      </c>
      <c r="M989" s="98">
        <f ca="1">(TODAY()-H989)/365</f>
        <v>95.884931506849313</v>
      </c>
      <c r="N989" s="99">
        <f>(G989-H989)/365</f>
        <v>39.676712328767124</v>
      </c>
      <c r="O989" s="98">
        <f ca="1">(TODAY()-G989)/365</f>
        <v>56.208219178082189</v>
      </c>
      <c r="P989" s="91" t="s">
        <v>43</v>
      </c>
      <c r="Q989" s="91">
        <v>0</v>
      </c>
      <c r="R989" s="91">
        <v>0</v>
      </c>
      <c r="S989" s="91">
        <v>0</v>
      </c>
      <c r="T989" s="91"/>
      <c r="U989" s="91"/>
      <c r="V989" s="91"/>
      <c r="W989" s="91"/>
      <c r="X989" s="91"/>
      <c r="Y989" s="91"/>
      <c r="Z989" s="91"/>
      <c r="AA989" s="91"/>
      <c r="AB989" s="91"/>
      <c r="AC989" s="91"/>
      <c r="AD989" s="91"/>
      <c r="AE989" s="91"/>
      <c r="AF989" s="91"/>
      <c r="AG989" s="91"/>
      <c r="AH989" s="91"/>
      <c r="AI989" s="91"/>
      <c r="AJ989" s="91"/>
      <c r="AK989" s="91"/>
      <c r="AL989" s="91"/>
      <c r="AM989" s="91"/>
    </row>
    <row r="990" spans="1:39" ht="20.25" hidden="1" customHeight="1">
      <c r="A990" s="91"/>
      <c r="B990" s="93" t="s">
        <v>3319</v>
      </c>
      <c r="C990" s="91" t="s">
        <v>36</v>
      </c>
      <c r="D990" s="94" t="s">
        <v>3338</v>
      </c>
      <c r="E990" s="94" t="s">
        <v>3339</v>
      </c>
      <c r="F990" s="95" t="s">
        <v>3340</v>
      </c>
      <c r="G990" s="96">
        <v>42276</v>
      </c>
      <c r="H990" s="97">
        <v>27614</v>
      </c>
      <c r="I990" s="94" t="s">
        <v>3341</v>
      </c>
      <c r="J990" s="100" t="s">
        <v>58</v>
      </c>
      <c r="K990" s="95">
        <v>993085080</v>
      </c>
      <c r="L990" s="91" t="s">
        <v>60</v>
      </c>
      <c r="M990" s="98">
        <f ca="1">(TODAY()-H990)/365</f>
        <v>50.37808219178082</v>
      </c>
      <c r="N990" s="99">
        <f>(G990-H990)/365</f>
        <v>40.169863013698631</v>
      </c>
      <c r="O990" s="98">
        <f ca="1">(TODAY()-G990)/365</f>
        <v>10.208219178082192</v>
      </c>
      <c r="P990" s="91" t="s">
        <v>43</v>
      </c>
      <c r="Q990" s="91">
        <v>0</v>
      </c>
      <c r="R990" s="91">
        <v>0</v>
      </c>
      <c r="S990" s="91">
        <v>0</v>
      </c>
      <c r="T990" s="91"/>
      <c r="U990" s="91"/>
      <c r="V990" s="91"/>
      <c r="W990" s="91"/>
      <c r="X990" s="91"/>
      <c r="Y990" s="91"/>
      <c r="Z990" s="91"/>
      <c r="AA990" s="91"/>
      <c r="AB990" s="91"/>
      <c r="AC990" s="91"/>
      <c r="AD990" s="91"/>
      <c r="AE990" s="91"/>
      <c r="AF990" s="91"/>
      <c r="AG990" s="91"/>
      <c r="AH990" s="91"/>
      <c r="AI990" s="91"/>
      <c r="AJ990" s="91"/>
      <c r="AK990" s="91"/>
      <c r="AL990" s="91"/>
      <c r="AM990" s="91"/>
    </row>
    <row r="991" spans="1:39" ht="20.25" hidden="1" customHeight="1">
      <c r="A991" s="91"/>
      <c r="B991" s="93" t="s">
        <v>3319</v>
      </c>
      <c r="C991" s="91" t="s">
        <v>36</v>
      </c>
      <c r="D991" s="94" t="s">
        <v>3342</v>
      </c>
      <c r="E991" s="94" t="s">
        <v>3343</v>
      </c>
      <c r="F991" s="95" t="s">
        <v>3344</v>
      </c>
      <c r="G991" s="96">
        <v>29819</v>
      </c>
      <c r="H991" s="97">
        <v>13310</v>
      </c>
      <c r="I991" s="94" t="s">
        <v>3345</v>
      </c>
      <c r="J991" s="100" t="s">
        <v>58</v>
      </c>
      <c r="K991" s="95">
        <v>981683735</v>
      </c>
      <c r="L991" s="91" t="s">
        <v>42</v>
      </c>
      <c r="M991" s="98">
        <f ca="1">(TODAY()-H991)/365</f>
        <v>89.567123287671237</v>
      </c>
      <c r="N991" s="99">
        <f>(G991-H991)/365</f>
        <v>45.230136986301368</v>
      </c>
      <c r="O991" s="98">
        <f ca="1">(TODAY()-G991)/365</f>
        <v>44.336986301369862</v>
      </c>
      <c r="P991" s="91" t="s">
        <v>43</v>
      </c>
      <c r="Q991" s="91">
        <v>0</v>
      </c>
      <c r="R991" s="91">
        <v>0</v>
      </c>
      <c r="S991" s="91">
        <v>0</v>
      </c>
      <c r="T991" s="91"/>
      <c r="U991" s="91"/>
      <c r="V991" s="91"/>
      <c r="W991" s="91"/>
      <c r="X991" s="91"/>
      <c r="Y991" s="91"/>
      <c r="Z991" s="91"/>
      <c r="AA991" s="91"/>
      <c r="AB991" s="91"/>
      <c r="AC991" s="91"/>
      <c r="AD991" s="91"/>
      <c r="AE991" s="91"/>
      <c r="AF991" s="91"/>
      <c r="AG991" s="91"/>
      <c r="AH991" s="91"/>
      <c r="AI991" s="91"/>
      <c r="AJ991" s="91"/>
      <c r="AK991" s="91"/>
      <c r="AL991" s="91"/>
      <c r="AM991" s="91"/>
    </row>
    <row r="992" spans="1:39" ht="20.25" hidden="1" customHeight="1">
      <c r="A992" s="91"/>
      <c r="B992" s="93" t="s">
        <v>3319</v>
      </c>
      <c r="C992" s="91" t="s">
        <v>36</v>
      </c>
      <c r="D992" s="94" t="s">
        <v>3346</v>
      </c>
      <c r="E992" s="94" t="s">
        <v>3347</v>
      </c>
      <c r="F992" s="95" t="s">
        <v>3348</v>
      </c>
      <c r="G992" s="96">
        <v>34929</v>
      </c>
      <c r="H992" s="97">
        <v>18398</v>
      </c>
      <c r="I992" s="94" t="s">
        <v>3349</v>
      </c>
      <c r="J992" s="100" t="s">
        <v>58</v>
      </c>
      <c r="K992" s="95">
        <v>978545995</v>
      </c>
      <c r="L992" s="91" t="s">
        <v>66</v>
      </c>
      <c r="M992" s="98">
        <f ca="1">(TODAY()-H992)/365</f>
        <v>75.627397260273966</v>
      </c>
      <c r="N992" s="99">
        <f>(G992-H992)/365</f>
        <v>45.290410958904111</v>
      </c>
      <c r="O992" s="98">
        <f ca="1">(TODAY()-G992)/365</f>
        <v>30.336986301369862</v>
      </c>
      <c r="P992" s="91" t="s">
        <v>43</v>
      </c>
      <c r="Q992" s="91">
        <v>0</v>
      </c>
      <c r="R992" s="91">
        <v>0</v>
      </c>
      <c r="S992" s="91">
        <v>0</v>
      </c>
      <c r="T992" s="91"/>
      <c r="U992" s="91"/>
      <c r="V992" s="91"/>
      <c r="W992" s="91"/>
      <c r="X992" s="91"/>
      <c r="Y992" s="91"/>
      <c r="Z992" s="91"/>
      <c r="AA992" s="91"/>
      <c r="AB992" s="91"/>
      <c r="AC992" s="91"/>
      <c r="AD992" s="91"/>
      <c r="AE992" s="91"/>
      <c r="AF992" s="91"/>
      <c r="AG992" s="91"/>
      <c r="AH992" s="91"/>
      <c r="AI992" s="91"/>
      <c r="AJ992" s="91"/>
      <c r="AK992" s="91"/>
      <c r="AL992" s="91"/>
      <c r="AM992" s="91"/>
    </row>
    <row r="993" spans="1:39" ht="20.25" hidden="1" customHeight="1">
      <c r="A993" s="91"/>
      <c r="B993" s="93" t="s">
        <v>3319</v>
      </c>
      <c r="C993" s="91" t="s">
        <v>36</v>
      </c>
      <c r="D993" s="94" t="s">
        <v>3350</v>
      </c>
      <c r="E993" s="94" t="s">
        <v>3351</v>
      </c>
      <c r="F993" s="95" t="s">
        <v>3352</v>
      </c>
      <c r="G993" s="96">
        <v>44536</v>
      </c>
      <c r="H993" s="97">
        <v>25562</v>
      </c>
      <c r="I993" s="94" t="s">
        <v>3353</v>
      </c>
      <c r="J993" s="100" t="s">
        <v>58</v>
      </c>
      <c r="K993" s="95">
        <v>995422465</v>
      </c>
      <c r="L993" s="91" t="s">
        <v>60</v>
      </c>
      <c r="M993" s="98">
        <f ca="1">(TODAY()-H993)/365</f>
        <v>56</v>
      </c>
      <c r="N993" s="99">
        <f>(G993-H993)/365</f>
        <v>51.983561643835614</v>
      </c>
      <c r="O993" s="98">
        <f ca="1">(TODAY()-G993)/365</f>
        <v>4.0164383561643833</v>
      </c>
      <c r="P993" s="91" t="s">
        <v>43</v>
      </c>
      <c r="Q993" s="91">
        <v>0</v>
      </c>
      <c r="R993" s="91">
        <v>0</v>
      </c>
      <c r="S993" s="91">
        <v>0</v>
      </c>
      <c r="T993" s="91"/>
      <c r="U993" s="91"/>
      <c r="V993" s="91"/>
      <c r="W993" s="91"/>
      <c r="X993" s="91"/>
      <c r="Y993" s="91"/>
      <c r="Z993" s="91"/>
      <c r="AA993" s="91"/>
      <c r="AB993" s="91"/>
      <c r="AC993" s="91"/>
      <c r="AD993" s="91"/>
      <c r="AE993" s="91"/>
      <c r="AF993" s="91"/>
      <c r="AG993" s="91"/>
      <c r="AH993" s="91"/>
      <c r="AI993" s="91"/>
      <c r="AJ993" s="91"/>
      <c r="AK993" s="91"/>
      <c r="AL993" s="91"/>
      <c r="AM993" s="91"/>
    </row>
    <row r="994" spans="1:39" ht="20.25" hidden="1" customHeight="1">
      <c r="A994" s="91"/>
      <c r="B994" s="93" t="s">
        <v>3319</v>
      </c>
      <c r="C994" s="91" t="s">
        <v>36</v>
      </c>
      <c r="D994" s="94" t="s">
        <v>3354</v>
      </c>
      <c r="E994" s="94" t="s">
        <v>3355</v>
      </c>
      <c r="F994" s="95" t="s">
        <v>3356</v>
      </c>
      <c r="G994" s="96">
        <v>45140</v>
      </c>
      <c r="H994" s="97">
        <v>22549</v>
      </c>
      <c r="I994" s="94" t="s">
        <v>3357</v>
      </c>
      <c r="J994" s="100" t="s">
        <v>58</v>
      </c>
      <c r="K994" s="95">
        <v>978782624</v>
      </c>
      <c r="L994" s="91" t="s">
        <v>60</v>
      </c>
      <c r="M994" s="98">
        <f ca="1">(TODAY()-H994)/365</f>
        <v>64.254794520547946</v>
      </c>
      <c r="N994" s="99">
        <f>(G994-H994)/365</f>
        <v>61.893150684931506</v>
      </c>
      <c r="O994" s="98">
        <f ca="1">(TODAY()-G994)/365</f>
        <v>2.3616438356164382</v>
      </c>
      <c r="P994" s="91" t="s">
        <v>43</v>
      </c>
      <c r="Q994" s="91">
        <v>0</v>
      </c>
      <c r="R994" s="91">
        <v>0</v>
      </c>
      <c r="S994" s="91">
        <v>0</v>
      </c>
      <c r="T994" s="91"/>
      <c r="U994" s="91"/>
      <c r="V994" s="91"/>
      <c r="W994" s="91"/>
      <c r="X994" s="91"/>
      <c r="Y994" s="91"/>
      <c r="Z994" s="91"/>
      <c r="AA994" s="91"/>
      <c r="AB994" s="91"/>
      <c r="AC994" s="91"/>
      <c r="AD994" s="91"/>
      <c r="AE994" s="91"/>
      <c r="AF994" s="91"/>
      <c r="AG994" s="91"/>
      <c r="AH994" s="91"/>
      <c r="AI994" s="91"/>
      <c r="AJ994" s="91"/>
      <c r="AK994" s="91"/>
      <c r="AL994" s="91"/>
      <c r="AM994" s="91"/>
    </row>
    <row r="995" spans="1:39" ht="20.25" hidden="1" customHeight="1">
      <c r="A995" s="91"/>
      <c r="B995" s="93" t="s">
        <v>3319</v>
      </c>
      <c r="C995" s="91" t="s">
        <v>36</v>
      </c>
      <c r="D995" s="94" t="s">
        <v>3358</v>
      </c>
      <c r="E995" s="94" t="s">
        <v>3359</v>
      </c>
      <c r="F995" s="95" t="s">
        <v>3360</v>
      </c>
      <c r="G995" s="96">
        <v>42440</v>
      </c>
      <c r="H995" s="97">
        <v>19619</v>
      </c>
      <c r="I995" s="94" t="s">
        <v>3361</v>
      </c>
      <c r="J995" s="100" t="s">
        <v>58</v>
      </c>
      <c r="K995" s="95">
        <v>966262043</v>
      </c>
      <c r="L995" s="91" t="s">
        <v>49</v>
      </c>
      <c r="M995" s="98">
        <f ca="1">(TODAY()-H995)/365</f>
        <v>72.282191780821918</v>
      </c>
      <c r="N995" s="99">
        <f>(G995-H995)/365</f>
        <v>62.523287671232879</v>
      </c>
      <c r="O995" s="98">
        <f ca="1">(TODAY()-G995)/365</f>
        <v>9.7589041095890412</v>
      </c>
      <c r="P995" s="91" t="s">
        <v>43</v>
      </c>
      <c r="Q995" s="91">
        <v>0</v>
      </c>
      <c r="R995" s="91">
        <v>0</v>
      </c>
      <c r="S995" s="91">
        <v>0</v>
      </c>
      <c r="T995" s="91"/>
      <c r="U995" s="91"/>
      <c r="V995" s="91"/>
      <c r="W995" s="91"/>
      <c r="X995" s="91"/>
      <c r="Y995" s="91"/>
      <c r="Z995" s="91"/>
      <c r="AA995" s="91"/>
      <c r="AB995" s="91"/>
      <c r="AC995" s="91"/>
      <c r="AD995" s="91"/>
      <c r="AE995" s="91"/>
      <c r="AF995" s="91"/>
      <c r="AG995" s="91"/>
      <c r="AH995" s="91"/>
      <c r="AI995" s="91"/>
      <c r="AJ995" s="91"/>
      <c r="AK995" s="91"/>
      <c r="AL995" s="91"/>
      <c r="AM995" s="91"/>
    </row>
    <row r="996" spans="1:39" ht="20.25" hidden="1" customHeight="1">
      <c r="A996" s="91"/>
      <c r="B996" s="93" t="s">
        <v>3319</v>
      </c>
      <c r="C996" s="91" t="s">
        <v>36</v>
      </c>
      <c r="D996" s="94" t="s">
        <v>3362</v>
      </c>
      <c r="E996" s="94" t="s">
        <v>3363</v>
      </c>
      <c r="F996" s="95" t="s">
        <v>3364</v>
      </c>
      <c r="G996" s="96">
        <v>44536</v>
      </c>
      <c r="H996" s="97">
        <v>21268</v>
      </c>
      <c r="I996" s="94" t="s">
        <v>3365</v>
      </c>
      <c r="J996" s="100" t="s">
        <v>58</v>
      </c>
      <c r="K996" s="95">
        <v>988217694</v>
      </c>
      <c r="L996" s="91" t="s">
        <v>60</v>
      </c>
      <c r="M996" s="98">
        <f ca="1">(TODAY()-H996)/365</f>
        <v>67.764383561643839</v>
      </c>
      <c r="N996" s="99">
        <f>(G996-H996)/365</f>
        <v>63.747945205479454</v>
      </c>
      <c r="O996" s="98">
        <f ca="1">(TODAY()-G996)/365</f>
        <v>4.0164383561643833</v>
      </c>
      <c r="P996" s="91" t="s">
        <v>43</v>
      </c>
      <c r="Q996" s="91">
        <v>0</v>
      </c>
      <c r="R996" s="91">
        <v>0</v>
      </c>
      <c r="S996" s="91">
        <v>0</v>
      </c>
      <c r="T996" s="91"/>
      <c r="U996" s="91"/>
      <c r="V996" s="91"/>
      <c r="W996" s="91"/>
      <c r="X996" s="91"/>
      <c r="Y996" s="91"/>
      <c r="Z996" s="91"/>
      <c r="AA996" s="91"/>
      <c r="AB996" s="91"/>
      <c r="AC996" s="91"/>
      <c r="AD996" s="91"/>
      <c r="AE996" s="91"/>
      <c r="AF996" s="91"/>
      <c r="AG996" s="91"/>
      <c r="AH996" s="91"/>
      <c r="AI996" s="91"/>
      <c r="AJ996" s="91"/>
      <c r="AK996" s="91"/>
      <c r="AL996" s="91"/>
      <c r="AM996" s="91"/>
    </row>
    <row r="997" spans="1:39" ht="20.25" hidden="1" customHeight="1">
      <c r="A997" s="91"/>
      <c r="B997" s="93" t="s">
        <v>3319</v>
      </c>
      <c r="C997" s="91" t="s">
        <v>36</v>
      </c>
      <c r="D997" s="94" t="s">
        <v>3366</v>
      </c>
      <c r="E997" s="94" t="s">
        <v>3367</v>
      </c>
      <c r="F997" s="95" t="s">
        <v>3368</v>
      </c>
      <c r="G997" s="96">
        <v>45140</v>
      </c>
      <c r="H997" s="97">
        <v>21354</v>
      </c>
      <c r="I997" s="94" t="s">
        <v>3369</v>
      </c>
      <c r="J997" s="100" t="s">
        <v>58</v>
      </c>
      <c r="K997" s="95">
        <v>991651304</v>
      </c>
      <c r="L997" s="91" t="s">
        <v>60</v>
      </c>
      <c r="M997" s="98">
        <f ca="1">(TODAY()-H997)/365</f>
        <v>67.528767123287665</v>
      </c>
      <c r="N997" s="99">
        <f>(G997-H997)/365</f>
        <v>65.167123287671231</v>
      </c>
      <c r="O997" s="98">
        <f ca="1">(TODAY()-G997)/365</f>
        <v>2.3616438356164382</v>
      </c>
      <c r="P997" s="91" t="s">
        <v>43</v>
      </c>
      <c r="Q997" s="91">
        <v>0</v>
      </c>
      <c r="R997" s="91">
        <v>0</v>
      </c>
      <c r="S997" s="91">
        <v>0</v>
      </c>
      <c r="T997" s="91"/>
      <c r="U997" s="91"/>
      <c r="V997" s="91"/>
      <c r="W997" s="91"/>
      <c r="X997" s="91"/>
      <c r="Y997" s="91"/>
      <c r="Z997" s="91"/>
      <c r="AA997" s="91"/>
      <c r="AB997" s="91"/>
      <c r="AC997" s="91"/>
      <c r="AD997" s="91"/>
      <c r="AE997" s="91"/>
      <c r="AF997" s="91"/>
      <c r="AG997" s="91"/>
      <c r="AH997" s="91"/>
      <c r="AI997" s="91"/>
      <c r="AJ997" s="91"/>
      <c r="AK997" s="91"/>
      <c r="AL997" s="91"/>
      <c r="AM997" s="91"/>
    </row>
    <row r="998" spans="1:39" ht="20.25" customHeight="1">
      <c r="A998" s="91"/>
      <c r="B998" s="93" t="s">
        <v>1245</v>
      </c>
      <c r="C998" s="91" t="s">
        <v>73</v>
      </c>
      <c r="D998" s="107" t="s">
        <v>728</v>
      </c>
      <c r="E998" s="107" t="s">
        <v>1429</v>
      </c>
      <c r="F998" s="91" t="s">
        <v>1430</v>
      </c>
      <c r="G998" s="96">
        <v>42078</v>
      </c>
      <c r="H998" s="97">
        <v>22910</v>
      </c>
      <c r="I998" s="100" t="s">
        <v>1431</v>
      </c>
      <c r="J998" s="100" t="s">
        <v>1432</v>
      </c>
      <c r="K998" s="91">
        <v>977547004</v>
      </c>
      <c r="L998" s="91" t="s">
        <v>60</v>
      </c>
      <c r="M998" s="98">
        <f ca="1">(TODAY()-H998)/365</f>
        <v>63.265753424657532</v>
      </c>
      <c r="N998" s="99">
        <f>(G998-H998)/365</f>
        <v>52.515068493150686</v>
      </c>
      <c r="O998" s="98">
        <f ca="1">(TODAY()-G998)/365</f>
        <v>10.75068493150685</v>
      </c>
      <c r="P998" s="91" t="s">
        <v>43</v>
      </c>
      <c r="Q998" s="91">
        <v>0</v>
      </c>
      <c r="R998" s="91">
        <v>0</v>
      </c>
      <c r="S998" s="91">
        <v>0</v>
      </c>
      <c r="T998" s="91"/>
      <c r="U998" s="91"/>
      <c r="V998" s="91"/>
      <c r="W998" s="91"/>
      <c r="X998" s="91"/>
      <c r="Y998" s="91"/>
      <c r="Z998" s="91"/>
      <c r="AA998" s="91"/>
      <c r="AB998" s="91"/>
      <c r="AC998" s="91"/>
      <c r="AD998" s="91"/>
      <c r="AE998" s="91"/>
      <c r="AF998" s="91"/>
      <c r="AG998" s="91"/>
      <c r="AH998" s="91"/>
      <c r="AI998" s="91"/>
      <c r="AJ998" s="91"/>
      <c r="AK998" s="91"/>
      <c r="AL998" s="91"/>
      <c r="AM998" s="91"/>
    </row>
    <row r="999" spans="1:39" ht="20.25" hidden="1" customHeight="1">
      <c r="A999" s="91"/>
      <c r="B999" s="93" t="s">
        <v>3374</v>
      </c>
      <c r="C999" s="91" t="s">
        <v>36</v>
      </c>
      <c r="D999" s="107" t="s">
        <v>3375</v>
      </c>
      <c r="E999" s="107" t="s">
        <v>3376</v>
      </c>
      <c r="F999" s="91" t="s">
        <v>3377</v>
      </c>
      <c r="G999" s="96">
        <v>44617</v>
      </c>
      <c r="H999" s="97">
        <v>39470</v>
      </c>
      <c r="I999" s="100" t="s">
        <v>3378</v>
      </c>
      <c r="J999" s="100" t="s">
        <v>3379</v>
      </c>
      <c r="K999" s="91">
        <v>953176021</v>
      </c>
      <c r="L999" s="91" t="s">
        <v>60</v>
      </c>
      <c r="M999" s="98">
        <f ca="1">(TODAY()-H999)/365</f>
        <v>17.895890410958906</v>
      </c>
      <c r="N999" s="99">
        <f>(G999-H999)/365</f>
        <v>14.101369863013698</v>
      </c>
      <c r="O999" s="98">
        <f ca="1">(TODAY()-G999)/365</f>
        <v>3.7945205479452055</v>
      </c>
      <c r="P999" s="91" t="s">
        <v>43</v>
      </c>
      <c r="Q999" s="91"/>
      <c r="R999" s="91"/>
      <c r="S999" s="91"/>
      <c r="T999" s="91"/>
      <c r="U999" s="91"/>
      <c r="V999" s="91"/>
      <c r="W999" s="91"/>
      <c r="X999" s="91"/>
      <c r="Y999" s="91"/>
      <c r="Z999" s="91"/>
      <c r="AA999" s="91"/>
      <c r="AB999" s="91"/>
      <c r="AC999" s="91"/>
      <c r="AD999" s="91"/>
      <c r="AE999" s="91"/>
      <c r="AF999" s="91"/>
      <c r="AG999" s="91"/>
      <c r="AH999" s="91"/>
      <c r="AI999" s="91"/>
      <c r="AJ999" s="91"/>
      <c r="AK999" s="91"/>
      <c r="AL999" s="91"/>
      <c r="AM999" s="91"/>
    </row>
    <row r="1000" spans="1:39" ht="20.25" hidden="1" customHeight="1">
      <c r="A1000" s="91"/>
      <c r="B1000" s="93" t="s">
        <v>3374</v>
      </c>
      <c r="C1000" s="91" t="s">
        <v>36</v>
      </c>
      <c r="D1000" s="107" t="s">
        <v>1291</v>
      </c>
      <c r="E1000" s="107" t="s">
        <v>3380</v>
      </c>
      <c r="F1000" s="91" t="s">
        <v>3381</v>
      </c>
      <c r="G1000" s="96">
        <v>42838</v>
      </c>
      <c r="H1000" s="97">
        <v>37613</v>
      </c>
      <c r="I1000" s="100" t="s">
        <v>3382</v>
      </c>
      <c r="J1000" s="100" t="s">
        <v>3383</v>
      </c>
      <c r="K1000" s="91">
        <v>999366065</v>
      </c>
      <c r="L1000" s="91" t="s">
        <v>121</v>
      </c>
      <c r="M1000" s="98">
        <f ca="1">(TODAY()-H1000)/365</f>
        <v>22.983561643835618</v>
      </c>
      <c r="N1000" s="99">
        <f>(G1000-H1000)/365</f>
        <v>14.315068493150685</v>
      </c>
      <c r="O1000" s="98">
        <f ca="1">(TODAY()-G1000)/365</f>
        <v>8.668493150684931</v>
      </c>
      <c r="P1000" s="91" t="s">
        <v>272</v>
      </c>
      <c r="Q1000" s="91"/>
      <c r="R1000" s="91">
        <v>1</v>
      </c>
      <c r="S1000" s="91"/>
      <c r="T1000" s="91"/>
      <c r="U1000" s="91"/>
      <c r="V1000" s="91"/>
      <c r="W1000" s="91"/>
      <c r="X1000" s="91"/>
      <c r="Y1000" s="91"/>
      <c r="Z1000" s="91"/>
      <c r="AA1000" s="91"/>
      <c r="AB1000" s="91"/>
      <c r="AC1000" s="91"/>
      <c r="AD1000" s="91"/>
      <c r="AE1000" s="91"/>
      <c r="AF1000" s="91"/>
      <c r="AG1000" s="91"/>
      <c r="AH1000" s="91"/>
      <c r="AI1000" s="91"/>
      <c r="AJ1000" s="91"/>
      <c r="AK1000" s="91"/>
      <c r="AL1000" s="91"/>
      <c r="AM1000" s="91"/>
    </row>
    <row r="1001" spans="1:39" ht="20.25" customHeight="1">
      <c r="A1001" s="91"/>
      <c r="B1001" s="93" t="s">
        <v>77</v>
      </c>
      <c r="C1001" s="91" t="s">
        <v>73</v>
      </c>
      <c r="D1001" s="94" t="s">
        <v>122</v>
      </c>
      <c r="E1001" s="94" t="s">
        <v>123</v>
      </c>
      <c r="F1001" s="95" t="s">
        <v>124</v>
      </c>
      <c r="G1001" s="96">
        <v>43174</v>
      </c>
      <c r="H1001" s="97">
        <v>32114</v>
      </c>
      <c r="I1001" s="101" t="s">
        <v>125</v>
      </c>
      <c r="J1001" s="100" t="s">
        <v>58</v>
      </c>
      <c r="K1001" s="91" t="s">
        <v>58</v>
      </c>
      <c r="L1001" s="91" t="s">
        <v>60</v>
      </c>
      <c r="M1001" s="98">
        <f ca="1">(TODAY()-H1001)/365</f>
        <v>38.049315068493151</v>
      </c>
      <c r="N1001" s="99">
        <f>(G1001-H1001)/365</f>
        <v>30.301369863013697</v>
      </c>
      <c r="O1001" s="98">
        <f ca="1">(TODAY()-G1001)/365</f>
        <v>7.7479452054794518</v>
      </c>
      <c r="P1001" s="91" t="s">
        <v>43</v>
      </c>
      <c r="Q1001" s="91">
        <v>0</v>
      </c>
      <c r="R1001" s="91">
        <v>0</v>
      </c>
      <c r="S1001" s="91">
        <v>0</v>
      </c>
      <c r="T1001" s="91"/>
      <c r="U1001" s="91"/>
      <c r="V1001" s="91"/>
      <c r="W1001" s="91"/>
      <c r="X1001" s="91"/>
      <c r="Y1001" s="91"/>
      <c r="Z1001" s="91"/>
      <c r="AA1001" s="91"/>
      <c r="AB1001" s="91"/>
      <c r="AC1001" s="91"/>
      <c r="AD1001" s="91"/>
      <c r="AE1001" s="91"/>
      <c r="AF1001" s="91"/>
      <c r="AG1001" s="91"/>
      <c r="AH1001" s="91"/>
      <c r="AI1001" s="91"/>
      <c r="AJ1001" s="91"/>
      <c r="AK1001" s="91"/>
      <c r="AL1001" s="91"/>
      <c r="AM1001" s="91"/>
    </row>
    <row r="1002" spans="1:39" ht="20.25" hidden="1" customHeight="1">
      <c r="A1002" s="91"/>
      <c r="B1002" s="93" t="s">
        <v>3374</v>
      </c>
      <c r="C1002" s="91" t="s">
        <v>36</v>
      </c>
      <c r="D1002" s="107" t="s">
        <v>470</v>
      </c>
      <c r="E1002" s="107" t="s">
        <v>3388</v>
      </c>
      <c r="F1002" s="91" t="s">
        <v>3389</v>
      </c>
      <c r="G1002" s="96">
        <v>45627</v>
      </c>
      <c r="H1002" s="97">
        <v>39111</v>
      </c>
      <c r="I1002" s="108" t="s">
        <v>12354</v>
      </c>
      <c r="J1002" s="100" t="s">
        <v>3390</v>
      </c>
      <c r="K1002" s="91">
        <v>920922554</v>
      </c>
      <c r="L1002" s="91" t="s">
        <v>60</v>
      </c>
      <c r="M1002" s="98">
        <f ca="1">(TODAY()-H1002)/365</f>
        <v>18.87945205479452</v>
      </c>
      <c r="N1002" s="99">
        <f>(G1002-H1002)/365</f>
        <v>17.852054794520548</v>
      </c>
      <c r="O1002" s="98">
        <f ca="1">(TODAY()-G1002)/365</f>
        <v>1.0273972602739727</v>
      </c>
      <c r="P1002" s="91" t="s">
        <v>272</v>
      </c>
      <c r="Q1002" s="91"/>
      <c r="R1002" s="91"/>
      <c r="S1002" s="91"/>
      <c r="T1002" s="91"/>
      <c r="U1002" s="91"/>
      <c r="V1002" s="91"/>
      <c r="W1002" s="91"/>
      <c r="X1002" s="91"/>
      <c r="Y1002" s="91"/>
      <c r="Z1002" s="91"/>
      <c r="AA1002" s="91"/>
      <c r="AB1002" s="91"/>
      <c r="AC1002" s="91"/>
      <c r="AD1002" s="91"/>
      <c r="AE1002" s="91"/>
      <c r="AF1002" s="91"/>
      <c r="AG1002" s="91"/>
      <c r="AH1002" s="91"/>
      <c r="AI1002" s="91"/>
      <c r="AJ1002" s="91"/>
      <c r="AK1002" s="91"/>
      <c r="AL1002" s="91"/>
      <c r="AM1002" s="91"/>
    </row>
    <row r="1003" spans="1:39" ht="20.25" customHeight="1">
      <c r="A1003" s="91"/>
      <c r="B1003" s="93" t="s">
        <v>3885</v>
      </c>
      <c r="C1003" s="91" t="s">
        <v>73</v>
      </c>
      <c r="D1003" s="106" t="s">
        <v>3932</v>
      </c>
      <c r="E1003" s="106" t="s">
        <v>3933</v>
      </c>
      <c r="F1003" s="92" t="s">
        <v>3934</v>
      </c>
      <c r="G1003" s="96">
        <v>45487</v>
      </c>
      <c r="H1003" s="97">
        <v>20254</v>
      </c>
      <c r="I1003" s="100" t="s">
        <v>58</v>
      </c>
      <c r="J1003" s="100" t="s">
        <v>58</v>
      </c>
      <c r="K1003" s="91" t="s">
        <v>58</v>
      </c>
      <c r="L1003" s="91" t="s">
        <v>60</v>
      </c>
      <c r="M1003" s="98">
        <f ca="1">(TODAY()-H1003)/365</f>
        <v>70.542465753424651</v>
      </c>
      <c r="N1003" s="99">
        <f>(G1003-H1003)/365</f>
        <v>69.131506849315073</v>
      </c>
      <c r="O1003" s="98">
        <f ca="1">(TODAY()-G1003)/365</f>
        <v>1.4109589041095891</v>
      </c>
      <c r="P1003" s="91" t="s">
        <v>43</v>
      </c>
      <c r="Q1003" s="91">
        <v>0</v>
      </c>
      <c r="R1003" s="91">
        <v>0</v>
      </c>
      <c r="S1003" s="91">
        <v>0</v>
      </c>
      <c r="T1003" s="91"/>
      <c r="U1003" s="91"/>
      <c r="V1003" s="91"/>
      <c r="W1003" s="91"/>
      <c r="X1003" s="91"/>
      <c r="Y1003" s="91"/>
      <c r="Z1003" s="91"/>
      <c r="AA1003" s="91"/>
      <c r="AB1003" s="91"/>
      <c r="AC1003" s="91"/>
      <c r="AD1003" s="91"/>
      <c r="AE1003" s="91"/>
      <c r="AF1003" s="91"/>
      <c r="AG1003" s="91"/>
      <c r="AH1003" s="91"/>
      <c r="AI1003" s="91"/>
      <c r="AJ1003" s="91"/>
      <c r="AK1003" s="91"/>
      <c r="AL1003" s="91"/>
      <c r="AM1003" s="91"/>
    </row>
    <row r="1004" spans="1:39" ht="20.25" hidden="1" customHeight="1">
      <c r="A1004" s="91"/>
      <c r="B1004" s="93" t="s">
        <v>3374</v>
      </c>
      <c r="C1004" s="91" t="s">
        <v>36</v>
      </c>
      <c r="D1004" s="107" t="s">
        <v>459</v>
      </c>
      <c r="E1004" s="107" t="s">
        <v>3395</v>
      </c>
      <c r="F1004" s="91" t="s">
        <v>3396</v>
      </c>
      <c r="G1004" s="96">
        <v>45523</v>
      </c>
      <c r="H1004" s="97">
        <v>38331</v>
      </c>
      <c r="I1004" s="100" t="s">
        <v>3397</v>
      </c>
      <c r="J1004" s="100" t="s">
        <v>3398</v>
      </c>
      <c r="K1004" s="91">
        <v>947474174</v>
      </c>
      <c r="L1004" s="91" t="s">
        <v>60</v>
      </c>
      <c r="M1004" s="98">
        <f ca="1">(TODAY()-H1004)/365</f>
        <v>21.016438356164382</v>
      </c>
      <c r="N1004" s="99">
        <f>(G1004-H1004)/365</f>
        <v>19.704109589041096</v>
      </c>
      <c r="O1004" s="98">
        <f ca="1">(TODAY()-G1004)/365</f>
        <v>1.3123287671232877</v>
      </c>
      <c r="P1004" s="91" t="s">
        <v>43</v>
      </c>
      <c r="Q1004" s="91"/>
      <c r="R1004" s="91"/>
      <c r="S1004" s="91"/>
      <c r="T1004" s="91"/>
      <c r="U1004" s="91"/>
      <c r="V1004" s="91"/>
      <c r="W1004" s="91"/>
      <c r="X1004" s="91"/>
      <c r="Y1004" s="91"/>
      <c r="Z1004" s="91"/>
      <c r="AA1004" s="91"/>
      <c r="AB1004" s="91"/>
      <c r="AC1004" s="91"/>
      <c r="AD1004" s="91"/>
      <c r="AE1004" s="91"/>
      <c r="AF1004" s="91"/>
      <c r="AG1004" s="91"/>
      <c r="AH1004" s="91"/>
      <c r="AI1004" s="91"/>
      <c r="AJ1004" s="91"/>
      <c r="AK1004" s="91"/>
      <c r="AL1004" s="91"/>
      <c r="AM1004" s="91"/>
    </row>
    <row r="1005" spans="1:39" ht="20.25" customHeight="1">
      <c r="A1005" s="91"/>
      <c r="B1005" s="93" t="s">
        <v>2235</v>
      </c>
      <c r="C1005" s="91" t="s">
        <v>73</v>
      </c>
      <c r="D1005" s="107" t="s">
        <v>2262</v>
      </c>
      <c r="E1005" s="107" t="s">
        <v>2263</v>
      </c>
      <c r="F1005" s="92" t="s">
        <v>2264</v>
      </c>
      <c r="G1005" s="96">
        <v>44414</v>
      </c>
      <c r="H1005" s="97">
        <v>36269</v>
      </c>
      <c r="I1005" s="94" t="s">
        <v>2265</v>
      </c>
      <c r="J1005" s="100" t="s">
        <v>58</v>
      </c>
      <c r="K1005" s="91" t="s">
        <v>58</v>
      </c>
      <c r="L1005" s="91" t="s">
        <v>60</v>
      </c>
      <c r="M1005" s="98">
        <f ca="1">(TODAY()-H1005)/365</f>
        <v>26.665753424657535</v>
      </c>
      <c r="N1005" s="99">
        <f>(G1005-H1005)/365</f>
        <v>22.315068493150687</v>
      </c>
      <c r="O1005" s="98">
        <f ca="1">(TODAY()-G1005)/365</f>
        <v>4.3506849315068497</v>
      </c>
      <c r="P1005" s="91" t="s">
        <v>43</v>
      </c>
      <c r="Q1005" s="91">
        <v>0</v>
      </c>
      <c r="R1005" s="91">
        <v>0</v>
      </c>
      <c r="S1005" s="91">
        <v>0</v>
      </c>
      <c r="T1005" s="91"/>
      <c r="U1005" s="91"/>
      <c r="V1005" s="91"/>
      <c r="W1005" s="91"/>
      <c r="X1005" s="91"/>
      <c r="Y1005" s="91"/>
      <c r="Z1005" s="91"/>
      <c r="AA1005" s="91"/>
      <c r="AB1005" s="91"/>
      <c r="AC1005" s="91"/>
      <c r="AD1005" s="91"/>
      <c r="AE1005" s="91"/>
      <c r="AF1005" s="91"/>
      <c r="AG1005" s="91"/>
      <c r="AH1005" s="91"/>
      <c r="AI1005" s="91"/>
      <c r="AJ1005" s="91"/>
      <c r="AK1005" s="91"/>
      <c r="AL1005" s="91"/>
      <c r="AM1005" s="91"/>
    </row>
    <row r="1006" spans="1:39" ht="20.25" hidden="1" customHeight="1">
      <c r="A1006" s="91"/>
      <c r="B1006" s="93" t="s">
        <v>3374</v>
      </c>
      <c r="C1006" s="91" t="s">
        <v>36</v>
      </c>
      <c r="D1006" s="107" t="s">
        <v>3403</v>
      </c>
      <c r="E1006" s="107" t="s">
        <v>3404</v>
      </c>
      <c r="F1006" s="91" t="s">
        <v>3405</v>
      </c>
      <c r="G1006" s="96">
        <v>44816</v>
      </c>
      <c r="H1006" s="97">
        <v>36719</v>
      </c>
      <c r="I1006" s="100" t="s">
        <v>3406</v>
      </c>
      <c r="J1006" s="100" t="s">
        <v>3407</v>
      </c>
      <c r="K1006" s="91">
        <v>988960657</v>
      </c>
      <c r="L1006" s="91" t="s">
        <v>60</v>
      </c>
      <c r="M1006" s="98">
        <f ca="1">(TODAY()-H1006)/365</f>
        <v>25.432876712328767</v>
      </c>
      <c r="N1006" s="99">
        <f>(G1006-H1006)/365</f>
        <v>22.183561643835617</v>
      </c>
      <c r="O1006" s="98">
        <f ca="1">(TODAY()-G1006)/365</f>
        <v>3.2493150684931509</v>
      </c>
      <c r="P1006" s="91" t="s">
        <v>43</v>
      </c>
      <c r="Q1006" s="91"/>
      <c r="R1006" s="91"/>
      <c r="S1006" s="91"/>
      <c r="T1006" s="91"/>
      <c r="U1006" s="91"/>
      <c r="V1006" s="91"/>
      <c r="W1006" s="91"/>
      <c r="X1006" s="91"/>
      <c r="Y1006" s="91"/>
      <c r="Z1006" s="91"/>
      <c r="AA1006" s="91"/>
      <c r="AB1006" s="91"/>
      <c r="AC1006" s="91"/>
      <c r="AD1006" s="91"/>
      <c r="AE1006" s="91"/>
      <c r="AF1006" s="91"/>
      <c r="AG1006" s="91"/>
      <c r="AH1006" s="91"/>
      <c r="AI1006" s="91"/>
      <c r="AJ1006" s="91"/>
      <c r="AK1006" s="91"/>
      <c r="AL1006" s="91"/>
      <c r="AM1006" s="91"/>
    </row>
    <row r="1007" spans="1:39" ht="20.25" customHeight="1">
      <c r="A1007" s="91"/>
      <c r="B1007" s="93" t="s">
        <v>8287</v>
      </c>
      <c r="C1007" s="91" t="s">
        <v>73</v>
      </c>
      <c r="D1007" s="94" t="s">
        <v>8346</v>
      </c>
      <c r="E1007" s="94" t="s">
        <v>8347</v>
      </c>
      <c r="F1007" s="95" t="s">
        <v>8348</v>
      </c>
      <c r="G1007" s="96">
        <v>45059</v>
      </c>
      <c r="H1007" s="97">
        <v>33441</v>
      </c>
      <c r="I1007" s="94" t="s">
        <v>8349</v>
      </c>
      <c r="J1007" s="100" t="s">
        <v>58</v>
      </c>
      <c r="K1007" s="91" t="s">
        <v>58</v>
      </c>
      <c r="L1007" s="91" t="s">
        <v>60</v>
      </c>
      <c r="M1007" s="98">
        <f ca="1">(TODAY()-H1007)/365</f>
        <v>34.413698630136984</v>
      </c>
      <c r="N1007" s="99">
        <f>(G1007-H1007)/365</f>
        <v>31.830136986301369</v>
      </c>
      <c r="O1007" s="98">
        <f ca="1">(TODAY()-G1007)/365</f>
        <v>2.5835616438356164</v>
      </c>
      <c r="P1007" s="91" t="s">
        <v>43</v>
      </c>
      <c r="Q1007" s="91">
        <v>0</v>
      </c>
      <c r="R1007" s="91">
        <v>0</v>
      </c>
      <c r="S1007" s="91">
        <v>0</v>
      </c>
      <c r="T1007" s="91"/>
      <c r="U1007" s="91"/>
      <c r="V1007" s="91"/>
      <c r="W1007" s="91"/>
      <c r="X1007" s="91"/>
      <c r="Y1007" s="91"/>
      <c r="Z1007" s="91"/>
      <c r="AA1007" s="91"/>
      <c r="AB1007" s="91"/>
      <c r="AC1007" s="91"/>
      <c r="AD1007" s="91"/>
      <c r="AE1007" s="91"/>
      <c r="AF1007" s="91"/>
      <c r="AG1007" s="91"/>
      <c r="AH1007" s="91"/>
      <c r="AI1007" s="91"/>
      <c r="AJ1007" s="91"/>
      <c r="AK1007" s="91"/>
      <c r="AL1007" s="91"/>
      <c r="AM1007" s="91"/>
    </row>
    <row r="1008" spans="1:39" ht="20.25" hidden="1" customHeight="1">
      <c r="A1008" s="91"/>
      <c r="B1008" s="93" t="s">
        <v>3374</v>
      </c>
      <c r="C1008" s="91" t="s">
        <v>36</v>
      </c>
      <c r="D1008" s="107" t="s">
        <v>3412</v>
      </c>
      <c r="E1008" s="107" t="s">
        <v>3413</v>
      </c>
      <c r="F1008" s="91" t="s">
        <v>3414</v>
      </c>
      <c r="G1008" s="96">
        <v>43222</v>
      </c>
      <c r="H1008" s="97">
        <v>33999</v>
      </c>
      <c r="I1008" s="100" t="s">
        <v>3415</v>
      </c>
      <c r="J1008" s="100" t="s">
        <v>3416</v>
      </c>
      <c r="K1008" s="91">
        <v>933995054</v>
      </c>
      <c r="L1008" s="91" t="s">
        <v>49</v>
      </c>
      <c r="M1008" s="98">
        <f ca="1">(TODAY()-H1008)/365</f>
        <v>32.884931506849313</v>
      </c>
      <c r="N1008" s="99">
        <f>(G1008-H1008)/365</f>
        <v>25.268493150684932</v>
      </c>
      <c r="O1008" s="98">
        <f ca="1">(TODAY()-G1008)/365</f>
        <v>7.6164383561643838</v>
      </c>
      <c r="P1008" s="91" t="s">
        <v>43</v>
      </c>
      <c r="Q1008" s="91">
        <v>1</v>
      </c>
      <c r="R1008" s="91"/>
      <c r="S1008" s="91"/>
      <c r="T1008" s="91">
        <v>1</v>
      </c>
      <c r="U1008" s="91"/>
      <c r="V1008" s="91"/>
      <c r="W1008" s="91"/>
      <c r="X1008" s="91"/>
      <c r="Y1008" s="91"/>
      <c r="Z1008" s="91"/>
      <c r="AA1008" s="91"/>
      <c r="AB1008" s="91"/>
      <c r="AC1008" s="91"/>
      <c r="AD1008" s="91"/>
      <c r="AE1008" s="91"/>
      <c r="AF1008" s="91"/>
      <c r="AG1008" s="91"/>
      <c r="AH1008" s="91"/>
      <c r="AI1008" s="91"/>
      <c r="AJ1008" s="91"/>
      <c r="AK1008" s="91"/>
      <c r="AL1008" s="91"/>
      <c r="AM1008" s="91"/>
    </row>
    <row r="1009" spans="1:39" ht="20.25" hidden="1" customHeight="1">
      <c r="A1009" s="91"/>
      <c r="B1009" s="93" t="s">
        <v>3374</v>
      </c>
      <c r="C1009" s="91" t="s">
        <v>36</v>
      </c>
      <c r="D1009" s="107" t="s">
        <v>451</v>
      </c>
      <c r="E1009" s="107" t="s">
        <v>3417</v>
      </c>
      <c r="F1009" s="91" t="s">
        <v>3418</v>
      </c>
      <c r="G1009" s="96">
        <v>45026</v>
      </c>
      <c r="H1009" s="97">
        <v>34982</v>
      </c>
      <c r="I1009" s="100" t="s">
        <v>3419</v>
      </c>
      <c r="J1009" s="100" t="s">
        <v>3420</v>
      </c>
      <c r="K1009" s="91">
        <v>956389866</v>
      </c>
      <c r="L1009" s="91" t="s">
        <v>60</v>
      </c>
      <c r="M1009" s="98">
        <f ca="1">(TODAY()-H1009)/365</f>
        <v>30.19178082191781</v>
      </c>
      <c r="N1009" s="99">
        <f>(G1009-H1009)/365</f>
        <v>27.517808219178082</v>
      </c>
      <c r="O1009" s="98">
        <f ca="1">(TODAY()-G1009)/365</f>
        <v>2.6739726027397261</v>
      </c>
      <c r="P1009" s="91" t="s">
        <v>43</v>
      </c>
      <c r="Q1009" s="91"/>
      <c r="R1009" s="91"/>
      <c r="S1009" s="91"/>
      <c r="T1009" s="91"/>
      <c r="U1009" s="91"/>
      <c r="V1009" s="91"/>
      <c r="W1009" s="91"/>
      <c r="X1009" s="91"/>
      <c r="Y1009" s="91"/>
      <c r="Z1009" s="91"/>
      <c r="AA1009" s="91"/>
      <c r="AB1009" s="91"/>
      <c r="AC1009" s="91"/>
      <c r="AD1009" s="91"/>
      <c r="AE1009" s="91"/>
      <c r="AF1009" s="91"/>
      <c r="AG1009" s="91"/>
      <c r="AH1009" s="91"/>
      <c r="AI1009" s="91"/>
      <c r="AJ1009" s="91"/>
      <c r="AK1009" s="91"/>
      <c r="AL1009" s="91"/>
      <c r="AM1009" s="91"/>
    </row>
    <row r="1010" spans="1:39" ht="20.25" customHeight="1">
      <c r="A1010" s="91"/>
      <c r="B1010" s="93" t="s">
        <v>4702</v>
      </c>
      <c r="C1010" s="91" t="s">
        <v>73</v>
      </c>
      <c r="D1010" s="107" t="s">
        <v>447</v>
      </c>
      <c r="E1010" s="107" t="s">
        <v>4716</v>
      </c>
      <c r="F1010" s="91" t="s">
        <v>4717</v>
      </c>
      <c r="G1010" s="96">
        <v>42979</v>
      </c>
      <c r="H1010" s="96" t="s">
        <v>58</v>
      </c>
      <c r="I1010" s="94" t="s">
        <v>58</v>
      </c>
      <c r="J1010" s="94" t="s">
        <v>58</v>
      </c>
      <c r="K1010" s="95" t="s">
        <v>58</v>
      </c>
      <c r="L1010" s="91" t="s">
        <v>60</v>
      </c>
      <c r="M1010" s="98">
        <v>0</v>
      </c>
      <c r="N1010" s="95"/>
      <c r="O1010" s="98">
        <f ca="1">(TODAY()-G1010)/365</f>
        <v>8.2821917808219183</v>
      </c>
      <c r="P1010" s="91" t="s">
        <v>43</v>
      </c>
      <c r="Q1010" s="91">
        <v>0</v>
      </c>
      <c r="R1010" s="91">
        <v>0</v>
      </c>
      <c r="S1010" s="91">
        <v>0</v>
      </c>
      <c r="T1010" s="91"/>
      <c r="U1010" s="91"/>
      <c r="V1010" s="91"/>
      <c r="W1010" s="91"/>
      <c r="X1010" s="91"/>
      <c r="Y1010" s="91"/>
      <c r="Z1010" s="91"/>
      <c r="AA1010" s="91"/>
      <c r="AB1010" s="91"/>
      <c r="AC1010" s="91"/>
      <c r="AD1010" s="91"/>
      <c r="AE1010" s="91"/>
      <c r="AF1010" s="91"/>
      <c r="AG1010" s="91"/>
      <c r="AH1010" s="91"/>
      <c r="AI1010" s="91"/>
      <c r="AJ1010" s="91"/>
      <c r="AK1010" s="91"/>
      <c r="AL1010" s="91"/>
      <c r="AM1010" s="91"/>
    </row>
    <row r="1011" spans="1:39" ht="20.25" hidden="1" customHeight="1">
      <c r="A1011" s="91"/>
      <c r="B1011" s="93" t="s">
        <v>3374</v>
      </c>
      <c r="C1011" s="91" t="s">
        <v>36</v>
      </c>
      <c r="D1011" s="107" t="s">
        <v>1221</v>
      </c>
      <c r="E1011" s="107" t="s">
        <v>3425</v>
      </c>
      <c r="F1011" s="91" t="s">
        <v>3426</v>
      </c>
      <c r="G1011" s="96">
        <v>37704</v>
      </c>
      <c r="H1011" s="96">
        <v>21308</v>
      </c>
      <c r="I1011" s="94" t="s">
        <v>58</v>
      </c>
      <c r="J1011" s="100" t="s">
        <v>3427</v>
      </c>
      <c r="K1011" s="91" t="s">
        <v>3428</v>
      </c>
      <c r="L1011" s="91" t="s">
        <v>60</v>
      </c>
      <c r="M1011" s="98">
        <f ca="1">(TODAY()-H1011)/365</f>
        <v>67.654794520547952</v>
      </c>
      <c r="N1011" s="99">
        <f>(G1011-H1011)/365</f>
        <v>44.920547945205477</v>
      </c>
      <c r="O1011" s="98">
        <f ca="1">(TODAY()-G1011)/365</f>
        <v>22.734246575342464</v>
      </c>
      <c r="P1011" s="91" t="s">
        <v>43</v>
      </c>
      <c r="Q1011" s="91"/>
      <c r="R1011" s="91"/>
      <c r="S1011" s="91"/>
      <c r="T1011" s="91"/>
      <c r="U1011" s="91"/>
      <c r="V1011" s="91"/>
      <c r="W1011" s="91"/>
      <c r="X1011" s="91"/>
      <c r="Y1011" s="91"/>
      <c r="Z1011" s="91"/>
      <c r="AA1011" s="91"/>
      <c r="AB1011" s="91"/>
      <c r="AC1011" s="91"/>
      <c r="AD1011" s="91"/>
      <c r="AE1011" s="91"/>
      <c r="AF1011" s="91"/>
      <c r="AG1011" s="91"/>
      <c r="AH1011" s="91"/>
      <c r="AI1011" s="91"/>
      <c r="AJ1011" s="91"/>
      <c r="AK1011" s="91"/>
      <c r="AL1011" s="91"/>
      <c r="AM1011" s="91"/>
    </row>
    <row r="1012" spans="1:39" ht="20.25" hidden="1" customHeight="1">
      <c r="A1012" s="91"/>
      <c r="B1012" s="93" t="s">
        <v>3374</v>
      </c>
      <c r="C1012" s="91" t="s">
        <v>36</v>
      </c>
      <c r="D1012" s="107" t="s">
        <v>3429</v>
      </c>
      <c r="E1012" s="107" t="s">
        <v>3430</v>
      </c>
      <c r="F1012" s="91" t="s">
        <v>3431</v>
      </c>
      <c r="G1012" s="96">
        <v>42863</v>
      </c>
      <c r="H1012" s="97">
        <v>32300</v>
      </c>
      <c r="I1012" s="100" t="s">
        <v>3432</v>
      </c>
      <c r="J1012" s="100" t="s">
        <v>3433</v>
      </c>
      <c r="K1012" s="91" t="s">
        <v>3434</v>
      </c>
      <c r="L1012" s="91" t="s">
        <v>60</v>
      </c>
      <c r="M1012" s="98">
        <f ca="1">(TODAY()-H1012)/365</f>
        <v>37.539726027397258</v>
      </c>
      <c r="N1012" s="99">
        <f>(G1012-H1012)/365</f>
        <v>28.93972602739726</v>
      </c>
      <c r="O1012" s="98">
        <f ca="1">(TODAY()-G1012)/365</f>
        <v>8.6</v>
      </c>
      <c r="P1012" s="91" t="s">
        <v>43</v>
      </c>
      <c r="Q1012" s="91"/>
      <c r="R1012" s="91"/>
      <c r="S1012" s="91"/>
      <c r="T1012" s="91"/>
      <c r="U1012" s="91"/>
      <c r="V1012" s="91"/>
      <c r="W1012" s="91"/>
      <c r="X1012" s="91"/>
      <c r="Y1012" s="91"/>
      <c r="Z1012" s="91"/>
      <c r="AA1012" s="91"/>
      <c r="AB1012" s="91"/>
      <c r="AC1012" s="91"/>
      <c r="AD1012" s="91"/>
      <c r="AE1012" s="91"/>
      <c r="AF1012" s="91"/>
      <c r="AG1012" s="91"/>
      <c r="AH1012" s="91"/>
      <c r="AI1012" s="91"/>
      <c r="AJ1012" s="91"/>
      <c r="AK1012" s="91"/>
      <c r="AL1012" s="91"/>
      <c r="AM1012" s="91"/>
    </row>
    <row r="1013" spans="1:39" ht="20.25" customHeight="1">
      <c r="A1013" s="91"/>
      <c r="B1013" s="93" t="s">
        <v>3610</v>
      </c>
      <c r="C1013" s="91" t="s">
        <v>73</v>
      </c>
      <c r="D1013" s="94" t="s">
        <v>3621</v>
      </c>
      <c r="E1013" s="94" t="s">
        <v>3622</v>
      </c>
      <c r="F1013" s="95" t="s">
        <v>3623</v>
      </c>
      <c r="G1013" s="96">
        <v>42552</v>
      </c>
      <c r="H1013" s="97">
        <v>36906</v>
      </c>
      <c r="I1013" s="94" t="s">
        <v>3624</v>
      </c>
      <c r="J1013" s="100" t="s">
        <v>58</v>
      </c>
      <c r="K1013" s="91" t="s">
        <v>58</v>
      </c>
      <c r="L1013" s="91" t="s">
        <v>60</v>
      </c>
      <c r="M1013" s="98">
        <f ca="1">(TODAY()-H1013)/365</f>
        <v>24.920547945205481</v>
      </c>
      <c r="N1013" s="99">
        <f>(G1013-H1013)/365</f>
        <v>15.468493150684932</v>
      </c>
      <c r="O1013" s="98">
        <f ca="1">(TODAY()-G1013)/365</f>
        <v>9.4520547945205475</v>
      </c>
      <c r="P1013" s="91" t="s">
        <v>43</v>
      </c>
      <c r="Q1013" s="91">
        <v>0</v>
      </c>
      <c r="R1013" s="91">
        <v>0</v>
      </c>
      <c r="S1013" s="91">
        <v>0</v>
      </c>
      <c r="T1013" s="91"/>
      <c r="U1013" s="91"/>
      <c r="V1013" s="91"/>
      <c r="W1013" s="91"/>
      <c r="X1013" s="91"/>
      <c r="Y1013" s="91"/>
      <c r="Z1013" s="91"/>
      <c r="AA1013" s="91"/>
      <c r="AB1013" s="91"/>
      <c r="AC1013" s="91"/>
      <c r="AD1013" s="91"/>
      <c r="AE1013" s="91"/>
      <c r="AF1013" s="91"/>
      <c r="AG1013" s="91"/>
      <c r="AH1013" s="91"/>
      <c r="AI1013" s="91"/>
      <c r="AJ1013" s="91"/>
      <c r="AK1013" s="91"/>
      <c r="AL1013" s="91"/>
      <c r="AM1013" s="91"/>
    </row>
    <row r="1014" spans="1:39" ht="20.25" customHeight="1">
      <c r="A1014" s="91"/>
      <c r="B1014" s="93" t="s">
        <v>10061</v>
      </c>
      <c r="C1014" s="91" t="s">
        <v>73</v>
      </c>
      <c r="D1014" s="106" t="s">
        <v>10099</v>
      </c>
      <c r="E1014" s="106" t="s">
        <v>10129</v>
      </c>
      <c r="F1014" s="92" t="s">
        <v>10130</v>
      </c>
      <c r="G1014" s="103">
        <v>43081</v>
      </c>
      <c r="H1014" s="103">
        <v>21971</v>
      </c>
      <c r="I1014" s="94" t="s">
        <v>4486</v>
      </c>
      <c r="J1014" s="100" t="s">
        <v>58</v>
      </c>
      <c r="K1014" s="95" t="s">
        <v>58</v>
      </c>
      <c r="L1014" s="91"/>
      <c r="M1014" s="98">
        <f ca="1">(TODAY()-H1014)/365</f>
        <v>65.838356164383555</v>
      </c>
      <c r="N1014" s="99">
        <f>(G1014-H1014)/365</f>
        <v>57.835616438356162</v>
      </c>
      <c r="O1014" s="98">
        <f ca="1">(TODAY()-G1014)/365</f>
        <v>8.0027397260273965</v>
      </c>
      <c r="P1014" s="91" t="s">
        <v>43</v>
      </c>
      <c r="Q1014" s="91"/>
      <c r="R1014" s="91"/>
      <c r="S1014" s="91"/>
      <c r="T1014" s="91"/>
      <c r="U1014" s="91"/>
      <c r="V1014" s="91"/>
      <c r="W1014" s="91"/>
      <c r="X1014" s="91"/>
      <c r="Y1014" s="91"/>
      <c r="Z1014" s="91"/>
      <c r="AA1014" s="91"/>
      <c r="AB1014" s="91"/>
      <c r="AC1014" s="91"/>
      <c r="AD1014" s="91"/>
      <c r="AE1014" s="91"/>
      <c r="AF1014" s="91"/>
      <c r="AG1014" s="91"/>
      <c r="AH1014" s="91"/>
      <c r="AI1014" s="91"/>
      <c r="AJ1014" s="91"/>
      <c r="AK1014" s="91"/>
      <c r="AL1014" s="91"/>
      <c r="AM1014" s="91"/>
    </row>
    <row r="1015" spans="1:39" ht="20.25" customHeight="1">
      <c r="A1015" s="91"/>
      <c r="B1015" s="93" t="s">
        <v>77</v>
      </c>
      <c r="C1015" s="91" t="s">
        <v>73</v>
      </c>
      <c r="D1015" s="94" t="s">
        <v>217</v>
      </c>
      <c r="E1015" s="94" t="s">
        <v>218</v>
      </c>
      <c r="F1015" s="95" t="s">
        <v>219</v>
      </c>
      <c r="G1015" s="96">
        <v>40725</v>
      </c>
      <c r="H1015" s="97">
        <v>17282</v>
      </c>
      <c r="I1015" s="94" t="s">
        <v>220</v>
      </c>
      <c r="J1015" s="100" t="s">
        <v>58</v>
      </c>
      <c r="K1015" s="91" t="s">
        <v>58</v>
      </c>
      <c r="L1015" s="91" t="s">
        <v>60</v>
      </c>
      <c r="M1015" s="98">
        <f ca="1">(TODAY()-H1015)/365</f>
        <v>78.68493150684931</v>
      </c>
      <c r="N1015" s="99">
        <f>(G1015-H1015)/365</f>
        <v>64.227397260273975</v>
      </c>
      <c r="O1015" s="98">
        <f ca="1">(TODAY()-G1015)/365</f>
        <v>14.457534246575342</v>
      </c>
      <c r="P1015" s="91" t="s">
        <v>43</v>
      </c>
      <c r="Q1015" s="91">
        <v>0</v>
      </c>
      <c r="R1015" s="91">
        <v>0</v>
      </c>
      <c r="S1015" s="91">
        <v>0</v>
      </c>
      <c r="T1015" s="91"/>
      <c r="U1015" s="91"/>
      <c r="V1015" s="91"/>
      <c r="W1015" s="91"/>
      <c r="X1015" s="91"/>
      <c r="Y1015" s="91"/>
      <c r="Z1015" s="91"/>
      <c r="AA1015" s="91"/>
      <c r="AB1015" s="91"/>
      <c r="AC1015" s="91"/>
      <c r="AD1015" s="91"/>
      <c r="AE1015" s="91"/>
      <c r="AF1015" s="91"/>
      <c r="AG1015" s="91"/>
      <c r="AH1015" s="91"/>
      <c r="AI1015" s="91"/>
      <c r="AJ1015" s="91"/>
      <c r="AK1015" s="91"/>
      <c r="AL1015" s="91"/>
      <c r="AM1015" s="91"/>
    </row>
    <row r="1016" spans="1:39" ht="20.25" customHeight="1">
      <c r="A1016" s="91"/>
      <c r="B1016" s="93" t="s">
        <v>371</v>
      </c>
      <c r="C1016" s="91" t="s">
        <v>73</v>
      </c>
      <c r="D1016" s="94" t="s">
        <v>459</v>
      </c>
      <c r="E1016" s="94" t="s">
        <v>460</v>
      </c>
      <c r="F1016" s="95" t="s">
        <v>461</v>
      </c>
      <c r="G1016" s="96">
        <v>45636</v>
      </c>
      <c r="H1016" s="97">
        <v>37246</v>
      </c>
      <c r="I1016" s="100" t="s">
        <v>462</v>
      </c>
      <c r="J1016" s="100" t="s">
        <v>58</v>
      </c>
      <c r="K1016" s="91" t="s">
        <v>58</v>
      </c>
      <c r="L1016" s="91" t="s">
        <v>60</v>
      </c>
      <c r="M1016" s="98">
        <f ca="1">(TODAY()-H1016)/365</f>
        <v>23.989041095890411</v>
      </c>
      <c r="N1016" s="99">
        <f>(G1016-H1016)/365</f>
        <v>22.986301369863014</v>
      </c>
      <c r="O1016" s="98">
        <f ca="1">(TODAY()-G1016)/365</f>
        <v>1.0027397260273974</v>
      </c>
      <c r="P1016" s="91" t="s">
        <v>43</v>
      </c>
      <c r="Q1016" s="91">
        <v>0</v>
      </c>
      <c r="R1016" s="91">
        <v>0</v>
      </c>
      <c r="S1016" s="91">
        <v>0</v>
      </c>
      <c r="T1016" s="91"/>
      <c r="U1016" s="91"/>
      <c r="V1016" s="91"/>
      <c r="W1016" s="91"/>
      <c r="X1016" s="91"/>
      <c r="Y1016" s="91"/>
      <c r="Z1016" s="91"/>
      <c r="AA1016" s="91"/>
      <c r="AB1016" s="91"/>
      <c r="AC1016" s="91"/>
      <c r="AD1016" s="91"/>
      <c r="AE1016" s="91"/>
      <c r="AF1016" s="91"/>
      <c r="AG1016" s="91"/>
      <c r="AH1016" s="91"/>
      <c r="AI1016" s="91"/>
      <c r="AJ1016" s="91"/>
      <c r="AK1016" s="91"/>
      <c r="AL1016" s="91"/>
      <c r="AM1016" s="91"/>
    </row>
    <row r="1017" spans="1:39" ht="20.25" customHeight="1">
      <c r="A1017" s="91"/>
      <c r="B1017" s="93" t="s">
        <v>3374</v>
      </c>
      <c r="C1017" s="91" t="s">
        <v>73</v>
      </c>
      <c r="D1017" s="107" t="s">
        <v>3483</v>
      </c>
      <c r="E1017" s="107" t="s">
        <v>3484</v>
      </c>
      <c r="F1017" s="91" t="s">
        <v>3485</v>
      </c>
      <c r="G1017" s="96">
        <v>36621</v>
      </c>
      <c r="H1017" s="97">
        <v>22320</v>
      </c>
      <c r="I1017" s="100" t="s">
        <v>3486</v>
      </c>
      <c r="J1017" s="94" t="s">
        <v>58</v>
      </c>
      <c r="K1017" s="95" t="s">
        <v>58</v>
      </c>
      <c r="L1017" s="91" t="s">
        <v>60</v>
      </c>
      <c r="M1017" s="98">
        <f ca="1">(TODAY()-H1017)/365</f>
        <v>64.882191780821913</v>
      </c>
      <c r="N1017" s="99">
        <f>(G1017-H1017)/365</f>
        <v>39.180821917808217</v>
      </c>
      <c r="O1017" s="98">
        <f ca="1">(TODAY()-G1017)/365</f>
        <v>25.701369863013699</v>
      </c>
      <c r="P1017" s="91" t="s">
        <v>43</v>
      </c>
      <c r="Q1017" s="91"/>
      <c r="R1017" s="91"/>
      <c r="S1017" s="91"/>
      <c r="T1017" s="91"/>
      <c r="U1017" s="91"/>
      <c r="V1017" s="91"/>
      <c r="W1017" s="91"/>
      <c r="X1017" s="91"/>
      <c r="Y1017" s="91"/>
      <c r="Z1017" s="91"/>
      <c r="AA1017" s="91"/>
      <c r="AB1017" s="91"/>
      <c r="AC1017" s="91"/>
      <c r="AD1017" s="91"/>
      <c r="AE1017" s="91"/>
      <c r="AF1017" s="91"/>
      <c r="AG1017" s="91"/>
      <c r="AH1017" s="91"/>
      <c r="AI1017" s="91"/>
      <c r="AJ1017" s="91"/>
      <c r="AK1017" s="91"/>
      <c r="AL1017" s="91"/>
      <c r="AM1017" s="91"/>
    </row>
    <row r="1018" spans="1:39" ht="20.25" customHeight="1">
      <c r="A1018" s="91"/>
      <c r="B1018" s="93" t="s">
        <v>3610</v>
      </c>
      <c r="C1018" s="91" t="s">
        <v>73</v>
      </c>
      <c r="D1018" s="94" t="s">
        <v>3649</v>
      </c>
      <c r="E1018" s="94" t="s">
        <v>3650</v>
      </c>
      <c r="F1018" s="95" t="s">
        <v>3651</v>
      </c>
      <c r="G1018" s="96">
        <v>42866</v>
      </c>
      <c r="H1018" s="97">
        <v>30508</v>
      </c>
      <c r="I1018" s="94" t="s">
        <v>3614</v>
      </c>
      <c r="J1018" s="100" t="s">
        <v>58</v>
      </c>
      <c r="K1018" s="91" t="s">
        <v>58</v>
      </c>
      <c r="L1018" s="91" t="s">
        <v>60</v>
      </c>
      <c r="M1018" s="98">
        <f ca="1">(TODAY()-H1018)/365</f>
        <v>42.449315068493149</v>
      </c>
      <c r="N1018" s="99">
        <f>(G1018-H1018)/365</f>
        <v>33.857534246575341</v>
      </c>
      <c r="O1018" s="98">
        <f ca="1">(TODAY()-G1018)/365</f>
        <v>8.5917808219178085</v>
      </c>
      <c r="P1018" s="91" t="s">
        <v>272</v>
      </c>
      <c r="Q1018" s="91">
        <v>0</v>
      </c>
      <c r="R1018" s="91">
        <v>0</v>
      </c>
      <c r="S1018" s="91">
        <v>0</v>
      </c>
      <c r="T1018" s="91"/>
      <c r="U1018" s="91"/>
      <c r="V1018" s="91"/>
      <c r="W1018" s="91"/>
      <c r="X1018" s="91"/>
      <c r="Y1018" s="91"/>
      <c r="Z1018" s="91"/>
      <c r="AA1018" s="91"/>
      <c r="AB1018" s="91"/>
      <c r="AC1018" s="91"/>
      <c r="AD1018" s="91"/>
      <c r="AE1018" s="91"/>
      <c r="AF1018" s="91"/>
      <c r="AG1018" s="91"/>
      <c r="AH1018" s="91"/>
      <c r="AI1018" s="91"/>
      <c r="AJ1018" s="91"/>
      <c r="AK1018" s="91"/>
      <c r="AL1018" s="91"/>
      <c r="AM1018" s="91"/>
    </row>
    <row r="1019" spans="1:39" ht="20.25" customHeight="1">
      <c r="A1019" s="91"/>
      <c r="B1019" s="93" t="s">
        <v>8095</v>
      </c>
      <c r="C1019" s="91" t="s">
        <v>73</v>
      </c>
      <c r="D1019" s="94" t="s">
        <v>8175</v>
      </c>
      <c r="E1019" s="94" t="s">
        <v>8176</v>
      </c>
      <c r="F1019" s="95" t="s">
        <v>8177</v>
      </c>
      <c r="G1019" s="96">
        <v>44974</v>
      </c>
      <c r="H1019" s="97">
        <v>28186</v>
      </c>
      <c r="I1019" s="94" t="s">
        <v>8178</v>
      </c>
      <c r="J1019" s="100" t="s">
        <v>58</v>
      </c>
      <c r="K1019" s="91" t="s">
        <v>58</v>
      </c>
      <c r="L1019" s="91" t="s">
        <v>60</v>
      </c>
      <c r="M1019" s="98">
        <f ca="1">(TODAY()-H1019)/365</f>
        <v>48.81095890410959</v>
      </c>
      <c r="N1019" s="99">
        <f>(G1019-H1019)/365</f>
        <v>45.994520547945207</v>
      </c>
      <c r="O1019" s="98">
        <f ca="1">(TODAY()-G1019)/365</f>
        <v>2.8164383561643835</v>
      </c>
      <c r="P1019" s="91" t="s">
        <v>43</v>
      </c>
      <c r="Q1019" s="91">
        <v>0</v>
      </c>
      <c r="R1019" s="91">
        <v>0</v>
      </c>
      <c r="S1019" s="91">
        <v>0</v>
      </c>
      <c r="T1019" s="91"/>
      <c r="U1019" s="91"/>
      <c r="V1019" s="91"/>
      <c r="W1019" s="91"/>
      <c r="X1019" s="91"/>
      <c r="Y1019" s="91"/>
      <c r="Z1019" s="91"/>
      <c r="AA1019" s="91"/>
      <c r="AB1019" s="91"/>
      <c r="AC1019" s="91"/>
      <c r="AD1019" s="91"/>
      <c r="AE1019" s="91"/>
      <c r="AF1019" s="91"/>
      <c r="AG1019" s="91"/>
      <c r="AH1019" s="91"/>
      <c r="AI1019" s="91"/>
      <c r="AJ1019" s="91"/>
      <c r="AK1019" s="91"/>
      <c r="AL1019" s="91"/>
      <c r="AM1019" s="91"/>
    </row>
    <row r="1020" spans="1:39" ht="20.25" hidden="1" customHeight="1">
      <c r="A1020" s="91"/>
      <c r="B1020" s="93" t="s">
        <v>3374</v>
      </c>
      <c r="C1020" s="91" t="s">
        <v>36</v>
      </c>
      <c r="D1020" s="107" t="s">
        <v>3461</v>
      </c>
      <c r="E1020" s="107" t="s">
        <v>3462</v>
      </c>
      <c r="F1020" s="91" t="s">
        <v>3463</v>
      </c>
      <c r="G1020" s="96">
        <v>45627</v>
      </c>
      <c r="H1020" s="97">
        <v>32850</v>
      </c>
      <c r="I1020" s="100" t="s">
        <v>3464</v>
      </c>
      <c r="J1020" s="100" t="s">
        <v>3465</v>
      </c>
      <c r="K1020" s="91">
        <v>987432594</v>
      </c>
      <c r="L1020" s="91" t="s">
        <v>60</v>
      </c>
      <c r="M1020" s="98">
        <f ca="1">(TODAY()-H1020)/365</f>
        <v>36.032876712328765</v>
      </c>
      <c r="N1020" s="99">
        <f>(G1020-H1020)/365</f>
        <v>35.005479452054793</v>
      </c>
      <c r="O1020" s="98">
        <f ca="1">(TODAY()-G1020)/365</f>
        <v>1.0273972602739727</v>
      </c>
      <c r="P1020" s="91" t="s">
        <v>43</v>
      </c>
      <c r="Q1020" s="91"/>
      <c r="R1020" s="91"/>
      <c r="S1020" s="91"/>
      <c r="T1020" s="91"/>
      <c r="U1020" s="91"/>
      <c r="V1020" s="91"/>
      <c r="W1020" s="91"/>
      <c r="X1020" s="91"/>
      <c r="Y1020" s="91"/>
      <c r="Z1020" s="91"/>
      <c r="AA1020" s="91"/>
      <c r="AB1020" s="91"/>
      <c r="AC1020" s="91"/>
      <c r="AD1020" s="91"/>
      <c r="AE1020" s="91"/>
      <c r="AF1020" s="91"/>
      <c r="AG1020" s="91"/>
      <c r="AH1020" s="91"/>
      <c r="AI1020" s="91"/>
      <c r="AJ1020" s="91"/>
      <c r="AK1020" s="91"/>
      <c r="AL1020" s="91"/>
      <c r="AM1020" s="91"/>
    </row>
    <row r="1021" spans="1:39" ht="20.25" customHeight="1">
      <c r="A1021" s="91"/>
      <c r="B1021" s="93" t="s">
        <v>11879</v>
      </c>
      <c r="C1021" s="91" t="s">
        <v>73</v>
      </c>
      <c r="D1021" s="107" t="s">
        <v>3272</v>
      </c>
      <c r="E1021" s="107" t="s">
        <v>6257</v>
      </c>
      <c r="F1021" s="91" t="s">
        <v>6258</v>
      </c>
      <c r="G1021" s="96">
        <v>44365</v>
      </c>
      <c r="H1021" s="97">
        <v>25297</v>
      </c>
      <c r="I1021" s="94" t="s">
        <v>58</v>
      </c>
      <c r="J1021" s="94" t="s">
        <v>58</v>
      </c>
      <c r="K1021" s="95" t="s">
        <v>58</v>
      </c>
      <c r="L1021" s="91" t="s">
        <v>60</v>
      </c>
      <c r="M1021" s="98">
        <f ca="1">(TODAY()-H1021)/365</f>
        <v>56.726027397260275</v>
      </c>
      <c r="N1021" s="99">
        <f>(G1021-H1021)/365</f>
        <v>52.241095890410961</v>
      </c>
      <c r="O1021" s="98">
        <f ca="1">(TODAY()-G1021)/365</f>
        <v>4.484931506849315</v>
      </c>
      <c r="P1021" s="91" t="s">
        <v>43</v>
      </c>
      <c r="Q1021" s="91"/>
      <c r="R1021" s="91"/>
      <c r="S1021" s="91"/>
      <c r="T1021" s="91"/>
      <c r="U1021" s="91"/>
      <c r="V1021" s="91"/>
      <c r="W1021" s="91"/>
      <c r="X1021" s="91"/>
      <c r="Y1021" s="91"/>
      <c r="Z1021" s="91"/>
      <c r="AA1021" s="91"/>
      <c r="AB1021" s="91"/>
      <c r="AC1021" s="91"/>
      <c r="AD1021" s="91"/>
      <c r="AE1021" s="91"/>
      <c r="AF1021" s="91"/>
      <c r="AG1021" s="91"/>
      <c r="AH1021" s="91"/>
      <c r="AI1021" s="91"/>
      <c r="AJ1021" s="91"/>
      <c r="AK1021" s="91"/>
      <c r="AL1021" s="91"/>
      <c r="AM1021" s="91"/>
    </row>
    <row r="1022" spans="1:39" ht="20.25" hidden="1" customHeight="1">
      <c r="A1022" s="91"/>
      <c r="B1022" s="93" t="s">
        <v>3374</v>
      </c>
      <c r="C1022" s="91" t="s">
        <v>36</v>
      </c>
      <c r="D1022" s="107" t="s">
        <v>3470</v>
      </c>
      <c r="E1022" s="107" t="s">
        <v>3471</v>
      </c>
      <c r="F1022" s="91" t="s">
        <v>3472</v>
      </c>
      <c r="G1022" s="96">
        <v>33666</v>
      </c>
      <c r="H1022" s="97">
        <v>20363</v>
      </c>
      <c r="I1022" s="100" t="s">
        <v>3473</v>
      </c>
      <c r="J1022" s="100" t="s">
        <v>3474</v>
      </c>
      <c r="K1022" s="91">
        <v>978486939</v>
      </c>
      <c r="L1022" s="91" t="s">
        <v>66</v>
      </c>
      <c r="M1022" s="98">
        <f ca="1">(TODAY()-H1022)/365</f>
        <v>70.243835616438361</v>
      </c>
      <c r="N1022" s="99">
        <f>(G1022-H1022)/365</f>
        <v>36.446575342465756</v>
      </c>
      <c r="O1022" s="98">
        <f ca="1">(TODAY()-G1022)/365</f>
        <v>33.797260273972604</v>
      </c>
      <c r="P1022" s="91" t="s">
        <v>43</v>
      </c>
      <c r="Q1022" s="91"/>
      <c r="R1022" s="91"/>
      <c r="S1022" s="91"/>
      <c r="T1022" s="91"/>
      <c r="U1022" s="91"/>
      <c r="V1022" s="91"/>
      <c r="W1022" s="91"/>
      <c r="X1022" s="91"/>
      <c r="Y1022" s="91"/>
      <c r="Z1022" s="91"/>
      <c r="AA1022" s="91"/>
      <c r="AB1022" s="91"/>
      <c r="AC1022" s="91"/>
      <c r="AD1022" s="91"/>
      <c r="AE1022" s="91"/>
      <c r="AF1022" s="91"/>
      <c r="AG1022" s="91"/>
      <c r="AH1022" s="91"/>
      <c r="AI1022" s="91"/>
      <c r="AJ1022" s="91"/>
      <c r="AK1022" s="91"/>
      <c r="AL1022" s="91"/>
      <c r="AM1022" s="91"/>
    </row>
    <row r="1023" spans="1:39" ht="20.25" hidden="1" customHeight="1">
      <c r="A1023" s="91"/>
      <c r="B1023" s="93" t="s">
        <v>3374</v>
      </c>
      <c r="C1023" s="91" t="s">
        <v>36</v>
      </c>
      <c r="D1023" s="107" t="s">
        <v>1225</v>
      </c>
      <c r="E1023" s="107" t="s">
        <v>3475</v>
      </c>
      <c r="F1023" s="91" t="s">
        <v>3476</v>
      </c>
      <c r="G1023" s="96">
        <v>29776</v>
      </c>
      <c r="H1023" s="97">
        <v>16111</v>
      </c>
      <c r="I1023" s="100" t="s">
        <v>3477</v>
      </c>
      <c r="J1023" s="100" t="s">
        <v>3478</v>
      </c>
      <c r="K1023" s="91" t="s">
        <v>3479</v>
      </c>
      <c r="L1023" s="91" t="s">
        <v>60</v>
      </c>
      <c r="M1023" s="98">
        <f ca="1">(TODAY()-H1023)/365</f>
        <v>81.893150684931513</v>
      </c>
      <c r="N1023" s="99">
        <f>(G1023-H1023)/365</f>
        <v>37.438356164383563</v>
      </c>
      <c r="O1023" s="98">
        <f ca="1">(TODAY()-G1023)/365</f>
        <v>44.454794520547942</v>
      </c>
      <c r="P1023" s="91" t="s">
        <v>43</v>
      </c>
      <c r="Q1023" s="91"/>
      <c r="R1023" s="91"/>
      <c r="S1023" s="91"/>
      <c r="T1023" s="91"/>
      <c r="U1023" s="91"/>
      <c r="V1023" s="91"/>
      <c r="W1023" s="91"/>
      <c r="X1023" s="91"/>
      <c r="Y1023" s="91"/>
      <c r="Z1023" s="91"/>
      <c r="AA1023" s="91"/>
      <c r="AB1023" s="91"/>
      <c r="AC1023" s="91"/>
      <c r="AD1023" s="91"/>
      <c r="AE1023" s="91"/>
      <c r="AF1023" s="91"/>
      <c r="AG1023" s="91"/>
      <c r="AH1023" s="91"/>
      <c r="AI1023" s="91"/>
      <c r="AJ1023" s="91"/>
      <c r="AK1023" s="91"/>
      <c r="AL1023" s="91"/>
      <c r="AM1023" s="91"/>
    </row>
    <row r="1024" spans="1:39" ht="20.25" hidden="1" customHeight="1">
      <c r="A1024" s="91"/>
      <c r="B1024" s="93" t="s">
        <v>3374</v>
      </c>
      <c r="C1024" s="91" t="s">
        <v>36</v>
      </c>
      <c r="D1024" s="107" t="s">
        <v>675</v>
      </c>
      <c r="E1024" s="107" t="s">
        <v>3480</v>
      </c>
      <c r="F1024" s="91" t="s">
        <v>3481</v>
      </c>
      <c r="G1024" s="96">
        <v>33666</v>
      </c>
      <c r="H1024" s="97">
        <v>19994</v>
      </c>
      <c r="I1024" s="94" t="s">
        <v>3482</v>
      </c>
      <c r="J1024" s="94" t="s">
        <v>58</v>
      </c>
      <c r="K1024" s="95" t="s">
        <v>58</v>
      </c>
      <c r="L1024" s="91" t="s">
        <v>42</v>
      </c>
      <c r="M1024" s="98">
        <f ca="1">(TODAY()-H1024)/365</f>
        <v>71.254794520547946</v>
      </c>
      <c r="N1024" s="99">
        <f>(G1024-H1024)/365</f>
        <v>37.457534246575342</v>
      </c>
      <c r="O1024" s="98">
        <f ca="1">(TODAY()-G1024)/365</f>
        <v>33.797260273972604</v>
      </c>
      <c r="P1024" s="91" t="s">
        <v>43</v>
      </c>
      <c r="Q1024" s="91"/>
      <c r="R1024" s="91"/>
      <c r="S1024" s="91"/>
      <c r="T1024" s="91"/>
      <c r="U1024" s="91"/>
      <c r="V1024" s="91"/>
      <c r="W1024" s="91"/>
      <c r="X1024" s="91"/>
      <c r="Y1024" s="91"/>
      <c r="Z1024" s="91"/>
      <c r="AA1024" s="91"/>
      <c r="AB1024" s="91"/>
      <c r="AC1024" s="91"/>
      <c r="AD1024" s="91"/>
      <c r="AE1024" s="91"/>
      <c r="AF1024" s="91"/>
      <c r="AG1024" s="91"/>
      <c r="AH1024" s="91"/>
      <c r="AI1024" s="91"/>
      <c r="AJ1024" s="91"/>
      <c r="AK1024" s="91"/>
      <c r="AL1024" s="91"/>
      <c r="AM1024" s="91"/>
    </row>
    <row r="1025" spans="1:39" ht="20.25" customHeight="1">
      <c r="A1025" s="91"/>
      <c r="B1025" s="93" t="s">
        <v>7360</v>
      </c>
      <c r="C1025" s="91" t="s">
        <v>73</v>
      </c>
      <c r="D1025" s="107" t="s">
        <v>1286</v>
      </c>
      <c r="E1025" s="107" t="s">
        <v>7392</v>
      </c>
      <c r="F1025" s="91" t="s">
        <v>7393</v>
      </c>
      <c r="G1025" s="96">
        <v>44409</v>
      </c>
      <c r="H1025" s="97">
        <v>25363</v>
      </c>
      <c r="I1025" s="108" t="s">
        <v>12404</v>
      </c>
      <c r="J1025" s="100" t="s">
        <v>58</v>
      </c>
      <c r="K1025" s="91" t="s">
        <v>58</v>
      </c>
      <c r="L1025" s="91" t="s">
        <v>60</v>
      </c>
      <c r="M1025" s="98">
        <f ca="1">(TODAY()-H1025)/365</f>
        <v>56.545205479452058</v>
      </c>
      <c r="N1025" s="99">
        <f>(G1025-H1025)/365</f>
        <v>52.180821917808217</v>
      </c>
      <c r="O1025" s="98">
        <f ca="1">(TODAY()-G1025)/365</f>
        <v>4.3643835616438356</v>
      </c>
      <c r="P1025" s="91" t="s">
        <v>43</v>
      </c>
      <c r="Q1025" s="91">
        <v>0</v>
      </c>
      <c r="R1025" s="91">
        <v>0</v>
      </c>
      <c r="S1025" s="91">
        <v>0</v>
      </c>
      <c r="T1025" s="91"/>
      <c r="U1025" s="91"/>
      <c r="V1025" s="91"/>
      <c r="W1025" s="91"/>
      <c r="X1025" s="91"/>
      <c r="Y1025" s="91"/>
      <c r="Z1025" s="91"/>
      <c r="AA1025" s="91"/>
      <c r="AB1025" s="91"/>
      <c r="AC1025" s="91"/>
      <c r="AD1025" s="91"/>
      <c r="AE1025" s="91"/>
      <c r="AF1025" s="91"/>
      <c r="AG1025" s="91"/>
      <c r="AH1025" s="91"/>
      <c r="AI1025" s="91"/>
      <c r="AJ1025" s="91"/>
      <c r="AK1025" s="91"/>
      <c r="AL1025" s="91"/>
      <c r="AM1025" s="91"/>
    </row>
    <row r="1026" spans="1:39" ht="20.25" hidden="1" customHeight="1">
      <c r="A1026" s="91"/>
      <c r="B1026" s="93" t="s">
        <v>3374</v>
      </c>
      <c r="C1026" s="91" t="s">
        <v>36</v>
      </c>
      <c r="D1026" s="107" t="s">
        <v>3487</v>
      </c>
      <c r="E1026" s="107" t="s">
        <v>3488</v>
      </c>
      <c r="F1026" s="91" t="s">
        <v>3489</v>
      </c>
      <c r="G1026" s="96">
        <v>43222</v>
      </c>
      <c r="H1026" s="97">
        <v>28910</v>
      </c>
      <c r="I1026" s="100" t="s">
        <v>3490</v>
      </c>
      <c r="J1026" s="100" t="s">
        <v>3491</v>
      </c>
      <c r="K1026" s="91" t="s">
        <v>3492</v>
      </c>
      <c r="L1026" s="91" t="s">
        <v>197</v>
      </c>
      <c r="M1026" s="98">
        <f ca="1">(TODAY()-H1026)/365</f>
        <v>46.827397260273976</v>
      </c>
      <c r="N1026" s="99">
        <f>(G1026-H1026)/365</f>
        <v>39.210958904109589</v>
      </c>
      <c r="O1026" s="98">
        <f ca="1">(TODAY()-G1026)/365</f>
        <v>7.6164383561643838</v>
      </c>
      <c r="P1026" s="91" t="s">
        <v>43</v>
      </c>
      <c r="Q1026" s="91"/>
      <c r="R1026" s="91">
        <v>1</v>
      </c>
      <c r="S1026" s="91"/>
      <c r="T1026" s="91"/>
      <c r="U1026" s="91"/>
      <c r="V1026" s="91"/>
      <c r="W1026" s="91"/>
      <c r="X1026" s="91"/>
      <c r="Y1026" s="91"/>
      <c r="Z1026" s="91"/>
      <c r="AA1026" s="91"/>
      <c r="AB1026" s="91"/>
      <c r="AC1026" s="91"/>
      <c r="AD1026" s="91"/>
      <c r="AE1026" s="91"/>
      <c r="AF1026" s="91"/>
      <c r="AG1026" s="91"/>
      <c r="AH1026" s="91"/>
      <c r="AI1026" s="91"/>
      <c r="AJ1026" s="91"/>
      <c r="AK1026" s="91"/>
      <c r="AL1026" s="91"/>
      <c r="AM1026" s="91"/>
    </row>
    <row r="1027" spans="1:39" ht="20.25" hidden="1" customHeight="1">
      <c r="A1027" s="91"/>
      <c r="B1027" s="93" t="s">
        <v>3374</v>
      </c>
      <c r="C1027" s="91" t="s">
        <v>36</v>
      </c>
      <c r="D1027" s="107" t="s">
        <v>3493</v>
      </c>
      <c r="E1027" s="107" t="s">
        <v>3494</v>
      </c>
      <c r="F1027" s="91" t="s">
        <v>3495</v>
      </c>
      <c r="G1027" s="96">
        <v>45395</v>
      </c>
      <c r="H1027" s="97">
        <v>30655</v>
      </c>
      <c r="I1027" s="100" t="s">
        <v>3496</v>
      </c>
      <c r="J1027" s="100" t="s">
        <v>3497</v>
      </c>
      <c r="K1027" s="91" t="s">
        <v>3498</v>
      </c>
      <c r="L1027" s="91" t="s">
        <v>60</v>
      </c>
      <c r="M1027" s="98">
        <f ca="1">(TODAY()-H1027)/365</f>
        <v>42.046575342465751</v>
      </c>
      <c r="N1027" s="99">
        <f>(G1027-H1027)/365</f>
        <v>40.38356164383562</v>
      </c>
      <c r="O1027" s="98">
        <f ca="1">(TODAY()-G1027)/365</f>
        <v>1.6630136986301369</v>
      </c>
      <c r="P1027" s="91" t="s">
        <v>43</v>
      </c>
      <c r="Q1027" s="91"/>
      <c r="R1027" s="91"/>
      <c r="S1027" s="91"/>
      <c r="T1027" s="91"/>
      <c r="U1027" s="91"/>
      <c r="V1027" s="91"/>
      <c r="W1027" s="91"/>
      <c r="X1027" s="91"/>
      <c r="Y1027" s="91"/>
      <c r="Z1027" s="91"/>
      <c r="AA1027" s="91"/>
      <c r="AB1027" s="91"/>
      <c r="AC1027" s="91"/>
      <c r="AD1027" s="91"/>
      <c r="AE1027" s="91"/>
      <c r="AF1027" s="91"/>
      <c r="AG1027" s="91"/>
      <c r="AH1027" s="91"/>
      <c r="AI1027" s="91"/>
      <c r="AJ1027" s="91"/>
      <c r="AK1027" s="91"/>
      <c r="AL1027" s="91"/>
      <c r="AM1027" s="91"/>
    </row>
    <row r="1028" spans="1:39" ht="20.25" hidden="1" customHeight="1">
      <c r="A1028" s="91"/>
      <c r="B1028" s="93" t="s">
        <v>3374</v>
      </c>
      <c r="C1028" s="91" t="s">
        <v>36</v>
      </c>
      <c r="D1028" s="107" t="s">
        <v>1408</v>
      </c>
      <c r="E1028" s="107" t="s">
        <v>3499</v>
      </c>
      <c r="F1028" s="91" t="s">
        <v>3500</v>
      </c>
      <c r="G1028" s="96">
        <v>44471</v>
      </c>
      <c r="H1028" s="97">
        <v>28292</v>
      </c>
      <c r="I1028" s="100" t="s">
        <v>3501</v>
      </c>
      <c r="J1028" s="100" t="s">
        <v>3502</v>
      </c>
      <c r="K1028" s="91">
        <v>962938019</v>
      </c>
      <c r="L1028" s="91" t="s">
        <v>54</v>
      </c>
      <c r="M1028" s="98">
        <f ca="1">(TODAY()-H1028)/365</f>
        <v>48.520547945205479</v>
      </c>
      <c r="N1028" s="99">
        <f>(G1028-H1028)/365</f>
        <v>44.326027397260276</v>
      </c>
      <c r="O1028" s="98">
        <f ca="1">(TODAY()-G1028)/365</f>
        <v>4.1945205479452055</v>
      </c>
      <c r="P1028" s="91" t="s">
        <v>43</v>
      </c>
      <c r="Q1028" s="91"/>
      <c r="R1028" s="91"/>
      <c r="S1028" s="91"/>
      <c r="T1028" s="91"/>
      <c r="U1028" s="91"/>
      <c r="V1028" s="91"/>
      <c r="W1028" s="91"/>
      <c r="X1028" s="91"/>
      <c r="Y1028" s="91"/>
      <c r="Z1028" s="91"/>
      <c r="AA1028" s="91"/>
      <c r="AB1028" s="91"/>
      <c r="AC1028" s="91"/>
      <c r="AD1028" s="91"/>
      <c r="AE1028" s="91"/>
      <c r="AF1028" s="91"/>
      <c r="AG1028" s="91"/>
      <c r="AH1028" s="91"/>
      <c r="AI1028" s="91"/>
      <c r="AJ1028" s="91"/>
      <c r="AK1028" s="91"/>
      <c r="AL1028" s="91"/>
      <c r="AM1028" s="91"/>
    </row>
    <row r="1029" spans="1:39" ht="20.25" hidden="1" customHeight="1">
      <c r="A1029" s="91"/>
      <c r="B1029" s="93" t="s">
        <v>3374</v>
      </c>
      <c r="C1029" s="91" t="s">
        <v>36</v>
      </c>
      <c r="D1029" s="107" t="s">
        <v>675</v>
      </c>
      <c r="E1029" s="107" t="s">
        <v>3503</v>
      </c>
      <c r="F1029" s="91" t="s">
        <v>3504</v>
      </c>
      <c r="G1029" s="96">
        <v>44026</v>
      </c>
      <c r="H1029" s="97">
        <v>27592</v>
      </c>
      <c r="I1029" s="100" t="s">
        <v>3505</v>
      </c>
      <c r="J1029" s="100" t="s">
        <v>3506</v>
      </c>
      <c r="K1029" s="91">
        <v>981628220</v>
      </c>
      <c r="L1029" s="91" t="s">
        <v>60</v>
      </c>
      <c r="M1029" s="98">
        <f ca="1">(TODAY()-H1029)/365</f>
        <v>50.438356164383563</v>
      </c>
      <c r="N1029" s="99">
        <f>(G1029-H1029)/365</f>
        <v>45.024657534246572</v>
      </c>
      <c r="O1029" s="98">
        <f ca="1">(TODAY()-G1029)/365</f>
        <v>5.4136986301369863</v>
      </c>
      <c r="P1029" s="91" t="s">
        <v>43</v>
      </c>
      <c r="Q1029" s="91"/>
      <c r="R1029" s="91"/>
      <c r="S1029" s="91"/>
      <c r="T1029" s="91"/>
      <c r="U1029" s="91"/>
      <c r="V1029" s="91"/>
      <c r="W1029" s="91"/>
      <c r="X1029" s="91"/>
      <c r="Y1029" s="91"/>
      <c r="Z1029" s="91"/>
      <c r="AA1029" s="91"/>
      <c r="AB1029" s="91"/>
      <c r="AC1029" s="91"/>
      <c r="AD1029" s="91"/>
      <c r="AE1029" s="91"/>
      <c r="AF1029" s="91"/>
      <c r="AG1029" s="91"/>
      <c r="AH1029" s="91"/>
      <c r="AI1029" s="91"/>
      <c r="AJ1029" s="91"/>
      <c r="AK1029" s="91"/>
      <c r="AL1029" s="91"/>
      <c r="AM1029" s="91"/>
    </row>
    <row r="1030" spans="1:39" ht="20.25" hidden="1" customHeight="1">
      <c r="A1030" s="91"/>
      <c r="B1030" s="93" t="s">
        <v>3374</v>
      </c>
      <c r="C1030" s="91" t="s">
        <v>36</v>
      </c>
      <c r="D1030" s="107" t="s">
        <v>3507</v>
      </c>
      <c r="E1030" s="107" t="s">
        <v>3508</v>
      </c>
      <c r="F1030" s="91" t="s">
        <v>3509</v>
      </c>
      <c r="G1030" s="96">
        <v>34857</v>
      </c>
      <c r="H1030" s="97">
        <v>17157</v>
      </c>
      <c r="I1030" s="100" t="s">
        <v>3510</v>
      </c>
      <c r="J1030" s="100" t="s">
        <v>3511</v>
      </c>
      <c r="K1030" s="91" t="s">
        <v>3512</v>
      </c>
      <c r="L1030" s="91" t="s">
        <v>60</v>
      </c>
      <c r="M1030" s="98">
        <f ca="1">(TODAY()-H1030)/365</f>
        <v>79.027397260273972</v>
      </c>
      <c r="N1030" s="99">
        <f>(G1030-H1030)/365</f>
        <v>48.493150684931507</v>
      </c>
      <c r="O1030" s="98">
        <f ca="1">(TODAY()-G1030)/365</f>
        <v>30.534246575342465</v>
      </c>
      <c r="P1030" s="91" t="s">
        <v>43</v>
      </c>
      <c r="Q1030" s="91"/>
      <c r="R1030" s="91"/>
      <c r="S1030" s="91"/>
      <c r="T1030" s="91"/>
      <c r="U1030" s="91"/>
      <c r="V1030" s="91"/>
      <c r="W1030" s="91"/>
      <c r="X1030" s="91"/>
      <c r="Y1030" s="91"/>
      <c r="Z1030" s="91"/>
      <c r="AA1030" s="91"/>
      <c r="AB1030" s="91"/>
      <c r="AC1030" s="91"/>
      <c r="AD1030" s="91"/>
      <c r="AE1030" s="91"/>
      <c r="AF1030" s="91"/>
      <c r="AG1030" s="91"/>
      <c r="AH1030" s="91"/>
      <c r="AI1030" s="91"/>
      <c r="AJ1030" s="91"/>
      <c r="AK1030" s="91"/>
      <c r="AL1030" s="91"/>
      <c r="AM1030" s="91"/>
    </row>
    <row r="1031" spans="1:39" ht="20.25" customHeight="1">
      <c r="A1031" s="91"/>
      <c r="B1031" s="93" t="s">
        <v>3992</v>
      </c>
      <c r="C1031" s="91" t="s">
        <v>73</v>
      </c>
      <c r="D1031" s="94" t="s">
        <v>1225</v>
      </c>
      <c r="E1031" s="94" t="s">
        <v>4022</v>
      </c>
      <c r="F1031" s="95" t="s">
        <v>4023</v>
      </c>
      <c r="G1031" s="96">
        <v>45022</v>
      </c>
      <c r="H1031" s="97">
        <v>32418</v>
      </c>
      <c r="I1031" s="94" t="s">
        <v>58</v>
      </c>
      <c r="J1031" s="94" t="s">
        <v>58</v>
      </c>
      <c r="K1031" s="95" t="s">
        <v>58</v>
      </c>
      <c r="L1031" s="91" t="s">
        <v>60</v>
      </c>
      <c r="M1031" s="98">
        <f ca="1">(TODAY()-H1031)/365</f>
        <v>37.216438356164382</v>
      </c>
      <c r="N1031" s="99">
        <f>(G1031-H1031)/365</f>
        <v>34.531506849315072</v>
      </c>
      <c r="O1031" s="98">
        <f ca="1">(TODAY()-G1031)/365</f>
        <v>2.6849315068493151</v>
      </c>
      <c r="P1031" s="91" t="s">
        <v>43</v>
      </c>
      <c r="Q1031" s="91">
        <v>0</v>
      </c>
      <c r="R1031" s="91">
        <v>0</v>
      </c>
      <c r="S1031" s="91">
        <v>0</v>
      </c>
      <c r="T1031" s="91"/>
      <c r="U1031" s="91"/>
      <c r="V1031" s="91"/>
      <c r="W1031" s="91"/>
      <c r="X1031" s="91"/>
      <c r="Y1031" s="91"/>
      <c r="Z1031" s="91"/>
      <c r="AA1031" s="91"/>
      <c r="AB1031" s="91"/>
      <c r="AC1031" s="91"/>
      <c r="AD1031" s="91"/>
      <c r="AE1031" s="91"/>
      <c r="AF1031" s="91"/>
      <c r="AG1031" s="91"/>
      <c r="AH1031" s="91"/>
      <c r="AI1031" s="91"/>
      <c r="AJ1031" s="91"/>
      <c r="AK1031" s="91"/>
      <c r="AL1031" s="91"/>
      <c r="AM1031" s="91"/>
    </row>
    <row r="1032" spans="1:39" ht="20.25" hidden="1" customHeight="1">
      <c r="A1032" s="91"/>
      <c r="B1032" s="93" t="s">
        <v>3374</v>
      </c>
      <c r="C1032" s="91" t="s">
        <v>36</v>
      </c>
      <c r="D1032" s="107" t="s">
        <v>1344</v>
      </c>
      <c r="E1032" s="107" t="s">
        <v>3517</v>
      </c>
      <c r="F1032" s="91" t="s">
        <v>3518</v>
      </c>
      <c r="G1032" s="96">
        <v>44301</v>
      </c>
      <c r="H1032" s="97">
        <v>24647</v>
      </c>
      <c r="I1032" s="100" t="s">
        <v>3519</v>
      </c>
      <c r="J1032" s="100" t="s">
        <v>3520</v>
      </c>
      <c r="K1032" s="91">
        <v>978205845</v>
      </c>
      <c r="L1032" s="91" t="s">
        <v>60</v>
      </c>
      <c r="M1032" s="98">
        <f ca="1">(TODAY()-H1032)/365</f>
        <v>58.506849315068493</v>
      </c>
      <c r="N1032" s="99">
        <f>(G1032-H1032)/365</f>
        <v>53.846575342465755</v>
      </c>
      <c r="O1032" s="98">
        <f ca="1">(TODAY()-G1032)/365</f>
        <v>4.6602739726027398</v>
      </c>
      <c r="P1032" s="91" t="s">
        <v>43</v>
      </c>
      <c r="Q1032" s="91"/>
      <c r="R1032" s="91"/>
      <c r="S1032" s="91"/>
      <c r="T1032" s="91"/>
      <c r="U1032" s="91"/>
      <c r="V1032" s="91"/>
      <c r="W1032" s="91"/>
      <c r="X1032" s="91"/>
      <c r="Y1032" s="91"/>
      <c r="Z1032" s="91"/>
      <c r="AA1032" s="91"/>
      <c r="AB1032" s="91"/>
      <c r="AC1032" s="91"/>
      <c r="AD1032" s="91"/>
      <c r="AE1032" s="91"/>
      <c r="AF1032" s="91"/>
      <c r="AG1032" s="91"/>
      <c r="AH1032" s="91"/>
      <c r="AI1032" s="91"/>
      <c r="AJ1032" s="91"/>
      <c r="AK1032" s="91"/>
      <c r="AL1032" s="91"/>
      <c r="AM1032" s="91"/>
    </row>
    <row r="1033" spans="1:39" ht="20.25" customHeight="1">
      <c r="A1033" s="91"/>
      <c r="B1033" s="93" t="s">
        <v>10823</v>
      </c>
      <c r="C1033" s="91" t="s">
        <v>73</v>
      </c>
      <c r="D1033" s="106" t="s">
        <v>10852</v>
      </c>
      <c r="E1033" s="106" t="s">
        <v>10853</v>
      </c>
      <c r="G1033" s="103">
        <v>45296</v>
      </c>
      <c r="H1033" s="103" t="s">
        <v>58</v>
      </c>
      <c r="I1033" s="94" t="s">
        <v>58</v>
      </c>
      <c r="J1033" s="100" t="s">
        <v>58</v>
      </c>
      <c r="K1033" s="95" t="s">
        <v>58</v>
      </c>
      <c r="L1033" s="91"/>
      <c r="M1033" s="98" t="e">
        <f ca="1">(TODAY()-H1033)/365</f>
        <v>#VALUE!</v>
      </c>
      <c r="N1033" s="99" t="e">
        <f>(G1033-H1033)/365</f>
        <v>#VALUE!</v>
      </c>
      <c r="O1033" s="98">
        <f ca="1">(TODAY()-G1033)/365</f>
        <v>1.9342465753424658</v>
      </c>
      <c r="P1033" s="91" t="s">
        <v>272</v>
      </c>
      <c r="Q1033" s="91"/>
      <c r="R1033" s="91"/>
      <c r="S1033" s="91"/>
      <c r="T1033" s="91"/>
      <c r="U1033" s="91"/>
      <c r="V1033" s="91"/>
      <c r="W1033" s="91"/>
      <c r="X1033" s="91"/>
      <c r="Y1033" s="91"/>
      <c r="Z1033" s="91"/>
      <c r="AA1033" s="91"/>
      <c r="AB1033" s="91"/>
      <c r="AC1033" s="91"/>
      <c r="AD1033" s="91"/>
      <c r="AE1033" s="91"/>
      <c r="AF1033" s="91"/>
      <c r="AG1033" s="91"/>
      <c r="AH1033" s="91"/>
      <c r="AI1033" s="91"/>
      <c r="AJ1033" s="91"/>
      <c r="AK1033" s="91"/>
      <c r="AL1033" s="91"/>
      <c r="AM1033" s="91"/>
    </row>
    <row r="1034" spans="1:39" ht="20.25" hidden="1" customHeight="1">
      <c r="A1034" s="91"/>
      <c r="B1034" s="93" t="s">
        <v>3374</v>
      </c>
      <c r="C1034" s="91" t="s">
        <v>36</v>
      </c>
      <c r="D1034" s="107" t="s">
        <v>666</v>
      </c>
      <c r="E1034" s="107" t="s">
        <v>3524</v>
      </c>
      <c r="F1034" s="91" t="s">
        <v>3525</v>
      </c>
      <c r="G1034" s="96">
        <v>44957</v>
      </c>
      <c r="H1034" s="97">
        <v>24262</v>
      </c>
      <c r="I1034" s="100" t="s">
        <v>3526</v>
      </c>
      <c r="J1034" s="100" t="s">
        <v>3527</v>
      </c>
      <c r="K1034" s="91">
        <v>987566159</v>
      </c>
      <c r="L1034" s="91" t="s">
        <v>60</v>
      </c>
      <c r="M1034" s="98">
        <f ca="1">(TODAY()-H1034)/365</f>
        <v>59.561643835616437</v>
      </c>
      <c r="N1034" s="99">
        <f>(G1034-H1034)/365</f>
        <v>56.698630136986303</v>
      </c>
      <c r="O1034" s="98">
        <f ca="1">(TODAY()-G1034)/365</f>
        <v>2.8630136986301369</v>
      </c>
      <c r="P1034" s="91" t="s">
        <v>43</v>
      </c>
      <c r="Q1034" s="91"/>
      <c r="R1034" s="91"/>
      <c r="S1034" s="91"/>
      <c r="T1034" s="91"/>
      <c r="U1034" s="91"/>
      <c r="V1034" s="91"/>
      <c r="W1034" s="91"/>
      <c r="X1034" s="91"/>
      <c r="Y1034" s="91"/>
      <c r="Z1034" s="91"/>
      <c r="AA1034" s="91"/>
      <c r="AB1034" s="91"/>
      <c r="AC1034" s="91"/>
      <c r="AD1034" s="91"/>
      <c r="AE1034" s="91"/>
      <c r="AF1034" s="91"/>
      <c r="AG1034" s="91"/>
      <c r="AH1034" s="91"/>
      <c r="AI1034" s="91"/>
      <c r="AJ1034" s="91"/>
      <c r="AK1034" s="91"/>
      <c r="AL1034" s="91"/>
      <c r="AM1034" s="91"/>
    </row>
    <row r="1035" spans="1:39" ht="20.25" hidden="1" customHeight="1">
      <c r="A1035" s="91"/>
      <c r="B1035" s="93" t="s">
        <v>3374</v>
      </c>
      <c r="C1035" s="91" t="s">
        <v>36</v>
      </c>
      <c r="D1035" s="107" t="s">
        <v>3528</v>
      </c>
      <c r="E1035" s="107" t="s">
        <v>3529</v>
      </c>
      <c r="F1035" s="91" t="s">
        <v>3530</v>
      </c>
      <c r="G1035" s="96">
        <v>45399</v>
      </c>
      <c r="H1035" s="97">
        <v>24591</v>
      </c>
      <c r="I1035" s="100" t="s">
        <v>3531</v>
      </c>
      <c r="J1035" s="100" t="s">
        <v>3532</v>
      </c>
      <c r="K1035" s="91">
        <v>937355312</v>
      </c>
      <c r="L1035" s="91" t="s">
        <v>60</v>
      </c>
      <c r="M1035" s="98">
        <f ca="1">(TODAY()-H1035)/365</f>
        <v>58.660273972602738</v>
      </c>
      <c r="N1035" s="99">
        <f>(G1035-H1035)/365</f>
        <v>57.008219178082193</v>
      </c>
      <c r="O1035" s="98">
        <f ca="1">(TODAY()-G1035)/365</f>
        <v>1.6520547945205479</v>
      </c>
      <c r="P1035" s="91" t="s">
        <v>43</v>
      </c>
      <c r="Q1035" s="91"/>
      <c r="R1035" s="91"/>
      <c r="S1035" s="91"/>
      <c r="T1035" s="91"/>
      <c r="U1035" s="91"/>
      <c r="V1035" s="91"/>
      <c r="W1035" s="91"/>
      <c r="X1035" s="91"/>
      <c r="Y1035" s="91"/>
      <c r="Z1035" s="91"/>
      <c r="AA1035" s="91"/>
      <c r="AB1035" s="91"/>
      <c r="AC1035" s="91"/>
      <c r="AD1035" s="91"/>
      <c r="AE1035" s="91"/>
      <c r="AF1035" s="91"/>
      <c r="AG1035" s="91"/>
      <c r="AH1035" s="91"/>
      <c r="AI1035" s="91"/>
      <c r="AJ1035" s="91"/>
      <c r="AK1035" s="91"/>
      <c r="AL1035" s="91"/>
      <c r="AM1035" s="91"/>
    </row>
    <row r="1036" spans="1:39" ht="20.25" hidden="1" customHeight="1">
      <c r="A1036" s="91"/>
      <c r="B1036" s="93" t="s">
        <v>3374</v>
      </c>
      <c r="C1036" s="91" t="s">
        <v>36</v>
      </c>
      <c r="D1036" s="107" t="s">
        <v>666</v>
      </c>
      <c r="E1036" s="107" t="s">
        <v>3533</v>
      </c>
      <c r="F1036" s="91" t="s">
        <v>3534</v>
      </c>
      <c r="G1036" s="96">
        <v>42129</v>
      </c>
      <c r="H1036" s="97">
        <v>20077</v>
      </c>
      <c r="I1036" s="100" t="s">
        <v>3535</v>
      </c>
      <c r="J1036" s="100" t="s">
        <v>3536</v>
      </c>
      <c r="K1036" s="91" t="s">
        <v>3537</v>
      </c>
      <c r="L1036" s="91" t="s">
        <v>72</v>
      </c>
      <c r="M1036" s="98">
        <f ca="1">(TODAY()-H1036)/365</f>
        <v>71.027397260273972</v>
      </c>
      <c r="N1036" s="99">
        <f>(G1036-H1036)/365</f>
        <v>60.416438356164385</v>
      </c>
      <c r="O1036" s="98">
        <f ca="1">(TODAY()-G1036)/365</f>
        <v>10.610958904109589</v>
      </c>
      <c r="P1036" s="91" t="s">
        <v>43</v>
      </c>
      <c r="Q1036" s="91"/>
      <c r="R1036" s="91"/>
      <c r="S1036" s="91"/>
      <c r="T1036" s="91"/>
      <c r="U1036" s="91"/>
      <c r="V1036" s="91"/>
      <c r="W1036" s="91"/>
      <c r="X1036" s="91"/>
      <c r="Y1036" s="91"/>
      <c r="Z1036" s="91"/>
      <c r="AA1036" s="91"/>
      <c r="AB1036" s="91"/>
      <c r="AC1036" s="91"/>
      <c r="AD1036" s="91"/>
      <c r="AE1036" s="91"/>
      <c r="AF1036" s="91"/>
      <c r="AG1036" s="91"/>
      <c r="AH1036" s="91"/>
      <c r="AI1036" s="91"/>
      <c r="AJ1036" s="91"/>
      <c r="AK1036" s="91"/>
      <c r="AL1036" s="91"/>
      <c r="AM1036" s="91"/>
    </row>
    <row r="1037" spans="1:39" ht="20.25" hidden="1" customHeight="1">
      <c r="A1037" s="91"/>
      <c r="B1037" s="93" t="s">
        <v>3374</v>
      </c>
      <c r="C1037" s="91" t="s">
        <v>36</v>
      </c>
      <c r="D1037" s="107" t="s">
        <v>3538</v>
      </c>
      <c r="E1037" s="107" t="s">
        <v>3539</v>
      </c>
      <c r="F1037" s="91" t="s">
        <v>3540</v>
      </c>
      <c r="G1037" s="96">
        <v>41011</v>
      </c>
      <c r="H1037" s="97">
        <v>18297</v>
      </c>
      <c r="I1037" s="94" t="s">
        <v>58</v>
      </c>
      <c r="J1037" s="94" t="s">
        <v>58</v>
      </c>
      <c r="K1037" s="95">
        <v>988174469</v>
      </c>
      <c r="L1037" s="91" t="s">
        <v>60</v>
      </c>
      <c r="M1037" s="98">
        <f ca="1">(TODAY()-H1037)/365</f>
        <v>75.904109589041099</v>
      </c>
      <c r="N1037" s="99">
        <f>(G1037-H1037)/365</f>
        <v>62.230136986301368</v>
      </c>
      <c r="O1037" s="98">
        <f ca="1">(TODAY()-G1037)/365</f>
        <v>13.673972602739726</v>
      </c>
      <c r="P1037" s="91" t="s">
        <v>43</v>
      </c>
      <c r="Q1037" s="91"/>
      <c r="R1037" s="91"/>
      <c r="S1037" s="91"/>
      <c r="T1037" s="91"/>
      <c r="U1037" s="91"/>
      <c r="V1037" s="91"/>
      <c r="W1037" s="91"/>
      <c r="X1037" s="91"/>
      <c r="Y1037" s="91"/>
      <c r="Z1037" s="91"/>
      <c r="AA1037" s="91"/>
      <c r="AB1037" s="91"/>
      <c r="AC1037" s="91"/>
      <c r="AD1037" s="91"/>
      <c r="AE1037" s="91"/>
      <c r="AF1037" s="91"/>
      <c r="AG1037" s="91"/>
      <c r="AH1037" s="91"/>
      <c r="AI1037" s="91"/>
      <c r="AJ1037" s="91"/>
      <c r="AK1037" s="91"/>
      <c r="AL1037" s="91"/>
      <c r="AM1037" s="91"/>
    </row>
    <row r="1038" spans="1:39" ht="20.25" customHeight="1">
      <c r="A1038" s="91"/>
      <c r="B1038" s="93" t="s">
        <v>2419</v>
      </c>
      <c r="C1038" s="91" t="s">
        <v>73</v>
      </c>
      <c r="D1038" s="94" t="s">
        <v>2461</v>
      </c>
      <c r="E1038" s="94" t="s">
        <v>2462</v>
      </c>
      <c r="F1038" s="95" t="s">
        <v>2463</v>
      </c>
      <c r="G1038" s="96">
        <v>40969</v>
      </c>
      <c r="H1038" s="97">
        <v>26550</v>
      </c>
      <c r="I1038" s="108" t="s">
        <v>12342</v>
      </c>
      <c r="J1038" s="94" t="s">
        <v>58</v>
      </c>
      <c r="K1038" s="95" t="s">
        <v>58</v>
      </c>
      <c r="L1038" s="91" t="s">
        <v>60</v>
      </c>
      <c r="M1038" s="98">
        <f ca="1">(TODAY()-H1038)/365</f>
        <v>53.293150684931504</v>
      </c>
      <c r="N1038" s="99">
        <f>(G1038-H1038)/365</f>
        <v>39.504109589041093</v>
      </c>
      <c r="O1038" s="98">
        <f ca="1">(TODAY()-G1038)/365</f>
        <v>13.789041095890411</v>
      </c>
      <c r="P1038" s="91" t="s">
        <v>272</v>
      </c>
      <c r="Q1038" s="91">
        <v>0</v>
      </c>
      <c r="R1038" s="91">
        <v>0</v>
      </c>
      <c r="S1038" s="91">
        <v>0</v>
      </c>
      <c r="T1038" s="91"/>
      <c r="U1038" s="91"/>
      <c r="V1038" s="91"/>
      <c r="W1038" s="91"/>
      <c r="X1038" s="91"/>
      <c r="Y1038" s="91"/>
      <c r="Z1038" s="91"/>
      <c r="AA1038" s="91"/>
      <c r="AB1038" s="91"/>
      <c r="AC1038" s="91"/>
      <c r="AD1038" s="91"/>
      <c r="AE1038" s="91"/>
      <c r="AF1038" s="91"/>
      <c r="AG1038" s="91"/>
      <c r="AH1038" s="91"/>
      <c r="AI1038" s="91"/>
      <c r="AJ1038" s="91"/>
      <c r="AK1038" s="91"/>
      <c r="AL1038" s="91"/>
      <c r="AM1038" s="91"/>
    </row>
    <row r="1039" spans="1:39" ht="20.25" hidden="1" customHeight="1">
      <c r="A1039" s="91"/>
      <c r="B1039" s="93" t="s">
        <v>3374</v>
      </c>
      <c r="C1039" s="91" t="s">
        <v>36</v>
      </c>
      <c r="D1039" s="107" t="s">
        <v>728</v>
      </c>
      <c r="E1039" s="107" t="s">
        <v>3544</v>
      </c>
      <c r="F1039" s="91" t="s">
        <v>3545</v>
      </c>
      <c r="G1039" s="96">
        <v>45027</v>
      </c>
      <c r="H1039" s="97">
        <v>26647</v>
      </c>
      <c r="I1039" s="100" t="s">
        <v>3546</v>
      </c>
      <c r="J1039" s="100" t="s">
        <v>3547</v>
      </c>
      <c r="K1039" s="91">
        <v>984386984</v>
      </c>
      <c r="L1039" s="91" t="s">
        <v>60</v>
      </c>
      <c r="M1039" s="98">
        <f ca="1">(TODAY()-H1039)/365</f>
        <v>53.027397260273972</v>
      </c>
      <c r="N1039" s="99">
        <f>(G1039-H1039)/365</f>
        <v>50.356164383561641</v>
      </c>
      <c r="O1039" s="98">
        <f ca="1">(TODAY()-G1039)/365</f>
        <v>2.6712328767123288</v>
      </c>
      <c r="P1039" s="91" t="s">
        <v>43</v>
      </c>
      <c r="Q1039" s="91"/>
      <c r="R1039" s="91"/>
      <c r="S1039" s="91"/>
      <c r="T1039" s="91"/>
      <c r="U1039" s="91"/>
      <c r="V1039" s="91"/>
      <c r="W1039" s="91"/>
      <c r="X1039" s="91"/>
      <c r="Y1039" s="91"/>
      <c r="Z1039" s="91"/>
      <c r="AA1039" s="91"/>
      <c r="AB1039" s="91"/>
      <c r="AC1039" s="91"/>
      <c r="AD1039" s="91"/>
      <c r="AE1039" s="91"/>
      <c r="AF1039" s="91"/>
      <c r="AG1039" s="91"/>
      <c r="AH1039" s="91"/>
      <c r="AI1039" s="91"/>
      <c r="AJ1039" s="91"/>
      <c r="AK1039" s="91"/>
      <c r="AL1039" s="91"/>
      <c r="AM1039" s="91"/>
    </row>
    <row r="1040" spans="1:39" ht="20.25" customHeight="1">
      <c r="A1040" s="91"/>
      <c r="B1040" s="93" t="s">
        <v>9659</v>
      </c>
      <c r="C1040" s="91" t="s">
        <v>73</v>
      </c>
      <c r="D1040" s="107" t="s">
        <v>9770</v>
      </c>
      <c r="E1040" s="107" t="s">
        <v>2462</v>
      </c>
      <c r="F1040" s="91" t="s">
        <v>9771</v>
      </c>
      <c r="G1040" s="103">
        <v>44044</v>
      </c>
      <c r="H1040" s="103">
        <v>32394</v>
      </c>
      <c r="I1040" s="100" t="s">
        <v>9772</v>
      </c>
      <c r="J1040" s="100" t="s">
        <v>58</v>
      </c>
      <c r="K1040" s="95" t="s">
        <v>58</v>
      </c>
      <c r="L1040" s="91" t="s">
        <v>60</v>
      </c>
      <c r="M1040" s="98">
        <f ca="1">(TODAY()-H1040)/365</f>
        <v>37.282191780821918</v>
      </c>
      <c r="N1040" s="99">
        <f>(G1040-H1040)/365</f>
        <v>31.917808219178081</v>
      </c>
      <c r="O1040" s="98">
        <f ca="1">(TODAY()-G1040)/365</f>
        <v>5.3643835616438356</v>
      </c>
      <c r="P1040" s="91" t="s">
        <v>272</v>
      </c>
      <c r="Q1040" s="91">
        <v>0</v>
      </c>
      <c r="R1040" s="91">
        <v>0</v>
      </c>
      <c r="S1040" s="91">
        <v>0</v>
      </c>
      <c r="T1040" s="91"/>
      <c r="U1040" s="91"/>
      <c r="V1040" s="91"/>
      <c r="W1040" s="91"/>
      <c r="X1040" s="91"/>
      <c r="Y1040" s="91"/>
      <c r="Z1040" s="91"/>
      <c r="AA1040" s="91"/>
      <c r="AB1040" s="91"/>
      <c r="AC1040" s="91"/>
      <c r="AD1040" s="91"/>
      <c r="AE1040" s="91"/>
      <c r="AF1040" s="91"/>
      <c r="AG1040" s="91"/>
      <c r="AH1040" s="91"/>
      <c r="AI1040" s="91"/>
      <c r="AJ1040" s="91"/>
      <c r="AK1040" s="91"/>
      <c r="AL1040" s="91"/>
      <c r="AM1040" s="91"/>
    </row>
    <row r="1041" spans="1:39" ht="20.25" customHeight="1">
      <c r="A1041" s="91"/>
      <c r="B1041" s="93" t="s">
        <v>8714</v>
      </c>
      <c r="C1041" s="91" t="s">
        <v>73</v>
      </c>
      <c r="D1041" s="106" t="s">
        <v>8838</v>
      </c>
      <c r="E1041" s="106" t="s">
        <v>8839</v>
      </c>
      <c r="F1041" s="92" t="s">
        <v>8840</v>
      </c>
      <c r="G1041" s="96">
        <v>44681</v>
      </c>
      <c r="H1041" s="97">
        <v>21431</v>
      </c>
      <c r="I1041" s="94" t="s">
        <v>58</v>
      </c>
      <c r="J1041" s="94" t="s">
        <v>58</v>
      </c>
      <c r="K1041" s="95" t="s">
        <v>58</v>
      </c>
      <c r="L1041" s="91" t="s">
        <v>60</v>
      </c>
      <c r="M1041" s="98">
        <f ca="1">(TODAY()-H1041)/365</f>
        <v>67.317808219178076</v>
      </c>
      <c r="N1041" s="99">
        <f>(G1041-H1041)/365</f>
        <v>63.698630136986303</v>
      </c>
      <c r="O1041" s="98">
        <f ca="1">(TODAY()-G1041)/365</f>
        <v>3.6191780821917807</v>
      </c>
      <c r="P1041" s="91" t="s">
        <v>43</v>
      </c>
      <c r="Q1041" s="91">
        <v>0</v>
      </c>
      <c r="R1041" s="91">
        <v>0</v>
      </c>
      <c r="S1041" s="91">
        <v>0</v>
      </c>
      <c r="T1041" s="91"/>
      <c r="U1041" s="91"/>
      <c r="V1041" s="91"/>
      <c r="W1041" s="91"/>
      <c r="X1041" s="91"/>
      <c r="Y1041" s="91"/>
      <c r="Z1041" s="91"/>
      <c r="AA1041" s="91"/>
      <c r="AB1041" s="91"/>
      <c r="AC1041" s="91"/>
      <c r="AD1041" s="91"/>
      <c r="AE1041" s="91"/>
      <c r="AF1041" s="91"/>
      <c r="AG1041" s="91"/>
      <c r="AH1041" s="91"/>
      <c r="AI1041" s="91"/>
      <c r="AJ1041" s="91"/>
      <c r="AK1041" s="91"/>
      <c r="AL1041" s="91"/>
      <c r="AM1041" s="91"/>
    </row>
    <row r="1042" spans="1:39" ht="20.25" customHeight="1">
      <c r="A1042" s="91"/>
      <c r="B1042" s="93" t="s">
        <v>3610</v>
      </c>
      <c r="C1042" s="91" t="s">
        <v>73</v>
      </c>
      <c r="D1042" s="94" t="s">
        <v>3611</v>
      </c>
      <c r="E1042" s="94" t="s">
        <v>3612</v>
      </c>
      <c r="F1042" s="95" t="s">
        <v>3613</v>
      </c>
      <c r="G1042" s="96">
        <v>43466</v>
      </c>
      <c r="H1042" s="97">
        <v>40069</v>
      </c>
      <c r="I1042" s="94" t="s">
        <v>3614</v>
      </c>
      <c r="J1042" s="100" t="s">
        <v>58</v>
      </c>
      <c r="K1042" s="91" t="s">
        <v>58</v>
      </c>
      <c r="L1042" s="91" t="s">
        <v>60</v>
      </c>
      <c r="M1042" s="98">
        <f ca="1">(TODAY()-H1042)/365</f>
        <v>16.254794520547946</v>
      </c>
      <c r="N1042" s="99">
        <f>(G1042-H1042)/365</f>
        <v>9.3068493150684937</v>
      </c>
      <c r="O1042" s="98">
        <f ca="1">(TODAY()-G1042)/365</f>
        <v>6.9479452054794519</v>
      </c>
      <c r="P1042" s="91" t="s">
        <v>43</v>
      </c>
      <c r="Q1042" s="91">
        <v>0</v>
      </c>
      <c r="R1042" s="91">
        <v>0</v>
      </c>
      <c r="S1042" s="91">
        <v>0</v>
      </c>
      <c r="T1042" s="91"/>
      <c r="U1042" s="91"/>
      <c r="V1042" s="91"/>
      <c r="W1042" s="91"/>
      <c r="X1042" s="91"/>
      <c r="Y1042" s="91"/>
      <c r="Z1042" s="91"/>
      <c r="AA1042" s="91"/>
      <c r="AB1042" s="91"/>
      <c r="AC1042" s="91"/>
      <c r="AD1042" s="91"/>
      <c r="AE1042" s="91"/>
      <c r="AF1042" s="91"/>
      <c r="AG1042" s="91"/>
      <c r="AH1042" s="91"/>
      <c r="AI1042" s="91"/>
      <c r="AJ1042" s="91"/>
      <c r="AK1042" s="91"/>
      <c r="AL1042" s="91"/>
      <c r="AM1042" s="91"/>
    </row>
    <row r="1043" spans="1:39" ht="20.25" hidden="1" customHeight="1">
      <c r="A1043" s="128"/>
      <c r="B1043" s="93" t="s">
        <v>11558</v>
      </c>
      <c r="C1043" s="91" t="s">
        <v>36</v>
      </c>
      <c r="D1043" s="106" t="s">
        <v>771</v>
      </c>
      <c r="E1043" s="106" t="s">
        <v>4629</v>
      </c>
      <c r="F1043" s="92" t="s">
        <v>11559</v>
      </c>
      <c r="G1043" s="103">
        <v>32933</v>
      </c>
      <c r="H1043" s="103">
        <v>20512</v>
      </c>
      <c r="I1043" s="94" t="s">
        <v>11560</v>
      </c>
      <c r="J1043" s="94" t="s">
        <v>11561</v>
      </c>
      <c r="K1043" s="92" t="s">
        <v>11562</v>
      </c>
      <c r="L1043" s="91" t="s">
        <v>42</v>
      </c>
      <c r="M1043" s="98">
        <f ca="1">(TODAY()-H1043)/365</f>
        <v>69.835616438356169</v>
      </c>
      <c r="N1043" s="99">
        <f>(G1043-H1043)/365</f>
        <v>34.030136986301372</v>
      </c>
      <c r="O1043" s="98">
        <f ca="1">(TODAY()-G1043)/365</f>
        <v>35.805479452054797</v>
      </c>
      <c r="P1043" s="91" t="s">
        <v>43</v>
      </c>
      <c r="Q1043" s="91"/>
      <c r="R1043" s="91"/>
      <c r="S1043" s="91"/>
      <c r="T1043" s="91"/>
      <c r="U1043" s="91"/>
      <c r="V1043" s="91"/>
      <c r="W1043" s="91"/>
      <c r="X1043" s="91"/>
      <c r="Y1043" s="91"/>
      <c r="Z1043" s="91"/>
      <c r="AA1043" s="91"/>
      <c r="AB1043" s="91"/>
      <c r="AC1043" s="91"/>
      <c r="AD1043" s="91"/>
      <c r="AE1043" s="91"/>
      <c r="AF1043" s="91"/>
      <c r="AG1043" s="91"/>
      <c r="AH1043" s="91"/>
      <c r="AI1043" s="91"/>
      <c r="AJ1043" s="91"/>
      <c r="AK1043" s="91"/>
      <c r="AL1043" s="91"/>
      <c r="AM1043" s="91"/>
    </row>
    <row r="1044" spans="1:39" ht="20.25" hidden="1" customHeight="1">
      <c r="A1044" s="128"/>
      <c r="B1044" s="93" t="s">
        <v>11558</v>
      </c>
      <c r="C1044" s="91" t="s">
        <v>36</v>
      </c>
      <c r="D1044" s="106" t="s">
        <v>6329</v>
      </c>
      <c r="E1044" s="106" t="s">
        <v>11563</v>
      </c>
      <c r="F1044" s="92" t="s">
        <v>11564</v>
      </c>
      <c r="G1044" s="103">
        <v>44256</v>
      </c>
      <c r="H1044" s="103">
        <v>37852</v>
      </c>
      <c r="I1044" s="94" t="s">
        <v>11565</v>
      </c>
      <c r="J1044" s="94" t="s">
        <v>11566</v>
      </c>
      <c r="K1044" s="92" t="s">
        <v>11567</v>
      </c>
      <c r="L1044" s="91"/>
      <c r="M1044" s="98">
        <f ca="1">(TODAY()-H1044)/365</f>
        <v>22.328767123287673</v>
      </c>
      <c r="N1044" s="99">
        <f>(G1044-H1044)/365</f>
        <v>17.545205479452054</v>
      </c>
      <c r="O1044" s="98">
        <f ca="1">(TODAY()-G1044)/365</f>
        <v>4.7835616438356166</v>
      </c>
      <c r="P1044" s="91" t="s">
        <v>272</v>
      </c>
      <c r="Q1044" s="91"/>
      <c r="R1044" s="91"/>
      <c r="S1044" s="91"/>
      <c r="T1044" s="91"/>
      <c r="U1044" s="91"/>
      <c r="V1044" s="91"/>
      <c r="W1044" s="91"/>
      <c r="X1044" s="91"/>
      <c r="Y1044" s="91"/>
      <c r="Z1044" s="91"/>
      <c r="AA1044" s="91"/>
      <c r="AB1044" s="91"/>
      <c r="AC1044" s="91"/>
      <c r="AD1044" s="91"/>
      <c r="AE1044" s="91"/>
      <c r="AF1044" s="91"/>
      <c r="AG1044" s="91"/>
      <c r="AH1044" s="91"/>
      <c r="AI1044" s="91"/>
      <c r="AJ1044" s="91"/>
      <c r="AK1044" s="91"/>
      <c r="AL1044" s="91"/>
      <c r="AM1044" s="91"/>
    </row>
    <row r="1045" spans="1:39" ht="20.25" hidden="1" customHeight="1">
      <c r="A1045" s="128"/>
      <c r="B1045" s="93" t="s">
        <v>11558</v>
      </c>
      <c r="C1045" s="91" t="s">
        <v>36</v>
      </c>
      <c r="D1045" s="106" t="s">
        <v>840</v>
      </c>
      <c r="E1045" s="106" t="s">
        <v>11568</v>
      </c>
      <c r="F1045" s="92" t="s">
        <v>11569</v>
      </c>
      <c r="G1045" s="103">
        <v>44986</v>
      </c>
      <c r="H1045" s="103">
        <v>30362</v>
      </c>
      <c r="I1045" s="94" t="s">
        <v>11570</v>
      </c>
      <c r="J1045" s="94" t="s">
        <v>11571</v>
      </c>
      <c r="K1045" s="92" t="s">
        <v>11572</v>
      </c>
      <c r="L1045" s="91"/>
      <c r="M1045" s="98">
        <f ca="1">(TODAY()-H1045)/365</f>
        <v>42.849315068493148</v>
      </c>
      <c r="N1045" s="99">
        <f>(G1045-H1045)/365</f>
        <v>40.065753424657537</v>
      </c>
      <c r="O1045" s="98">
        <f ca="1">(TODAY()-G1045)/365</f>
        <v>2.7835616438356166</v>
      </c>
      <c r="P1045" s="91" t="s">
        <v>43</v>
      </c>
      <c r="Q1045" s="91"/>
      <c r="R1045" s="91"/>
      <c r="S1045" s="91"/>
      <c r="T1045" s="91"/>
      <c r="U1045" s="91"/>
      <c r="V1045" s="91"/>
      <c r="W1045" s="91"/>
      <c r="X1045" s="91"/>
      <c r="Y1045" s="91"/>
      <c r="Z1045" s="91"/>
      <c r="AA1045" s="91"/>
      <c r="AB1045" s="91"/>
      <c r="AC1045" s="91"/>
      <c r="AD1045" s="91"/>
      <c r="AE1045" s="91"/>
      <c r="AF1045" s="91"/>
      <c r="AG1045" s="91"/>
      <c r="AH1045" s="91"/>
      <c r="AI1045" s="91"/>
      <c r="AJ1045" s="91"/>
      <c r="AK1045" s="91"/>
      <c r="AL1045" s="91"/>
      <c r="AM1045" s="91"/>
    </row>
    <row r="1046" spans="1:39" ht="20.25" hidden="1" customHeight="1">
      <c r="A1046" s="128"/>
      <c r="B1046" s="93" t="s">
        <v>11558</v>
      </c>
      <c r="C1046" s="91" t="s">
        <v>36</v>
      </c>
      <c r="D1046" s="106" t="s">
        <v>666</v>
      </c>
      <c r="E1046" s="106" t="s">
        <v>11573</v>
      </c>
      <c r="F1046" s="92" t="s">
        <v>11574</v>
      </c>
      <c r="G1046" s="103">
        <v>45352</v>
      </c>
      <c r="H1046" s="103">
        <v>24343</v>
      </c>
      <c r="I1046" s="94" t="s">
        <v>11575</v>
      </c>
      <c r="J1046" s="94" t="s">
        <v>11576</v>
      </c>
      <c r="K1046" s="92" t="s">
        <v>11577</v>
      </c>
      <c r="L1046" s="91"/>
      <c r="M1046" s="98">
        <f ca="1">(TODAY()-H1046)/365</f>
        <v>59.339726027397262</v>
      </c>
      <c r="N1046" s="99">
        <f>(G1046-H1046)/365</f>
        <v>57.558904109589044</v>
      </c>
      <c r="O1046" s="98">
        <f ca="1">(TODAY()-G1046)/365</f>
        <v>1.7808219178082192</v>
      </c>
      <c r="P1046" s="91" t="s">
        <v>43</v>
      </c>
      <c r="Q1046" s="91"/>
      <c r="R1046" s="91"/>
      <c r="S1046" s="91"/>
      <c r="T1046" s="91"/>
      <c r="U1046" s="91"/>
      <c r="V1046" s="91"/>
      <c r="W1046" s="91"/>
      <c r="X1046" s="91"/>
      <c r="Y1046" s="91"/>
      <c r="Z1046" s="91"/>
      <c r="AA1046" s="91"/>
      <c r="AB1046" s="91"/>
      <c r="AC1046" s="91"/>
      <c r="AD1046" s="91"/>
      <c r="AE1046" s="91"/>
      <c r="AF1046" s="91"/>
      <c r="AG1046" s="91"/>
      <c r="AH1046" s="91"/>
      <c r="AI1046" s="91"/>
      <c r="AJ1046" s="91"/>
      <c r="AK1046" s="91"/>
      <c r="AL1046" s="91"/>
      <c r="AM1046" s="91"/>
    </row>
    <row r="1047" spans="1:39" ht="20.25" hidden="1" customHeight="1">
      <c r="A1047" s="128"/>
      <c r="B1047" s="93" t="s">
        <v>11558</v>
      </c>
      <c r="C1047" s="91" t="s">
        <v>36</v>
      </c>
      <c r="D1047" s="106" t="s">
        <v>9170</v>
      </c>
      <c r="E1047" s="106" t="s">
        <v>11578</v>
      </c>
      <c r="F1047" s="92" t="s">
        <v>11579</v>
      </c>
      <c r="G1047" s="103">
        <v>44256</v>
      </c>
      <c r="H1047" s="103">
        <v>26546</v>
      </c>
      <c r="I1047" s="94" t="s">
        <v>11580</v>
      </c>
      <c r="J1047" s="94" t="s">
        <v>11566</v>
      </c>
      <c r="K1047" s="92" t="s">
        <v>11581</v>
      </c>
      <c r="L1047" s="91"/>
      <c r="M1047" s="98">
        <f ca="1">(TODAY()-H1047)/365</f>
        <v>53.304109589041097</v>
      </c>
      <c r="N1047" s="99">
        <f>(G1047-H1047)/365</f>
        <v>48.520547945205479</v>
      </c>
      <c r="O1047" s="98">
        <f ca="1">(TODAY()-G1047)/365</f>
        <v>4.7835616438356166</v>
      </c>
      <c r="P1047" s="91" t="s">
        <v>43</v>
      </c>
      <c r="Q1047" s="91"/>
      <c r="R1047" s="91"/>
      <c r="S1047" s="91"/>
      <c r="T1047" s="91"/>
      <c r="U1047" s="91"/>
      <c r="V1047" s="91"/>
      <c r="W1047" s="91"/>
      <c r="X1047" s="91"/>
      <c r="Y1047" s="91"/>
      <c r="Z1047" s="91"/>
      <c r="AA1047" s="91"/>
      <c r="AB1047" s="91"/>
      <c r="AC1047" s="91"/>
      <c r="AD1047" s="91"/>
      <c r="AE1047" s="91"/>
      <c r="AF1047" s="91"/>
      <c r="AG1047" s="91"/>
      <c r="AH1047" s="91"/>
      <c r="AI1047" s="91"/>
      <c r="AJ1047" s="91"/>
      <c r="AK1047" s="91"/>
      <c r="AL1047" s="91"/>
      <c r="AM1047" s="91"/>
    </row>
    <row r="1048" spans="1:39" ht="20.25" hidden="1" customHeight="1">
      <c r="A1048" s="128"/>
      <c r="B1048" s="93" t="s">
        <v>11558</v>
      </c>
      <c r="C1048" s="91" t="s">
        <v>36</v>
      </c>
      <c r="D1048" s="106" t="s">
        <v>739</v>
      </c>
      <c r="E1048" s="106" t="s">
        <v>11582</v>
      </c>
      <c r="F1048" s="92" t="s">
        <v>11583</v>
      </c>
      <c r="G1048" s="103">
        <v>40238</v>
      </c>
      <c r="H1048" s="103">
        <v>25000</v>
      </c>
      <c r="I1048" s="94" t="s">
        <v>11584</v>
      </c>
      <c r="J1048" s="94" t="s">
        <v>11585</v>
      </c>
      <c r="K1048" s="92" t="s">
        <v>11586</v>
      </c>
      <c r="L1048" s="91"/>
      <c r="M1048" s="98">
        <f ca="1">(TODAY()-H1048)/365</f>
        <v>57.539726027397258</v>
      </c>
      <c r="N1048" s="99">
        <f>(G1048-H1048)/365</f>
        <v>41.747945205479454</v>
      </c>
      <c r="O1048" s="98">
        <f ca="1">(TODAY()-G1048)/365</f>
        <v>15.791780821917808</v>
      </c>
      <c r="P1048" s="91" t="s">
        <v>272</v>
      </c>
      <c r="Q1048" s="91"/>
      <c r="R1048" s="91"/>
      <c r="S1048" s="91"/>
      <c r="T1048" s="91"/>
      <c r="U1048" s="91"/>
      <c r="V1048" s="91"/>
      <c r="W1048" s="91"/>
      <c r="X1048" s="91"/>
      <c r="Y1048" s="91"/>
      <c r="Z1048" s="91"/>
      <c r="AA1048" s="91"/>
      <c r="AB1048" s="91"/>
      <c r="AC1048" s="91"/>
      <c r="AD1048" s="91"/>
      <c r="AE1048" s="91"/>
      <c r="AF1048" s="91"/>
      <c r="AG1048" s="91"/>
      <c r="AH1048" s="91"/>
      <c r="AI1048" s="91"/>
      <c r="AJ1048" s="91"/>
      <c r="AK1048" s="91"/>
      <c r="AL1048" s="91"/>
      <c r="AM1048" s="91"/>
    </row>
    <row r="1049" spans="1:39" ht="20.25" hidden="1" customHeight="1">
      <c r="A1049" s="128"/>
      <c r="B1049" s="93" t="s">
        <v>11558</v>
      </c>
      <c r="C1049" s="91" t="s">
        <v>36</v>
      </c>
      <c r="D1049" s="106" t="s">
        <v>5807</v>
      </c>
      <c r="E1049" s="106" t="s">
        <v>11587</v>
      </c>
      <c r="F1049" s="92" t="s">
        <v>11588</v>
      </c>
      <c r="G1049" s="103">
        <v>45352</v>
      </c>
      <c r="H1049" s="103">
        <v>36928</v>
      </c>
      <c r="I1049" s="94" t="s">
        <v>11589</v>
      </c>
      <c r="J1049" s="94" t="s">
        <v>11590</v>
      </c>
      <c r="K1049" s="92" t="s">
        <v>11591</v>
      </c>
      <c r="L1049" s="91"/>
      <c r="M1049" s="98">
        <f ca="1">(TODAY()-H1049)/365</f>
        <v>24.860273972602741</v>
      </c>
      <c r="N1049" s="99">
        <f>(G1049-H1049)/365</f>
        <v>23.079452054794519</v>
      </c>
      <c r="O1049" s="98">
        <f ca="1">(TODAY()-G1049)/365</f>
        <v>1.7808219178082192</v>
      </c>
      <c r="P1049" s="91" t="s">
        <v>272</v>
      </c>
      <c r="Q1049" s="91"/>
      <c r="R1049" s="91"/>
      <c r="S1049" s="91"/>
      <c r="T1049" s="91"/>
      <c r="U1049" s="91"/>
      <c r="V1049" s="91"/>
      <c r="W1049" s="91"/>
      <c r="X1049" s="91"/>
      <c r="Y1049" s="91"/>
      <c r="Z1049" s="91"/>
      <c r="AA1049" s="91"/>
      <c r="AB1049" s="91"/>
      <c r="AC1049" s="91"/>
      <c r="AD1049" s="91"/>
      <c r="AE1049" s="91"/>
      <c r="AF1049" s="91"/>
      <c r="AG1049" s="91"/>
      <c r="AH1049" s="91"/>
      <c r="AI1049" s="91"/>
      <c r="AJ1049" s="91"/>
      <c r="AK1049" s="91"/>
      <c r="AL1049" s="91"/>
      <c r="AM1049" s="91"/>
    </row>
    <row r="1050" spans="1:39" ht="20.25" hidden="1" customHeight="1">
      <c r="A1050" s="128"/>
      <c r="B1050" s="93" t="s">
        <v>11558</v>
      </c>
      <c r="C1050" s="91" t="s">
        <v>36</v>
      </c>
      <c r="D1050" s="106" t="s">
        <v>459</v>
      </c>
      <c r="E1050" s="106" t="s">
        <v>11592</v>
      </c>
      <c r="F1050" s="92" t="s">
        <v>11593</v>
      </c>
      <c r="G1050" s="103">
        <v>45352</v>
      </c>
      <c r="H1050" s="103">
        <v>37431</v>
      </c>
      <c r="I1050" s="94" t="s">
        <v>11594</v>
      </c>
      <c r="J1050" s="94" t="s">
        <v>11585</v>
      </c>
      <c r="K1050" s="92" t="s">
        <v>11595</v>
      </c>
      <c r="L1050" s="91"/>
      <c r="M1050" s="98">
        <f ca="1">(TODAY()-H1050)/365</f>
        <v>23.482191780821918</v>
      </c>
      <c r="N1050" s="99">
        <f>(G1050-H1050)/365</f>
        <v>21.701369863013699</v>
      </c>
      <c r="O1050" s="98">
        <f ca="1">(TODAY()-G1050)/365</f>
        <v>1.7808219178082192</v>
      </c>
      <c r="P1050" s="91" t="s">
        <v>43</v>
      </c>
      <c r="Q1050" s="91"/>
      <c r="R1050" s="91"/>
      <c r="S1050" s="91"/>
      <c r="T1050" s="91"/>
      <c r="U1050" s="91"/>
      <c r="V1050" s="91"/>
      <c r="W1050" s="91"/>
      <c r="X1050" s="91"/>
      <c r="Y1050" s="91"/>
      <c r="Z1050" s="91"/>
      <c r="AA1050" s="91"/>
      <c r="AB1050" s="91"/>
      <c r="AC1050" s="91"/>
      <c r="AD1050" s="91"/>
      <c r="AE1050" s="91"/>
      <c r="AF1050" s="91"/>
      <c r="AG1050" s="91"/>
      <c r="AH1050" s="91"/>
      <c r="AI1050" s="91"/>
      <c r="AJ1050" s="91"/>
      <c r="AK1050" s="91"/>
      <c r="AL1050" s="91"/>
      <c r="AM1050" s="91"/>
    </row>
    <row r="1051" spans="1:39" ht="20.25" hidden="1" customHeight="1">
      <c r="A1051" s="128"/>
      <c r="B1051" s="93" t="s">
        <v>11558</v>
      </c>
      <c r="C1051" s="91" t="s">
        <v>36</v>
      </c>
      <c r="D1051" s="106" t="s">
        <v>845</v>
      </c>
      <c r="E1051" s="106" t="s">
        <v>11596</v>
      </c>
      <c r="F1051" s="92" t="s">
        <v>11597</v>
      </c>
      <c r="G1051" s="103">
        <v>40238</v>
      </c>
      <c r="H1051" s="103">
        <v>25851</v>
      </c>
      <c r="I1051" s="94" t="s">
        <v>11598</v>
      </c>
      <c r="J1051" s="94" t="s">
        <v>11585</v>
      </c>
      <c r="K1051" s="92" t="s">
        <v>11599</v>
      </c>
      <c r="L1051" s="91"/>
      <c r="M1051" s="98">
        <f ca="1">(TODAY()-H1051)/365</f>
        <v>55.208219178082189</v>
      </c>
      <c r="N1051" s="99">
        <f>(G1051-H1051)/365</f>
        <v>39.416438356164385</v>
      </c>
      <c r="O1051" s="98">
        <f ca="1">(TODAY()-G1051)/365</f>
        <v>15.791780821917808</v>
      </c>
      <c r="P1051" s="91" t="s">
        <v>43</v>
      </c>
      <c r="Q1051" s="91"/>
      <c r="R1051" s="91"/>
      <c r="S1051" s="91"/>
      <c r="T1051" s="91"/>
      <c r="U1051" s="91"/>
      <c r="V1051" s="91"/>
      <c r="W1051" s="91"/>
      <c r="X1051" s="91"/>
      <c r="Y1051" s="91"/>
      <c r="Z1051" s="91"/>
      <c r="AA1051" s="91"/>
      <c r="AB1051" s="91"/>
      <c r="AC1051" s="91"/>
      <c r="AD1051" s="91"/>
      <c r="AE1051" s="91"/>
      <c r="AF1051" s="91"/>
      <c r="AG1051" s="91"/>
      <c r="AH1051" s="91"/>
      <c r="AI1051" s="91"/>
      <c r="AJ1051" s="91"/>
      <c r="AK1051" s="91"/>
      <c r="AL1051" s="91"/>
      <c r="AM1051" s="91"/>
    </row>
    <row r="1052" spans="1:39" ht="20.25" customHeight="1">
      <c r="A1052" s="91"/>
      <c r="B1052" s="93" t="s">
        <v>3610</v>
      </c>
      <c r="C1052" s="91" t="s">
        <v>73</v>
      </c>
      <c r="D1052" s="94" t="s">
        <v>3619</v>
      </c>
      <c r="E1052" s="94" t="s">
        <v>3612</v>
      </c>
      <c r="F1052" s="95" t="s">
        <v>3620</v>
      </c>
      <c r="G1052" s="96">
        <v>43466</v>
      </c>
      <c r="H1052" s="97">
        <v>39590</v>
      </c>
      <c r="I1052" s="94" t="s">
        <v>3614</v>
      </c>
      <c r="J1052" s="100" t="s">
        <v>58</v>
      </c>
      <c r="K1052" s="91" t="s">
        <v>58</v>
      </c>
      <c r="L1052" s="91" t="s">
        <v>60</v>
      </c>
      <c r="M1052" s="98">
        <f ca="1">(TODAY()-H1052)/365</f>
        <v>17.567123287671233</v>
      </c>
      <c r="N1052" s="99">
        <f>(G1052-H1052)/365</f>
        <v>10.61917808219178</v>
      </c>
      <c r="O1052" s="98">
        <f ca="1">(TODAY()-G1052)/365</f>
        <v>6.9479452054794519</v>
      </c>
      <c r="P1052" s="91" t="s">
        <v>272</v>
      </c>
      <c r="Q1052" s="91">
        <v>0</v>
      </c>
      <c r="R1052" s="91">
        <v>0</v>
      </c>
      <c r="S1052" s="91">
        <v>0</v>
      </c>
      <c r="T1052" s="91"/>
      <c r="U1052" s="91"/>
      <c r="V1052" s="91"/>
      <c r="W1052" s="91"/>
      <c r="X1052" s="91"/>
      <c r="Y1052" s="91"/>
      <c r="Z1052" s="91"/>
      <c r="AA1052" s="91"/>
      <c r="AB1052" s="91"/>
      <c r="AC1052" s="91"/>
      <c r="AD1052" s="91"/>
      <c r="AE1052" s="91"/>
      <c r="AF1052" s="91"/>
      <c r="AG1052" s="91"/>
      <c r="AH1052" s="91"/>
      <c r="AI1052" s="91"/>
      <c r="AJ1052" s="91"/>
      <c r="AK1052" s="91"/>
      <c r="AL1052" s="91"/>
      <c r="AM1052" s="91"/>
    </row>
    <row r="1053" spans="1:39" ht="20.25" customHeight="1">
      <c r="A1053" s="91"/>
      <c r="B1053" s="93" t="s">
        <v>10888</v>
      </c>
      <c r="C1053" s="91" t="s">
        <v>73</v>
      </c>
      <c r="D1053" s="106" t="s">
        <v>10897</v>
      </c>
      <c r="E1053" s="106" t="s">
        <v>10938</v>
      </c>
      <c r="G1053" s="103">
        <v>42797</v>
      </c>
      <c r="H1053" s="103">
        <v>31970</v>
      </c>
      <c r="I1053" s="94" t="s">
        <v>58</v>
      </c>
      <c r="J1053" s="100" t="s">
        <v>58</v>
      </c>
      <c r="K1053" s="95" t="s">
        <v>58</v>
      </c>
      <c r="L1053" s="91"/>
      <c r="M1053" s="98">
        <f ca="1">(TODAY()-H1053)/365</f>
        <v>38.443835616438356</v>
      </c>
      <c r="N1053" s="99">
        <f>(G1053-H1053)/365</f>
        <v>29.663013698630138</v>
      </c>
      <c r="O1053" s="98">
        <f ca="1">(TODAY()-G1053)/365</f>
        <v>8.7808219178082183</v>
      </c>
      <c r="P1053" s="91" t="s">
        <v>43</v>
      </c>
      <c r="Q1053" s="91"/>
      <c r="R1053" s="91"/>
      <c r="S1053" s="91"/>
      <c r="T1053" s="91"/>
      <c r="U1053" s="91"/>
      <c r="V1053" s="91"/>
      <c r="W1053" s="91"/>
      <c r="X1053" s="91"/>
      <c r="Y1053" s="91"/>
      <c r="Z1053" s="91"/>
      <c r="AA1053" s="91"/>
      <c r="AB1053" s="91"/>
      <c r="AC1053" s="91"/>
      <c r="AD1053" s="91"/>
      <c r="AE1053" s="91"/>
      <c r="AF1053" s="91"/>
      <c r="AG1053" s="91"/>
      <c r="AH1053" s="91"/>
      <c r="AI1053" s="91"/>
      <c r="AJ1053" s="91"/>
      <c r="AK1053" s="91"/>
      <c r="AL1053" s="91"/>
      <c r="AM1053" s="91"/>
    </row>
    <row r="1054" spans="1:39" ht="20.25" customHeight="1">
      <c r="A1054" s="91"/>
      <c r="B1054" s="93" t="s">
        <v>11748</v>
      </c>
      <c r="C1054" s="91" t="s">
        <v>73</v>
      </c>
      <c r="D1054" s="107" t="s">
        <v>180</v>
      </c>
      <c r="E1054" s="107" t="s">
        <v>2833</v>
      </c>
      <c r="F1054" s="91" t="s">
        <v>2834</v>
      </c>
      <c r="G1054" s="96">
        <v>34066</v>
      </c>
      <c r="H1054" s="97">
        <v>15772</v>
      </c>
      <c r="I1054" s="94" t="s">
        <v>58</v>
      </c>
      <c r="J1054" s="94" t="s">
        <v>58</v>
      </c>
      <c r="K1054" s="95" t="s">
        <v>58</v>
      </c>
      <c r="L1054" s="91" t="s">
        <v>60</v>
      </c>
      <c r="M1054" s="98">
        <f ca="1">(TODAY()-H1054)/365</f>
        <v>82.821917808219183</v>
      </c>
      <c r="N1054" s="99">
        <f>(G1054-H1054)/365</f>
        <v>50.12054794520548</v>
      </c>
      <c r="O1054" s="98">
        <f ca="1">(TODAY()-G1054)/365</f>
        <v>32.701369863013696</v>
      </c>
      <c r="P1054" s="91" t="s">
        <v>43</v>
      </c>
      <c r="Q1054" s="91">
        <v>0</v>
      </c>
      <c r="R1054" s="91">
        <v>0</v>
      </c>
      <c r="S1054" s="91">
        <v>0</v>
      </c>
      <c r="T1054" s="91"/>
      <c r="U1054" s="91"/>
      <c r="V1054" s="91"/>
      <c r="W1054" s="91"/>
      <c r="X1054" s="91"/>
      <c r="Y1054" s="91"/>
      <c r="Z1054" s="91"/>
      <c r="AA1054" s="91"/>
      <c r="AB1054" s="91"/>
      <c r="AC1054" s="91"/>
      <c r="AD1054" s="91"/>
      <c r="AE1054" s="91"/>
      <c r="AF1054" s="91"/>
      <c r="AG1054" s="91"/>
      <c r="AH1054" s="91"/>
      <c r="AI1054" s="91"/>
      <c r="AJ1054" s="91"/>
      <c r="AK1054" s="91"/>
      <c r="AL1054" s="91"/>
      <c r="AM1054" s="91"/>
    </row>
    <row r="1055" spans="1:39" ht="20.25" hidden="1" customHeight="1">
      <c r="A1055" s="91"/>
      <c r="B1055" s="93" t="s">
        <v>10137</v>
      </c>
      <c r="C1055" s="91" t="s">
        <v>36</v>
      </c>
      <c r="D1055" s="106" t="s">
        <v>10138</v>
      </c>
      <c r="E1055" s="106" t="s">
        <v>10139</v>
      </c>
      <c r="F1055" s="92" t="s">
        <v>10140</v>
      </c>
      <c r="G1055" s="103">
        <v>37706</v>
      </c>
      <c r="H1055" s="103">
        <v>22622</v>
      </c>
      <c r="I1055" s="108" t="s">
        <v>12575</v>
      </c>
      <c r="J1055" s="94" t="s">
        <v>10141</v>
      </c>
      <c r="K1055" s="92">
        <v>987201034</v>
      </c>
      <c r="L1055" s="91"/>
      <c r="M1055" s="98">
        <f ca="1">(TODAY()-H1055)/365</f>
        <v>64.054794520547944</v>
      </c>
      <c r="N1055" s="99">
        <f>(G1055-H1055)/365</f>
        <v>41.326027397260276</v>
      </c>
      <c r="O1055" s="98">
        <f ca="1">(TODAY()-G1055)/365</f>
        <v>22.728767123287671</v>
      </c>
      <c r="P1055" s="91" t="s">
        <v>43</v>
      </c>
      <c r="Q1055" s="91"/>
      <c r="R1055" s="91"/>
      <c r="S1055" s="91"/>
      <c r="T1055" s="91"/>
      <c r="U1055" s="91"/>
      <c r="V1055" s="91"/>
      <c r="W1055" s="91"/>
      <c r="X1055" s="91"/>
      <c r="Y1055" s="91"/>
      <c r="Z1055" s="91"/>
      <c r="AA1055" s="91"/>
      <c r="AB1055" s="91"/>
      <c r="AC1055" s="91"/>
      <c r="AD1055" s="91"/>
      <c r="AE1055" s="91"/>
      <c r="AF1055" s="91"/>
      <c r="AG1055" s="91"/>
      <c r="AH1055" s="91"/>
      <c r="AI1055" s="91"/>
      <c r="AJ1055" s="91"/>
      <c r="AK1055" s="91"/>
      <c r="AL1055" s="91"/>
      <c r="AM1055" s="91"/>
    </row>
    <row r="1056" spans="1:39" ht="20.25" hidden="1" customHeight="1">
      <c r="A1056" s="91"/>
      <c r="B1056" s="93" t="s">
        <v>10137</v>
      </c>
      <c r="C1056" s="91" t="s">
        <v>36</v>
      </c>
      <c r="D1056" s="106" t="s">
        <v>10142</v>
      </c>
      <c r="E1056" s="106" t="s">
        <v>10143</v>
      </c>
      <c r="F1056" s="92" t="s">
        <v>10144</v>
      </c>
      <c r="G1056" s="103">
        <v>37351</v>
      </c>
      <c r="H1056" s="103">
        <v>21179</v>
      </c>
      <c r="I1056" s="108" t="s">
        <v>12576</v>
      </c>
      <c r="J1056" s="94" t="s">
        <v>10145</v>
      </c>
      <c r="K1056" s="92">
        <v>945248184</v>
      </c>
      <c r="L1056" s="91"/>
      <c r="M1056" s="98">
        <f ca="1">(TODAY()-H1056)/365</f>
        <v>68.008219178082186</v>
      </c>
      <c r="N1056" s="99">
        <f>(G1056-H1056)/365</f>
        <v>44.30684931506849</v>
      </c>
      <c r="O1056" s="98">
        <f ca="1">(TODAY()-G1056)/365</f>
        <v>23.701369863013699</v>
      </c>
      <c r="P1056" s="91" t="s">
        <v>43</v>
      </c>
      <c r="Q1056" s="91"/>
      <c r="R1056" s="91"/>
      <c r="S1056" s="91"/>
      <c r="T1056" s="91"/>
      <c r="U1056" s="91"/>
      <c r="V1056" s="91"/>
      <c r="W1056" s="91"/>
      <c r="X1056" s="91"/>
      <c r="Y1056" s="91"/>
      <c r="Z1056" s="91"/>
      <c r="AA1056" s="91"/>
      <c r="AB1056" s="91"/>
      <c r="AC1056" s="91"/>
      <c r="AD1056" s="91"/>
      <c r="AE1056" s="91"/>
      <c r="AF1056" s="91"/>
      <c r="AG1056" s="91"/>
      <c r="AH1056" s="91"/>
      <c r="AI1056" s="91"/>
      <c r="AJ1056" s="91"/>
      <c r="AK1056" s="91"/>
      <c r="AL1056" s="91"/>
      <c r="AM1056" s="91"/>
    </row>
    <row r="1057" spans="1:39" ht="20.25" hidden="1" customHeight="1">
      <c r="A1057" s="91"/>
      <c r="B1057" s="93" t="s">
        <v>10137</v>
      </c>
      <c r="C1057" s="91" t="s">
        <v>36</v>
      </c>
      <c r="D1057" s="106" t="s">
        <v>10146</v>
      </c>
      <c r="E1057" s="106" t="s">
        <v>10147</v>
      </c>
      <c r="F1057" s="92" t="s">
        <v>10148</v>
      </c>
      <c r="G1057" s="103">
        <v>40598</v>
      </c>
      <c r="H1057" s="103">
        <v>16393</v>
      </c>
      <c r="I1057" s="94" t="s">
        <v>58</v>
      </c>
      <c r="J1057" s="94" t="s">
        <v>10149</v>
      </c>
      <c r="K1057" s="92">
        <v>979687000</v>
      </c>
      <c r="L1057" s="91"/>
      <c r="M1057" s="98">
        <f ca="1">(TODAY()-H1057)/365</f>
        <v>81.120547945205473</v>
      </c>
      <c r="N1057" s="99">
        <f>(G1057-H1057)/365</f>
        <v>66.31506849315069</v>
      </c>
      <c r="O1057" s="98">
        <f ca="1">(TODAY()-G1057)/365</f>
        <v>14.805479452054794</v>
      </c>
      <c r="P1057" s="91" t="s">
        <v>272</v>
      </c>
      <c r="Q1057" s="91"/>
      <c r="R1057" s="91"/>
      <c r="S1057" s="91"/>
      <c r="T1057" s="91"/>
      <c r="U1057" s="91"/>
      <c r="V1057" s="91"/>
      <c r="W1057" s="91"/>
      <c r="X1057" s="91"/>
      <c r="Y1057" s="91"/>
      <c r="Z1057" s="91"/>
      <c r="AA1057" s="91"/>
      <c r="AB1057" s="91"/>
      <c r="AC1057" s="91"/>
      <c r="AD1057" s="91"/>
      <c r="AE1057" s="91"/>
      <c r="AF1057" s="91"/>
      <c r="AG1057" s="91"/>
      <c r="AH1057" s="91"/>
      <c r="AI1057" s="91"/>
      <c r="AJ1057" s="91"/>
      <c r="AK1057" s="91"/>
      <c r="AL1057" s="91"/>
      <c r="AM1057" s="91"/>
    </row>
    <row r="1058" spans="1:39" ht="20.25" hidden="1" customHeight="1">
      <c r="A1058" s="91"/>
      <c r="B1058" s="93" t="s">
        <v>10137</v>
      </c>
      <c r="C1058" s="91" t="s">
        <v>36</v>
      </c>
      <c r="D1058" s="106" t="s">
        <v>10150</v>
      </c>
      <c r="E1058" s="106" t="s">
        <v>10151</v>
      </c>
      <c r="F1058" s="92" t="s">
        <v>10152</v>
      </c>
      <c r="G1058" s="103">
        <v>35524</v>
      </c>
      <c r="H1058" s="103">
        <v>19154</v>
      </c>
      <c r="I1058" s="108" t="s">
        <v>12577</v>
      </c>
      <c r="J1058" s="94" t="s">
        <v>10153</v>
      </c>
      <c r="K1058" s="92">
        <v>994999901</v>
      </c>
      <c r="L1058" s="91"/>
      <c r="M1058" s="98">
        <f ca="1">(TODAY()-H1058)/365</f>
        <v>73.556164383561651</v>
      </c>
      <c r="N1058" s="99">
        <f>(G1058-H1058)/365</f>
        <v>44.849315068493148</v>
      </c>
      <c r="O1058" s="98">
        <f ca="1">(TODAY()-G1058)/365</f>
        <v>28.706849315068492</v>
      </c>
      <c r="P1058" s="91" t="s">
        <v>43</v>
      </c>
      <c r="Q1058" s="91"/>
      <c r="R1058" s="91"/>
      <c r="S1058" s="91"/>
      <c r="T1058" s="91"/>
      <c r="U1058" s="91"/>
      <c r="V1058" s="91"/>
      <c r="W1058" s="91"/>
      <c r="X1058" s="91"/>
      <c r="Y1058" s="91"/>
      <c r="Z1058" s="91"/>
      <c r="AA1058" s="91"/>
      <c r="AB1058" s="91"/>
      <c r="AC1058" s="91"/>
      <c r="AD1058" s="91"/>
      <c r="AE1058" s="91"/>
      <c r="AF1058" s="91"/>
      <c r="AG1058" s="91"/>
      <c r="AH1058" s="91"/>
      <c r="AI1058" s="91"/>
      <c r="AJ1058" s="91"/>
      <c r="AK1058" s="91"/>
      <c r="AL1058" s="91"/>
      <c r="AM1058" s="91"/>
    </row>
    <row r="1059" spans="1:39" ht="20.25" hidden="1" customHeight="1">
      <c r="A1059" s="91"/>
      <c r="B1059" s="93" t="s">
        <v>10137</v>
      </c>
      <c r="C1059" s="91" t="s">
        <v>36</v>
      </c>
      <c r="D1059" s="106" t="s">
        <v>10154</v>
      </c>
      <c r="E1059" s="106" t="s">
        <v>10139</v>
      </c>
      <c r="F1059" s="92" t="s">
        <v>10155</v>
      </c>
      <c r="G1059" s="103">
        <v>33728</v>
      </c>
      <c r="H1059" s="103">
        <v>20108</v>
      </c>
      <c r="I1059" s="108" t="s">
        <v>12578</v>
      </c>
      <c r="J1059" s="94" t="s">
        <v>10156</v>
      </c>
      <c r="K1059" s="92">
        <v>937353781</v>
      </c>
      <c r="L1059" s="91"/>
      <c r="M1059" s="98">
        <f ca="1">(TODAY()-H1059)/365</f>
        <v>70.942465753424656</v>
      </c>
      <c r="N1059" s="99">
        <f>(G1059-H1059)/365</f>
        <v>37.315068493150683</v>
      </c>
      <c r="O1059" s="98">
        <f ca="1">(TODAY()-G1059)/365</f>
        <v>33.627397260273973</v>
      </c>
      <c r="P1059" s="91" t="s">
        <v>43</v>
      </c>
      <c r="Q1059" s="91"/>
      <c r="R1059" s="91"/>
      <c r="S1059" s="91"/>
      <c r="T1059" s="91"/>
      <c r="U1059" s="91"/>
      <c r="V1059" s="91"/>
      <c r="W1059" s="91"/>
      <c r="X1059" s="91"/>
      <c r="Y1059" s="91"/>
      <c r="Z1059" s="91"/>
      <c r="AA1059" s="91"/>
      <c r="AB1059" s="91"/>
      <c r="AC1059" s="91"/>
      <c r="AD1059" s="91"/>
      <c r="AE1059" s="91"/>
      <c r="AF1059" s="91"/>
      <c r="AG1059" s="91"/>
      <c r="AH1059" s="91"/>
      <c r="AI1059" s="91"/>
      <c r="AJ1059" s="91"/>
      <c r="AK1059" s="91"/>
      <c r="AL1059" s="91"/>
      <c r="AM1059" s="91"/>
    </row>
    <row r="1060" spans="1:39" ht="20.25" hidden="1" customHeight="1">
      <c r="A1060" s="91"/>
      <c r="B1060" s="93" t="s">
        <v>10137</v>
      </c>
      <c r="C1060" s="91" t="s">
        <v>36</v>
      </c>
      <c r="D1060" s="106" t="s">
        <v>10154</v>
      </c>
      <c r="E1060" s="106" t="s">
        <v>10157</v>
      </c>
      <c r="F1060" s="92" t="s">
        <v>10158</v>
      </c>
      <c r="G1060" s="103">
        <v>36434</v>
      </c>
      <c r="H1060" s="103">
        <v>19209</v>
      </c>
      <c r="I1060" s="94" t="s">
        <v>58</v>
      </c>
      <c r="J1060" s="94" t="s">
        <v>10159</v>
      </c>
      <c r="K1060" s="92">
        <v>979609519</v>
      </c>
      <c r="L1060" s="91"/>
      <c r="M1060" s="98">
        <f ca="1">(TODAY()-H1060)/365</f>
        <v>73.405479452054792</v>
      </c>
      <c r="N1060" s="99">
        <f>(G1060-H1060)/365</f>
        <v>47.19178082191781</v>
      </c>
      <c r="O1060" s="98">
        <f ca="1">(TODAY()-G1060)/365</f>
        <v>26.213698630136985</v>
      </c>
      <c r="P1060" s="91" t="s">
        <v>43</v>
      </c>
      <c r="Q1060" s="91"/>
      <c r="R1060" s="91"/>
      <c r="S1060" s="91"/>
      <c r="T1060" s="91"/>
      <c r="U1060" s="91"/>
      <c r="V1060" s="91"/>
      <c r="W1060" s="91"/>
      <c r="X1060" s="91"/>
      <c r="Y1060" s="91"/>
      <c r="Z1060" s="91"/>
      <c r="AA1060" s="91"/>
      <c r="AB1060" s="91"/>
      <c r="AC1060" s="91"/>
      <c r="AD1060" s="91"/>
      <c r="AE1060" s="91"/>
      <c r="AF1060" s="91"/>
      <c r="AG1060" s="91"/>
      <c r="AH1060" s="91"/>
      <c r="AI1060" s="91"/>
      <c r="AJ1060" s="91"/>
      <c r="AK1060" s="91"/>
      <c r="AL1060" s="91"/>
      <c r="AM1060" s="91"/>
    </row>
    <row r="1061" spans="1:39" ht="20.25" hidden="1" customHeight="1">
      <c r="A1061" s="91"/>
      <c r="B1061" s="93" t="s">
        <v>10137</v>
      </c>
      <c r="C1061" s="91" t="s">
        <v>36</v>
      </c>
      <c r="D1061" s="106" t="s">
        <v>10160</v>
      </c>
      <c r="E1061" s="106" t="s">
        <v>10161</v>
      </c>
      <c r="F1061" s="92" t="s">
        <v>10162</v>
      </c>
      <c r="G1061" s="103">
        <v>41848</v>
      </c>
      <c r="H1061" s="103">
        <v>30315</v>
      </c>
      <c r="I1061" s="108" t="s">
        <v>12579</v>
      </c>
      <c r="J1061" s="94" t="s">
        <v>10163</v>
      </c>
      <c r="K1061" s="92">
        <v>996154108</v>
      </c>
      <c r="L1061" s="91"/>
      <c r="M1061" s="98">
        <f ca="1">(TODAY()-H1061)/365</f>
        <v>42.978082191780821</v>
      </c>
      <c r="N1061" s="99">
        <f>(G1061-H1061)/365</f>
        <v>31.597260273972601</v>
      </c>
      <c r="O1061" s="98">
        <f ca="1">(TODAY()-G1061)/365</f>
        <v>11.38082191780822</v>
      </c>
      <c r="P1061" s="91" t="s">
        <v>272</v>
      </c>
      <c r="Q1061" s="91"/>
      <c r="R1061" s="91"/>
      <c r="S1061" s="91"/>
      <c r="T1061" s="91"/>
      <c r="U1061" s="91"/>
      <c r="V1061" s="91"/>
      <c r="W1061" s="91"/>
      <c r="X1061" s="91"/>
      <c r="Y1061" s="91"/>
      <c r="Z1061" s="91"/>
      <c r="AA1061" s="91"/>
      <c r="AB1061" s="91"/>
      <c r="AC1061" s="91"/>
      <c r="AD1061" s="91"/>
      <c r="AE1061" s="91"/>
      <c r="AF1061" s="91"/>
      <c r="AG1061" s="91"/>
      <c r="AH1061" s="91"/>
      <c r="AI1061" s="91"/>
      <c r="AJ1061" s="91"/>
      <c r="AK1061" s="91"/>
      <c r="AL1061" s="91"/>
      <c r="AM1061" s="91"/>
    </row>
    <row r="1062" spans="1:39" ht="20.25" hidden="1" customHeight="1">
      <c r="A1062" s="91"/>
      <c r="B1062" s="93" t="s">
        <v>10137</v>
      </c>
      <c r="C1062" s="91" t="s">
        <v>36</v>
      </c>
      <c r="D1062" s="106" t="s">
        <v>10164</v>
      </c>
      <c r="E1062" s="106" t="s">
        <v>10165</v>
      </c>
      <c r="F1062" s="92" t="s">
        <v>10166</v>
      </c>
      <c r="G1062" s="103">
        <v>40775</v>
      </c>
      <c r="H1062" s="103">
        <v>34662</v>
      </c>
      <c r="I1062" s="108" t="s">
        <v>12580</v>
      </c>
      <c r="J1062" s="94" t="s">
        <v>10167</v>
      </c>
      <c r="K1062" s="92">
        <v>962770028</v>
      </c>
      <c r="L1062" s="91"/>
      <c r="M1062" s="98">
        <f ca="1">(TODAY()-H1062)/365</f>
        <v>31.068493150684933</v>
      </c>
      <c r="N1062" s="99">
        <f>(G1062-H1062)/365</f>
        <v>16.747945205479454</v>
      </c>
      <c r="O1062" s="98">
        <f ca="1">(TODAY()-G1062)/365</f>
        <v>14.32054794520548</v>
      </c>
      <c r="P1062" s="91" t="s">
        <v>43</v>
      </c>
      <c r="Q1062" s="91"/>
      <c r="R1062" s="91"/>
      <c r="S1062" s="91"/>
      <c r="T1062" s="91"/>
      <c r="U1062" s="91"/>
      <c r="V1062" s="91"/>
      <c r="W1062" s="91"/>
      <c r="X1062" s="91"/>
      <c r="Y1062" s="91"/>
      <c r="Z1062" s="91"/>
      <c r="AA1062" s="91"/>
      <c r="AB1062" s="91"/>
      <c r="AC1062" s="91"/>
      <c r="AD1062" s="91"/>
      <c r="AE1062" s="91"/>
      <c r="AF1062" s="91"/>
      <c r="AG1062" s="91"/>
      <c r="AH1062" s="91"/>
      <c r="AI1062" s="91"/>
      <c r="AJ1062" s="91"/>
      <c r="AK1062" s="91"/>
      <c r="AL1062" s="91"/>
      <c r="AM1062" s="91"/>
    </row>
    <row r="1063" spans="1:39" ht="20.25" hidden="1" customHeight="1">
      <c r="A1063" s="91"/>
      <c r="B1063" s="93" t="s">
        <v>10137</v>
      </c>
      <c r="C1063" s="91" t="s">
        <v>36</v>
      </c>
      <c r="D1063" s="106" t="s">
        <v>10168</v>
      </c>
      <c r="E1063" s="106" t="s">
        <v>10139</v>
      </c>
      <c r="F1063" s="92" t="s">
        <v>10169</v>
      </c>
      <c r="G1063" s="103">
        <v>31896</v>
      </c>
      <c r="H1063" s="103">
        <v>20990</v>
      </c>
      <c r="I1063" s="108" t="s">
        <v>12581</v>
      </c>
      <c r="J1063" s="94" t="s">
        <v>10170</v>
      </c>
      <c r="K1063" s="92">
        <v>957531898</v>
      </c>
      <c r="L1063" s="91"/>
      <c r="M1063" s="98">
        <f ca="1">(TODAY()-H1063)/365</f>
        <v>68.526027397260279</v>
      </c>
      <c r="N1063" s="99">
        <f>(G1063-H1063)/365</f>
        <v>29.87945205479452</v>
      </c>
      <c r="O1063" s="98">
        <f ca="1">(TODAY()-G1063)/365</f>
        <v>38.646575342465752</v>
      </c>
      <c r="P1063" s="91" t="s">
        <v>43</v>
      </c>
      <c r="Q1063" s="91"/>
      <c r="R1063" s="91"/>
      <c r="S1063" s="91"/>
      <c r="T1063" s="91"/>
      <c r="U1063" s="91"/>
      <c r="V1063" s="91"/>
      <c r="W1063" s="91"/>
      <c r="X1063" s="91"/>
      <c r="Y1063" s="91"/>
      <c r="Z1063" s="91"/>
      <c r="AA1063" s="91"/>
      <c r="AB1063" s="91"/>
      <c r="AC1063" s="91"/>
      <c r="AD1063" s="91"/>
      <c r="AE1063" s="91"/>
      <c r="AF1063" s="91"/>
      <c r="AG1063" s="91"/>
      <c r="AH1063" s="91"/>
      <c r="AI1063" s="91"/>
      <c r="AJ1063" s="91"/>
      <c r="AK1063" s="91"/>
      <c r="AL1063" s="91"/>
      <c r="AM1063" s="91"/>
    </row>
    <row r="1064" spans="1:39" ht="20.25" hidden="1" customHeight="1">
      <c r="A1064" s="91"/>
      <c r="B1064" s="93" t="s">
        <v>10137</v>
      </c>
      <c r="C1064" s="91" t="s">
        <v>36</v>
      </c>
      <c r="D1064" s="106" t="s">
        <v>10154</v>
      </c>
      <c r="E1064" s="106" t="s">
        <v>10171</v>
      </c>
      <c r="F1064" s="92" t="s">
        <v>10172</v>
      </c>
      <c r="G1064" s="103">
        <v>36647</v>
      </c>
      <c r="H1064" s="103">
        <v>20212</v>
      </c>
      <c r="I1064" s="108" t="s">
        <v>12582</v>
      </c>
      <c r="J1064" s="94" t="s">
        <v>10173</v>
      </c>
      <c r="K1064" s="92">
        <v>967037435</v>
      </c>
      <c r="L1064" s="91"/>
      <c r="M1064" s="98">
        <f ca="1">(TODAY()-H1064)/365</f>
        <v>70.657534246575338</v>
      </c>
      <c r="N1064" s="99">
        <f>(G1064-H1064)/365</f>
        <v>45.027397260273972</v>
      </c>
      <c r="O1064" s="98">
        <f ca="1">(TODAY()-G1064)/365</f>
        <v>25.63013698630137</v>
      </c>
      <c r="P1064" s="91" t="s">
        <v>43</v>
      </c>
      <c r="Q1064" s="91"/>
      <c r="R1064" s="91"/>
      <c r="S1064" s="91"/>
      <c r="T1064" s="91"/>
      <c r="U1064" s="91"/>
      <c r="V1064" s="91"/>
      <c r="W1064" s="91"/>
      <c r="X1064" s="91"/>
      <c r="Y1064" s="91"/>
      <c r="Z1064" s="91"/>
      <c r="AA1064" s="91"/>
      <c r="AB1064" s="91"/>
      <c r="AC1064" s="91"/>
      <c r="AD1064" s="91"/>
      <c r="AE1064" s="91"/>
      <c r="AF1064" s="91"/>
      <c r="AG1064" s="91"/>
      <c r="AH1064" s="91"/>
      <c r="AI1064" s="91"/>
      <c r="AJ1064" s="91"/>
      <c r="AK1064" s="91"/>
      <c r="AL1064" s="91"/>
      <c r="AM1064" s="91"/>
    </row>
    <row r="1065" spans="1:39" ht="20.25" hidden="1" customHeight="1">
      <c r="A1065" s="91"/>
      <c r="B1065" s="93" t="s">
        <v>10137</v>
      </c>
      <c r="C1065" s="91" t="s">
        <v>36</v>
      </c>
      <c r="D1065" s="106" t="s">
        <v>10154</v>
      </c>
      <c r="E1065" s="106" t="s">
        <v>10174</v>
      </c>
      <c r="F1065" s="92" t="s">
        <v>10175</v>
      </c>
      <c r="G1065" s="103">
        <v>35135</v>
      </c>
      <c r="H1065" s="103">
        <v>22200</v>
      </c>
      <c r="I1065" s="108" t="s">
        <v>12583</v>
      </c>
      <c r="J1065" s="94" t="s">
        <v>10176</v>
      </c>
      <c r="K1065" s="92">
        <v>987449630</v>
      </c>
      <c r="L1065" s="91"/>
      <c r="M1065" s="98">
        <f ca="1">(TODAY()-H1065)/365</f>
        <v>65.210958904109589</v>
      </c>
      <c r="N1065" s="99">
        <f>(G1065-H1065)/365</f>
        <v>35.438356164383563</v>
      </c>
      <c r="O1065" s="98">
        <f ca="1">(TODAY()-G1065)/365</f>
        <v>29.772602739726029</v>
      </c>
      <c r="P1065" s="91" t="s">
        <v>43</v>
      </c>
      <c r="Q1065" s="91"/>
      <c r="R1065" s="91"/>
      <c r="S1065" s="91"/>
      <c r="T1065" s="91"/>
      <c r="U1065" s="91"/>
      <c r="V1065" s="91"/>
      <c r="W1065" s="91"/>
      <c r="X1065" s="91"/>
      <c r="Y1065" s="91"/>
      <c r="Z1065" s="91"/>
      <c r="AA1065" s="91"/>
      <c r="AB1065" s="91"/>
      <c r="AC1065" s="91"/>
      <c r="AD1065" s="91"/>
      <c r="AE1065" s="91"/>
      <c r="AF1065" s="91"/>
      <c r="AG1065" s="91"/>
      <c r="AH1065" s="91"/>
      <c r="AI1065" s="91"/>
      <c r="AJ1065" s="91"/>
      <c r="AK1065" s="91"/>
      <c r="AL1065" s="91"/>
      <c r="AM1065" s="91"/>
    </row>
    <row r="1066" spans="1:39" ht="20.25" hidden="1" customHeight="1">
      <c r="A1066" s="91"/>
      <c r="B1066" s="93" t="s">
        <v>10137</v>
      </c>
      <c r="C1066" s="91" t="s">
        <v>36</v>
      </c>
      <c r="D1066" s="106" t="s">
        <v>10177</v>
      </c>
      <c r="E1066" s="106" t="s">
        <v>10178</v>
      </c>
      <c r="F1066" s="92" t="s">
        <v>10179</v>
      </c>
      <c r="G1066" s="103">
        <v>38658</v>
      </c>
      <c r="H1066" s="103">
        <v>23785</v>
      </c>
      <c r="I1066" s="108" t="s">
        <v>12584</v>
      </c>
      <c r="J1066" s="94" t="s">
        <v>10180</v>
      </c>
      <c r="K1066" s="92">
        <v>998257489</v>
      </c>
      <c r="L1066" s="91"/>
      <c r="M1066" s="98">
        <f ca="1">(TODAY()-H1066)/365</f>
        <v>60.868493150684934</v>
      </c>
      <c r="N1066" s="99">
        <f>(G1066-H1066)/365</f>
        <v>40.747945205479454</v>
      </c>
      <c r="O1066" s="98">
        <f ca="1">(TODAY()-G1066)/365</f>
        <v>20.12054794520548</v>
      </c>
      <c r="P1066" s="91" t="s">
        <v>43</v>
      </c>
      <c r="Q1066" s="91"/>
      <c r="R1066" s="91"/>
      <c r="S1066" s="91"/>
      <c r="T1066" s="91"/>
      <c r="U1066" s="91"/>
      <c r="V1066" s="91"/>
      <c r="W1066" s="91"/>
      <c r="X1066" s="91"/>
      <c r="Y1066" s="91"/>
      <c r="Z1066" s="91"/>
      <c r="AA1066" s="91"/>
      <c r="AB1066" s="91"/>
      <c r="AC1066" s="91"/>
      <c r="AD1066" s="91"/>
      <c r="AE1066" s="91"/>
      <c r="AF1066" s="91"/>
      <c r="AG1066" s="91"/>
      <c r="AH1066" s="91"/>
      <c r="AI1066" s="91"/>
      <c r="AJ1066" s="91"/>
      <c r="AK1066" s="91"/>
      <c r="AL1066" s="91"/>
      <c r="AM1066" s="91"/>
    </row>
    <row r="1067" spans="1:39" ht="20.25" hidden="1" customHeight="1">
      <c r="A1067" s="91"/>
      <c r="B1067" s="93" t="s">
        <v>10137</v>
      </c>
      <c r="C1067" s="91" t="s">
        <v>36</v>
      </c>
      <c r="D1067" s="106" t="s">
        <v>10181</v>
      </c>
      <c r="E1067" s="106" t="s">
        <v>10182</v>
      </c>
      <c r="F1067" s="92" t="s">
        <v>10183</v>
      </c>
      <c r="G1067" s="103">
        <v>36619</v>
      </c>
      <c r="H1067" s="103">
        <v>19161</v>
      </c>
      <c r="I1067" s="94" t="s">
        <v>58</v>
      </c>
      <c r="J1067" s="94" t="s">
        <v>10184</v>
      </c>
      <c r="K1067" s="92">
        <v>985662468</v>
      </c>
      <c r="L1067" s="91"/>
      <c r="M1067" s="98">
        <f ca="1">(TODAY()-H1067)/365</f>
        <v>73.536986301369865</v>
      </c>
      <c r="N1067" s="99">
        <f>(G1067-H1067)/365</f>
        <v>47.830136986301369</v>
      </c>
      <c r="O1067" s="98">
        <f ca="1">(TODAY()-G1067)/365</f>
        <v>25.706849315068492</v>
      </c>
      <c r="P1067" s="91" t="s">
        <v>43</v>
      </c>
      <c r="Q1067" s="91"/>
      <c r="R1067" s="91"/>
      <c r="S1067" s="91"/>
      <c r="T1067" s="91"/>
      <c r="U1067" s="91"/>
      <c r="V1067" s="91"/>
      <c r="W1067" s="91"/>
      <c r="X1067" s="91"/>
      <c r="Y1067" s="91"/>
      <c r="Z1067" s="91"/>
      <c r="AA1067" s="91"/>
      <c r="AB1067" s="91"/>
      <c r="AC1067" s="91"/>
      <c r="AD1067" s="91"/>
      <c r="AE1067" s="91"/>
      <c r="AF1067" s="91"/>
      <c r="AG1067" s="91"/>
      <c r="AH1067" s="91"/>
      <c r="AI1067" s="91"/>
      <c r="AJ1067" s="91"/>
      <c r="AK1067" s="91"/>
      <c r="AL1067" s="91"/>
      <c r="AM1067" s="91"/>
    </row>
    <row r="1068" spans="1:39" ht="20.25" hidden="1" customHeight="1">
      <c r="A1068" s="91"/>
      <c r="B1068" s="93" t="s">
        <v>10137</v>
      </c>
      <c r="C1068" s="91" t="s">
        <v>36</v>
      </c>
      <c r="D1068" s="106" t="s">
        <v>10185</v>
      </c>
      <c r="E1068" s="106" t="s">
        <v>10186</v>
      </c>
      <c r="F1068" s="92" t="s">
        <v>10187</v>
      </c>
      <c r="G1068" s="103">
        <v>44856</v>
      </c>
      <c r="H1068" s="103">
        <v>29379</v>
      </c>
      <c r="I1068" s="108" t="s">
        <v>12585</v>
      </c>
      <c r="J1068" s="94" t="s">
        <v>10188</v>
      </c>
      <c r="K1068" s="92">
        <v>957258913</v>
      </c>
      <c r="L1068" s="91"/>
      <c r="M1068" s="98">
        <f ca="1">(TODAY()-H1068)/365</f>
        <v>45.542465753424658</v>
      </c>
      <c r="N1068" s="99">
        <f>(G1068-H1068)/365</f>
        <v>42.402739726027399</v>
      </c>
      <c r="O1068" s="98">
        <f ca="1">(TODAY()-G1068)/365</f>
        <v>3.1397260273972605</v>
      </c>
      <c r="P1068" s="91" t="s">
        <v>43</v>
      </c>
      <c r="Q1068" s="91"/>
      <c r="R1068" s="91"/>
      <c r="S1068" s="91"/>
      <c r="T1068" s="91"/>
      <c r="U1068" s="91"/>
      <c r="V1068" s="91"/>
      <c r="W1068" s="91"/>
      <c r="X1068" s="91"/>
      <c r="Y1068" s="91"/>
      <c r="Z1068" s="91"/>
      <c r="AA1068" s="91"/>
      <c r="AB1068" s="91"/>
      <c r="AC1068" s="91"/>
      <c r="AD1068" s="91"/>
      <c r="AE1068" s="91"/>
      <c r="AF1068" s="91"/>
      <c r="AG1068" s="91"/>
      <c r="AH1068" s="91"/>
      <c r="AI1068" s="91"/>
      <c r="AJ1068" s="91"/>
      <c r="AK1068" s="91"/>
      <c r="AL1068" s="91"/>
      <c r="AM1068" s="91"/>
    </row>
    <row r="1069" spans="1:39" ht="20.25" customHeight="1">
      <c r="A1069" s="91"/>
      <c r="B1069" s="93" t="s">
        <v>11884</v>
      </c>
      <c r="C1069" s="91" t="s">
        <v>73</v>
      </c>
      <c r="D1069" s="106" t="s">
        <v>6364</v>
      </c>
      <c r="E1069" s="106" t="s">
        <v>6365</v>
      </c>
      <c r="F1069" s="92" t="s">
        <v>6366</v>
      </c>
      <c r="G1069" s="96">
        <v>45465</v>
      </c>
      <c r="H1069" s="97">
        <v>38603</v>
      </c>
      <c r="I1069" s="102" t="s">
        <v>6367</v>
      </c>
      <c r="J1069" s="94" t="s">
        <v>58</v>
      </c>
      <c r="K1069" s="95" t="s">
        <v>58</v>
      </c>
      <c r="L1069" s="91" t="s">
        <v>60</v>
      </c>
      <c r="M1069" s="98">
        <f ca="1">(TODAY()-H1069)/365</f>
        <v>20.271232876712329</v>
      </c>
      <c r="N1069" s="99">
        <f>(G1069-H1069)/365</f>
        <v>18.8</v>
      </c>
      <c r="O1069" s="98">
        <f ca="1">(TODAY()-G1069)/365</f>
        <v>1.4712328767123288</v>
      </c>
      <c r="P1069" s="91" t="s">
        <v>43</v>
      </c>
      <c r="Q1069" s="91">
        <v>0</v>
      </c>
      <c r="R1069" s="91">
        <v>0</v>
      </c>
      <c r="S1069" s="91">
        <v>0</v>
      </c>
      <c r="T1069" s="91"/>
      <c r="U1069" s="91"/>
      <c r="V1069" s="91"/>
      <c r="W1069" s="91"/>
      <c r="X1069" s="91"/>
      <c r="Y1069" s="91"/>
      <c r="Z1069" s="91"/>
      <c r="AA1069" s="91"/>
      <c r="AB1069" s="91"/>
      <c r="AC1069" s="91"/>
      <c r="AD1069" s="91"/>
      <c r="AE1069" s="91"/>
      <c r="AF1069" s="91"/>
      <c r="AG1069" s="91"/>
      <c r="AH1069" s="91"/>
      <c r="AI1069" s="91"/>
      <c r="AJ1069" s="91"/>
      <c r="AK1069" s="91"/>
      <c r="AL1069" s="91"/>
      <c r="AM1069" s="91"/>
    </row>
    <row r="1070" spans="1:39" ht="20.25" customHeight="1">
      <c r="A1070" s="91"/>
      <c r="B1070" s="93" t="s">
        <v>5912</v>
      </c>
      <c r="C1070" s="91" t="s">
        <v>73</v>
      </c>
      <c r="D1070" s="94" t="s">
        <v>5986</v>
      </c>
      <c r="E1070" s="94" t="s">
        <v>5987</v>
      </c>
      <c r="F1070" s="95" t="s">
        <v>5988</v>
      </c>
      <c r="G1070" s="96">
        <v>45261</v>
      </c>
      <c r="H1070" s="97">
        <v>30381</v>
      </c>
      <c r="I1070" s="94" t="s">
        <v>5989</v>
      </c>
      <c r="J1070" s="100" t="s">
        <v>58</v>
      </c>
      <c r="K1070" s="91" t="s">
        <v>58</v>
      </c>
      <c r="L1070" s="91" t="s">
        <v>60</v>
      </c>
      <c r="M1070" s="98">
        <f ca="1">(TODAY()-H1070)/365</f>
        <v>42.797260273972604</v>
      </c>
      <c r="N1070" s="99">
        <f>(G1070-H1070)/365</f>
        <v>40.767123287671232</v>
      </c>
      <c r="O1070" s="98">
        <f ca="1">(TODAY()-G1070)/365</f>
        <v>2.0301369863013701</v>
      </c>
      <c r="P1070" s="91" t="s">
        <v>272</v>
      </c>
      <c r="Q1070" s="91">
        <v>0</v>
      </c>
      <c r="R1070" s="91">
        <v>0</v>
      </c>
      <c r="S1070" s="91">
        <v>0</v>
      </c>
      <c r="T1070" s="91"/>
      <c r="U1070" s="91"/>
      <c r="V1070" s="91"/>
      <c r="W1070" s="91"/>
      <c r="X1070" s="91"/>
      <c r="Y1070" s="91"/>
      <c r="Z1070" s="91"/>
      <c r="AA1070" s="91"/>
      <c r="AB1070" s="91"/>
      <c r="AC1070" s="91"/>
      <c r="AD1070" s="91"/>
      <c r="AE1070" s="91"/>
      <c r="AF1070" s="91"/>
      <c r="AG1070" s="91"/>
      <c r="AH1070" s="91"/>
      <c r="AI1070" s="91"/>
      <c r="AJ1070" s="91"/>
      <c r="AK1070" s="91"/>
      <c r="AL1070" s="91"/>
      <c r="AM1070" s="91"/>
    </row>
    <row r="1071" spans="1:39" ht="20.25" customHeight="1">
      <c r="A1071" s="91"/>
      <c r="B1071" s="93" t="s">
        <v>10354</v>
      </c>
      <c r="C1071" s="91" t="s">
        <v>73</v>
      </c>
      <c r="D1071" s="106" t="s">
        <v>320</v>
      </c>
      <c r="E1071" s="106" t="s">
        <v>10388</v>
      </c>
      <c r="F1071" s="92" t="s">
        <v>10389</v>
      </c>
      <c r="G1071" s="103">
        <v>45506</v>
      </c>
      <c r="H1071" s="103">
        <v>31691</v>
      </c>
      <c r="I1071" s="94" t="s">
        <v>10390</v>
      </c>
      <c r="J1071" s="100" t="s">
        <v>58</v>
      </c>
      <c r="K1071" s="95" t="s">
        <v>58</v>
      </c>
      <c r="L1071" s="91"/>
      <c r="M1071" s="98">
        <f ca="1">(TODAY()-H1071)/365</f>
        <v>39.208219178082189</v>
      </c>
      <c r="N1071" s="99">
        <f>(G1071-H1071)/365</f>
        <v>37.849315068493148</v>
      </c>
      <c r="O1071" s="98">
        <f ca="1">(TODAY()-G1071)/365</f>
        <v>1.3589041095890411</v>
      </c>
      <c r="P1071" s="91" t="s">
        <v>43</v>
      </c>
      <c r="Q1071" s="91"/>
      <c r="R1071" s="91"/>
      <c r="S1071" s="91"/>
      <c r="T1071" s="91"/>
      <c r="U1071" s="91"/>
      <c r="V1071" s="91"/>
      <c r="W1071" s="91"/>
      <c r="X1071" s="91"/>
      <c r="Y1071" s="91"/>
      <c r="Z1071" s="91"/>
      <c r="AA1071" s="91"/>
      <c r="AB1071" s="91"/>
      <c r="AC1071" s="91"/>
      <c r="AD1071" s="91"/>
      <c r="AE1071" s="91"/>
      <c r="AF1071" s="91"/>
      <c r="AG1071" s="91"/>
      <c r="AH1071" s="91"/>
      <c r="AI1071" s="91"/>
      <c r="AJ1071" s="91"/>
      <c r="AK1071" s="91"/>
      <c r="AL1071" s="91"/>
      <c r="AM1071" s="91"/>
    </row>
    <row r="1072" spans="1:39" ht="20.25" customHeight="1">
      <c r="A1072" s="91"/>
      <c r="B1072" s="93" t="s">
        <v>77</v>
      </c>
      <c r="C1072" s="91" t="s">
        <v>73</v>
      </c>
      <c r="D1072" s="94" t="s">
        <v>138</v>
      </c>
      <c r="E1072" s="94" t="s">
        <v>139</v>
      </c>
      <c r="F1072" s="95" t="s">
        <v>140</v>
      </c>
      <c r="G1072" s="96">
        <v>41922</v>
      </c>
      <c r="H1072" s="97">
        <v>28585</v>
      </c>
      <c r="I1072" s="102" t="s">
        <v>141</v>
      </c>
      <c r="J1072" s="100" t="s">
        <v>58</v>
      </c>
      <c r="K1072" s="91" t="s">
        <v>58</v>
      </c>
      <c r="L1072" s="91" t="s">
        <v>60</v>
      </c>
      <c r="M1072" s="98">
        <f ca="1">(TODAY()-H1072)/365</f>
        <v>47.717808219178082</v>
      </c>
      <c r="N1072" s="99">
        <f>(G1072-H1072)/365</f>
        <v>36.539726027397258</v>
      </c>
      <c r="O1072" s="98">
        <f ca="1">(TODAY()-G1072)/365</f>
        <v>11.178082191780822</v>
      </c>
      <c r="P1072" s="91" t="s">
        <v>43</v>
      </c>
      <c r="Q1072" s="91">
        <v>0</v>
      </c>
      <c r="R1072" s="91">
        <v>0</v>
      </c>
      <c r="S1072" s="91">
        <v>0</v>
      </c>
      <c r="T1072" s="91"/>
      <c r="U1072" s="91"/>
      <c r="V1072" s="91"/>
      <c r="W1072" s="91"/>
      <c r="X1072" s="91"/>
      <c r="Y1072" s="91"/>
      <c r="Z1072" s="91"/>
      <c r="AA1072" s="91"/>
      <c r="AB1072" s="91"/>
      <c r="AC1072" s="91"/>
      <c r="AD1072" s="91"/>
      <c r="AE1072" s="91"/>
      <c r="AF1072" s="91"/>
      <c r="AG1072" s="91"/>
      <c r="AH1072" s="91"/>
      <c r="AI1072" s="91"/>
      <c r="AJ1072" s="91"/>
      <c r="AK1072" s="91"/>
      <c r="AL1072" s="91"/>
      <c r="AM1072" s="91"/>
    </row>
    <row r="1073" spans="1:39" ht="20.25" customHeight="1">
      <c r="A1073" s="91"/>
      <c r="B1073" s="93" t="s">
        <v>8630</v>
      </c>
      <c r="C1073" s="91" t="s">
        <v>73</v>
      </c>
      <c r="D1073" s="94" t="s">
        <v>8631</v>
      </c>
      <c r="E1073" s="94" t="s">
        <v>8632</v>
      </c>
      <c r="F1073" s="95" t="s">
        <v>8633</v>
      </c>
      <c r="G1073" s="96">
        <v>39540</v>
      </c>
      <c r="H1073" s="97">
        <v>36242</v>
      </c>
      <c r="I1073" s="94" t="s">
        <v>8634</v>
      </c>
      <c r="J1073" s="94" t="s">
        <v>58</v>
      </c>
      <c r="K1073" s="95" t="s">
        <v>58</v>
      </c>
      <c r="L1073" s="91" t="s">
        <v>60</v>
      </c>
      <c r="M1073" s="98">
        <f ca="1">(TODAY()-H1073)/365</f>
        <v>26.739726027397261</v>
      </c>
      <c r="N1073" s="99">
        <f>(G1073-H1073)/365</f>
        <v>9.0356164383561648</v>
      </c>
      <c r="O1073" s="98">
        <f ca="1">(TODAY()-G1073)/365</f>
        <v>17.704109589041096</v>
      </c>
      <c r="P1073" s="91" t="s">
        <v>272</v>
      </c>
      <c r="Q1073" s="91">
        <v>0</v>
      </c>
      <c r="R1073" s="91">
        <v>0</v>
      </c>
      <c r="S1073" s="91">
        <v>0</v>
      </c>
      <c r="T1073" s="91"/>
      <c r="U1073" s="91"/>
      <c r="V1073" s="91"/>
      <c r="W1073" s="91"/>
      <c r="X1073" s="91"/>
      <c r="Y1073" s="91"/>
      <c r="Z1073" s="91"/>
      <c r="AA1073" s="91"/>
      <c r="AB1073" s="91"/>
      <c r="AC1073" s="91"/>
      <c r="AD1073" s="91"/>
      <c r="AE1073" s="91"/>
      <c r="AF1073" s="91"/>
      <c r="AG1073" s="91"/>
      <c r="AH1073" s="91"/>
      <c r="AI1073" s="91"/>
      <c r="AJ1073" s="91"/>
      <c r="AK1073" s="91"/>
      <c r="AL1073" s="91"/>
      <c r="AM1073" s="91"/>
    </row>
    <row r="1074" spans="1:39" ht="20.25" customHeight="1">
      <c r="A1074" s="91"/>
      <c r="B1074" s="93" t="s">
        <v>8095</v>
      </c>
      <c r="C1074" s="91" t="s">
        <v>73</v>
      </c>
      <c r="D1074" s="94" t="s">
        <v>8150</v>
      </c>
      <c r="E1074" s="94" t="s">
        <v>8151</v>
      </c>
      <c r="F1074" s="95" t="s">
        <v>8152</v>
      </c>
      <c r="G1074" s="96">
        <v>43484</v>
      </c>
      <c r="H1074" s="97">
        <v>30924</v>
      </c>
      <c r="I1074" s="94" t="s">
        <v>8153</v>
      </c>
      <c r="J1074" s="100" t="s">
        <v>58</v>
      </c>
      <c r="K1074" s="91" t="s">
        <v>58</v>
      </c>
      <c r="L1074" s="91" t="s">
        <v>60</v>
      </c>
      <c r="M1074" s="98">
        <f ca="1">(TODAY()-H1074)/365</f>
        <v>41.30958904109589</v>
      </c>
      <c r="N1074" s="99">
        <f>(G1074-H1074)/365</f>
        <v>34.410958904109592</v>
      </c>
      <c r="O1074" s="98">
        <f ca="1">(TODAY()-G1074)/365</f>
        <v>6.8986301369863012</v>
      </c>
      <c r="P1074" s="91" t="s">
        <v>43</v>
      </c>
      <c r="Q1074" s="91">
        <v>0</v>
      </c>
      <c r="R1074" s="91">
        <v>0</v>
      </c>
      <c r="S1074" s="91">
        <v>0</v>
      </c>
      <c r="T1074" s="91"/>
      <c r="U1074" s="91"/>
      <c r="V1074" s="91"/>
      <c r="W1074" s="91"/>
      <c r="X1074" s="91"/>
      <c r="Y1074" s="91"/>
      <c r="Z1074" s="91"/>
      <c r="AA1074" s="91"/>
      <c r="AB1074" s="91"/>
      <c r="AC1074" s="91"/>
      <c r="AD1074" s="91"/>
      <c r="AE1074" s="91"/>
      <c r="AF1074" s="91"/>
      <c r="AG1074" s="91"/>
      <c r="AH1074" s="91"/>
      <c r="AI1074" s="91"/>
      <c r="AJ1074" s="91"/>
      <c r="AK1074" s="91"/>
      <c r="AL1074" s="91"/>
      <c r="AM1074" s="91"/>
    </row>
    <row r="1075" spans="1:39" ht="20.25" customHeight="1">
      <c r="A1075" s="91"/>
      <c r="B1075" s="93" t="s">
        <v>371</v>
      </c>
      <c r="C1075" s="91" t="s">
        <v>73</v>
      </c>
      <c r="D1075" s="94" t="s">
        <v>478</v>
      </c>
      <c r="E1075" s="94" t="s">
        <v>479</v>
      </c>
      <c r="F1075" s="95" t="s">
        <v>480</v>
      </c>
      <c r="G1075" s="96">
        <v>42867</v>
      </c>
      <c r="H1075" s="97">
        <v>30928</v>
      </c>
      <c r="I1075" s="100" t="s">
        <v>481</v>
      </c>
      <c r="J1075" s="100" t="s">
        <v>58</v>
      </c>
      <c r="K1075" s="91" t="s">
        <v>58</v>
      </c>
      <c r="L1075" s="91" t="s">
        <v>60</v>
      </c>
      <c r="M1075" s="98">
        <f ca="1">(TODAY()-H1075)/365</f>
        <v>41.298630136986304</v>
      </c>
      <c r="N1075" s="99">
        <f>(G1075-H1075)/365</f>
        <v>32.709589041095889</v>
      </c>
      <c r="O1075" s="98">
        <f ca="1">(TODAY()-G1075)/365</f>
        <v>8.5890410958904102</v>
      </c>
      <c r="P1075" s="91" t="s">
        <v>272</v>
      </c>
      <c r="Q1075" s="91">
        <v>0</v>
      </c>
      <c r="R1075" s="91">
        <v>0</v>
      </c>
      <c r="S1075" s="91">
        <v>0</v>
      </c>
      <c r="T1075" s="91"/>
      <c r="U1075" s="91"/>
      <c r="V1075" s="91"/>
      <c r="W1075" s="91"/>
      <c r="X1075" s="91"/>
      <c r="Y1075" s="91"/>
      <c r="Z1075" s="91"/>
      <c r="AA1075" s="91"/>
      <c r="AB1075" s="91"/>
      <c r="AC1075" s="91"/>
      <c r="AD1075" s="91"/>
      <c r="AE1075" s="91"/>
      <c r="AF1075" s="91"/>
      <c r="AG1075" s="91"/>
      <c r="AH1075" s="91"/>
      <c r="AI1075" s="91"/>
      <c r="AJ1075" s="91"/>
      <c r="AK1075" s="91"/>
      <c r="AL1075" s="91"/>
      <c r="AM1075" s="91"/>
    </row>
    <row r="1076" spans="1:39" ht="20.25" customHeight="1">
      <c r="A1076" s="91"/>
      <c r="B1076" s="93" t="s">
        <v>5484</v>
      </c>
      <c r="C1076" s="91" t="s">
        <v>73</v>
      </c>
      <c r="D1076" s="107" t="s">
        <v>5704</v>
      </c>
      <c r="E1076" s="107" t="s">
        <v>5705</v>
      </c>
      <c r="F1076" s="91" t="s">
        <v>5706</v>
      </c>
      <c r="G1076" s="96">
        <v>44197</v>
      </c>
      <c r="H1076" s="97">
        <v>21588</v>
      </c>
      <c r="I1076" s="100" t="s">
        <v>5707</v>
      </c>
      <c r="J1076" s="100" t="s">
        <v>58</v>
      </c>
      <c r="K1076" s="91" t="s">
        <v>58</v>
      </c>
      <c r="L1076" s="91" t="s">
        <v>60</v>
      </c>
      <c r="M1076" s="98">
        <f ca="1">(TODAY()-H1076)/365</f>
        <v>66.887671232876713</v>
      </c>
      <c r="N1076" s="99">
        <f>(G1076-H1076)/365</f>
        <v>61.942465753424656</v>
      </c>
      <c r="O1076" s="98">
        <f ca="1">(TODAY()-G1076)/365</f>
        <v>4.9452054794520546</v>
      </c>
      <c r="P1076" s="91" t="s">
        <v>43</v>
      </c>
      <c r="Q1076" s="91">
        <v>0</v>
      </c>
      <c r="R1076" s="91">
        <v>0</v>
      </c>
      <c r="S1076" s="91">
        <v>0</v>
      </c>
      <c r="T1076" s="91"/>
      <c r="U1076" s="91"/>
      <c r="V1076" s="91"/>
      <c r="W1076" s="91"/>
      <c r="X1076" s="91"/>
      <c r="Y1076" s="91"/>
      <c r="Z1076" s="91"/>
      <c r="AA1076" s="91"/>
      <c r="AB1076" s="91"/>
      <c r="AC1076" s="91"/>
      <c r="AD1076" s="91"/>
      <c r="AE1076" s="91"/>
      <c r="AF1076" s="91"/>
      <c r="AG1076" s="91"/>
      <c r="AH1076" s="91"/>
      <c r="AI1076" s="91"/>
      <c r="AJ1076" s="91"/>
      <c r="AK1076" s="91"/>
      <c r="AL1076" s="91"/>
      <c r="AM1076" s="91"/>
    </row>
    <row r="1077" spans="1:39" ht="20.25" hidden="1" customHeight="1">
      <c r="A1077" s="91"/>
      <c r="B1077" s="93" t="s">
        <v>3557</v>
      </c>
      <c r="C1077" s="91" t="s">
        <v>36</v>
      </c>
      <c r="D1077" s="94" t="s">
        <v>367</v>
      </c>
      <c r="E1077" s="94" t="s">
        <v>3558</v>
      </c>
      <c r="F1077" s="95" t="s">
        <v>3559</v>
      </c>
      <c r="G1077" s="96">
        <v>29504</v>
      </c>
      <c r="H1077" s="97">
        <v>19202</v>
      </c>
      <c r="I1077" s="100" t="s">
        <v>58</v>
      </c>
      <c r="J1077" s="94" t="s">
        <v>3560</v>
      </c>
      <c r="K1077" s="95" t="s">
        <v>3561</v>
      </c>
      <c r="L1077" s="91" t="s">
        <v>60</v>
      </c>
      <c r="M1077" s="98">
        <f ca="1">(TODAY()-H1077)/365</f>
        <v>73.424657534246577</v>
      </c>
      <c r="N1077" s="99">
        <f>(G1077-H1077)/365</f>
        <v>28.224657534246575</v>
      </c>
      <c r="O1077" s="98">
        <f ca="1">(TODAY()-G1077)/365</f>
        <v>45.2</v>
      </c>
      <c r="P1077" s="91" t="s">
        <v>43</v>
      </c>
      <c r="Q1077" s="91">
        <v>0</v>
      </c>
      <c r="R1077" s="91">
        <v>0</v>
      </c>
      <c r="S1077" s="91">
        <v>0</v>
      </c>
      <c r="T1077" s="91"/>
      <c r="U1077" s="91"/>
      <c r="V1077" s="91"/>
      <c r="W1077" s="91"/>
      <c r="X1077" s="91"/>
      <c r="Y1077" s="91"/>
      <c r="Z1077" s="91"/>
      <c r="AA1077" s="91"/>
      <c r="AB1077" s="91"/>
      <c r="AC1077" s="91"/>
      <c r="AD1077" s="91"/>
      <c r="AE1077" s="91"/>
      <c r="AF1077" s="91"/>
      <c r="AG1077" s="91"/>
      <c r="AH1077" s="91"/>
      <c r="AI1077" s="91"/>
      <c r="AJ1077" s="91"/>
      <c r="AK1077" s="91"/>
      <c r="AL1077" s="91"/>
      <c r="AM1077" s="91"/>
    </row>
    <row r="1078" spans="1:39" ht="20.25" hidden="1" customHeight="1">
      <c r="A1078" s="91"/>
      <c r="B1078" s="93" t="s">
        <v>3557</v>
      </c>
      <c r="C1078" s="91" t="s">
        <v>36</v>
      </c>
      <c r="D1078" s="94" t="s">
        <v>712</v>
      </c>
      <c r="E1078" s="94" t="s">
        <v>3562</v>
      </c>
      <c r="F1078" s="95" t="s">
        <v>3563</v>
      </c>
      <c r="G1078" s="96">
        <v>30433</v>
      </c>
      <c r="H1078" s="97">
        <v>19433</v>
      </c>
      <c r="I1078" s="94" t="s">
        <v>3564</v>
      </c>
      <c r="J1078" s="94" t="s">
        <v>3565</v>
      </c>
      <c r="K1078" s="95" t="s">
        <v>3566</v>
      </c>
      <c r="L1078" s="91" t="s">
        <v>49</v>
      </c>
      <c r="M1078" s="98">
        <f ca="1">(TODAY()-H1078)/365</f>
        <v>72.791780821917811</v>
      </c>
      <c r="N1078" s="99">
        <f>(G1078-H1078)/365</f>
        <v>30.136986301369863</v>
      </c>
      <c r="O1078" s="98">
        <f ca="1">(TODAY()-G1078)/365</f>
        <v>42.654794520547945</v>
      </c>
      <c r="P1078" s="91" t="s">
        <v>43</v>
      </c>
      <c r="Q1078" s="91">
        <v>0</v>
      </c>
      <c r="R1078" s="91">
        <v>0</v>
      </c>
      <c r="S1078" s="91">
        <v>0</v>
      </c>
      <c r="T1078" s="91"/>
      <c r="U1078" s="91"/>
      <c r="V1078" s="91"/>
      <c r="W1078" s="91"/>
      <c r="X1078" s="91"/>
      <c r="Y1078" s="91"/>
      <c r="Z1078" s="91"/>
      <c r="AA1078" s="91"/>
      <c r="AB1078" s="91"/>
      <c r="AC1078" s="91"/>
      <c r="AD1078" s="91"/>
      <c r="AE1078" s="91"/>
      <c r="AF1078" s="91"/>
      <c r="AG1078" s="91"/>
      <c r="AH1078" s="91"/>
      <c r="AI1078" s="91"/>
      <c r="AJ1078" s="91"/>
      <c r="AK1078" s="91"/>
      <c r="AL1078" s="91"/>
      <c r="AM1078" s="91"/>
    </row>
    <row r="1079" spans="1:39" ht="20.25" hidden="1" customHeight="1">
      <c r="A1079" s="91"/>
      <c r="B1079" s="93" t="s">
        <v>3557</v>
      </c>
      <c r="C1079" s="91" t="s">
        <v>36</v>
      </c>
      <c r="D1079" s="94" t="s">
        <v>2683</v>
      </c>
      <c r="E1079" s="94" t="s">
        <v>3567</v>
      </c>
      <c r="F1079" s="95" t="s">
        <v>3568</v>
      </c>
      <c r="G1079" s="96">
        <v>44846</v>
      </c>
      <c r="H1079" s="97">
        <v>33274</v>
      </c>
      <c r="I1079" s="108" t="s">
        <v>12355</v>
      </c>
      <c r="J1079" s="94" t="s">
        <v>3569</v>
      </c>
      <c r="K1079" s="95">
        <v>971076059</v>
      </c>
      <c r="L1079" s="91" t="s">
        <v>72</v>
      </c>
      <c r="M1079" s="98">
        <f ca="1">(TODAY()-H1079)/365</f>
        <v>34.871232876712327</v>
      </c>
      <c r="N1079" s="99">
        <f>(G1079-H1079)/365</f>
        <v>31.704109589041096</v>
      </c>
      <c r="O1079" s="98">
        <f ca="1">(TODAY()-G1079)/365</f>
        <v>3.1671232876712327</v>
      </c>
      <c r="P1079" s="91" t="s">
        <v>43</v>
      </c>
      <c r="Q1079" s="91">
        <v>0</v>
      </c>
      <c r="R1079" s="91">
        <v>0</v>
      </c>
      <c r="S1079" s="91">
        <v>0</v>
      </c>
      <c r="T1079" s="91"/>
      <c r="U1079" s="91"/>
      <c r="V1079" s="91"/>
      <c r="W1079" s="91"/>
      <c r="X1079" s="91"/>
      <c r="Y1079" s="91"/>
      <c r="Z1079" s="91"/>
      <c r="AA1079" s="91"/>
      <c r="AB1079" s="91"/>
      <c r="AC1079" s="91"/>
      <c r="AD1079" s="91"/>
      <c r="AE1079" s="91"/>
      <c r="AF1079" s="91"/>
      <c r="AG1079" s="91"/>
      <c r="AH1079" s="91"/>
      <c r="AI1079" s="91"/>
      <c r="AJ1079" s="91"/>
      <c r="AK1079" s="91"/>
      <c r="AL1079" s="91"/>
      <c r="AM1079" s="91"/>
    </row>
    <row r="1080" spans="1:39" ht="20.25" hidden="1" customHeight="1">
      <c r="A1080" s="91"/>
      <c r="B1080" s="93" t="s">
        <v>3557</v>
      </c>
      <c r="C1080" s="91" t="s">
        <v>36</v>
      </c>
      <c r="D1080" s="94" t="s">
        <v>3570</v>
      </c>
      <c r="E1080" s="94" t="s">
        <v>3571</v>
      </c>
      <c r="F1080" s="95" t="s">
        <v>3572</v>
      </c>
      <c r="G1080" s="96">
        <v>45301</v>
      </c>
      <c r="H1080" s="97">
        <v>32700</v>
      </c>
      <c r="I1080" s="108" t="s">
        <v>12356</v>
      </c>
      <c r="J1080" s="94" t="s">
        <v>3573</v>
      </c>
      <c r="K1080" s="95" t="s">
        <v>3574</v>
      </c>
      <c r="L1080" s="91" t="s">
        <v>60</v>
      </c>
      <c r="M1080" s="98">
        <f ca="1">(TODAY()-H1080)/365</f>
        <v>36.443835616438356</v>
      </c>
      <c r="N1080" s="99">
        <f>(G1080-H1080)/365</f>
        <v>34.523287671232879</v>
      </c>
      <c r="O1080" s="98">
        <f ca="1">(TODAY()-G1080)/365</f>
        <v>1.9205479452054794</v>
      </c>
      <c r="P1080" s="91" t="s">
        <v>43</v>
      </c>
      <c r="Q1080" s="91">
        <v>0</v>
      </c>
      <c r="R1080" s="91">
        <v>0</v>
      </c>
      <c r="S1080" s="91">
        <v>0</v>
      </c>
      <c r="T1080" s="91"/>
      <c r="U1080" s="91"/>
      <c r="V1080" s="91"/>
      <c r="W1080" s="91"/>
      <c r="X1080" s="91"/>
      <c r="Y1080" s="91"/>
      <c r="Z1080" s="91"/>
      <c r="AA1080" s="91"/>
      <c r="AB1080" s="91"/>
      <c r="AC1080" s="91"/>
      <c r="AD1080" s="91"/>
      <c r="AE1080" s="91"/>
      <c r="AF1080" s="91"/>
      <c r="AG1080" s="91"/>
      <c r="AH1080" s="91"/>
      <c r="AI1080" s="91"/>
      <c r="AJ1080" s="91"/>
      <c r="AK1080" s="91"/>
      <c r="AL1080" s="91"/>
      <c r="AM1080" s="91"/>
    </row>
    <row r="1081" spans="1:39" ht="20.25" hidden="1" customHeight="1">
      <c r="A1081" s="91"/>
      <c r="B1081" s="93" t="s">
        <v>3557</v>
      </c>
      <c r="C1081" s="91" t="s">
        <v>36</v>
      </c>
      <c r="D1081" s="94" t="s">
        <v>3575</v>
      </c>
      <c r="E1081" s="94" t="s">
        <v>3576</v>
      </c>
      <c r="F1081" s="95" t="s">
        <v>3577</v>
      </c>
      <c r="G1081" s="96">
        <v>45301</v>
      </c>
      <c r="H1081" s="97">
        <v>31881</v>
      </c>
      <c r="I1081" s="108" t="s">
        <v>12357</v>
      </c>
      <c r="J1081" s="94" t="s">
        <v>3578</v>
      </c>
      <c r="K1081" s="95" t="s">
        <v>3579</v>
      </c>
      <c r="L1081" s="91" t="s">
        <v>60</v>
      </c>
      <c r="M1081" s="98">
        <f ca="1">(TODAY()-H1081)/365</f>
        <v>38.68767123287671</v>
      </c>
      <c r="N1081" s="99">
        <f>(G1081-H1081)/365</f>
        <v>36.767123287671232</v>
      </c>
      <c r="O1081" s="98">
        <f ca="1">(TODAY()-G1081)/365</f>
        <v>1.9205479452054794</v>
      </c>
      <c r="P1081" s="91" t="s">
        <v>272</v>
      </c>
      <c r="Q1081" s="91">
        <v>0</v>
      </c>
      <c r="R1081" s="91">
        <v>0</v>
      </c>
      <c r="S1081" s="91">
        <v>0</v>
      </c>
      <c r="T1081" s="91"/>
      <c r="U1081" s="91"/>
      <c r="V1081" s="91"/>
      <c r="W1081" s="91"/>
      <c r="X1081" s="91"/>
      <c r="Y1081" s="91"/>
      <c r="Z1081" s="91"/>
      <c r="AA1081" s="91"/>
      <c r="AB1081" s="91"/>
      <c r="AC1081" s="91"/>
      <c r="AD1081" s="91"/>
      <c r="AE1081" s="91"/>
      <c r="AF1081" s="91"/>
      <c r="AG1081" s="91"/>
      <c r="AH1081" s="91"/>
      <c r="AI1081" s="91"/>
      <c r="AJ1081" s="91"/>
      <c r="AK1081" s="91"/>
      <c r="AL1081" s="91"/>
      <c r="AM1081" s="91"/>
    </row>
    <row r="1082" spans="1:39" ht="20.25" hidden="1" customHeight="1">
      <c r="A1082" s="91"/>
      <c r="B1082" s="93" t="s">
        <v>3557</v>
      </c>
      <c r="C1082" s="91" t="s">
        <v>36</v>
      </c>
      <c r="D1082" s="94" t="s">
        <v>3580</v>
      </c>
      <c r="E1082" s="94" t="s">
        <v>3581</v>
      </c>
      <c r="F1082" s="95" t="s">
        <v>3582</v>
      </c>
      <c r="G1082" s="96">
        <v>32982</v>
      </c>
      <c r="H1082" s="97">
        <v>16908</v>
      </c>
      <c r="I1082" s="108" t="s">
        <v>12358</v>
      </c>
      <c r="J1082" s="94" t="s">
        <v>3583</v>
      </c>
      <c r="K1082" s="95" t="s">
        <v>3584</v>
      </c>
      <c r="L1082" s="91" t="s">
        <v>66</v>
      </c>
      <c r="M1082" s="98">
        <f ca="1">(TODAY()-H1082)/365</f>
        <v>79.709589041095896</v>
      </c>
      <c r="N1082" s="99">
        <f>(G1082-H1082)/365</f>
        <v>44.038356164383565</v>
      </c>
      <c r="O1082" s="98">
        <f ca="1">(TODAY()-G1082)/365</f>
        <v>35.671232876712331</v>
      </c>
      <c r="P1082" s="91" t="s">
        <v>43</v>
      </c>
      <c r="Q1082" s="91">
        <v>0</v>
      </c>
      <c r="R1082" s="91">
        <v>0</v>
      </c>
      <c r="S1082" s="91">
        <v>0</v>
      </c>
      <c r="T1082" s="91"/>
      <c r="U1082" s="91"/>
      <c r="V1082" s="91"/>
      <c r="W1082" s="91"/>
      <c r="X1082" s="91"/>
      <c r="Y1082" s="91"/>
      <c r="Z1082" s="91"/>
      <c r="AA1082" s="91"/>
      <c r="AB1082" s="91"/>
      <c r="AC1082" s="91"/>
      <c r="AD1082" s="91"/>
      <c r="AE1082" s="91"/>
      <c r="AF1082" s="91"/>
      <c r="AG1082" s="91"/>
      <c r="AH1082" s="91"/>
      <c r="AI1082" s="91"/>
      <c r="AJ1082" s="91"/>
      <c r="AK1082" s="91"/>
      <c r="AL1082" s="91"/>
      <c r="AM1082" s="91"/>
    </row>
    <row r="1083" spans="1:39" ht="20.25" hidden="1" customHeight="1">
      <c r="A1083" s="91"/>
      <c r="B1083" s="93" t="s">
        <v>3557</v>
      </c>
      <c r="C1083" s="91" t="s">
        <v>36</v>
      </c>
      <c r="D1083" s="94" t="s">
        <v>3585</v>
      </c>
      <c r="E1083" s="94" t="s">
        <v>3586</v>
      </c>
      <c r="F1083" s="95" t="s">
        <v>3587</v>
      </c>
      <c r="G1083" s="96">
        <v>44846</v>
      </c>
      <c r="H1083" s="97">
        <v>28755</v>
      </c>
      <c r="I1083" s="108" t="s">
        <v>12359</v>
      </c>
      <c r="J1083" s="94" t="s">
        <v>3588</v>
      </c>
      <c r="K1083" s="95" t="s">
        <v>3589</v>
      </c>
      <c r="L1083" s="91" t="s">
        <v>60</v>
      </c>
      <c r="M1083" s="98">
        <f ca="1">(TODAY()-H1083)/365</f>
        <v>47.252054794520546</v>
      </c>
      <c r="N1083" s="99">
        <f>(G1083-H1083)/365</f>
        <v>44.084931506849315</v>
      </c>
      <c r="O1083" s="98">
        <f ca="1">(TODAY()-G1083)/365</f>
        <v>3.1671232876712327</v>
      </c>
      <c r="P1083" s="91" t="s">
        <v>43</v>
      </c>
      <c r="Q1083" s="91">
        <v>0</v>
      </c>
      <c r="R1083" s="91">
        <v>0</v>
      </c>
      <c r="S1083" s="91">
        <v>0</v>
      </c>
      <c r="T1083" s="91"/>
      <c r="U1083" s="91"/>
      <c r="V1083" s="91"/>
      <c r="W1083" s="91"/>
      <c r="X1083" s="91"/>
      <c r="Y1083" s="91"/>
      <c r="Z1083" s="91"/>
      <c r="AA1083" s="91"/>
      <c r="AB1083" s="91"/>
      <c r="AC1083" s="91"/>
      <c r="AD1083" s="91"/>
      <c r="AE1083" s="91"/>
      <c r="AF1083" s="91"/>
      <c r="AG1083" s="91"/>
      <c r="AH1083" s="91"/>
      <c r="AI1083" s="91"/>
      <c r="AJ1083" s="91"/>
      <c r="AK1083" s="91"/>
      <c r="AL1083" s="91"/>
      <c r="AM1083" s="91"/>
    </row>
    <row r="1084" spans="1:39" ht="20.25" hidden="1" customHeight="1">
      <c r="A1084" s="91"/>
      <c r="B1084" s="93" t="s">
        <v>3557</v>
      </c>
      <c r="C1084" s="91" t="s">
        <v>36</v>
      </c>
      <c r="D1084" s="94" t="s">
        <v>3121</v>
      </c>
      <c r="E1084" s="94" t="s">
        <v>3590</v>
      </c>
      <c r="F1084" s="95" t="s">
        <v>3591</v>
      </c>
      <c r="G1084" s="96">
        <v>37684</v>
      </c>
      <c r="H1084" s="97">
        <v>20428</v>
      </c>
      <c r="I1084" s="94" t="s">
        <v>3592</v>
      </c>
      <c r="J1084" s="94" t="s">
        <v>3593</v>
      </c>
      <c r="K1084" s="95">
        <v>986284017</v>
      </c>
      <c r="L1084" s="91" t="s">
        <v>42</v>
      </c>
      <c r="M1084" s="98">
        <f ca="1">(TODAY()-H1084)/365</f>
        <v>70.06575342465753</v>
      </c>
      <c r="N1084" s="99">
        <f>(G1084-H1084)/365</f>
        <v>47.276712328767125</v>
      </c>
      <c r="O1084" s="98">
        <f ca="1">(TODAY()-G1084)/365</f>
        <v>22.789041095890411</v>
      </c>
      <c r="P1084" s="91" t="s">
        <v>43</v>
      </c>
      <c r="Q1084" s="91">
        <v>1</v>
      </c>
      <c r="R1084" s="91">
        <v>0</v>
      </c>
      <c r="S1084" s="91">
        <v>0</v>
      </c>
      <c r="T1084" s="91"/>
      <c r="U1084" s="91"/>
      <c r="V1084" s="91">
        <v>2010</v>
      </c>
      <c r="W1084" s="91"/>
      <c r="X1084" s="91"/>
      <c r="Y1084" s="91"/>
      <c r="Z1084" s="91"/>
      <c r="AA1084" s="91"/>
      <c r="AB1084" s="91"/>
      <c r="AC1084" s="91"/>
      <c r="AD1084" s="91"/>
      <c r="AE1084" s="91"/>
      <c r="AF1084" s="91"/>
      <c r="AG1084" s="91"/>
      <c r="AH1084" s="91"/>
      <c r="AI1084" s="91"/>
      <c r="AJ1084" s="91"/>
      <c r="AK1084" s="91"/>
      <c r="AL1084" s="91"/>
      <c r="AM1084" s="91"/>
    </row>
    <row r="1085" spans="1:39" ht="20.25" customHeight="1">
      <c r="A1085" s="91"/>
      <c r="B1085" s="93" t="s">
        <v>6787</v>
      </c>
      <c r="C1085" s="91" t="s">
        <v>73</v>
      </c>
      <c r="D1085" s="107" t="s">
        <v>6808</v>
      </c>
      <c r="E1085" s="107" t="s">
        <v>6809</v>
      </c>
      <c r="F1085" s="91" t="s">
        <v>6810</v>
      </c>
      <c r="G1085" s="96">
        <v>43485</v>
      </c>
      <c r="H1085" s="97">
        <v>26683</v>
      </c>
      <c r="I1085" s="94" t="s">
        <v>58</v>
      </c>
      <c r="J1085" s="94" t="s">
        <v>58</v>
      </c>
      <c r="K1085" s="91">
        <v>930962535</v>
      </c>
      <c r="L1085" s="91" t="s">
        <v>60</v>
      </c>
      <c r="M1085" s="98">
        <f ca="1">(TODAY()-H1085)/365</f>
        <v>52.92876712328767</v>
      </c>
      <c r="N1085" s="99">
        <f>(G1085-H1085)/365</f>
        <v>46.032876712328765</v>
      </c>
      <c r="O1085" s="98">
        <f ca="1">(TODAY()-G1085)/365</f>
        <v>6.8958904109589039</v>
      </c>
      <c r="P1085" s="91" t="s">
        <v>43</v>
      </c>
      <c r="Q1085" s="91">
        <v>0</v>
      </c>
      <c r="R1085" s="91">
        <v>0</v>
      </c>
      <c r="S1085" s="91">
        <v>0</v>
      </c>
      <c r="T1085" s="91"/>
      <c r="U1085" s="91"/>
      <c r="V1085" s="91"/>
      <c r="W1085" s="91"/>
      <c r="X1085" s="91"/>
      <c r="Y1085" s="91"/>
      <c r="Z1085" s="91"/>
      <c r="AA1085" s="91"/>
      <c r="AB1085" s="91"/>
      <c r="AC1085" s="91"/>
      <c r="AD1085" s="91"/>
      <c r="AE1085" s="91"/>
      <c r="AF1085" s="91"/>
      <c r="AG1085" s="91"/>
      <c r="AH1085" s="91"/>
      <c r="AI1085" s="91"/>
      <c r="AJ1085" s="91"/>
      <c r="AK1085" s="91"/>
      <c r="AL1085" s="91"/>
      <c r="AM1085" s="91"/>
    </row>
    <row r="1086" spans="1:39" ht="20.25" hidden="1" customHeight="1">
      <c r="A1086" s="91"/>
      <c r="B1086" s="93" t="s">
        <v>3557</v>
      </c>
      <c r="C1086" s="91" t="s">
        <v>36</v>
      </c>
      <c r="D1086" s="94" t="s">
        <v>840</v>
      </c>
      <c r="E1086" s="94" t="s">
        <v>3597</v>
      </c>
      <c r="F1086" s="95" t="s">
        <v>3598</v>
      </c>
      <c r="G1086" s="96">
        <v>44629</v>
      </c>
      <c r="H1086" s="97">
        <v>25493</v>
      </c>
      <c r="I1086" s="108" t="s">
        <v>12360</v>
      </c>
      <c r="J1086" s="94" t="s">
        <v>3599</v>
      </c>
      <c r="K1086" s="95" t="s">
        <v>3600</v>
      </c>
      <c r="L1086" s="91" t="s">
        <v>197</v>
      </c>
      <c r="M1086" s="98">
        <f ca="1">(TODAY()-H1086)/365</f>
        <v>56.18904109589041</v>
      </c>
      <c r="N1086" s="99">
        <f>(G1086-H1086)/365</f>
        <v>52.42739726027397</v>
      </c>
      <c r="O1086" s="98">
        <f ca="1">(TODAY()-G1086)/365</f>
        <v>3.7616438356164386</v>
      </c>
      <c r="P1086" s="91" t="s">
        <v>43</v>
      </c>
      <c r="Q1086" s="91">
        <v>0</v>
      </c>
      <c r="R1086" s="91">
        <v>0</v>
      </c>
      <c r="S1086" s="91">
        <v>0</v>
      </c>
      <c r="T1086" s="91"/>
      <c r="U1086" s="91"/>
      <c r="V1086" s="91"/>
      <c r="W1086" s="91"/>
      <c r="X1086" s="91"/>
      <c r="Y1086" s="91"/>
      <c r="Z1086" s="91"/>
      <c r="AA1086" s="91"/>
      <c r="AB1086" s="91"/>
      <c r="AC1086" s="91"/>
      <c r="AD1086" s="91"/>
      <c r="AE1086" s="91"/>
      <c r="AF1086" s="91"/>
      <c r="AG1086" s="91"/>
      <c r="AH1086" s="91"/>
      <c r="AI1086" s="91"/>
      <c r="AJ1086" s="91"/>
      <c r="AK1086" s="91"/>
      <c r="AL1086" s="91"/>
      <c r="AM1086" s="91"/>
    </row>
    <row r="1087" spans="1:39" ht="20.25" hidden="1" customHeight="1">
      <c r="A1087" s="91"/>
      <c r="B1087" s="93" t="s">
        <v>3557</v>
      </c>
      <c r="C1087" s="91" t="s">
        <v>36</v>
      </c>
      <c r="D1087" s="94" t="s">
        <v>716</v>
      </c>
      <c r="E1087" s="94" t="s">
        <v>3601</v>
      </c>
      <c r="F1087" s="95" t="s">
        <v>3602</v>
      </c>
      <c r="G1087" s="96">
        <v>43171</v>
      </c>
      <c r="H1087" s="97">
        <v>23575</v>
      </c>
      <c r="I1087" s="108" t="s">
        <v>12361</v>
      </c>
      <c r="J1087" s="94" t="s">
        <v>3603</v>
      </c>
      <c r="K1087" s="95" t="s">
        <v>3604</v>
      </c>
      <c r="L1087" s="91" t="s">
        <v>167</v>
      </c>
      <c r="M1087" s="98">
        <f ca="1">(TODAY()-H1087)/365</f>
        <v>61.443835616438356</v>
      </c>
      <c r="N1087" s="99">
        <f>(G1087-H1087)/365</f>
        <v>53.68767123287671</v>
      </c>
      <c r="O1087" s="98">
        <f ca="1">(TODAY()-G1087)/365</f>
        <v>7.7561643835616438</v>
      </c>
      <c r="P1087" s="91" t="s">
        <v>43</v>
      </c>
      <c r="Q1087" s="91">
        <v>0</v>
      </c>
      <c r="R1087" s="91">
        <v>0</v>
      </c>
      <c r="S1087" s="91">
        <v>0</v>
      </c>
      <c r="T1087" s="91"/>
      <c r="U1087" s="91"/>
      <c r="V1087" s="91"/>
      <c r="W1087" s="91"/>
      <c r="X1087" s="91"/>
      <c r="Y1087" s="91"/>
      <c r="Z1087" s="91"/>
      <c r="AA1087" s="91"/>
      <c r="AB1087" s="91"/>
      <c r="AC1087" s="91"/>
      <c r="AD1087" s="91"/>
      <c r="AE1087" s="91"/>
      <c r="AF1087" s="91"/>
      <c r="AG1087" s="91"/>
      <c r="AH1087" s="91"/>
      <c r="AI1087" s="91"/>
      <c r="AJ1087" s="91"/>
      <c r="AK1087" s="91"/>
      <c r="AL1087" s="91"/>
      <c r="AM1087" s="91"/>
    </row>
    <row r="1088" spans="1:39" ht="20.25" hidden="1" customHeight="1">
      <c r="A1088" s="91"/>
      <c r="B1088" s="93" t="s">
        <v>3557</v>
      </c>
      <c r="C1088" s="91" t="s">
        <v>36</v>
      </c>
      <c r="D1088" s="94" t="s">
        <v>3605</v>
      </c>
      <c r="E1088" s="94" t="s">
        <v>3606</v>
      </c>
      <c r="F1088" s="95" t="s">
        <v>3607</v>
      </c>
      <c r="G1088" s="96">
        <v>40998</v>
      </c>
      <c r="H1088" s="97">
        <v>20346</v>
      </c>
      <c r="I1088" s="108" t="s">
        <v>12362</v>
      </c>
      <c r="J1088" s="94" t="s">
        <v>3608</v>
      </c>
      <c r="K1088" s="95" t="s">
        <v>3609</v>
      </c>
      <c r="L1088" s="91" t="s">
        <v>54</v>
      </c>
      <c r="M1088" s="98">
        <f ca="1">(TODAY()-H1088)/365</f>
        <v>70.290410958904104</v>
      </c>
      <c r="N1088" s="99">
        <f>(G1088-H1088)/365</f>
        <v>56.580821917808223</v>
      </c>
      <c r="O1088" s="98">
        <f ca="1">(TODAY()-G1088)/365</f>
        <v>13.70958904109589</v>
      </c>
      <c r="P1088" s="91" t="s">
        <v>43</v>
      </c>
      <c r="Q1088" s="91">
        <v>0</v>
      </c>
      <c r="R1088" s="91">
        <v>0</v>
      </c>
      <c r="S1088" s="91">
        <v>0</v>
      </c>
      <c r="T1088" s="91"/>
      <c r="U1088" s="91"/>
      <c r="V1088" s="91"/>
      <c r="W1088" s="91"/>
      <c r="X1088" s="91"/>
      <c r="Y1088" s="91"/>
      <c r="Z1088" s="91"/>
      <c r="AA1088" s="91"/>
      <c r="AB1088" s="91"/>
      <c r="AC1088" s="91"/>
      <c r="AD1088" s="91"/>
      <c r="AE1088" s="91"/>
      <c r="AF1088" s="91"/>
      <c r="AG1088" s="91"/>
      <c r="AH1088" s="91"/>
      <c r="AI1088" s="91"/>
      <c r="AJ1088" s="91"/>
      <c r="AK1088" s="91"/>
      <c r="AL1088" s="91"/>
      <c r="AM1088" s="91"/>
    </row>
    <row r="1089" spans="1:39" ht="20.25" hidden="1" customHeight="1">
      <c r="A1089" s="91"/>
      <c r="B1089" s="93" t="s">
        <v>9861</v>
      </c>
      <c r="C1089" s="91" t="s">
        <v>36</v>
      </c>
      <c r="D1089" s="106" t="s">
        <v>9862</v>
      </c>
      <c r="E1089" s="106" t="s">
        <v>9863</v>
      </c>
      <c r="F1089" s="92" t="s">
        <v>9864</v>
      </c>
      <c r="G1089" s="103" t="s">
        <v>58</v>
      </c>
      <c r="H1089" s="103">
        <v>29993</v>
      </c>
      <c r="I1089" s="94" t="s">
        <v>9865</v>
      </c>
      <c r="J1089" s="94" t="s">
        <v>9866</v>
      </c>
      <c r="K1089" s="92">
        <v>955254231</v>
      </c>
      <c r="L1089" s="91" t="s">
        <v>42</v>
      </c>
      <c r="M1089" s="98">
        <f ca="1">(TODAY()-H1089)/365</f>
        <v>43.860273972602741</v>
      </c>
      <c r="N1089" s="99" t="e">
        <f>(G1089-H1089)/365</f>
        <v>#VALUE!</v>
      </c>
      <c r="O1089" s="98" t="e">
        <f ca="1">(TODAY()-G1089)/365</f>
        <v>#VALUE!</v>
      </c>
      <c r="P1089" s="91" t="s">
        <v>272</v>
      </c>
      <c r="Q1089" s="91"/>
      <c r="R1089" s="91"/>
      <c r="S1089" s="91"/>
      <c r="T1089" s="91"/>
      <c r="U1089" s="91"/>
      <c r="V1089" s="91"/>
      <c r="W1089" s="91"/>
      <c r="X1089" s="91"/>
      <c r="Y1089" s="91"/>
      <c r="Z1089" s="91"/>
      <c r="AA1089" s="91"/>
      <c r="AB1089" s="91"/>
      <c r="AC1089" s="91"/>
      <c r="AD1089" s="91"/>
      <c r="AE1089" s="91"/>
      <c r="AF1089" s="91"/>
      <c r="AG1089" s="91"/>
      <c r="AH1089" s="91"/>
      <c r="AI1089" s="91"/>
      <c r="AJ1089" s="91"/>
      <c r="AK1089" s="91"/>
      <c r="AL1089" s="91"/>
      <c r="AM1089" s="91"/>
    </row>
    <row r="1090" spans="1:39" ht="20.25" hidden="1" customHeight="1">
      <c r="A1090" s="91"/>
      <c r="B1090" s="93" t="s">
        <v>9861</v>
      </c>
      <c r="C1090" s="91" t="s">
        <v>36</v>
      </c>
      <c r="D1090" s="106" t="s">
        <v>9867</v>
      </c>
      <c r="E1090" s="106" t="s">
        <v>9868</v>
      </c>
      <c r="F1090" s="92" t="s">
        <v>9869</v>
      </c>
      <c r="G1090" s="103" t="s">
        <v>58</v>
      </c>
      <c r="H1090" s="103">
        <v>26746</v>
      </c>
      <c r="I1090" s="94" t="s">
        <v>9870</v>
      </c>
      <c r="J1090" s="94" t="s">
        <v>9871</v>
      </c>
      <c r="K1090" s="92">
        <v>996704011</v>
      </c>
      <c r="L1090" s="91"/>
      <c r="M1090" s="98">
        <f ca="1">(TODAY()-H1090)/365</f>
        <v>52.756164383561647</v>
      </c>
      <c r="N1090" s="99" t="e">
        <f>(G1090-H1090)/365</f>
        <v>#VALUE!</v>
      </c>
      <c r="O1090" s="98" t="e">
        <f ca="1">(TODAY()-G1090)/365</f>
        <v>#VALUE!</v>
      </c>
      <c r="P1090" s="91" t="s">
        <v>43</v>
      </c>
      <c r="Q1090" s="91"/>
      <c r="R1090" s="91"/>
      <c r="S1090" s="91"/>
      <c r="T1090" s="91"/>
      <c r="U1090" s="91"/>
      <c r="V1090" s="91"/>
      <c r="W1090" s="91"/>
      <c r="X1090" s="91"/>
      <c r="Y1090" s="91"/>
      <c r="Z1090" s="91"/>
      <c r="AA1090" s="91"/>
      <c r="AB1090" s="91"/>
      <c r="AC1090" s="91"/>
      <c r="AD1090" s="91"/>
      <c r="AE1090" s="91"/>
      <c r="AF1090" s="91"/>
      <c r="AG1090" s="91"/>
      <c r="AH1090" s="91"/>
      <c r="AI1090" s="91"/>
      <c r="AJ1090" s="91"/>
      <c r="AK1090" s="91"/>
      <c r="AL1090" s="91"/>
      <c r="AM1090" s="91"/>
    </row>
    <row r="1091" spans="1:39" ht="20.25" hidden="1" customHeight="1">
      <c r="A1091" s="91"/>
      <c r="B1091" s="93" t="s">
        <v>9861</v>
      </c>
      <c r="C1091" s="91" t="s">
        <v>36</v>
      </c>
      <c r="D1091" s="106" t="s">
        <v>9872</v>
      </c>
      <c r="E1091" s="106" t="s">
        <v>9873</v>
      </c>
      <c r="F1091" s="92" t="s">
        <v>9874</v>
      </c>
      <c r="G1091" s="103">
        <v>44669</v>
      </c>
      <c r="H1091" s="103">
        <v>23011</v>
      </c>
      <c r="I1091" s="94" t="s">
        <v>9875</v>
      </c>
      <c r="J1091" s="94" t="s">
        <v>9876</v>
      </c>
      <c r="K1091" s="92">
        <v>996935241</v>
      </c>
      <c r="L1091" s="91"/>
      <c r="M1091" s="98">
        <f ca="1">(TODAY()-H1091)/365</f>
        <v>62.989041095890414</v>
      </c>
      <c r="N1091" s="99">
        <f>(G1091-H1091)/365</f>
        <v>59.336986301369862</v>
      </c>
      <c r="O1091" s="98">
        <f ca="1">(TODAY()-G1091)/365</f>
        <v>3.6520547945205482</v>
      </c>
      <c r="P1091" s="91" t="s">
        <v>43</v>
      </c>
      <c r="Q1091" s="91"/>
      <c r="R1091" s="91"/>
      <c r="S1091" s="91"/>
      <c r="T1091" s="91"/>
      <c r="U1091" s="91"/>
      <c r="V1091" s="91"/>
      <c r="W1091" s="91"/>
      <c r="X1091" s="91"/>
      <c r="Y1091" s="91"/>
      <c r="Z1091" s="91"/>
      <c r="AA1091" s="91"/>
      <c r="AB1091" s="91"/>
      <c r="AC1091" s="91"/>
      <c r="AD1091" s="91"/>
      <c r="AE1091" s="91"/>
      <c r="AF1091" s="91"/>
      <c r="AG1091" s="91"/>
      <c r="AH1091" s="91"/>
      <c r="AI1091" s="91"/>
      <c r="AJ1091" s="91"/>
      <c r="AK1091" s="91"/>
      <c r="AL1091" s="91"/>
      <c r="AM1091" s="91"/>
    </row>
    <row r="1092" spans="1:39" ht="20.25" hidden="1" customHeight="1">
      <c r="A1092" s="91"/>
      <c r="B1092" s="93" t="s">
        <v>9861</v>
      </c>
      <c r="C1092" s="91" t="s">
        <v>36</v>
      </c>
      <c r="D1092" s="106" t="s">
        <v>650</v>
      </c>
      <c r="E1092" s="106" t="s">
        <v>9877</v>
      </c>
      <c r="F1092" s="92" t="s">
        <v>9878</v>
      </c>
      <c r="G1092" s="103" t="s">
        <v>58</v>
      </c>
      <c r="H1092" s="103">
        <v>22377</v>
      </c>
      <c r="I1092" s="94" t="s">
        <v>9879</v>
      </c>
      <c r="J1092" s="94" t="s">
        <v>9880</v>
      </c>
      <c r="K1092" s="92">
        <v>983670980</v>
      </c>
      <c r="L1092" s="91"/>
      <c r="M1092" s="98">
        <f ca="1">(TODAY()-H1092)/365</f>
        <v>64.726027397260268</v>
      </c>
      <c r="N1092" s="99" t="e">
        <f>(G1092-H1092)/365</f>
        <v>#VALUE!</v>
      </c>
      <c r="O1092" s="98" t="e">
        <f ca="1">(TODAY()-G1092)/365</f>
        <v>#VALUE!</v>
      </c>
      <c r="P1092" s="91" t="s">
        <v>43</v>
      </c>
      <c r="Q1092" s="91"/>
      <c r="R1092" s="91"/>
      <c r="S1092" s="91"/>
      <c r="T1092" s="91"/>
      <c r="U1092" s="91"/>
      <c r="V1092" s="91"/>
      <c r="W1092" s="91"/>
      <c r="X1092" s="91"/>
      <c r="Y1092" s="91"/>
      <c r="Z1092" s="91"/>
      <c r="AA1092" s="91"/>
      <c r="AB1092" s="91"/>
      <c r="AC1092" s="91"/>
      <c r="AD1092" s="91"/>
      <c r="AE1092" s="91"/>
      <c r="AF1092" s="91"/>
      <c r="AG1092" s="91"/>
      <c r="AH1092" s="91"/>
      <c r="AI1092" s="91"/>
      <c r="AJ1092" s="91"/>
      <c r="AK1092" s="91"/>
      <c r="AL1092" s="91"/>
      <c r="AM1092" s="91"/>
    </row>
    <row r="1093" spans="1:39" ht="20.25" hidden="1" customHeight="1">
      <c r="A1093" s="91"/>
      <c r="B1093" s="93" t="s">
        <v>9861</v>
      </c>
      <c r="C1093" s="91" t="s">
        <v>36</v>
      </c>
      <c r="D1093" s="106" t="s">
        <v>9881</v>
      </c>
      <c r="E1093" s="106" t="s">
        <v>9882</v>
      </c>
      <c r="F1093" s="92" t="s">
        <v>9883</v>
      </c>
      <c r="G1093" s="103">
        <v>44669</v>
      </c>
      <c r="H1093" s="103">
        <v>35720</v>
      </c>
      <c r="I1093" s="94" t="s">
        <v>9884</v>
      </c>
      <c r="J1093" s="94" t="s">
        <v>9885</v>
      </c>
      <c r="K1093" s="92">
        <v>965512493</v>
      </c>
      <c r="L1093" s="91"/>
      <c r="M1093" s="98">
        <f ca="1">(TODAY()-H1093)/365</f>
        <v>28.169863013698631</v>
      </c>
      <c r="N1093" s="99">
        <f>(G1093-H1093)/365</f>
        <v>24.517808219178082</v>
      </c>
      <c r="O1093" s="98">
        <f ca="1">(TODAY()-G1093)/365</f>
        <v>3.6520547945205482</v>
      </c>
      <c r="P1093" s="91" t="s">
        <v>272</v>
      </c>
      <c r="Q1093" s="91"/>
      <c r="R1093" s="91"/>
      <c r="S1093" s="91"/>
      <c r="T1093" s="91"/>
      <c r="U1093" s="91"/>
      <c r="V1093" s="91"/>
      <c r="W1093" s="91"/>
      <c r="X1093" s="91"/>
      <c r="Y1093" s="91"/>
      <c r="Z1093" s="91"/>
      <c r="AA1093" s="91"/>
      <c r="AB1093" s="91"/>
      <c r="AC1093" s="91"/>
      <c r="AD1093" s="91"/>
      <c r="AE1093" s="91"/>
      <c r="AF1093" s="91"/>
      <c r="AG1093" s="91"/>
      <c r="AH1093" s="91"/>
      <c r="AI1093" s="91"/>
      <c r="AJ1093" s="91"/>
      <c r="AK1093" s="91"/>
      <c r="AL1093" s="91"/>
      <c r="AM1093" s="91"/>
    </row>
    <row r="1094" spans="1:39" ht="20.25" hidden="1" customHeight="1">
      <c r="A1094" s="91"/>
      <c r="B1094" s="93" t="s">
        <v>9861</v>
      </c>
      <c r="C1094" s="91" t="s">
        <v>36</v>
      </c>
      <c r="D1094" s="106" t="s">
        <v>9886</v>
      </c>
      <c r="E1094" s="106" t="s">
        <v>9887</v>
      </c>
      <c r="F1094" s="92" t="s">
        <v>9888</v>
      </c>
      <c r="G1094" s="103">
        <v>44568</v>
      </c>
      <c r="H1094" s="103">
        <v>44578</v>
      </c>
      <c r="I1094" s="94" t="s">
        <v>9889</v>
      </c>
      <c r="J1094" s="94" t="s">
        <v>9890</v>
      </c>
      <c r="K1094" s="92">
        <v>990722715</v>
      </c>
      <c r="L1094" s="91"/>
      <c r="M1094" s="98">
        <f ca="1">(TODAY()-H1094)/365</f>
        <v>3.9013698630136986</v>
      </c>
      <c r="N1094" s="99">
        <f>(G1094-H1094)/365</f>
        <v>-2.7397260273972601E-2</v>
      </c>
      <c r="O1094" s="98">
        <f ca="1">(TODAY()-G1094)/365</f>
        <v>3.9287671232876713</v>
      </c>
      <c r="P1094" s="91" t="s">
        <v>43</v>
      </c>
      <c r="Q1094" s="91"/>
      <c r="R1094" s="91"/>
      <c r="S1094" s="91"/>
      <c r="T1094" s="91"/>
      <c r="U1094" s="91"/>
      <c r="V1094" s="91"/>
      <c r="W1094" s="91"/>
      <c r="X1094" s="91"/>
      <c r="Y1094" s="91"/>
      <c r="Z1094" s="91"/>
      <c r="AA1094" s="91"/>
      <c r="AB1094" s="91"/>
      <c r="AC1094" s="91"/>
      <c r="AD1094" s="91"/>
      <c r="AE1094" s="91"/>
      <c r="AF1094" s="91"/>
      <c r="AG1094" s="91"/>
      <c r="AH1094" s="91"/>
      <c r="AI1094" s="91"/>
      <c r="AJ1094" s="91"/>
      <c r="AK1094" s="91"/>
      <c r="AL1094" s="91"/>
      <c r="AM1094" s="91"/>
    </row>
    <row r="1095" spans="1:39" ht="20.25" hidden="1" customHeight="1">
      <c r="A1095" s="91"/>
      <c r="B1095" s="93" t="s">
        <v>9861</v>
      </c>
      <c r="C1095" s="91" t="s">
        <v>36</v>
      </c>
      <c r="D1095" s="106" t="s">
        <v>9891</v>
      </c>
      <c r="E1095" s="106" t="s">
        <v>9892</v>
      </c>
      <c r="F1095" s="92" t="s">
        <v>9893</v>
      </c>
      <c r="G1095" s="103">
        <v>45332</v>
      </c>
      <c r="H1095" s="103">
        <v>32532</v>
      </c>
      <c r="I1095" s="94" t="s">
        <v>9894</v>
      </c>
      <c r="J1095" s="94" t="s">
        <v>9895</v>
      </c>
      <c r="K1095" s="92">
        <v>995748625</v>
      </c>
      <c r="L1095" s="91"/>
      <c r="M1095" s="98">
        <f ca="1">(TODAY()-H1095)/365</f>
        <v>36.904109589041099</v>
      </c>
      <c r="N1095" s="99">
        <f>(G1095-H1095)/365</f>
        <v>35.06849315068493</v>
      </c>
      <c r="O1095" s="98">
        <f ca="1">(TODAY()-G1095)/365</f>
        <v>1.8356164383561644</v>
      </c>
      <c r="P1095" s="91" t="s">
        <v>43</v>
      </c>
      <c r="Q1095" s="91"/>
      <c r="R1095" s="91"/>
      <c r="S1095" s="91"/>
      <c r="T1095" s="91"/>
      <c r="U1095" s="91"/>
      <c r="V1095" s="91"/>
      <c r="W1095" s="91"/>
      <c r="X1095" s="91"/>
      <c r="Y1095" s="91"/>
      <c r="Z1095" s="91"/>
      <c r="AA1095" s="91"/>
      <c r="AB1095" s="91"/>
      <c r="AC1095" s="91"/>
      <c r="AD1095" s="91"/>
      <c r="AE1095" s="91"/>
      <c r="AF1095" s="91"/>
      <c r="AG1095" s="91"/>
      <c r="AH1095" s="91"/>
      <c r="AI1095" s="91"/>
      <c r="AJ1095" s="91"/>
      <c r="AK1095" s="91"/>
      <c r="AL1095" s="91"/>
      <c r="AM1095" s="91"/>
    </row>
    <row r="1096" spans="1:39" ht="20.25" hidden="1" customHeight="1">
      <c r="A1096" s="91"/>
      <c r="B1096" s="93" t="s">
        <v>9861</v>
      </c>
      <c r="C1096" s="91" t="s">
        <v>36</v>
      </c>
      <c r="D1096" s="106" t="s">
        <v>9896</v>
      </c>
      <c r="E1096" s="106" t="s">
        <v>9897</v>
      </c>
      <c r="F1096" s="92" t="s">
        <v>9898</v>
      </c>
      <c r="G1096" s="103">
        <v>44779</v>
      </c>
      <c r="H1096" s="103">
        <v>25365</v>
      </c>
      <c r="I1096" s="94" t="s">
        <v>9899</v>
      </c>
      <c r="J1096" s="94" t="s">
        <v>9900</v>
      </c>
      <c r="K1096" s="92">
        <v>952676876</v>
      </c>
      <c r="L1096" s="91"/>
      <c r="M1096" s="98">
        <f ca="1">(TODAY()-H1096)/365</f>
        <v>56.539726027397258</v>
      </c>
      <c r="N1096" s="99">
        <f>(G1096-H1096)/365</f>
        <v>53.18904109589041</v>
      </c>
      <c r="O1096" s="98">
        <f ca="1">(TODAY()-G1096)/365</f>
        <v>3.3506849315068492</v>
      </c>
      <c r="P1096" s="91" t="s">
        <v>43</v>
      </c>
      <c r="Q1096" s="91"/>
      <c r="R1096" s="91"/>
      <c r="S1096" s="91"/>
      <c r="T1096" s="91"/>
      <c r="U1096" s="91"/>
      <c r="V1096" s="91"/>
      <c r="W1096" s="91"/>
      <c r="X1096" s="91"/>
      <c r="Y1096" s="91"/>
      <c r="Z1096" s="91"/>
      <c r="AA1096" s="91"/>
      <c r="AB1096" s="91"/>
      <c r="AC1096" s="91"/>
      <c r="AD1096" s="91"/>
      <c r="AE1096" s="91"/>
      <c r="AF1096" s="91"/>
      <c r="AG1096" s="91"/>
      <c r="AH1096" s="91"/>
      <c r="AI1096" s="91"/>
      <c r="AJ1096" s="91"/>
      <c r="AK1096" s="91"/>
      <c r="AL1096" s="91"/>
      <c r="AM1096" s="91"/>
    </row>
    <row r="1097" spans="1:39" ht="20.25" hidden="1" customHeight="1">
      <c r="A1097" s="91"/>
      <c r="B1097" s="93" t="s">
        <v>9861</v>
      </c>
      <c r="C1097" s="91" t="s">
        <v>36</v>
      </c>
      <c r="D1097" s="106" t="s">
        <v>9901</v>
      </c>
      <c r="E1097" s="106" t="s">
        <v>9902</v>
      </c>
      <c r="F1097" s="92" t="s">
        <v>9903</v>
      </c>
      <c r="G1097" s="103">
        <v>45333</v>
      </c>
      <c r="H1097" s="103">
        <v>37713</v>
      </c>
      <c r="I1097" s="94" t="s">
        <v>9904</v>
      </c>
      <c r="J1097" s="100" t="s">
        <v>58</v>
      </c>
      <c r="K1097" s="92">
        <v>989718096</v>
      </c>
      <c r="L1097" s="91"/>
      <c r="M1097" s="98">
        <f ca="1">(TODAY()-H1097)/365</f>
        <v>22.709589041095889</v>
      </c>
      <c r="N1097" s="99">
        <f>(G1097-H1097)/365</f>
        <v>20.876712328767123</v>
      </c>
      <c r="O1097" s="98">
        <f ca="1">(TODAY()-G1097)/365</f>
        <v>1.832876712328767</v>
      </c>
      <c r="P1097" s="91" t="s">
        <v>272</v>
      </c>
      <c r="Q1097" s="91"/>
      <c r="R1097" s="91"/>
      <c r="S1097" s="91"/>
      <c r="T1097" s="91"/>
      <c r="U1097" s="91"/>
      <c r="V1097" s="91"/>
      <c r="W1097" s="91"/>
      <c r="X1097" s="91"/>
      <c r="Y1097" s="91"/>
      <c r="Z1097" s="91"/>
      <c r="AA1097" s="91"/>
      <c r="AB1097" s="91"/>
      <c r="AC1097" s="91"/>
      <c r="AD1097" s="91"/>
      <c r="AE1097" s="91"/>
      <c r="AF1097" s="91"/>
      <c r="AG1097" s="91"/>
      <c r="AH1097" s="91"/>
      <c r="AI1097" s="91"/>
      <c r="AJ1097" s="91"/>
      <c r="AK1097" s="91"/>
      <c r="AL1097" s="91"/>
      <c r="AM1097" s="91"/>
    </row>
    <row r="1098" spans="1:39" ht="20.25" hidden="1" customHeight="1">
      <c r="A1098" s="91"/>
      <c r="B1098" s="93" t="s">
        <v>9861</v>
      </c>
      <c r="C1098" s="91" t="s">
        <v>36</v>
      </c>
      <c r="D1098" s="106" t="s">
        <v>9905</v>
      </c>
      <c r="E1098" s="106" t="s">
        <v>9902</v>
      </c>
      <c r="F1098" s="92" t="s">
        <v>9906</v>
      </c>
      <c r="G1098" s="103">
        <v>45699</v>
      </c>
      <c r="H1098" s="103">
        <v>39959</v>
      </c>
      <c r="I1098" s="94" t="s">
        <v>9907</v>
      </c>
      <c r="J1098" s="100" t="s">
        <v>58</v>
      </c>
      <c r="K1098" s="92">
        <v>967365956</v>
      </c>
      <c r="L1098" s="91"/>
      <c r="M1098" s="98">
        <f ca="1">(TODAY()-H1098)/365</f>
        <v>16.556164383561644</v>
      </c>
      <c r="N1098" s="99">
        <f>(G1098-H1098)/365</f>
        <v>15.726027397260275</v>
      </c>
      <c r="O1098" s="98">
        <f ca="1">(TODAY()-G1098)/365</f>
        <v>0.83013698630136989</v>
      </c>
      <c r="P1098" s="91" t="s">
        <v>272</v>
      </c>
      <c r="Q1098" s="91"/>
      <c r="R1098" s="91"/>
      <c r="S1098" s="91"/>
      <c r="T1098" s="91"/>
      <c r="U1098" s="91"/>
      <c r="V1098" s="91"/>
      <c r="W1098" s="91"/>
      <c r="X1098" s="91"/>
      <c r="Y1098" s="91"/>
      <c r="Z1098" s="91"/>
      <c r="AA1098" s="91"/>
      <c r="AB1098" s="91"/>
      <c r="AC1098" s="91"/>
      <c r="AD1098" s="91"/>
      <c r="AE1098" s="91"/>
      <c r="AF1098" s="91"/>
      <c r="AG1098" s="91"/>
      <c r="AH1098" s="91"/>
      <c r="AI1098" s="91"/>
      <c r="AJ1098" s="91"/>
      <c r="AK1098" s="91"/>
      <c r="AL1098" s="91"/>
      <c r="AM1098" s="91"/>
    </row>
    <row r="1099" spans="1:39" ht="20.25" hidden="1" customHeight="1">
      <c r="A1099" s="91"/>
      <c r="B1099" s="93" t="s">
        <v>9861</v>
      </c>
      <c r="C1099" s="91" t="s">
        <v>36</v>
      </c>
      <c r="D1099" s="106" t="s">
        <v>9908</v>
      </c>
      <c r="E1099" s="106" t="s">
        <v>9909</v>
      </c>
      <c r="F1099" s="92" t="s">
        <v>9910</v>
      </c>
      <c r="G1099" s="103">
        <v>45535</v>
      </c>
      <c r="H1099" s="103">
        <v>37908</v>
      </c>
      <c r="I1099" s="94" t="s">
        <v>9911</v>
      </c>
      <c r="J1099" s="100" t="s">
        <v>58</v>
      </c>
      <c r="K1099" s="92">
        <v>979868982</v>
      </c>
      <c r="L1099" s="91"/>
      <c r="M1099" s="98">
        <f ca="1">(TODAY()-H1099)/365</f>
        <v>22.175342465753424</v>
      </c>
      <c r="N1099" s="99">
        <f>(G1099-H1099)/365</f>
        <v>20.895890410958906</v>
      </c>
      <c r="O1099" s="98">
        <f ca="1">(TODAY()-G1099)/365</f>
        <v>1.2794520547945205</v>
      </c>
      <c r="P1099" s="91" t="s">
        <v>43</v>
      </c>
      <c r="Q1099" s="91"/>
      <c r="R1099" s="91"/>
      <c r="S1099" s="91"/>
      <c r="T1099" s="91"/>
      <c r="U1099" s="91"/>
      <c r="V1099" s="91"/>
      <c r="W1099" s="91"/>
      <c r="X1099" s="91"/>
      <c r="Y1099" s="91"/>
      <c r="Z1099" s="91"/>
      <c r="AA1099" s="91"/>
      <c r="AB1099" s="91"/>
      <c r="AC1099" s="91"/>
      <c r="AD1099" s="91"/>
      <c r="AE1099" s="91"/>
      <c r="AF1099" s="91"/>
      <c r="AG1099" s="91"/>
      <c r="AH1099" s="91"/>
      <c r="AI1099" s="91"/>
      <c r="AJ1099" s="91"/>
      <c r="AK1099" s="91"/>
      <c r="AL1099" s="91"/>
      <c r="AM1099" s="91"/>
    </row>
    <row r="1100" spans="1:39" ht="20.25" hidden="1" customHeight="1">
      <c r="A1100" s="91"/>
      <c r="B1100" s="93" t="s">
        <v>9861</v>
      </c>
      <c r="C1100" s="91" t="s">
        <v>36</v>
      </c>
      <c r="D1100" s="106" t="s">
        <v>9912</v>
      </c>
      <c r="E1100" s="106" t="s">
        <v>9913</v>
      </c>
      <c r="F1100" s="92" t="s">
        <v>9914</v>
      </c>
      <c r="G1100" s="103">
        <v>45535</v>
      </c>
      <c r="H1100" s="103">
        <v>37916</v>
      </c>
      <c r="I1100" s="94" t="s">
        <v>9915</v>
      </c>
      <c r="J1100" s="100" t="s">
        <v>58</v>
      </c>
      <c r="K1100" s="92">
        <v>971307125</v>
      </c>
      <c r="L1100" s="91"/>
      <c r="M1100" s="98">
        <f ca="1">(TODAY()-H1100)/365</f>
        <v>22.153424657534245</v>
      </c>
      <c r="N1100" s="99">
        <f>(G1100-H1100)/365</f>
        <v>20.873972602739727</v>
      </c>
      <c r="O1100" s="98">
        <f ca="1">(TODAY()-G1100)/365</f>
        <v>1.2794520547945205</v>
      </c>
      <c r="P1100" s="91" t="s">
        <v>272</v>
      </c>
      <c r="Q1100" s="91"/>
      <c r="R1100" s="91"/>
      <c r="S1100" s="91"/>
      <c r="T1100" s="91"/>
      <c r="U1100" s="91"/>
      <c r="V1100" s="91"/>
      <c r="W1100" s="91"/>
      <c r="X1100" s="91"/>
      <c r="Y1100" s="91"/>
      <c r="Z1100" s="91"/>
      <c r="AA1100" s="91"/>
      <c r="AB1100" s="91"/>
      <c r="AC1100" s="91"/>
      <c r="AD1100" s="91"/>
      <c r="AE1100" s="91"/>
      <c r="AF1100" s="91"/>
      <c r="AG1100" s="91"/>
      <c r="AH1100" s="91"/>
      <c r="AI1100" s="91"/>
      <c r="AJ1100" s="91"/>
      <c r="AK1100" s="91"/>
      <c r="AL1100" s="91"/>
      <c r="AM1100" s="91"/>
    </row>
    <row r="1101" spans="1:39" ht="20.25" hidden="1" customHeight="1">
      <c r="A1101" s="91"/>
      <c r="B1101" s="93" t="s">
        <v>9861</v>
      </c>
      <c r="C1101" s="91" t="s">
        <v>36</v>
      </c>
      <c r="D1101" s="106" t="s">
        <v>9916</v>
      </c>
      <c r="E1101" s="106" t="s">
        <v>9917</v>
      </c>
      <c r="F1101" s="92" t="s">
        <v>9918</v>
      </c>
      <c r="G1101" s="103">
        <v>45535</v>
      </c>
      <c r="H1101" s="103">
        <v>37499</v>
      </c>
      <c r="I1101" s="94" t="s">
        <v>9919</v>
      </c>
      <c r="J1101" s="100" t="s">
        <v>58</v>
      </c>
      <c r="K1101" s="92">
        <v>933777675</v>
      </c>
      <c r="L1101" s="91"/>
      <c r="M1101" s="98">
        <f ca="1">(TODAY()-H1101)/365</f>
        <v>23.295890410958904</v>
      </c>
      <c r="N1101" s="99">
        <f>(G1101-H1101)/365</f>
        <v>22.016438356164382</v>
      </c>
      <c r="O1101" s="98">
        <f ca="1">(TODAY()-G1101)/365</f>
        <v>1.2794520547945205</v>
      </c>
      <c r="P1101" s="91" t="s">
        <v>272</v>
      </c>
      <c r="Q1101" s="91"/>
      <c r="R1101" s="91"/>
      <c r="S1101" s="91"/>
      <c r="T1101" s="91"/>
      <c r="U1101" s="91"/>
      <c r="V1101" s="91"/>
      <c r="W1101" s="91"/>
      <c r="X1101" s="91"/>
      <c r="Y1101" s="91"/>
      <c r="Z1101" s="91"/>
      <c r="AA1101" s="91"/>
      <c r="AB1101" s="91"/>
      <c r="AC1101" s="91"/>
      <c r="AD1101" s="91"/>
      <c r="AE1101" s="91"/>
      <c r="AF1101" s="91"/>
      <c r="AG1101" s="91"/>
      <c r="AH1101" s="91"/>
      <c r="AI1101" s="91"/>
      <c r="AJ1101" s="91"/>
      <c r="AK1101" s="91"/>
      <c r="AL1101" s="91"/>
      <c r="AM1101" s="91"/>
    </row>
    <row r="1102" spans="1:39" ht="20.25" hidden="1" customHeight="1">
      <c r="A1102" s="91"/>
      <c r="B1102" s="93" t="s">
        <v>9861</v>
      </c>
      <c r="C1102" s="91" t="s">
        <v>36</v>
      </c>
      <c r="D1102" s="106" t="s">
        <v>9920</v>
      </c>
      <c r="E1102" s="106" t="s">
        <v>9921</v>
      </c>
      <c r="F1102" s="92" t="s">
        <v>9922</v>
      </c>
      <c r="G1102" s="103">
        <v>45542</v>
      </c>
      <c r="H1102" s="103">
        <v>27353</v>
      </c>
      <c r="I1102" s="94" t="s">
        <v>9923</v>
      </c>
      <c r="J1102" s="100" t="s">
        <v>58</v>
      </c>
      <c r="K1102" s="92">
        <v>956767384</v>
      </c>
      <c r="L1102" s="91"/>
      <c r="M1102" s="98">
        <f ca="1">(TODAY()-H1102)/365</f>
        <v>51.093150684931508</v>
      </c>
      <c r="N1102" s="99">
        <f>(G1102-H1102)/365</f>
        <v>49.832876712328769</v>
      </c>
      <c r="O1102" s="98">
        <f ca="1">(TODAY()-G1102)/365</f>
        <v>1.2602739726027397</v>
      </c>
      <c r="P1102" s="91" t="s">
        <v>43</v>
      </c>
      <c r="Q1102" s="91"/>
      <c r="R1102" s="91"/>
      <c r="S1102" s="91"/>
      <c r="T1102" s="91"/>
      <c r="U1102" s="91"/>
      <c r="V1102" s="91"/>
      <c r="W1102" s="91"/>
      <c r="X1102" s="91"/>
      <c r="Y1102" s="91"/>
      <c r="Z1102" s="91"/>
      <c r="AA1102" s="91"/>
      <c r="AB1102" s="91"/>
      <c r="AC1102" s="91"/>
      <c r="AD1102" s="91"/>
      <c r="AE1102" s="91"/>
      <c r="AF1102" s="91"/>
      <c r="AG1102" s="91"/>
      <c r="AH1102" s="91"/>
      <c r="AI1102" s="91"/>
      <c r="AJ1102" s="91"/>
      <c r="AK1102" s="91"/>
      <c r="AL1102" s="91"/>
      <c r="AM1102" s="91"/>
    </row>
    <row r="1103" spans="1:39" ht="20.25" hidden="1" customHeight="1">
      <c r="A1103" s="91"/>
      <c r="B1103" s="93" t="s">
        <v>9861</v>
      </c>
      <c r="C1103" s="91" t="s">
        <v>36</v>
      </c>
      <c r="D1103" s="106" t="s">
        <v>9924</v>
      </c>
      <c r="E1103" s="106" t="s">
        <v>9925</v>
      </c>
      <c r="F1103" s="92" t="s">
        <v>9926</v>
      </c>
      <c r="G1103" s="103">
        <v>45612</v>
      </c>
      <c r="H1103" s="103">
        <v>27297</v>
      </c>
      <c r="I1103" s="94" t="s">
        <v>9927</v>
      </c>
      <c r="J1103" s="100" t="s">
        <v>58</v>
      </c>
      <c r="K1103" s="92">
        <v>949971624</v>
      </c>
      <c r="L1103" s="91"/>
      <c r="M1103" s="98">
        <f ca="1">(TODAY()-H1103)/365</f>
        <v>51.246575342465754</v>
      </c>
      <c r="N1103" s="99">
        <f>(G1103-H1103)/365</f>
        <v>50.178082191780824</v>
      </c>
      <c r="O1103" s="98">
        <f ca="1">(TODAY()-G1103)/365</f>
        <v>1.0684931506849316</v>
      </c>
      <c r="P1103" s="91" t="s">
        <v>43</v>
      </c>
      <c r="Q1103" s="91"/>
      <c r="R1103" s="91"/>
      <c r="S1103" s="91"/>
      <c r="T1103" s="91"/>
      <c r="U1103" s="91"/>
      <c r="V1103" s="91"/>
      <c r="W1103" s="91"/>
      <c r="X1103" s="91"/>
      <c r="Y1103" s="91"/>
      <c r="Z1103" s="91"/>
      <c r="AA1103" s="91"/>
      <c r="AB1103" s="91"/>
      <c r="AC1103" s="91"/>
      <c r="AD1103" s="91"/>
      <c r="AE1103" s="91"/>
      <c r="AF1103" s="91"/>
      <c r="AG1103" s="91"/>
      <c r="AH1103" s="91"/>
      <c r="AI1103" s="91"/>
      <c r="AJ1103" s="91"/>
      <c r="AK1103" s="91"/>
      <c r="AL1103" s="91"/>
      <c r="AM1103" s="91"/>
    </row>
    <row r="1104" spans="1:39" ht="20.25" hidden="1" customHeight="1">
      <c r="A1104" s="91"/>
      <c r="B1104" s="93" t="s">
        <v>9861</v>
      </c>
      <c r="C1104" s="91" t="s">
        <v>36</v>
      </c>
      <c r="D1104" s="106" t="s">
        <v>9928</v>
      </c>
      <c r="E1104" s="106" t="s">
        <v>9929</v>
      </c>
      <c r="F1104" s="92" t="s">
        <v>9930</v>
      </c>
      <c r="G1104" s="103">
        <v>45612</v>
      </c>
      <c r="H1104" s="103">
        <v>36641</v>
      </c>
      <c r="I1104" s="94" t="s">
        <v>9931</v>
      </c>
      <c r="J1104" s="100" t="s">
        <v>58</v>
      </c>
      <c r="K1104" s="92">
        <v>983157018</v>
      </c>
      <c r="L1104" s="91"/>
      <c r="M1104" s="98">
        <f ca="1">(TODAY()-H1104)/365</f>
        <v>25.646575342465752</v>
      </c>
      <c r="N1104" s="99">
        <f>(G1104-H1104)/365</f>
        <v>24.578082191780823</v>
      </c>
      <c r="O1104" s="98">
        <f ca="1">(TODAY()-G1104)/365</f>
        <v>1.0684931506849316</v>
      </c>
      <c r="P1104" s="91" t="s">
        <v>272</v>
      </c>
      <c r="Q1104" s="91"/>
      <c r="R1104" s="91"/>
      <c r="S1104" s="91"/>
      <c r="T1104" s="91"/>
      <c r="U1104" s="91"/>
      <c r="V1104" s="91"/>
      <c r="W1104" s="91"/>
      <c r="X1104" s="91"/>
      <c r="Y1104" s="91"/>
      <c r="Z1104" s="91"/>
      <c r="AA1104" s="91"/>
      <c r="AB1104" s="91"/>
      <c r="AC1104" s="91"/>
      <c r="AD1104" s="91"/>
      <c r="AE1104" s="91"/>
      <c r="AF1104" s="91"/>
      <c r="AG1104" s="91"/>
      <c r="AH1104" s="91"/>
      <c r="AI1104" s="91"/>
      <c r="AJ1104" s="91"/>
      <c r="AK1104" s="91"/>
      <c r="AL1104" s="91"/>
      <c r="AM1104" s="91"/>
    </row>
    <row r="1105" spans="1:39" ht="20.25" hidden="1" customHeight="1">
      <c r="A1105" s="91"/>
      <c r="B1105" s="93" t="s">
        <v>9861</v>
      </c>
      <c r="C1105" s="91" t="s">
        <v>36</v>
      </c>
      <c r="D1105" s="106" t="s">
        <v>9932</v>
      </c>
      <c r="E1105" s="106" t="s">
        <v>9933</v>
      </c>
      <c r="F1105" s="92" t="s">
        <v>9934</v>
      </c>
      <c r="G1105" s="103">
        <v>45612</v>
      </c>
      <c r="H1105" s="103">
        <v>39381</v>
      </c>
      <c r="I1105" s="94" t="s">
        <v>9935</v>
      </c>
      <c r="J1105" s="100" t="s">
        <v>58</v>
      </c>
      <c r="K1105" s="92">
        <v>965503276</v>
      </c>
      <c r="L1105" s="91"/>
      <c r="M1105" s="98">
        <f ca="1">(TODAY()-H1105)/365</f>
        <v>18.139726027397259</v>
      </c>
      <c r="N1105" s="99">
        <f>(G1105-H1105)/365</f>
        <v>17.07123287671233</v>
      </c>
      <c r="O1105" s="98">
        <f ca="1">(TODAY()-G1105)/365</f>
        <v>1.0684931506849316</v>
      </c>
      <c r="P1105" s="91" t="s">
        <v>43</v>
      </c>
      <c r="Q1105" s="91"/>
      <c r="R1105" s="91"/>
      <c r="S1105" s="91"/>
      <c r="T1105" s="91"/>
      <c r="U1105" s="91"/>
      <c r="V1105" s="91"/>
      <c r="W1105" s="91"/>
      <c r="X1105" s="91"/>
      <c r="Y1105" s="91"/>
      <c r="Z1105" s="91"/>
      <c r="AA1105" s="91"/>
      <c r="AB1105" s="91"/>
      <c r="AC1105" s="91"/>
      <c r="AD1105" s="91"/>
      <c r="AE1105" s="91"/>
      <c r="AF1105" s="91"/>
      <c r="AG1105" s="91"/>
      <c r="AH1105" s="91"/>
      <c r="AI1105" s="91"/>
      <c r="AJ1105" s="91"/>
      <c r="AK1105" s="91"/>
      <c r="AL1105" s="91"/>
      <c r="AM1105" s="91"/>
    </row>
    <row r="1106" spans="1:39" ht="20.25" hidden="1" customHeight="1">
      <c r="A1106" s="91"/>
      <c r="B1106" s="93" t="s">
        <v>9861</v>
      </c>
      <c r="C1106" s="91" t="s">
        <v>36</v>
      </c>
      <c r="D1106" s="106" t="s">
        <v>9936</v>
      </c>
      <c r="E1106" s="106" t="s">
        <v>9937</v>
      </c>
      <c r="F1106" s="92" t="s">
        <v>9938</v>
      </c>
      <c r="G1106" s="103">
        <v>45654</v>
      </c>
      <c r="H1106" s="103">
        <v>35425</v>
      </c>
      <c r="I1106" s="94" t="s">
        <v>9939</v>
      </c>
      <c r="J1106" s="100" t="s">
        <v>58</v>
      </c>
      <c r="K1106" s="92">
        <v>992250952</v>
      </c>
      <c r="L1106" s="91"/>
      <c r="M1106" s="98">
        <f ca="1">(TODAY()-H1106)/365</f>
        <v>28.978082191780821</v>
      </c>
      <c r="N1106" s="99">
        <f>(G1106-H1106)/365</f>
        <v>28.024657534246575</v>
      </c>
      <c r="O1106" s="98">
        <f ca="1">(TODAY()-G1106)/365</f>
        <v>0.95342465753424654</v>
      </c>
      <c r="P1106" s="91" t="s">
        <v>272</v>
      </c>
      <c r="Q1106" s="91"/>
      <c r="R1106" s="91"/>
      <c r="S1106" s="91"/>
      <c r="T1106" s="91"/>
      <c r="U1106" s="91"/>
      <c r="V1106" s="91"/>
      <c r="W1106" s="91"/>
      <c r="X1106" s="91"/>
      <c r="Y1106" s="91"/>
      <c r="Z1106" s="91"/>
      <c r="AA1106" s="91"/>
      <c r="AB1106" s="91"/>
      <c r="AC1106" s="91"/>
      <c r="AD1106" s="91"/>
      <c r="AE1106" s="91"/>
      <c r="AF1106" s="91"/>
      <c r="AG1106" s="91"/>
      <c r="AH1106" s="91"/>
      <c r="AI1106" s="91"/>
      <c r="AJ1106" s="91"/>
      <c r="AK1106" s="91"/>
      <c r="AL1106" s="91"/>
      <c r="AM1106" s="91"/>
    </row>
    <row r="1107" spans="1:39" ht="20.25" hidden="1" customHeight="1">
      <c r="A1107" s="91"/>
      <c r="B1107" s="93" t="s">
        <v>9861</v>
      </c>
      <c r="C1107" s="91" t="s">
        <v>36</v>
      </c>
      <c r="D1107" s="106" t="s">
        <v>9940</v>
      </c>
      <c r="E1107" s="106" t="s">
        <v>9941</v>
      </c>
      <c r="F1107" s="92" t="s">
        <v>9942</v>
      </c>
      <c r="G1107" s="103">
        <v>45654</v>
      </c>
      <c r="H1107" s="103">
        <v>36836</v>
      </c>
      <c r="I1107" s="94" t="s">
        <v>9943</v>
      </c>
      <c r="J1107" s="100" t="s">
        <v>58</v>
      </c>
      <c r="K1107" s="92">
        <v>957550669</v>
      </c>
      <c r="L1107" s="91"/>
      <c r="M1107" s="98">
        <f ca="1">(TODAY()-H1107)/365</f>
        <v>25.112328767123287</v>
      </c>
      <c r="N1107" s="99">
        <f>(G1107-H1107)/365</f>
        <v>24.158904109589042</v>
      </c>
      <c r="O1107" s="98">
        <f ca="1">(TODAY()-G1107)/365</f>
        <v>0.95342465753424654</v>
      </c>
      <c r="P1107" s="91" t="s">
        <v>43</v>
      </c>
      <c r="Q1107" s="91"/>
      <c r="R1107" s="91"/>
      <c r="S1107" s="91"/>
      <c r="T1107" s="91"/>
      <c r="U1107" s="91"/>
      <c r="V1107" s="91"/>
      <c r="W1107" s="91"/>
      <c r="X1107" s="91"/>
      <c r="Y1107" s="91"/>
      <c r="Z1107" s="91"/>
      <c r="AA1107" s="91"/>
      <c r="AB1107" s="91"/>
      <c r="AC1107" s="91"/>
      <c r="AD1107" s="91"/>
      <c r="AE1107" s="91"/>
      <c r="AF1107" s="91"/>
      <c r="AG1107" s="91"/>
      <c r="AH1107" s="91"/>
      <c r="AI1107" s="91"/>
      <c r="AJ1107" s="91"/>
      <c r="AK1107" s="91"/>
      <c r="AL1107" s="91"/>
      <c r="AM1107" s="91"/>
    </row>
    <row r="1108" spans="1:39" ht="20.25" hidden="1" customHeight="1">
      <c r="A1108" s="91"/>
      <c r="B1108" s="93" t="s">
        <v>9861</v>
      </c>
      <c r="C1108" s="91" t="s">
        <v>36</v>
      </c>
      <c r="D1108" s="106" t="s">
        <v>771</v>
      </c>
      <c r="E1108" s="106" t="s">
        <v>9944</v>
      </c>
      <c r="F1108" s="92" t="s">
        <v>9945</v>
      </c>
      <c r="G1108" s="103">
        <v>45654</v>
      </c>
      <c r="H1108" s="103">
        <v>34456</v>
      </c>
      <c r="I1108" s="94" t="s">
        <v>9946</v>
      </c>
      <c r="J1108" s="100" t="s">
        <v>58</v>
      </c>
      <c r="K1108" s="92">
        <v>985138335</v>
      </c>
      <c r="L1108" s="91"/>
      <c r="M1108" s="98">
        <f ca="1">(TODAY()-H1108)/365</f>
        <v>31.632876712328766</v>
      </c>
      <c r="N1108" s="99">
        <f>(G1108-H1108)/365</f>
        <v>30.67945205479452</v>
      </c>
      <c r="O1108" s="98">
        <f ca="1">(TODAY()-G1108)/365</f>
        <v>0.95342465753424654</v>
      </c>
      <c r="P1108" s="91" t="s">
        <v>43</v>
      </c>
      <c r="Q1108" s="91"/>
      <c r="R1108" s="91"/>
      <c r="S1108" s="91"/>
      <c r="T1108" s="91"/>
      <c r="U1108" s="91"/>
      <c r="V1108" s="91"/>
      <c r="W1108" s="91"/>
      <c r="X1108" s="91"/>
      <c r="Y1108" s="91"/>
      <c r="Z1108" s="91"/>
      <c r="AA1108" s="91"/>
      <c r="AB1108" s="91"/>
      <c r="AC1108" s="91"/>
      <c r="AD1108" s="91"/>
      <c r="AE1108" s="91"/>
      <c r="AF1108" s="91"/>
      <c r="AG1108" s="91"/>
      <c r="AH1108" s="91"/>
      <c r="AI1108" s="91"/>
      <c r="AJ1108" s="91"/>
      <c r="AK1108" s="91"/>
      <c r="AL1108" s="91"/>
      <c r="AM1108" s="91"/>
    </row>
    <row r="1109" spans="1:39" ht="20.25" hidden="1" customHeight="1">
      <c r="A1109" s="91"/>
      <c r="B1109" s="93" t="s">
        <v>9861</v>
      </c>
      <c r="C1109" s="91" t="s">
        <v>36</v>
      </c>
      <c r="D1109" s="106" t="s">
        <v>9947</v>
      </c>
      <c r="E1109" s="106" t="s">
        <v>9948</v>
      </c>
      <c r="F1109" s="92" t="s">
        <v>9949</v>
      </c>
      <c r="G1109" s="103">
        <v>45654</v>
      </c>
      <c r="H1109" s="103">
        <v>35026</v>
      </c>
      <c r="I1109" s="94" t="s">
        <v>9950</v>
      </c>
      <c r="J1109" s="100" t="s">
        <v>58</v>
      </c>
      <c r="K1109" s="92">
        <v>998761815</v>
      </c>
      <c r="L1109" s="91"/>
      <c r="M1109" s="98">
        <f ca="1">(TODAY()-H1109)/365</f>
        <v>30.07123287671233</v>
      </c>
      <c r="N1109" s="99">
        <f>(G1109-H1109)/365</f>
        <v>29.117808219178084</v>
      </c>
      <c r="O1109" s="98">
        <f ca="1">(TODAY()-G1109)/365</f>
        <v>0.95342465753424654</v>
      </c>
      <c r="P1109" s="91" t="s">
        <v>43</v>
      </c>
      <c r="Q1109" s="91"/>
      <c r="R1109" s="91"/>
      <c r="S1109" s="91"/>
      <c r="T1109" s="91"/>
      <c r="U1109" s="91"/>
      <c r="V1109" s="91"/>
      <c r="W1109" s="91"/>
      <c r="X1109" s="91"/>
      <c r="Y1109" s="91"/>
      <c r="Z1109" s="91"/>
      <c r="AA1109" s="91"/>
      <c r="AB1109" s="91"/>
      <c r="AC1109" s="91"/>
      <c r="AD1109" s="91"/>
      <c r="AE1109" s="91"/>
      <c r="AF1109" s="91"/>
      <c r="AG1109" s="91"/>
      <c r="AH1109" s="91"/>
      <c r="AI1109" s="91"/>
      <c r="AJ1109" s="91"/>
      <c r="AK1109" s="91"/>
      <c r="AL1109" s="91"/>
      <c r="AM1109" s="91"/>
    </row>
    <row r="1110" spans="1:39" ht="20.25" hidden="1" customHeight="1">
      <c r="A1110" s="91"/>
      <c r="B1110" s="93" t="s">
        <v>9861</v>
      </c>
      <c r="C1110" s="91" t="s">
        <v>36</v>
      </c>
      <c r="D1110" s="106" t="s">
        <v>273</v>
      </c>
      <c r="E1110" s="106" t="s">
        <v>9951</v>
      </c>
      <c r="F1110" s="92" t="s">
        <v>9952</v>
      </c>
      <c r="G1110" s="103">
        <v>45654</v>
      </c>
      <c r="H1110" s="103">
        <v>36133</v>
      </c>
      <c r="I1110" s="94" t="s">
        <v>9953</v>
      </c>
      <c r="J1110" s="100" t="s">
        <v>58</v>
      </c>
      <c r="K1110" s="92">
        <v>934519400</v>
      </c>
      <c r="L1110" s="91"/>
      <c r="M1110" s="98">
        <f ca="1">(TODAY()-H1110)/365</f>
        <v>27.038356164383561</v>
      </c>
      <c r="N1110" s="99">
        <f>(G1110-H1110)/365</f>
        <v>26.084931506849315</v>
      </c>
      <c r="O1110" s="98">
        <f ca="1">(TODAY()-G1110)/365</f>
        <v>0.95342465753424654</v>
      </c>
      <c r="P1110" s="91" t="s">
        <v>43</v>
      </c>
      <c r="Q1110" s="91"/>
      <c r="R1110" s="91"/>
      <c r="S1110" s="91"/>
      <c r="T1110" s="91"/>
      <c r="U1110" s="91"/>
      <c r="V1110" s="91"/>
      <c r="W1110" s="91"/>
      <c r="X1110" s="91"/>
      <c r="Y1110" s="91"/>
      <c r="Z1110" s="91"/>
      <c r="AA1110" s="91"/>
      <c r="AB1110" s="91"/>
      <c r="AC1110" s="91"/>
      <c r="AD1110" s="91"/>
      <c r="AE1110" s="91"/>
      <c r="AF1110" s="91"/>
      <c r="AG1110" s="91"/>
      <c r="AH1110" s="91"/>
      <c r="AI1110" s="91"/>
      <c r="AJ1110" s="91"/>
      <c r="AK1110" s="91"/>
      <c r="AL1110" s="91"/>
      <c r="AM1110" s="91"/>
    </row>
    <row r="1111" spans="1:39" ht="20.25" hidden="1" customHeight="1">
      <c r="A1111" s="91"/>
      <c r="B1111" s="93" t="s">
        <v>9861</v>
      </c>
      <c r="C1111" s="91" t="s">
        <v>36</v>
      </c>
      <c r="D1111" s="106" t="s">
        <v>9954</v>
      </c>
      <c r="E1111" s="106" t="s">
        <v>9955</v>
      </c>
      <c r="F1111" s="92" t="s">
        <v>9956</v>
      </c>
      <c r="G1111" s="103">
        <v>45654</v>
      </c>
      <c r="H1111" s="103">
        <v>36271</v>
      </c>
      <c r="I1111" s="94" t="s">
        <v>9957</v>
      </c>
      <c r="J1111" s="100" t="s">
        <v>58</v>
      </c>
      <c r="K1111" s="92">
        <v>947499784</v>
      </c>
      <c r="L1111" s="91"/>
      <c r="M1111" s="98">
        <f ca="1">(TODAY()-H1111)/365</f>
        <v>26.660273972602738</v>
      </c>
      <c r="N1111" s="99">
        <f>(G1111-H1111)/365</f>
        <v>25.706849315068492</v>
      </c>
      <c r="O1111" s="98">
        <f ca="1">(TODAY()-G1111)/365</f>
        <v>0.95342465753424654</v>
      </c>
      <c r="P1111" s="91" t="s">
        <v>43</v>
      </c>
      <c r="Q1111" s="91"/>
      <c r="R1111" s="91"/>
      <c r="S1111" s="91"/>
      <c r="T1111" s="91"/>
      <c r="U1111" s="91"/>
      <c r="V1111" s="91"/>
      <c r="W1111" s="91"/>
      <c r="X1111" s="91"/>
      <c r="Y1111" s="91"/>
      <c r="Z1111" s="91"/>
      <c r="AA1111" s="91"/>
      <c r="AB1111" s="91"/>
      <c r="AC1111" s="91"/>
      <c r="AD1111" s="91"/>
      <c r="AE1111" s="91"/>
      <c r="AF1111" s="91"/>
      <c r="AG1111" s="91"/>
      <c r="AH1111" s="91"/>
      <c r="AI1111" s="91"/>
      <c r="AJ1111" s="91"/>
      <c r="AK1111" s="91"/>
      <c r="AL1111" s="91"/>
      <c r="AM1111" s="91"/>
    </row>
    <row r="1112" spans="1:39" ht="20.25" hidden="1" customHeight="1">
      <c r="A1112" s="91"/>
      <c r="B1112" s="93" t="s">
        <v>9861</v>
      </c>
      <c r="C1112" s="91" t="s">
        <v>36</v>
      </c>
      <c r="D1112" s="106" t="s">
        <v>9958</v>
      </c>
      <c r="E1112" s="106" t="s">
        <v>9959</v>
      </c>
      <c r="F1112" s="92" t="s">
        <v>9960</v>
      </c>
      <c r="G1112" s="103">
        <v>45654</v>
      </c>
      <c r="H1112" s="103">
        <v>36805</v>
      </c>
      <c r="I1112" s="94" t="s">
        <v>9961</v>
      </c>
      <c r="J1112" s="100" t="s">
        <v>58</v>
      </c>
      <c r="K1112" s="92">
        <v>950390189</v>
      </c>
      <c r="L1112" s="91"/>
      <c r="M1112" s="98">
        <f ca="1">(TODAY()-H1112)/365</f>
        <v>25.197260273972603</v>
      </c>
      <c r="N1112" s="99">
        <f>(G1112-H1112)/365</f>
        <v>24.243835616438357</v>
      </c>
      <c r="O1112" s="98">
        <f ca="1">(TODAY()-G1112)/365</f>
        <v>0.95342465753424654</v>
      </c>
      <c r="P1112" s="91" t="s">
        <v>43</v>
      </c>
      <c r="Q1112" s="91"/>
      <c r="R1112" s="91"/>
      <c r="S1112" s="91"/>
      <c r="T1112" s="91"/>
      <c r="U1112" s="91"/>
      <c r="V1112" s="91"/>
      <c r="W1112" s="91"/>
      <c r="X1112" s="91"/>
      <c r="Y1112" s="91"/>
      <c r="Z1112" s="91"/>
      <c r="AA1112" s="91"/>
      <c r="AB1112" s="91"/>
      <c r="AC1112" s="91"/>
      <c r="AD1112" s="91"/>
      <c r="AE1112" s="91"/>
      <c r="AF1112" s="91"/>
      <c r="AG1112" s="91"/>
      <c r="AH1112" s="91"/>
      <c r="AI1112" s="91"/>
      <c r="AJ1112" s="91"/>
      <c r="AK1112" s="91"/>
      <c r="AL1112" s="91"/>
      <c r="AM1112" s="91"/>
    </row>
    <row r="1113" spans="1:39" ht="20.25" hidden="1" customHeight="1">
      <c r="A1113" s="91"/>
      <c r="B1113" s="93" t="s">
        <v>9861</v>
      </c>
      <c r="C1113" s="91" t="s">
        <v>36</v>
      </c>
      <c r="D1113" s="106" t="s">
        <v>9962</v>
      </c>
      <c r="E1113" s="106" t="s">
        <v>9963</v>
      </c>
      <c r="F1113" s="92" t="s">
        <v>9964</v>
      </c>
      <c r="G1113" s="103">
        <v>45654</v>
      </c>
      <c r="H1113" s="103">
        <v>32435</v>
      </c>
      <c r="I1113" s="94" t="s">
        <v>9965</v>
      </c>
      <c r="J1113" s="100" t="s">
        <v>58</v>
      </c>
      <c r="K1113" s="92">
        <v>975569486</v>
      </c>
      <c r="L1113" s="91"/>
      <c r="M1113" s="98">
        <f ca="1">(TODAY()-H1113)/365</f>
        <v>37.169863013698631</v>
      </c>
      <c r="N1113" s="99">
        <f>(G1113-H1113)/365</f>
        <v>36.216438356164382</v>
      </c>
      <c r="O1113" s="98">
        <f ca="1">(TODAY()-G1113)/365</f>
        <v>0.95342465753424654</v>
      </c>
      <c r="P1113" s="91" t="s">
        <v>43</v>
      </c>
      <c r="Q1113" s="91"/>
      <c r="R1113" s="91"/>
      <c r="S1113" s="91"/>
      <c r="T1113" s="91"/>
      <c r="U1113" s="91"/>
      <c r="V1113" s="91"/>
      <c r="W1113" s="91"/>
      <c r="X1113" s="91"/>
      <c r="Y1113" s="91"/>
      <c r="Z1113" s="91"/>
      <c r="AA1113" s="91"/>
      <c r="AB1113" s="91"/>
      <c r="AC1113" s="91"/>
      <c r="AD1113" s="91"/>
      <c r="AE1113" s="91"/>
      <c r="AF1113" s="91"/>
      <c r="AG1113" s="91"/>
      <c r="AH1113" s="91"/>
      <c r="AI1113" s="91"/>
      <c r="AJ1113" s="91"/>
      <c r="AK1113" s="91"/>
      <c r="AL1113" s="91"/>
      <c r="AM1113" s="91"/>
    </row>
    <row r="1114" spans="1:39" ht="20.25" hidden="1" customHeight="1">
      <c r="A1114" s="91"/>
      <c r="B1114" s="93" t="s">
        <v>9861</v>
      </c>
      <c r="C1114" s="91" t="s">
        <v>36</v>
      </c>
      <c r="D1114" s="106" t="s">
        <v>9966</v>
      </c>
      <c r="E1114" s="106" t="s">
        <v>9967</v>
      </c>
      <c r="F1114" s="92" t="s">
        <v>9968</v>
      </c>
      <c r="G1114" s="103">
        <v>45654</v>
      </c>
      <c r="H1114" s="103">
        <v>35449</v>
      </c>
      <c r="I1114" s="94" t="s">
        <v>9969</v>
      </c>
      <c r="J1114" s="100" t="s">
        <v>58</v>
      </c>
      <c r="K1114" s="92">
        <v>997384403</v>
      </c>
      <c r="L1114" s="91"/>
      <c r="M1114" s="98">
        <f ca="1">(TODAY()-H1114)/365</f>
        <v>28.912328767123288</v>
      </c>
      <c r="N1114" s="99">
        <f>(G1114-H1114)/365</f>
        <v>27.958904109589042</v>
      </c>
      <c r="O1114" s="98">
        <f ca="1">(TODAY()-G1114)/365</f>
        <v>0.95342465753424654</v>
      </c>
      <c r="P1114" s="91" t="s">
        <v>272</v>
      </c>
      <c r="Q1114" s="91"/>
      <c r="R1114" s="91"/>
      <c r="S1114" s="91"/>
      <c r="T1114" s="91"/>
      <c r="U1114" s="91"/>
      <c r="V1114" s="91"/>
      <c r="W1114" s="91"/>
      <c r="X1114" s="91"/>
      <c r="Y1114" s="91"/>
      <c r="Z1114" s="91"/>
      <c r="AA1114" s="91"/>
      <c r="AB1114" s="91"/>
      <c r="AC1114" s="91"/>
      <c r="AD1114" s="91"/>
      <c r="AE1114" s="91"/>
      <c r="AF1114" s="91"/>
      <c r="AG1114" s="91"/>
      <c r="AH1114" s="91"/>
      <c r="AI1114" s="91"/>
      <c r="AJ1114" s="91"/>
      <c r="AK1114" s="91"/>
      <c r="AL1114" s="91"/>
      <c r="AM1114" s="91"/>
    </row>
    <row r="1115" spans="1:39" ht="20.25" hidden="1" customHeight="1">
      <c r="A1115" s="91"/>
      <c r="B1115" s="93" t="s">
        <v>9861</v>
      </c>
      <c r="C1115" s="91" t="s">
        <v>36</v>
      </c>
      <c r="D1115" s="106" t="s">
        <v>9970</v>
      </c>
      <c r="E1115" s="106" t="s">
        <v>9971</v>
      </c>
      <c r="F1115" s="92" t="s">
        <v>9972</v>
      </c>
      <c r="G1115" s="103">
        <v>45654</v>
      </c>
      <c r="H1115" s="103">
        <v>34669</v>
      </c>
      <c r="I1115" s="94" t="s">
        <v>9973</v>
      </c>
      <c r="J1115" s="100" t="s">
        <v>58</v>
      </c>
      <c r="K1115" s="92">
        <v>981614604</v>
      </c>
      <c r="L1115" s="91"/>
      <c r="M1115" s="98">
        <f ca="1">(TODAY()-H1115)/365</f>
        <v>31.049315068493151</v>
      </c>
      <c r="N1115" s="99">
        <f>(G1115-H1115)/365</f>
        <v>30.095890410958905</v>
      </c>
      <c r="O1115" s="98">
        <f ca="1">(TODAY()-G1115)/365</f>
        <v>0.95342465753424654</v>
      </c>
      <c r="P1115" s="91" t="s">
        <v>272</v>
      </c>
      <c r="Q1115" s="91"/>
      <c r="R1115" s="91"/>
      <c r="S1115" s="91"/>
      <c r="T1115" s="91"/>
      <c r="U1115" s="91"/>
      <c r="V1115" s="91"/>
      <c r="W1115" s="91"/>
      <c r="X1115" s="91"/>
      <c r="Y1115" s="91"/>
      <c r="Z1115" s="91"/>
      <c r="AA1115" s="91"/>
      <c r="AB1115" s="91"/>
      <c r="AC1115" s="91"/>
      <c r="AD1115" s="91"/>
      <c r="AE1115" s="91"/>
      <c r="AF1115" s="91"/>
      <c r="AG1115" s="91"/>
      <c r="AH1115" s="91"/>
      <c r="AI1115" s="91"/>
      <c r="AJ1115" s="91"/>
      <c r="AK1115" s="91"/>
      <c r="AL1115" s="91"/>
      <c r="AM1115" s="91"/>
    </row>
    <row r="1116" spans="1:39" ht="20.25" hidden="1" customHeight="1">
      <c r="A1116" s="91"/>
      <c r="B1116" s="93" t="s">
        <v>9861</v>
      </c>
      <c r="C1116" s="91" t="s">
        <v>36</v>
      </c>
      <c r="D1116" s="106" t="s">
        <v>9974</v>
      </c>
      <c r="E1116" s="106" t="s">
        <v>9975</v>
      </c>
      <c r="F1116" s="92" t="s">
        <v>9976</v>
      </c>
      <c r="G1116" s="103">
        <v>45654</v>
      </c>
      <c r="H1116" s="103">
        <v>34402</v>
      </c>
      <c r="I1116" s="94" t="s">
        <v>9977</v>
      </c>
      <c r="J1116" s="100" t="s">
        <v>58</v>
      </c>
      <c r="K1116" s="92">
        <v>956843190</v>
      </c>
      <c r="L1116" s="91"/>
      <c r="M1116" s="98">
        <f ca="1">(TODAY()-H1116)/365</f>
        <v>31.780821917808218</v>
      </c>
      <c r="N1116" s="99">
        <f>(G1116-H1116)/365</f>
        <v>30.827397260273973</v>
      </c>
      <c r="O1116" s="98">
        <f ca="1">(TODAY()-G1116)/365</f>
        <v>0.95342465753424654</v>
      </c>
      <c r="P1116" s="91" t="s">
        <v>272</v>
      </c>
      <c r="Q1116" s="91"/>
      <c r="R1116" s="91"/>
      <c r="S1116" s="91"/>
      <c r="T1116" s="91"/>
      <c r="U1116" s="91"/>
      <c r="V1116" s="91"/>
      <c r="W1116" s="91"/>
      <c r="X1116" s="91"/>
      <c r="Y1116" s="91"/>
      <c r="Z1116" s="91"/>
      <c r="AA1116" s="91"/>
      <c r="AB1116" s="91"/>
      <c r="AC1116" s="91"/>
      <c r="AD1116" s="91"/>
      <c r="AE1116" s="91"/>
      <c r="AF1116" s="91"/>
      <c r="AG1116" s="91"/>
      <c r="AH1116" s="91"/>
      <c r="AI1116" s="91"/>
      <c r="AJ1116" s="91"/>
      <c r="AK1116" s="91"/>
      <c r="AL1116" s="91"/>
      <c r="AM1116" s="91"/>
    </row>
    <row r="1117" spans="1:39" ht="20.25" hidden="1" customHeight="1">
      <c r="A1117" s="91"/>
      <c r="B1117" s="93" t="s">
        <v>9861</v>
      </c>
      <c r="C1117" s="91" t="s">
        <v>36</v>
      </c>
      <c r="D1117" s="106" t="s">
        <v>9978</v>
      </c>
      <c r="E1117" s="106" t="s">
        <v>9979</v>
      </c>
      <c r="F1117" s="92" t="s">
        <v>9980</v>
      </c>
      <c r="G1117" s="103">
        <v>45654</v>
      </c>
      <c r="H1117" s="103">
        <v>30075</v>
      </c>
      <c r="I1117" s="94" t="s">
        <v>9981</v>
      </c>
      <c r="J1117" s="100" t="s">
        <v>58</v>
      </c>
      <c r="K1117" s="92">
        <v>981455626</v>
      </c>
      <c r="L1117" s="91"/>
      <c r="M1117" s="98">
        <f ca="1">(TODAY()-H1117)/365</f>
        <v>43.635616438356166</v>
      </c>
      <c r="N1117" s="99">
        <f>(G1117-H1117)/365</f>
        <v>42.682191780821917</v>
      </c>
      <c r="O1117" s="98">
        <f ca="1">(TODAY()-G1117)/365</f>
        <v>0.95342465753424654</v>
      </c>
      <c r="P1117" s="91" t="s">
        <v>43</v>
      </c>
      <c r="Q1117" s="91"/>
      <c r="R1117" s="91"/>
      <c r="S1117" s="91"/>
      <c r="T1117" s="91"/>
      <c r="U1117" s="91"/>
      <c r="V1117" s="91"/>
      <c r="W1117" s="91"/>
      <c r="X1117" s="91"/>
      <c r="Y1117" s="91"/>
      <c r="Z1117" s="91"/>
      <c r="AA1117" s="91"/>
      <c r="AB1117" s="91"/>
      <c r="AC1117" s="91"/>
      <c r="AD1117" s="91"/>
      <c r="AE1117" s="91"/>
      <c r="AF1117" s="91"/>
      <c r="AG1117" s="91"/>
      <c r="AH1117" s="91"/>
      <c r="AI1117" s="91"/>
      <c r="AJ1117" s="91"/>
      <c r="AK1117" s="91"/>
      <c r="AL1117" s="91"/>
      <c r="AM1117" s="91"/>
    </row>
    <row r="1118" spans="1:39" ht="20.25" hidden="1" customHeight="1">
      <c r="A1118" s="91"/>
      <c r="B1118" s="93" t="s">
        <v>9861</v>
      </c>
      <c r="C1118" s="91" t="s">
        <v>36</v>
      </c>
      <c r="D1118" s="106" t="s">
        <v>796</v>
      </c>
      <c r="E1118" s="106" t="s">
        <v>9982</v>
      </c>
      <c r="F1118" s="92" t="s">
        <v>9983</v>
      </c>
      <c r="G1118" s="103">
        <v>45661</v>
      </c>
      <c r="H1118" s="103">
        <v>29487</v>
      </c>
      <c r="I1118" s="94" t="s">
        <v>9984</v>
      </c>
      <c r="J1118" s="100" t="s">
        <v>58</v>
      </c>
      <c r="K1118" s="92">
        <v>976504986</v>
      </c>
      <c r="L1118" s="91"/>
      <c r="M1118" s="98">
        <f ca="1">(TODAY()-H1118)/365</f>
        <v>45.246575342465754</v>
      </c>
      <c r="N1118" s="99">
        <f>(G1118-H1118)/365</f>
        <v>44.31232876712329</v>
      </c>
      <c r="O1118" s="98">
        <f ca="1">(TODAY()-G1118)/365</f>
        <v>0.9342465753424658</v>
      </c>
      <c r="P1118" s="91" t="s">
        <v>43</v>
      </c>
      <c r="Q1118" s="91"/>
      <c r="R1118" s="91"/>
      <c r="S1118" s="91"/>
      <c r="T1118" s="91"/>
      <c r="U1118" s="91"/>
      <c r="V1118" s="91"/>
      <c r="W1118" s="91"/>
      <c r="X1118" s="91"/>
      <c r="Y1118" s="91"/>
      <c r="Z1118" s="91"/>
      <c r="AA1118" s="91"/>
      <c r="AB1118" s="91"/>
      <c r="AC1118" s="91"/>
      <c r="AD1118" s="91"/>
      <c r="AE1118" s="91"/>
      <c r="AF1118" s="91"/>
      <c r="AG1118" s="91"/>
      <c r="AH1118" s="91"/>
      <c r="AI1118" s="91"/>
      <c r="AJ1118" s="91"/>
      <c r="AK1118" s="91"/>
      <c r="AL1118" s="91"/>
      <c r="AM1118" s="91"/>
    </row>
    <row r="1119" spans="1:39" ht="20.25" hidden="1" customHeight="1">
      <c r="A1119" s="91"/>
      <c r="B1119" s="93" t="s">
        <v>9861</v>
      </c>
      <c r="C1119" s="91" t="s">
        <v>36</v>
      </c>
      <c r="D1119" s="106" t="s">
        <v>9985</v>
      </c>
      <c r="E1119" s="106" t="s">
        <v>9986</v>
      </c>
      <c r="F1119" s="92" t="s">
        <v>9987</v>
      </c>
      <c r="G1119" s="103">
        <v>45717</v>
      </c>
      <c r="H1119" s="103">
        <v>27515</v>
      </c>
      <c r="I1119" s="94" t="s">
        <v>9988</v>
      </c>
      <c r="J1119" s="100" t="s">
        <v>58</v>
      </c>
      <c r="K1119" s="92">
        <v>950006771</v>
      </c>
      <c r="L1119" s="91"/>
      <c r="M1119" s="98">
        <f ca="1">(TODAY()-H1119)/365</f>
        <v>50.649315068493152</v>
      </c>
      <c r="N1119" s="99">
        <f>(G1119-H1119)/365</f>
        <v>49.868493150684934</v>
      </c>
      <c r="O1119" s="98">
        <f ca="1">(TODAY()-G1119)/365</f>
        <v>0.78082191780821919</v>
      </c>
      <c r="P1119" s="91" t="s">
        <v>43</v>
      </c>
      <c r="Q1119" s="91"/>
      <c r="R1119" s="91"/>
      <c r="S1119" s="91"/>
      <c r="T1119" s="91"/>
      <c r="U1119" s="91"/>
      <c r="V1119" s="91"/>
      <c r="W1119" s="91"/>
      <c r="X1119" s="91"/>
      <c r="Y1119" s="91"/>
      <c r="Z1119" s="91"/>
      <c r="AA1119" s="91"/>
      <c r="AB1119" s="91"/>
      <c r="AC1119" s="91"/>
      <c r="AD1119" s="91"/>
      <c r="AE1119" s="91"/>
      <c r="AF1119" s="91"/>
      <c r="AG1119" s="91"/>
      <c r="AH1119" s="91"/>
      <c r="AI1119" s="91"/>
      <c r="AJ1119" s="91"/>
      <c r="AK1119" s="91"/>
      <c r="AL1119" s="91"/>
      <c r="AM1119" s="91"/>
    </row>
    <row r="1120" spans="1:39" ht="20.25" hidden="1" customHeight="1">
      <c r="A1120" s="91"/>
      <c r="B1120" s="93" t="s">
        <v>9861</v>
      </c>
      <c r="C1120" s="91" t="s">
        <v>36</v>
      </c>
      <c r="D1120" s="106" t="s">
        <v>6915</v>
      </c>
      <c r="E1120" s="106" t="s">
        <v>9989</v>
      </c>
      <c r="F1120" s="92">
        <v>116196387</v>
      </c>
      <c r="G1120" s="103">
        <v>45717</v>
      </c>
      <c r="H1120" s="103">
        <v>25884</v>
      </c>
      <c r="I1120" s="94" t="s">
        <v>9990</v>
      </c>
      <c r="J1120" s="100" t="s">
        <v>58</v>
      </c>
      <c r="K1120" s="92">
        <v>965707526</v>
      </c>
      <c r="L1120" s="91"/>
      <c r="M1120" s="98">
        <f ca="1">(TODAY()-H1120)/365</f>
        <v>55.11780821917808</v>
      </c>
      <c r="N1120" s="99">
        <f>(G1120-H1120)/365</f>
        <v>54.336986301369862</v>
      </c>
      <c r="O1120" s="98">
        <f ca="1">(TODAY()-G1120)/365</f>
        <v>0.78082191780821919</v>
      </c>
      <c r="P1120" s="91" t="s">
        <v>43</v>
      </c>
      <c r="Q1120" s="91"/>
      <c r="R1120" s="91"/>
      <c r="S1120" s="91"/>
      <c r="T1120" s="91"/>
      <c r="U1120" s="91"/>
      <c r="V1120" s="91"/>
      <c r="W1120" s="91"/>
      <c r="X1120" s="91"/>
      <c r="Y1120" s="91"/>
      <c r="Z1120" s="91"/>
      <c r="AA1120" s="91"/>
      <c r="AB1120" s="91"/>
      <c r="AC1120" s="91"/>
      <c r="AD1120" s="91"/>
      <c r="AE1120" s="91"/>
      <c r="AF1120" s="91"/>
      <c r="AG1120" s="91"/>
      <c r="AH1120" s="91"/>
      <c r="AI1120" s="91"/>
      <c r="AJ1120" s="91"/>
      <c r="AK1120" s="91"/>
      <c r="AL1120" s="91"/>
      <c r="AM1120" s="91"/>
    </row>
    <row r="1121" spans="1:39" ht="20.25" hidden="1" customHeight="1">
      <c r="A1121" s="91"/>
      <c r="B1121" s="93" t="s">
        <v>9861</v>
      </c>
      <c r="C1121" s="91" t="s">
        <v>36</v>
      </c>
      <c r="D1121" s="106" t="s">
        <v>9991</v>
      </c>
      <c r="E1121" s="106" t="s">
        <v>9992</v>
      </c>
      <c r="F1121" s="92" t="s">
        <v>9993</v>
      </c>
      <c r="G1121" s="103">
        <v>45682</v>
      </c>
      <c r="H1121" s="103">
        <v>32173</v>
      </c>
      <c r="I1121" s="94" t="s">
        <v>9994</v>
      </c>
      <c r="J1121" s="100" t="s">
        <v>58</v>
      </c>
      <c r="K1121" s="92">
        <v>951170077</v>
      </c>
      <c r="L1121" s="91"/>
      <c r="M1121" s="98">
        <f ca="1">(TODAY()-H1121)/365</f>
        <v>37.887671232876713</v>
      </c>
      <c r="N1121" s="99">
        <f>(G1121-H1121)/365</f>
        <v>37.010958904109586</v>
      </c>
      <c r="O1121" s="98">
        <f ca="1">(TODAY()-G1121)/365</f>
        <v>0.87671232876712324</v>
      </c>
      <c r="P1121" s="91" t="s">
        <v>272</v>
      </c>
      <c r="Q1121" s="91"/>
      <c r="R1121" s="91"/>
      <c r="S1121" s="91"/>
      <c r="T1121" s="91"/>
      <c r="U1121" s="91"/>
      <c r="V1121" s="91"/>
      <c r="W1121" s="91"/>
      <c r="X1121" s="91"/>
      <c r="Y1121" s="91"/>
      <c r="Z1121" s="91"/>
      <c r="AA1121" s="91"/>
      <c r="AB1121" s="91"/>
      <c r="AC1121" s="91"/>
      <c r="AD1121" s="91"/>
      <c r="AE1121" s="91"/>
      <c r="AF1121" s="91"/>
      <c r="AG1121" s="91"/>
      <c r="AH1121" s="91"/>
      <c r="AI1121" s="91"/>
      <c r="AJ1121" s="91"/>
      <c r="AK1121" s="91"/>
      <c r="AL1121" s="91"/>
      <c r="AM1121" s="91"/>
    </row>
    <row r="1122" spans="1:39" ht="20.25" hidden="1" customHeight="1">
      <c r="A1122" s="91"/>
      <c r="B1122" s="93" t="s">
        <v>9861</v>
      </c>
      <c r="C1122" s="91" t="s">
        <v>36</v>
      </c>
      <c r="D1122" s="106" t="s">
        <v>9995</v>
      </c>
      <c r="E1122" s="106" t="s">
        <v>9996</v>
      </c>
      <c r="F1122" s="92" t="s">
        <v>9997</v>
      </c>
      <c r="G1122" s="103">
        <v>45682</v>
      </c>
      <c r="H1122" s="103">
        <v>36851</v>
      </c>
      <c r="I1122" s="94" t="s">
        <v>9998</v>
      </c>
      <c r="J1122" s="100" t="s">
        <v>58</v>
      </c>
      <c r="K1122" s="92">
        <v>998079549</v>
      </c>
      <c r="L1122" s="91"/>
      <c r="M1122" s="98">
        <f ca="1">(TODAY()-H1122)/365</f>
        <v>25.07123287671233</v>
      </c>
      <c r="N1122" s="99">
        <f>(G1122-H1122)/365</f>
        <v>24.194520547945206</v>
      </c>
      <c r="O1122" s="98">
        <f ca="1">(TODAY()-G1122)/365</f>
        <v>0.87671232876712324</v>
      </c>
      <c r="P1122" s="91" t="s">
        <v>43</v>
      </c>
      <c r="Q1122" s="91"/>
      <c r="R1122" s="91"/>
      <c r="S1122" s="91"/>
      <c r="T1122" s="91"/>
      <c r="U1122" s="91"/>
      <c r="V1122" s="91"/>
      <c r="W1122" s="91"/>
      <c r="X1122" s="91"/>
      <c r="Y1122" s="91"/>
      <c r="Z1122" s="91"/>
      <c r="AA1122" s="91"/>
      <c r="AB1122" s="91"/>
      <c r="AC1122" s="91"/>
      <c r="AD1122" s="91"/>
      <c r="AE1122" s="91"/>
      <c r="AF1122" s="91"/>
      <c r="AG1122" s="91"/>
      <c r="AH1122" s="91"/>
      <c r="AI1122" s="91"/>
      <c r="AJ1122" s="91"/>
      <c r="AK1122" s="91"/>
      <c r="AL1122" s="91"/>
      <c r="AM1122" s="91"/>
    </row>
    <row r="1123" spans="1:39" ht="20.25" hidden="1" customHeight="1">
      <c r="A1123" s="91"/>
      <c r="B1123" s="93" t="s">
        <v>9861</v>
      </c>
      <c r="C1123" s="91" t="s">
        <v>36</v>
      </c>
      <c r="D1123" s="106" t="s">
        <v>9999</v>
      </c>
      <c r="E1123" s="106" t="s">
        <v>10000</v>
      </c>
      <c r="F1123" s="92" t="s">
        <v>10001</v>
      </c>
      <c r="G1123" s="103">
        <v>45717</v>
      </c>
      <c r="H1123" s="103">
        <v>40159</v>
      </c>
      <c r="I1123" s="94" t="s">
        <v>10002</v>
      </c>
      <c r="J1123" s="100" t="s">
        <v>58</v>
      </c>
      <c r="K1123" s="92">
        <v>944410144</v>
      </c>
      <c r="L1123" s="91"/>
      <c r="M1123" s="98">
        <f ca="1">(TODAY()-H1123)/365</f>
        <v>16.008219178082193</v>
      </c>
      <c r="N1123" s="99">
        <f>(G1123-H1123)/365</f>
        <v>15.227397260273973</v>
      </c>
      <c r="O1123" s="98">
        <f ca="1">(TODAY()-G1123)/365</f>
        <v>0.78082191780821919</v>
      </c>
      <c r="P1123" s="91" t="s">
        <v>43</v>
      </c>
      <c r="Q1123" s="91"/>
      <c r="R1123" s="91"/>
      <c r="S1123" s="91"/>
      <c r="T1123" s="91"/>
      <c r="U1123" s="91"/>
      <c r="V1123" s="91"/>
      <c r="W1123" s="91"/>
      <c r="X1123" s="91"/>
      <c r="Y1123" s="91"/>
      <c r="Z1123" s="91"/>
      <c r="AA1123" s="91"/>
      <c r="AB1123" s="91"/>
      <c r="AC1123" s="91"/>
      <c r="AD1123" s="91"/>
      <c r="AE1123" s="91"/>
      <c r="AF1123" s="91"/>
      <c r="AG1123" s="91"/>
      <c r="AH1123" s="91"/>
      <c r="AI1123" s="91"/>
      <c r="AJ1123" s="91"/>
      <c r="AK1123" s="91"/>
      <c r="AL1123" s="91"/>
      <c r="AM1123" s="91"/>
    </row>
    <row r="1124" spans="1:39" ht="20.25" hidden="1" customHeight="1">
      <c r="A1124" s="91"/>
      <c r="B1124" s="93" t="s">
        <v>9861</v>
      </c>
      <c r="C1124" s="91" t="s">
        <v>36</v>
      </c>
      <c r="D1124" s="106" t="s">
        <v>5046</v>
      </c>
      <c r="E1124" s="106" t="s">
        <v>10003</v>
      </c>
      <c r="F1124" s="92" t="s">
        <v>10004</v>
      </c>
      <c r="G1124" s="103">
        <v>45717</v>
      </c>
      <c r="H1124" s="103">
        <v>40012</v>
      </c>
      <c r="I1124" s="94" t="s">
        <v>10005</v>
      </c>
      <c r="J1124" s="100" t="s">
        <v>58</v>
      </c>
      <c r="K1124" s="92">
        <v>942181872</v>
      </c>
      <c r="L1124" s="91"/>
      <c r="M1124" s="98">
        <f ca="1">(TODAY()-H1124)/365</f>
        <v>16.410958904109588</v>
      </c>
      <c r="N1124" s="99">
        <f>(G1124-H1124)/365</f>
        <v>15.63013698630137</v>
      </c>
      <c r="O1124" s="98">
        <f ca="1">(TODAY()-G1124)/365</f>
        <v>0.78082191780821919</v>
      </c>
      <c r="P1124" s="91" t="s">
        <v>43</v>
      </c>
      <c r="Q1124" s="91"/>
      <c r="R1124" s="91"/>
      <c r="S1124" s="91"/>
      <c r="T1124" s="91"/>
      <c r="U1124" s="91"/>
      <c r="V1124" s="91"/>
      <c r="W1124" s="91"/>
      <c r="X1124" s="91"/>
      <c r="Y1124" s="91"/>
      <c r="Z1124" s="91"/>
      <c r="AA1124" s="91"/>
      <c r="AB1124" s="91"/>
      <c r="AC1124" s="91"/>
      <c r="AD1124" s="91"/>
      <c r="AE1124" s="91"/>
      <c r="AF1124" s="91"/>
      <c r="AG1124" s="91"/>
      <c r="AH1124" s="91"/>
      <c r="AI1124" s="91"/>
      <c r="AJ1124" s="91"/>
      <c r="AK1124" s="91"/>
      <c r="AL1124" s="91"/>
      <c r="AM1124" s="91"/>
    </row>
    <row r="1125" spans="1:39" ht="20.25" hidden="1" customHeight="1">
      <c r="A1125" s="91"/>
      <c r="B1125" s="93" t="s">
        <v>9861</v>
      </c>
      <c r="C1125" s="91" t="s">
        <v>36</v>
      </c>
      <c r="D1125" s="106" t="s">
        <v>10006</v>
      </c>
      <c r="E1125" s="106" t="s">
        <v>10007</v>
      </c>
      <c r="F1125" s="92" t="s">
        <v>10008</v>
      </c>
      <c r="G1125" s="103">
        <v>45661</v>
      </c>
      <c r="H1125" s="103">
        <v>35116</v>
      </c>
      <c r="I1125" s="94" t="s">
        <v>10009</v>
      </c>
      <c r="J1125" s="100" t="s">
        <v>58</v>
      </c>
      <c r="K1125" s="95" t="s">
        <v>58</v>
      </c>
      <c r="L1125" s="91"/>
      <c r="M1125" s="98">
        <f ca="1">(TODAY()-H1125)/365</f>
        <v>29.824657534246576</v>
      </c>
      <c r="N1125" s="99">
        <f>(G1125-H1125)/365</f>
        <v>28.890410958904109</v>
      </c>
      <c r="O1125" s="98">
        <f ca="1">(TODAY()-G1125)/365</f>
        <v>0.9342465753424658</v>
      </c>
      <c r="P1125" s="91" t="s">
        <v>43</v>
      </c>
      <c r="Q1125" s="91"/>
      <c r="R1125" s="91"/>
      <c r="S1125" s="91"/>
      <c r="T1125" s="91"/>
      <c r="U1125" s="91"/>
      <c r="V1125" s="91"/>
      <c r="W1125" s="91"/>
      <c r="X1125" s="91"/>
      <c r="Y1125" s="91"/>
      <c r="Z1125" s="91"/>
      <c r="AA1125" s="91"/>
      <c r="AB1125" s="91"/>
      <c r="AC1125" s="91"/>
      <c r="AD1125" s="91"/>
      <c r="AE1125" s="91"/>
      <c r="AF1125" s="91"/>
      <c r="AG1125" s="91"/>
      <c r="AH1125" s="91"/>
      <c r="AI1125" s="91"/>
      <c r="AJ1125" s="91"/>
      <c r="AK1125" s="91"/>
      <c r="AL1125" s="91"/>
      <c r="AM1125" s="91"/>
    </row>
    <row r="1126" spans="1:39" ht="20.25" customHeight="1">
      <c r="A1126" s="91"/>
      <c r="B1126" s="93" t="s">
        <v>637</v>
      </c>
      <c r="C1126" s="91" t="s">
        <v>73</v>
      </c>
      <c r="D1126" s="94" t="s">
        <v>690</v>
      </c>
      <c r="E1126" s="94" t="s">
        <v>691</v>
      </c>
      <c r="F1126" s="95" t="s">
        <v>58</v>
      </c>
      <c r="G1126" s="96" t="s">
        <v>58</v>
      </c>
      <c r="H1126" s="96" t="s">
        <v>58</v>
      </c>
      <c r="I1126" s="94" t="s">
        <v>58</v>
      </c>
      <c r="J1126" s="94" t="s">
        <v>58</v>
      </c>
      <c r="K1126" s="95" t="s">
        <v>58</v>
      </c>
      <c r="L1126" s="91" t="s">
        <v>60</v>
      </c>
      <c r="M1126" s="98"/>
      <c r="N1126" s="95"/>
      <c r="O1126" s="98" t="e">
        <f ca="1">(TODAY()-G1126)/365</f>
        <v>#VALUE!</v>
      </c>
      <c r="P1126" s="91" t="s">
        <v>43</v>
      </c>
      <c r="Q1126" s="91">
        <v>0</v>
      </c>
      <c r="R1126" s="91">
        <v>0</v>
      </c>
      <c r="S1126" s="91">
        <v>0</v>
      </c>
      <c r="T1126" s="91"/>
      <c r="U1126" s="91"/>
      <c r="V1126" s="91"/>
      <c r="W1126" s="91"/>
      <c r="X1126" s="91"/>
      <c r="Y1126" s="91"/>
      <c r="Z1126" s="91"/>
      <c r="AA1126" s="91"/>
      <c r="AB1126" s="91"/>
      <c r="AC1126" s="91"/>
      <c r="AD1126" s="91"/>
      <c r="AE1126" s="91"/>
      <c r="AF1126" s="91"/>
      <c r="AG1126" s="91"/>
      <c r="AH1126" s="91"/>
      <c r="AI1126" s="91"/>
      <c r="AJ1126" s="91"/>
      <c r="AK1126" s="91"/>
      <c r="AL1126" s="91"/>
      <c r="AM1126" s="91"/>
    </row>
    <row r="1127" spans="1:39" ht="20.25" customHeight="1">
      <c r="A1127" s="91"/>
      <c r="B1127" s="93" t="s">
        <v>8095</v>
      </c>
      <c r="C1127" s="91" t="s">
        <v>73</v>
      </c>
      <c r="D1127" s="94" t="s">
        <v>1492</v>
      </c>
      <c r="E1127" s="94" t="s">
        <v>8096</v>
      </c>
      <c r="F1127" s="95" t="s">
        <v>8097</v>
      </c>
      <c r="G1127" s="96">
        <v>44974</v>
      </c>
      <c r="H1127" s="97">
        <v>39703</v>
      </c>
      <c r="I1127" s="94" t="s">
        <v>8098</v>
      </c>
      <c r="J1127" s="100" t="s">
        <v>58</v>
      </c>
      <c r="K1127" s="91" t="s">
        <v>58</v>
      </c>
      <c r="L1127" s="91" t="s">
        <v>60</v>
      </c>
      <c r="M1127" s="98">
        <f ca="1">(TODAY()-H1127)/365</f>
        <v>17.257534246575343</v>
      </c>
      <c r="N1127" s="99">
        <f>(G1127-H1127)/365</f>
        <v>14.441095890410958</v>
      </c>
      <c r="O1127" s="98">
        <f ca="1">(TODAY()-G1127)/365</f>
        <v>2.8164383561643835</v>
      </c>
      <c r="P1127" s="91" t="s">
        <v>272</v>
      </c>
      <c r="Q1127" s="91">
        <v>0</v>
      </c>
      <c r="R1127" s="91">
        <v>0</v>
      </c>
      <c r="S1127" s="91">
        <v>0</v>
      </c>
      <c r="T1127" s="91"/>
      <c r="U1127" s="91"/>
      <c r="V1127" s="91"/>
      <c r="W1127" s="91"/>
      <c r="X1127" s="91"/>
      <c r="Y1127" s="91"/>
      <c r="Z1127" s="91"/>
      <c r="AA1127" s="91"/>
      <c r="AB1127" s="91"/>
      <c r="AC1127" s="91"/>
      <c r="AD1127" s="91"/>
      <c r="AE1127" s="91"/>
      <c r="AF1127" s="91"/>
      <c r="AG1127" s="91"/>
      <c r="AH1127" s="91"/>
      <c r="AI1127" s="91"/>
      <c r="AJ1127" s="91"/>
      <c r="AK1127" s="91"/>
      <c r="AL1127" s="91"/>
      <c r="AM1127" s="91"/>
    </row>
    <row r="1128" spans="1:39" ht="20.25" customHeight="1">
      <c r="A1128" s="91"/>
      <c r="B1128" s="93" t="s">
        <v>8930</v>
      </c>
      <c r="C1128" s="91" t="s">
        <v>73</v>
      </c>
      <c r="D1128" s="107" t="s">
        <v>357</v>
      </c>
      <c r="E1128" s="107" t="s">
        <v>8944</v>
      </c>
      <c r="F1128" s="91" t="s">
        <v>8945</v>
      </c>
      <c r="G1128" s="96">
        <v>30065</v>
      </c>
      <c r="H1128" s="97">
        <v>21891</v>
      </c>
      <c r="I1128" s="94" t="s">
        <v>58</v>
      </c>
      <c r="J1128" s="94" t="s">
        <v>58</v>
      </c>
      <c r="K1128" s="91">
        <v>973115947</v>
      </c>
      <c r="L1128" s="91" t="s">
        <v>60</v>
      </c>
      <c r="M1128" s="98">
        <f ca="1">(TODAY()-H1128)/365</f>
        <v>66.057534246575344</v>
      </c>
      <c r="N1128" s="99">
        <f>(G1128-H1128)/365</f>
        <v>22.394520547945206</v>
      </c>
      <c r="O1128" s="98">
        <f ca="1">(TODAY()-G1128)/365</f>
        <v>43.663013698630138</v>
      </c>
      <c r="P1128" s="91" t="s">
        <v>43</v>
      </c>
      <c r="Q1128" s="91">
        <v>0</v>
      </c>
      <c r="R1128" s="91">
        <v>0</v>
      </c>
      <c r="S1128" s="91">
        <v>0</v>
      </c>
      <c r="T1128" s="91"/>
      <c r="U1128" s="91"/>
      <c r="V1128" s="91"/>
      <c r="W1128" s="91"/>
      <c r="X1128" s="91"/>
      <c r="Y1128" s="91"/>
      <c r="Z1128" s="91"/>
      <c r="AA1128" s="91"/>
      <c r="AB1128" s="91"/>
      <c r="AC1128" s="91"/>
      <c r="AD1128" s="91"/>
      <c r="AE1128" s="91"/>
      <c r="AF1128" s="91"/>
      <c r="AG1128" s="91"/>
      <c r="AH1128" s="91"/>
      <c r="AI1128" s="91"/>
      <c r="AJ1128" s="91"/>
      <c r="AK1128" s="91"/>
      <c r="AL1128" s="91"/>
      <c r="AM1128" s="91"/>
    </row>
    <row r="1129" spans="1:39" ht="20.25" customHeight="1">
      <c r="A1129" s="91"/>
      <c r="B1129" s="93" t="s">
        <v>8930</v>
      </c>
      <c r="C1129" s="91" t="s">
        <v>73</v>
      </c>
      <c r="D1129" s="107" t="s">
        <v>805</v>
      </c>
      <c r="E1129" s="107" t="s">
        <v>8944</v>
      </c>
      <c r="F1129" s="91" t="s">
        <v>8950</v>
      </c>
      <c r="G1129" s="96">
        <v>30065</v>
      </c>
      <c r="H1129" s="97">
        <v>20692</v>
      </c>
      <c r="I1129" s="94" t="s">
        <v>58</v>
      </c>
      <c r="J1129" s="94" t="s">
        <v>58</v>
      </c>
      <c r="K1129" s="91">
        <v>973115947</v>
      </c>
      <c r="L1129" s="91" t="s">
        <v>60</v>
      </c>
      <c r="M1129" s="98">
        <f ca="1">(TODAY()-H1129)/365</f>
        <v>69.342465753424662</v>
      </c>
      <c r="N1129" s="99">
        <f>(G1129-H1129)/365</f>
        <v>25.67945205479452</v>
      </c>
      <c r="O1129" s="98">
        <f ca="1">(TODAY()-G1129)/365</f>
        <v>43.663013698630138</v>
      </c>
      <c r="P1129" s="91" t="s">
        <v>43</v>
      </c>
      <c r="Q1129" s="91">
        <v>0</v>
      </c>
      <c r="R1129" s="91">
        <v>0</v>
      </c>
      <c r="S1129" s="91">
        <v>0</v>
      </c>
      <c r="T1129" s="91"/>
      <c r="U1129" s="91"/>
      <c r="V1129" s="91"/>
      <c r="W1129" s="91"/>
      <c r="X1129" s="91"/>
      <c r="Y1129" s="91"/>
      <c r="Z1129" s="91"/>
      <c r="AA1129" s="91"/>
      <c r="AB1129" s="91"/>
      <c r="AC1129" s="91"/>
      <c r="AD1129" s="91"/>
      <c r="AE1129" s="91"/>
      <c r="AF1129" s="91"/>
      <c r="AG1129" s="91"/>
      <c r="AH1129" s="91"/>
      <c r="AI1129" s="91"/>
      <c r="AJ1129" s="91"/>
      <c r="AK1129" s="91"/>
      <c r="AL1129" s="91"/>
      <c r="AM1129" s="91"/>
    </row>
    <row r="1130" spans="1:39" ht="20.25" customHeight="1">
      <c r="A1130" s="91"/>
      <c r="B1130" s="93" t="s">
        <v>11928</v>
      </c>
      <c r="C1130" s="91" t="s">
        <v>73</v>
      </c>
      <c r="D1130" s="107" t="s">
        <v>7487</v>
      </c>
      <c r="E1130" s="107" t="s">
        <v>7488</v>
      </c>
      <c r="F1130" s="91" t="s">
        <v>7489</v>
      </c>
      <c r="G1130" s="96" t="s">
        <v>58</v>
      </c>
      <c r="H1130" s="97">
        <v>34619</v>
      </c>
      <c r="I1130" s="94" t="s">
        <v>58</v>
      </c>
      <c r="J1130" s="94" t="s">
        <v>58</v>
      </c>
      <c r="K1130" s="95" t="s">
        <v>58</v>
      </c>
      <c r="L1130" s="91" t="s">
        <v>60</v>
      </c>
      <c r="M1130" s="98">
        <f ca="1">(TODAY()-H1130)/365</f>
        <v>31.186301369863013</v>
      </c>
      <c r="N1130" s="95" t="s">
        <v>58</v>
      </c>
      <c r="O1130" s="98" t="e">
        <f ca="1">(TODAY()-G1130)/365</f>
        <v>#VALUE!</v>
      </c>
      <c r="P1130" s="91" t="s">
        <v>272</v>
      </c>
      <c r="Q1130" s="91">
        <v>0</v>
      </c>
      <c r="R1130" s="91">
        <v>0</v>
      </c>
      <c r="S1130" s="91">
        <v>0</v>
      </c>
      <c r="T1130" s="91"/>
      <c r="U1130" s="91"/>
      <c r="V1130" s="91"/>
      <c r="W1130" s="91"/>
      <c r="X1130" s="91"/>
      <c r="Y1130" s="91"/>
      <c r="Z1130" s="91"/>
      <c r="AA1130" s="91"/>
      <c r="AB1130" s="91"/>
      <c r="AC1130" s="91"/>
      <c r="AD1130" s="91"/>
      <c r="AE1130" s="91"/>
      <c r="AF1130" s="91"/>
      <c r="AG1130" s="91"/>
      <c r="AH1130" s="91"/>
      <c r="AI1130" s="91"/>
      <c r="AJ1130" s="91"/>
      <c r="AK1130" s="91"/>
      <c r="AL1130" s="91"/>
      <c r="AM1130" s="91"/>
    </row>
    <row r="1131" spans="1:39" ht="20.25" customHeight="1">
      <c r="A1131" s="91"/>
      <c r="B1131" s="93" t="s">
        <v>3610</v>
      </c>
      <c r="C1131" s="91" t="s">
        <v>73</v>
      </c>
      <c r="D1131" s="94" t="s">
        <v>3736</v>
      </c>
      <c r="E1131" s="94" t="s">
        <v>3737</v>
      </c>
      <c r="F1131" s="95" t="s">
        <v>3738</v>
      </c>
      <c r="G1131" s="116" t="s">
        <v>58</v>
      </c>
      <c r="H1131" s="97">
        <v>35812</v>
      </c>
      <c r="I1131" s="94" t="s">
        <v>3739</v>
      </c>
      <c r="J1131" s="94" t="s">
        <v>58</v>
      </c>
      <c r="K1131" s="91" t="s">
        <v>58</v>
      </c>
      <c r="L1131" s="91" t="s">
        <v>60</v>
      </c>
      <c r="M1131" s="98">
        <f ca="1">(TODAY()-H1131)/365</f>
        <v>27.917808219178081</v>
      </c>
      <c r="N1131" s="95" t="s">
        <v>58</v>
      </c>
      <c r="O1131" s="98" t="e">
        <f ca="1">(TODAY()-G1131)/365</f>
        <v>#VALUE!</v>
      </c>
      <c r="P1131" s="91" t="s">
        <v>43</v>
      </c>
      <c r="Q1131" s="91">
        <v>0</v>
      </c>
      <c r="R1131" s="91">
        <v>0</v>
      </c>
      <c r="S1131" s="91">
        <v>0</v>
      </c>
      <c r="T1131" s="91"/>
      <c r="U1131" s="91"/>
      <c r="V1131" s="91"/>
      <c r="W1131" s="91"/>
      <c r="X1131" s="91"/>
      <c r="Y1131" s="91"/>
      <c r="Z1131" s="91"/>
      <c r="AA1131" s="91"/>
      <c r="AB1131" s="91"/>
      <c r="AC1131" s="91"/>
      <c r="AD1131" s="91"/>
      <c r="AE1131" s="91"/>
      <c r="AF1131" s="91"/>
      <c r="AG1131" s="91"/>
      <c r="AH1131" s="91"/>
      <c r="AI1131" s="91"/>
      <c r="AJ1131" s="91"/>
      <c r="AK1131" s="91"/>
      <c r="AL1131" s="91"/>
      <c r="AM1131" s="91"/>
    </row>
    <row r="1132" spans="1:39" ht="20.25" customHeight="1">
      <c r="A1132" s="91"/>
      <c r="B1132" s="93" t="s">
        <v>77</v>
      </c>
      <c r="C1132" s="91" t="s">
        <v>73</v>
      </c>
      <c r="D1132" s="94" t="s">
        <v>142</v>
      </c>
      <c r="E1132" s="94" t="s">
        <v>143</v>
      </c>
      <c r="F1132" s="95" t="s">
        <v>144</v>
      </c>
      <c r="G1132" s="96">
        <v>42870</v>
      </c>
      <c r="H1132" s="97">
        <v>29233</v>
      </c>
      <c r="I1132" s="102" t="s">
        <v>145</v>
      </c>
      <c r="J1132" s="100" t="s">
        <v>58</v>
      </c>
      <c r="K1132" s="91" t="s">
        <v>58</v>
      </c>
      <c r="L1132" s="91" t="s">
        <v>60</v>
      </c>
      <c r="M1132" s="98">
        <f ca="1">(TODAY()-H1132)/365</f>
        <v>45.942465753424656</v>
      </c>
      <c r="N1132" s="99">
        <f>(G1132-H1132)/365</f>
        <v>37.361643835616441</v>
      </c>
      <c r="O1132" s="98">
        <f ca="1">(TODAY()-G1132)/365</f>
        <v>8.580821917808219</v>
      </c>
      <c r="P1132" s="91" t="s">
        <v>43</v>
      </c>
      <c r="Q1132" s="91">
        <v>0</v>
      </c>
      <c r="R1132" s="91">
        <v>0</v>
      </c>
      <c r="S1132" s="91">
        <v>0</v>
      </c>
      <c r="T1132" s="91"/>
      <c r="U1132" s="91"/>
      <c r="V1132" s="91"/>
      <c r="W1132" s="91"/>
      <c r="X1132" s="91"/>
      <c r="Y1132" s="91"/>
      <c r="Z1132" s="91"/>
      <c r="AA1132" s="91"/>
      <c r="AB1132" s="91"/>
      <c r="AC1132" s="91"/>
      <c r="AD1132" s="91"/>
      <c r="AE1132" s="91"/>
      <c r="AF1132" s="91"/>
      <c r="AG1132" s="91"/>
      <c r="AH1132" s="91"/>
      <c r="AI1132" s="91"/>
      <c r="AJ1132" s="91"/>
      <c r="AK1132" s="91"/>
      <c r="AL1132" s="91"/>
      <c r="AM1132" s="91"/>
    </row>
    <row r="1133" spans="1:39" ht="20.25" customHeight="1">
      <c r="A1133" s="91"/>
      <c r="B1133" s="93" t="s">
        <v>7126</v>
      </c>
      <c r="C1133" s="91" t="s">
        <v>73</v>
      </c>
      <c r="D1133" s="94" t="s">
        <v>3301</v>
      </c>
      <c r="E1133" s="94" t="s">
        <v>7197</v>
      </c>
      <c r="F1133" s="95" t="s">
        <v>7211</v>
      </c>
      <c r="G1133" s="96">
        <v>44691</v>
      </c>
      <c r="H1133" s="97">
        <v>29943</v>
      </c>
      <c r="I1133" s="108" t="s">
        <v>12541</v>
      </c>
      <c r="J1133" s="94" t="s">
        <v>7199</v>
      </c>
      <c r="K1133" s="95" t="s">
        <v>58</v>
      </c>
      <c r="L1133" s="91" t="s">
        <v>60</v>
      </c>
      <c r="M1133" s="98">
        <f ca="1">(TODAY()-H1133)/365</f>
        <v>43.9972602739726</v>
      </c>
      <c r="N1133" s="99">
        <f>(G1133-H1133)/365</f>
        <v>40.405479452054792</v>
      </c>
      <c r="O1133" s="98">
        <f ca="1">(TODAY()-G1133)/365</f>
        <v>3.591780821917808</v>
      </c>
      <c r="P1133" s="91" t="s">
        <v>272</v>
      </c>
      <c r="Q1133" s="91">
        <v>0</v>
      </c>
      <c r="R1133" s="91">
        <v>0</v>
      </c>
      <c r="S1133" s="91">
        <v>0</v>
      </c>
      <c r="T1133" s="91"/>
      <c r="U1133" s="91"/>
      <c r="V1133" s="91"/>
      <c r="W1133" s="91"/>
      <c r="X1133" s="91"/>
      <c r="Y1133" s="91"/>
      <c r="Z1133" s="91"/>
      <c r="AA1133" s="91"/>
      <c r="AB1133" s="91"/>
      <c r="AC1133" s="91"/>
      <c r="AD1133" s="91"/>
      <c r="AE1133" s="91"/>
      <c r="AF1133" s="91"/>
      <c r="AG1133" s="91"/>
      <c r="AH1133" s="91"/>
      <c r="AI1133" s="91"/>
      <c r="AJ1133" s="91"/>
      <c r="AK1133" s="91"/>
      <c r="AL1133" s="91"/>
      <c r="AM1133" s="91"/>
    </row>
    <row r="1134" spans="1:39" ht="20.25" customHeight="1">
      <c r="A1134" s="91"/>
      <c r="B1134" s="93" t="s">
        <v>5365</v>
      </c>
      <c r="C1134" s="91" t="s">
        <v>73</v>
      </c>
      <c r="D1134" s="94" t="s">
        <v>4649</v>
      </c>
      <c r="E1134" s="94" t="s">
        <v>5477</v>
      </c>
      <c r="F1134" s="95" t="s">
        <v>5478</v>
      </c>
      <c r="G1134" s="96">
        <v>44273</v>
      </c>
      <c r="H1134" s="97">
        <v>20915</v>
      </c>
      <c r="I1134" s="100" t="s">
        <v>58</v>
      </c>
      <c r="J1134" s="100" t="s">
        <v>58</v>
      </c>
      <c r="K1134" s="91" t="s">
        <v>58</v>
      </c>
      <c r="L1134" s="91" t="s">
        <v>60</v>
      </c>
      <c r="M1134" s="98">
        <f ca="1">(TODAY()-H1134)/365</f>
        <v>68.731506849315068</v>
      </c>
      <c r="N1134" s="99">
        <f>(G1134-H1134)/365</f>
        <v>63.994520547945207</v>
      </c>
      <c r="O1134" s="98">
        <f ca="1">(TODAY()-G1134)/365</f>
        <v>4.7369863013698632</v>
      </c>
      <c r="P1134" s="91" t="s">
        <v>43</v>
      </c>
      <c r="Q1134" s="91">
        <v>0</v>
      </c>
      <c r="R1134" s="91">
        <v>0</v>
      </c>
      <c r="S1134" s="91">
        <v>0</v>
      </c>
      <c r="T1134" s="91"/>
      <c r="U1134" s="91"/>
      <c r="V1134" s="91"/>
      <c r="W1134" s="91"/>
      <c r="X1134" s="91"/>
      <c r="Y1134" s="91"/>
      <c r="Z1134" s="91"/>
      <c r="AA1134" s="91"/>
      <c r="AB1134" s="91"/>
      <c r="AC1134" s="91"/>
      <c r="AD1134" s="91"/>
      <c r="AE1134" s="91"/>
      <c r="AF1134" s="91"/>
      <c r="AG1134" s="91"/>
      <c r="AH1134" s="91"/>
      <c r="AI1134" s="91"/>
      <c r="AJ1134" s="91"/>
      <c r="AK1134" s="91"/>
      <c r="AL1134" s="91"/>
      <c r="AM1134" s="91"/>
    </row>
    <row r="1135" spans="1:39" ht="20.25" customHeight="1">
      <c r="A1135" s="91"/>
      <c r="B1135" s="93" t="s">
        <v>77</v>
      </c>
      <c r="C1135" s="91" t="s">
        <v>73</v>
      </c>
      <c r="D1135" s="94" t="s">
        <v>207</v>
      </c>
      <c r="E1135" s="94" t="s">
        <v>208</v>
      </c>
      <c r="F1135" s="95" t="s">
        <v>209</v>
      </c>
      <c r="G1135" s="96">
        <v>43706</v>
      </c>
      <c r="H1135" s="97">
        <v>21976</v>
      </c>
      <c r="I1135" s="94" t="s">
        <v>210</v>
      </c>
      <c r="J1135" s="100" t="s">
        <v>58</v>
      </c>
      <c r="K1135" s="91" t="s">
        <v>58</v>
      </c>
      <c r="L1135" s="91" t="s">
        <v>60</v>
      </c>
      <c r="M1135" s="98">
        <f ca="1">(TODAY()-H1135)/365</f>
        <v>65.824657534246569</v>
      </c>
      <c r="N1135" s="99">
        <f>(G1135-H1135)/365</f>
        <v>59.534246575342465</v>
      </c>
      <c r="O1135" s="98">
        <f ca="1">(TODAY()-G1135)/365</f>
        <v>6.2904109589041095</v>
      </c>
      <c r="P1135" s="91" t="s">
        <v>43</v>
      </c>
      <c r="Q1135" s="91">
        <v>0</v>
      </c>
      <c r="R1135" s="91">
        <v>0</v>
      </c>
      <c r="S1135" s="91">
        <v>0</v>
      </c>
      <c r="T1135" s="91"/>
      <c r="U1135" s="91"/>
      <c r="V1135" s="91"/>
      <c r="W1135" s="91"/>
      <c r="X1135" s="91"/>
      <c r="Y1135" s="91"/>
      <c r="Z1135" s="91"/>
      <c r="AA1135" s="91"/>
      <c r="AB1135" s="91"/>
      <c r="AC1135" s="91"/>
      <c r="AD1135" s="91"/>
      <c r="AE1135" s="91"/>
      <c r="AF1135" s="91"/>
      <c r="AG1135" s="91"/>
      <c r="AH1135" s="91"/>
      <c r="AI1135" s="91"/>
      <c r="AJ1135" s="91"/>
      <c r="AK1135" s="91"/>
      <c r="AL1135" s="91"/>
      <c r="AM1135" s="91"/>
    </row>
    <row r="1136" spans="1:39" ht="20.25" customHeight="1">
      <c r="A1136" s="91"/>
      <c r="B1136" s="93" t="s">
        <v>7434</v>
      </c>
      <c r="C1136" s="91" t="s">
        <v>73</v>
      </c>
      <c r="D1136" s="94" t="s">
        <v>3890</v>
      </c>
      <c r="E1136" s="94" t="s">
        <v>7455</v>
      </c>
      <c r="F1136" s="95" t="s">
        <v>7456</v>
      </c>
      <c r="G1136" s="96">
        <v>40980</v>
      </c>
      <c r="H1136" s="97" t="s">
        <v>58</v>
      </c>
      <c r="I1136" s="121" t="s">
        <v>7457</v>
      </c>
      <c r="J1136" s="100" t="s">
        <v>58</v>
      </c>
      <c r="K1136" s="91" t="s">
        <v>58</v>
      </c>
      <c r="L1136" s="91" t="s">
        <v>60</v>
      </c>
      <c r="M1136" s="98"/>
      <c r="N1136" s="122"/>
      <c r="O1136" s="98">
        <f ca="1">(TODAY()-G1136)/365</f>
        <v>13.758904109589041</v>
      </c>
      <c r="P1136" s="91" t="s">
        <v>43</v>
      </c>
      <c r="Q1136" s="91">
        <v>0</v>
      </c>
      <c r="R1136" s="91">
        <v>0</v>
      </c>
      <c r="S1136" s="91">
        <v>0</v>
      </c>
      <c r="T1136" s="91"/>
      <c r="U1136" s="91"/>
      <c r="V1136" s="91"/>
      <c r="W1136" s="91"/>
      <c r="X1136" s="91"/>
      <c r="Y1136" s="91"/>
      <c r="Z1136" s="91"/>
      <c r="AA1136" s="91"/>
      <c r="AB1136" s="91"/>
      <c r="AC1136" s="91"/>
      <c r="AD1136" s="91"/>
      <c r="AE1136" s="91"/>
      <c r="AF1136" s="91"/>
      <c r="AG1136" s="91"/>
      <c r="AH1136" s="91"/>
      <c r="AI1136" s="91"/>
      <c r="AJ1136" s="91"/>
      <c r="AK1136" s="91"/>
      <c r="AL1136" s="91"/>
      <c r="AM1136" s="91"/>
    </row>
    <row r="1137" spans="1:39" ht="20.25" customHeight="1">
      <c r="A1137" s="91"/>
      <c r="B1137" s="93" t="s">
        <v>8990</v>
      </c>
      <c r="C1137" s="91" t="s">
        <v>73</v>
      </c>
      <c r="D1137" s="94" t="s">
        <v>5802</v>
      </c>
      <c r="E1137" s="94" t="s">
        <v>9084</v>
      </c>
      <c r="F1137" s="95" t="s">
        <v>9085</v>
      </c>
      <c r="G1137" s="96">
        <v>44807</v>
      </c>
      <c r="H1137" s="97">
        <v>18923</v>
      </c>
      <c r="I1137" s="94" t="s">
        <v>58</v>
      </c>
      <c r="J1137" s="94" t="s">
        <v>58</v>
      </c>
      <c r="K1137" s="95" t="s">
        <v>58</v>
      </c>
      <c r="L1137" s="91" t="s">
        <v>60</v>
      </c>
      <c r="M1137" s="98">
        <f ca="1">(TODAY()-H1137)/365</f>
        <v>74.189041095890417</v>
      </c>
      <c r="N1137" s="99">
        <f>(G1137-H1137)/365</f>
        <v>70.915068493150685</v>
      </c>
      <c r="O1137" s="98">
        <f ca="1">(TODAY()-G1137)/365</f>
        <v>3.2739726027397262</v>
      </c>
      <c r="P1137" s="91" t="s">
        <v>272</v>
      </c>
      <c r="Q1137" s="91">
        <v>0</v>
      </c>
      <c r="R1137" s="91">
        <v>0</v>
      </c>
      <c r="S1137" s="91">
        <v>0</v>
      </c>
      <c r="T1137" s="91"/>
      <c r="U1137" s="91"/>
      <c r="V1137" s="91"/>
      <c r="W1137" s="91"/>
      <c r="X1137" s="91"/>
      <c r="Y1137" s="91"/>
      <c r="Z1137" s="91"/>
      <c r="AA1137" s="91"/>
      <c r="AB1137" s="91"/>
      <c r="AC1137" s="91"/>
      <c r="AD1137" s="91"/>
      <c r="AE1137" s="91"/>
      <c r="AF1137" s="91"/>
      <c r="AG1137" s="91"/>
      <c r="AH1137" s="91"/>
      <c r="AI1137" s="91"/>
      <c r="AJ1137" s="91"/>
      <c r="AK1137" s="91"/>
      <c r="AL1137" s="91"/>
      <c r="AM1137" s="91"/>
    </row>
    <row r="1138" spans="1:39" ht="20.25" customHeight="1">
      <c r="A1138" s="91"/>
      <c r="B1138" s="93" t="s">
        <v>8630</v>
      </c>
      <c r="C1138" s="91" t="s">
        <v>73</v>
      </c>
      <c r="D1138" s="94" t="s">
        <v>1688</v>
      </c>
      <c r="E1138" s="94" t="s">
        <v>8659</v>
      </c>
      <c r="F1138" s="95" t="s">
        <v>8660</v>
      </c>
      <c r="G1138" s="96">
        <v>40454</v>
      </c>
      <c r="H1138" s="97">
        <v>26410</v>
      </c>
      <c r="I1138" s="94" t="s">
        <v>8661</v>
      </c>
      <c r="J1138" s="94" t="s">
        <v>58</v>
      </c>
      <c r="K1138" s="95" t="s">
        <v>58</v>
      </c>
      <c r="L1138" s="91" t="s">
        <v>167</v>
      </c>
      <c r="M1138" s="98">
        <f ca="1">(TODAY()-H1138)/365</f>
        <v>53.676712328767124</v>
      </c>
      <c r="N1138" s="99">
        <f>(G1138-H1138)/365</f>
        <v>38.476712328767121</v>
      </c>
      <c r="O1138" s="98">
        <f ca="1">(TODAY()-G1138)/365</f>
        <v>15.2</v>
      </c>
      <c r="P1138" s="91" t="s">
        <v>43</v>
      </c>
      <c r="Q1138" s="91">
        <v>0</v>
      </c>
      <c r="R1138" s="91">
        <v>0</v>
      </c>
      <c r="S1138" s="91">
        <v>0</v>
      </c>
      <c r="T1138" s="91"/>
      <c r="U1138" s="91"/>
      <c r="V1138" s="91"/>
      <c r="W1138" s="91"/>
      <c r="X1138" s="91"/>
      <c r="Y1138" s="91"/>
      <c r="Z1138" s="91"/>
      <c r="AA1138" s="91"/>
      <c r="AB1138" s="91"/>
      <c r="AC1138" s="91"/>
      <c r="AD1138" s="91"/>
      <c r="AE1138" s="91"/>
      <c r="AF1138" s="91"/>
      <c r="AG1138" s="91"/>
      <c r="AH1138" s="91"/>
      <c r="AI1138" s="91"/>
      <c r="AJ1138" s="91"/>
      <c r="AK1138" s="91"/>
      <c r="AL1138" s="91"/>
      <c r="AM1138" s="91"/>
    </row>
    <row r="1139" spans="1:39" ht="20.25" hidden="1" customHeight="1">
      <c r="A1139" s="91"/>
      <c r="B1139" s="93" t="s">
        <v>3610</v>
      </c>
      <c r="C1139" s="91" t="s">
        <v>36</v>
      </c>
      <c r="D1139" s="94" t="s">
        <v>3636</v>
      </c>
      <c r="E1139" s="94" t="s">
        <v>3637</v>
      </c>
      <c r="F1139" s="95" t="s">
        <v>3638</v>
      </c>
      <c r="G1139" s="96">
        <v>28623</v>
      </c>
      <c r="H1139" s="97">
        <v>19411</v>
      </c>
      <c r="I1139" s="94" t="s">
        <v>3639</v>
      </c>
      <c r="J1139" s="94" t="s">
        <v>58</v>
      </c>
      <c r="K1139" s="95">
        <v>982960486</v>
      </c>
      <c r="L1139" s="91" t="s">
        <v>60</v>
      </c>
      <c r="M1139" s="98">
        <f ca="1">(TODAY()-H1139)/365</f>
        <v>72.852054794520555</v>
      </c>
      <c r="N1139" s="99">
        <f>(G1139-H1139)/365</f>
        <v>25.238356164383561</v>
      </c>
      <c r="O1139" s="98">
        <f ca="1">(TODAY()-G1139)/365</f>
        <v>47.613698630136987</v>
      </c>
      <c r="P1139" s="91" t="s">
        <v>43</v>
      </c>
      <c r="Q1139" s="91">
        <v>0</v>
      </c>
      <c r="R1139" s="91">
        <v>0</v>
      </c>
      <c r="S1139" s="91">
        <v>0</v>
      </c>
      <c r="T1139" s="91"/>
      <c r="U1139" s="91"/>
      <c r="V1139" s="91"/>
      <c r="W1139" s="91"/>
      <c r="X1139" s="91"/>
      <c r="Y1139" s="91"/>
      <c r="Z1139" s="91"/>
      <c r="AA1139" s="91"/>
      <c r="AB1139" s="91"/>
      <c r="AC1139" s="91"/>
      <c r="AD1139" s="91"/>
      <c r="AE1139" s="91"/>
      <c r="AF1139" s="91"/>
      <c r="AG1139" s="91"/>
      <c r="AH1139" s="91"/>
      <c r="AI1139" s="91"/>
      <c r="AJ1139" s="91"/>
      <c r="AK1139" s="91"/>
      <c r="AL1139" s="91"/>
      <c r="AM1139" s="91"/>
    </row>
    <row r="1140" spans="1:39" ht="20.25" hidden="1" customHeight="1">
      <c r="A1140" s="91"/>
      <c r="B1140" s="93" t="s">
        <v>3610</v>
      </c>
      <c r="C1140" s="91" t="s">
        <v>36</v>
      </c>
      <c r="D1140" s="94" t="s">
        <v>3640</v>
      </c>
      <c r="E1140" s="94" t="s">
        <v>3641</v>
      </c>
      <c r="F1140" s="95" t="s">
        <v>3642</v>
      </c>
      <c r="G1140" s="96">
        <v>29784</v>
      </c>
      <c r="H1140" s="97">
        <v>19956</v>
      </c>
      <c r="I1140" s="100" t="s">
        <v>3643</v>
      </c>
      <c r="J1140" s="94" t="s">
        <v>58</v>
      </c>
      <c r="K1140" s="95">
        <v>999118664</v>
      </c>
      <c r="L1140" s="91" t="s">
        <v>60</v>
      </c>
      <c r="M1140" s="98">
        <f ca="1">(TODAY()-H1140)/365</f>
        <v>71.358904109589048</v>
      </c>
      <c r="N1140" s="99">
        <f>(G1140-H1140)/365</f>
        <v>26.926027397260274</v>
      </c>
      <c r="O1140" s="98">
        <f ca="1">(TODAY()-G1140)/365</f>
        <v>44.43287671232877</v>
      </c>
      <c r="P1140" s="91" t="s">
        <v>43</v>
      </c>
      <c r="Q1140" s="91">
        <v>0</v>
      </c>
      <c r="R1140" s="91">
        <v>0</v>
      </c>
      <c r="S1140" s="91">
        <v>0</v>
      </c>
      <c r="T1140" s="91"/>
      <c r="U1140" s="91"/>
      <c r="V1140" s="91"/>
      <c r="W1140" s="91"/>
      <c r="X1140" s="91"/>
      <c r="Y1140" s="91"/>
      <c r="Z1140" s="91"/>
      <c r="AA1140" s="91"/>
      <c r="AB1140" s="91"/>
      <c r="AC1140" s="91"/>
      <c r="AD1140" s="91"/>
      <c r="AE1140" s="91"/>
      <c r="AF1140" s="91"/>
      <c r="AG1140" s="91"/>
      <c r="AH1140" s="91"/>
      <c r="AI1140" s="91"/>
      <c r="AJ1140" s="91"/>
      <c r="AK1140" s="91"/>
      <c r="AL1140" s="91"/>
      <c r="AM1140" s="91"/>
    </row>
    <row r="1141" spans="1:39" ht="20.25" hidden="1" customHeight="1">
      <c r="A1141" s="91"/>
      <c r="B1141" s="93" t="s">
        <v>3610</v>
      </c>
      <c r="C1141" s="91" t="s">
        <v>36</v>
      </c>
      <c r="D1141" s="94" t="s">
        <v>3644</v>
      </c>
      <c r="E1141" s="94" t="s">
        <v>3645</v>
      </c>
      <c r="F1141" s="95" t="s">
        <v>3646</v>
      </c>
      <c r="G1141" s="96">
        <v>26848</v>
      </c>
      <c r="H1141" s="97">
        <v>16052</v>
      </c>
      <c r="I1141" s="100" t="s">
        <v>58</v>
      </c>
      <c r="J1141" s="94" t="s">
        <v>58</v>
      </c>
      <c r="K1141" s="95">
        <v>983330265</v>
      </c>
      <c r="L1141" s="91" t="s">
        <v>60</v>
      </c>
      <c r="M1141" s="98">
        <f ca="1">(TODAY()-H1141)/365</f>
        <v>82.054794520547944</v>
      </c>
      <c r="N1141" s="99">
        <f>(G1141-H1141)/365</f>
        <v>29.578082191780823</v>
      </c>
      <c r="O1141" s="98">
        <f ca="1">(TODAY()-G1141)/365</f>
        <v>52.476712328767121</v>
      </c>
      <c r="P1141" s="91" t="s">
        <v>43</v>
      </c>
      <c r="Q1141" s="91">
        <v>0</v>
      </c>
      <c r="R1141" s="91">
        <v>0</v>
      </c>
      <c r="S1141" s="91">
        <v>0</v>
      </c>
      <c r="T1141" s="91"/>
      <c r="U1141" s="91"/>
      <c r="V1141" s="91"/>
      <c r="W1141" s="91"/>
      <c r="X1141" s="91"/>
      <c r="Y1141" s="91"/>
      <c r="Z1141" s="91"/>
      <c r="AA1141" s="91"/>
      <c r="AB1141" s="91"/>
      <c r="AC1141" s="91"/>
      <c r="AD1141" s="91"/>
      <c r="AE1141" s="91"/>
      <c r="AF1141" s="91"/>
      <c r="AG1141" s="91"/>
      <c r="AH1141" s="91"/>
      <c r="AI1141" s="91"/>
      <c r="AJ1141" s="91"/>
      <c r="AK1141" s="91"/>
      <c r="AL1141" s="91"/>
      <c r="AM1141" s="91"/>
    </row>
    <row r="1142" spans="1:39" ht="20.25" hidden="1" customHeight="1">
      <c r="A1142" s="91"/>
      <c r="B1142" s="93" t="s">
        <v>3610</v>
      </c>
      <c r="C1142" s="91" t="s">
        <v>36</v>
      </c>
      <c r="D1142" s="94" t="s">
        <v>3580</v>
      </c>
      <c r="E1142" s="94" t="s">
        <v>3647</v>
      </c>
      <c r="F1142" s="95" t="s">
        <v>3648</v>
      </c>
      <c r="G1142" s="96">
        <v>26005</v>
      </c>
      <c r="H1142" s="97">
        <v>14448</v>
      </c>
      <c r="I1142" s="100" t="s">
        <v>58</v>
      </c>
      <c r="J1142" s="94" t="s">
        <v>58</v>
      </c>
      <c r="K1142" s="95">
        <v>984807893</v>
      </c>
      <c r="L1142" s="91" t="s">
        <v>60</v>
      </c>
      <c r="M1142" s="98">
        <f ca="1">(TODAY()-H1142)/365</f>
        <v>86.449315068493149</v>
      </c>
      <c r="N1142" s="99">
        <f>(G1142-H1142)/365</f>
        <v>31.663013698630138</v>
      </c>
      <c r="O1142" s="98">
        <f ca="1">(TODAY()-G1142)/365</f>
        <v>54.786301369863011</v>
      </c>
      <c r="P1142" s="91" t="s">
        <v>43</v>
      </c>
      <c r="Q1142" s="91">
        <v>0</v>
      </c>
      <c r="R1142" s="91">
        <v>0</v>
      </c>
      <c r="S1142" s="91">
        <v>0</v>
      </c>
      <c r="T1142" s="91"/>
      <c r="U1142" s="91"/>
      <c r="V1142" s="91"/>
      <c r="W1142" s="91"/>
      <c r="X1142" s="91"/>
      <c r="Y1142" s="91"/>
      <c r="Z1142" s="91"/>
      <c r="AA1142" s="91"/>
      <c r="AB1142" s="91"/>
      <c r="AC1142" s="91"/>
      <c r="AD1142" s="91"/>
      <c r="AE1142" s="91"/>
      <c r="AF1142" s="91"/>
      <c r="AG1142" s="91"/>
      <c r="AH1142" s="91"/>
      <c r="AI1142" s="91"/>
      <c r="AJ1142" s="91"/>
      <c r="AK1142" s="91"/>
      <c r="AL1142" s="91"/>
      <c r="AM1142" s="91"/>
    </row>
    <row r="1143" spans="1:39" ht="20.25" customHeight="1">
      <c r="A1143" s="91"/>
      <c r="B1143" s="93" t="s">
        <v>3610</v>
      </c>
      <c r="C1143" s="91" t="s">
        <v>73</v>
      </c>
      <c r="D1143" s="94" t="s">
        <v>675</v>
      </c>
      <c r="E1143" s="94" t="s">
        <v>3675</v>
      </c>
      <c r="F1143" s="95" t="s">
        <v>3676</v>
      </c>
      <c r="G1143" s="96">
        <v>43902</v>
      </c>
      <c r="H1143" s="97">
        <v>26134</v>
      </c>
      <c r="I1143" s="100" t="s">
        <v>3677</v>
      </c>
      <c r="J1143" s="94" t="s">
        <v>58</v>
      </c>
      <c r="K1143" s="91" t="s">
        <v>58</v>
      </c>
      <c r="L1143" s="91" t="s">
        <v>60</v>
      </c>
      <c r="M1143" s="98">
        <f ca="1">(TODAY()-H1143)/365</f>
        <v>54.43287671232877</v>
      </c>
      <c r="N1143" s="99">
        <f>(G1143-H1143)/365</f>
        <v>48.679452054794524</v>
      </c>
      <c r="O1143" s="98">
        <f ca="1">(TODAY()-G1143)/365</f>
        <v>5.7534246575342465</v>
      </c>
      <c r="P1143" s="91" t="s">
        <v>43</v>
      </c>
      <c r="Q1143" s="91">
        <v>0</v>
      </c>
      <c r="R1143" s="91">
        <v>0</v>
      </c>
      <c r="S1143" s="91">
        <v>0</v>
      </c>
      <c r="T1143" s="91"/>
      <c r="U1143" s="91"/>
      <c r="V1143" s="91"/>
      <c r="W1143" s="91"/>
      <c r="X1143" s="91"/>
      <c r="Y1143" s="91"/>
      <c r="Z1143" s="91"/>
      <c r="AA1143" s="91"/>
      <c r="AB1143" s="91"/>
      <c r="AC1143" s="91"/>
      <c r="AD1143" s="91"/>
      <c r="AE1143" s="91"/>
      <c r="AF1143" s="91"/>
      <c r="AG1143" s="91"/>
      <c r="AH1143" s="91"/>
      <c r="AI1143" s="91"/>
      <c r="AJ1143" s="91"/>
      <c r="AK1143" s="91"/>
      <c r="AL1143" s="91"/>
      <c r="AM1143" s="91"/>
    </row>
    <row r="1144" spans="1:39" ht="20.25" hidden="1" customHeight="1">
      <c r="A1144" s="91"/>
      <c r="B1144" s="93" t="s">
        <v>3610</v>
      </c>
      <c r="C1144" s="91" t="s">
        <v>36</v>
      </c>
      <c r="D1144" s="94" t="s">
        <v>3652</v>
      </c>
      <c r="E1144" s="94" t="s">
        <v>3653</v>
      </c>
      <c r="F1144" s="95" t="s">
        <v>3654</v>
      </c>
      <c r="G1144" s="96">
        <v>42835</v>
      </c>
      <c r="H1144" s="97">
        <v>30034</v>
      </c>
      <c r="I1144" s="94" t="s">
        <v>3614</v>
      </c>
      <c r="J1144" s="94" t="s">
        <v>58</v>
      </c>
      <c r="K1144" s="95">
        <v>984551548</v>
      </c>
      <c r="L1144" s="91" t="s">
        <v>121</v>
      </c>
      <c r="M1144" s="98">
        <f ca="1">(TODAY()-H1144)/365</f>
        <v>43.747945205479454</v>
      </c>
      <c r="N1144" s="99">
        <f>(G1144-H1144)/365</f>
        <v>35.07123287671233</v>
      </c>
      <c r="O1144" s="98">
        <f ca="1">(TODAY()-G1144)/365</f>
        <v>8.6767123287671239</v>
      </c>
      <c r="P1144" s="91" t="s">
        <v>43</v>
      </c>
      <c r="Q1144" s="91">
        <v>0</v>
      </c>
      <c r="R1144" s="91">
        <v>0</v>
      </c>
      <c r="S1144" s="91">
        <v>0</v>
      </c>
      <c r="T1144" s="91"/>
      <c r="U1144" s="91"/>
      <c r="V1144" s="91"/>
      <c r="W1144" s="91"/>
      <c r="X1144" s="91"/>
      <c r="Y1144" s="91"/>
      <c r="Z1144" s="91"/>
      <c r="AA1144" s="91"/>
      <c r="AB1144" s="91"/>
      <c r="AC1144" s="91"/>
      <c r="AD1144" s="91"/>
      <c r="AE1144" s="91"/>
      <c r="AF1144" s="91"/>
      <c r="AG1144" s="91"/>
      <c r="AH1144" s="91"/>
      <c r="AI1144" s="91"/>
      <c r="AJ1144" s="91"/>
      <c r="AK1144" s="91"/>
      <c r="AL1144" s="91"/>
      <c r="AM1144" s="91"/>
    </row>
    <row r="1145" spans="1:39" ht="20.25" customHeight="1">
      <c r="A1145" s="91"/>
      <c r="B1145" s="93" t="s">
        <v>2320</v>
      </c>
      <c r="C1145" s="91" t="s">
        <v>73</v>
      </c>
      <c r="D1145" s="94" t="s">
        <v>2336</v>
      </c>
      <c r="E1145" s="94" t="s">
        <v>2337</v>
      </c>
      <c r="F1145" s="95" t="s">
        <v>2338</v>
      </c>
      <c r="G1145" s="96">
        <v>44898</v>
      </c>
      <c r="H1145" s="97">
        <v>37323</v>
      </c>
      <c r="I1145" s="100" t="s">
        <v>2339</v>
      </c>
      <c r="J1145" s="94" t="s">
        <v>58</v>
      </c>
      <c r="K1145" s="92">
        <v>37394178</v>
      </c>
      <c r="L1145" s="91" t="s">
        <v>60</v>
      </c>
      <c r="M1145" s="98">
        <f ca="1">(TODAY()-H1145)/365</f>
        <v>23.778082191780822</v>
      </c>
      <c r="N1145" s="99">
        <f>(G1145-H1145)/365</f>
        <v>20.753424657534246</v>
      </c>
      <c r="O1145" s="98">
        <f ca="1">(TODAY()-G1145)/365</f>
        <v>3.0246575342465754</v>
      </c>
      <c r="P1145" s="91" t="s">
        <v>272</v>
      </c>
      <c r="Q1145" s="91">
        <v>0</v>
      </c>
      <c r="R1145" s="91">
        <v>0</v>
      </c>
      <c r="S1145" s="91">
        <v>0</v>
      </c>
      <c r="T1145" s="91"/>
      <c r="U1145" s="91"/>
      <c r="V1145" s="91"/>
      <c r="W1145" s="91"/>
      <c r="X1145" s="91"/>
      <c r="Y1145" s="91"/>
      <c r="Z1145" s="91"/>
      <c r="AA1145" s="91"/>
      <c r="AB1145" s="91"/>
      <c r="AC1145" s="91"/>
      <c r="AD1145" s="91"/>
      <c r="AE1145" s="91"/>
      <c r="AF1145" s="91"/>
      <c r="AG1145" s="91"/>
      <c r="AH1145" s="91"/>
      <c r="AI1145" s="91"/>
      <c r="AJ1145" s="91"/>
      <c r="AK1145" s="91"/>
      <c r="AL1145" s="91"/>
      <c r="AM1145" s="91"/>
    </row>
    <row r="1146" spans="1:39" ht="20.25" hidden="1" customHeight="1">
      <c r="A1146" s="91"/>
      <c r="B1146" s="93" t="s">
        <v>3610</v>
      </c>
      <c r="C1146" s="91" t="s">
        <v>36</v>
      </c>
      <c r="D1146" s="94" t="s">
        <v>3658</v>
      </c>
      <c r="E1146" s="94" t="s">
        <v>3659</v>
      </c>
      <c r="F1146" s="95" t="s">
        <v>3660</v>
      </c>
      <c r="G1146" s="96">
        <v>29306</v>
      </c>
      <c r="H1146" s="97">
        <v>14067</v>
      </c>
      <c r="I1146" s="100" t="s">
        <v>58</v>
      </c>
      <c r="J1146" s="94" t="s">
        <v>58</v>
      </c>
      <c r="K1146" s="95" t="s">
        <v>58</v>
      </c>
      <c r="L1146" s="91" t="s">
        <v>60</v>
      </c>
      <c r="M1146" s="98">
        <f ca="1">(TODAY()-H1146)/365</f>
        <v>87.493150684931507</v>
      </c>
      <c r="N1146" s="99">
        <f>(G1146-H1146)/365</f>
        <v>41.750684931506846</v>
      </c>
      <c r="O1146" s="98">
        <f ca="1">(TODAY()-G1146)/365</f>
        <v>45.742465753424661</v>
      </c>
      <c r="P1146" s="91" t="s">
        <v>43</v>
      </c>
      <c r="Q1146" s="91">
        <v>0</v>
      </c>
      <c r="R1146" s="91">
        <v>0</v>
      </c>
      <c r="S1146" s="91">
        <v>0</v>
      </c>
      <c r="T1146" s="91"/>
      <c r="U1146" s="91"/>
      <c r="V1146" s="91"/>
      <c r="W1146" s="91"/>
      <c r="X1146" s="91"/>
      <c r="Y1146" s="91"/>
      <c r="Z1146" s="91"/>
      <c r="AA1146" s="91"/>
      <c r="AB1146" s="91"/>
      <c r="AC1146" s="91"/>
      <c r="AD1146" s="91"/>
      <c r="AE1146" s="91"/>
      <c r="AF1146" s="91"/>
      <c r="AG1146" s="91"/>
      <c r="AH1146" s="91"/>
      <c r="AI1146" s="91"/>
      <c r="AJ1146" s="91"/>
      <c r="AK1146" s="91"/>
      <c r="AL1146" s="91"/>
      <c r="AM1146" s="91"/>
    </row>
    <row r="1147" spans="1:39" ht="20.25" hidden="1" customHeight="1">
      <c r="A1147" s="91"/>
      <c r="B1147" s="93" t="s">
        <v>3610</v>
      </c>
      <c r="C1147" s="91" t="s">
        <v>36</v>
      </c>
      <c r="D1147" s="94" t="s">
        <v>3661</v>
      </c>
      <c r="E1147" s="94" t="s">
        <v>3662</v>
      </c>
      <c r="F1147" s="95" t="s">
        <v>3663</v>
      </c>
      <c r="G1147" s="96">
        <v>38769</v>
      </c>
      <c r="H1147" s="97">
        <v>21380</v>
      </c>
      <c r="I1147" s="94" t="s">
        <v>3664</v>
      </c>
      <c r="J1147" s="94" t="s">
        <v>58</v>
      </c>
      <c r="K1147" s="95">
        <v>996617196</v>
      </c>
      <c r="L1147" s="91" t="s">
        <v>60</v>
      </c>
      <c r="M1147" s="98">
        <f ca="1">(TODAY()-H1147)/365</f>
        <v>67.457534246575349</v>
      </c>
      <c r="N1147" s="99">
        <f>(G1147-H1147)/365</f>
        <v>47.641095890410959</v>
      </c>
      <c r="O1147" s="98">
        <f ca="1">(TODAY()-G1147)/365</f>
        <v>19.816438356164383</v>
      </c>
      <c r="P1147" s="91" t="s">
        <v>43</v>
      </c>
      <c r="Q1147" s="91">
        <v>0</v>
      </c>
      <c r="R1147" s="91">
        <v>0</v>
      </c>
      <c r="S1147" s="91">
        <v>0</v>
      </c>
      <c r="T1147" s="91"/>
      <c r="U1147" s="91"/>
      <c r="V1147" s="91"/>
      <c r="W1147" s="91"/>
      <c r="X1147" s="91"/>
      <c r="Y1147" s="91"/>
      <c r="Z1147" s="91"/>
      <c r="AA1147" s="91"/>
      <c r="AB1147" s="91"/>
      <c r="AC1147" s="91"/>
      <c r="AD1147" s="91"/>
      <c r="AE1147" s="91"/>
      <c r="AF1147" s="91"/>
      <c r="AG1147" s="91"/>
      <c r="AH1147" s="91"/>
      <c r="AI1147" s="91"/>
      <c r="AJ1147" s="91"/>
      <c r="AK1147" s="91"/>
      <c r="AL1147" s="91"/>
      <c r="AM1147" s="91"/>
    </row>
    <row r="1148" spans="1:39" ht="20.25" hidden="1" customHeight="1">
      <c r="A1148" s="91"/>
      <c r="B1148" s="93" t="s">
        <v>3610</v>
      </c>
      <c r="C1148" s="91" t="s">
        <v>36</v>
      </c>
      <c r="D1148" s="94" t="s">
        <v>3665</v>
      </c>
      <c r="E1148" s="94" t="s">
        <v>3666</v>
      </c>
      <c r="F1148" s="95" t="s">
        <v>3667</v>
      </c>
      <c r="G1148" s="96">
        <v>36679</v>
      </c>
      <c r="H1148" s="97">
        <v>19048</v>
      </c>
      <c r="I1148" s="100" t="s">
        <v>58</v>
      </c>
      <c r="J1148" s="94" t="s">
        <v>58</v>
      </c>
      <c r="K1148" s="95">
        <v>996795100</v>
      </c>
      <c r="L1148" s="91" t="s">
        <v>216</v>
      </c>
      <c r="M1148" s="98">
        <f ca="1">(TODAY()-H1148)/365</f>
        <v>73.846575342465755</v>
      </c>
      <c r="N1148" s="99">
        <f>(G1148-H1148)/365</f>
        <v>48.304109589041097</v>
      </c>
      <c r="O1148" s="98">
        <f ca="1">(TODAY()-G1148)/365</f>
        <v>25.542465753424658</v>
      </c>
      <c r="P1148" s="91" t="s">
        <v>43</v>
      </c>
      <c r="Q1148" s="91">
        <v>0</v>
      </c>
      <c r="R1148" s="91">
        <v>0</v>
      </c>
      <c r="S1148" s="91">
        <v>0</v>
      </c>
      <c r="T1148" s="91"/>
      <c r="U1148" s="91"/>
      <c r="V1148" s="91"/>
      <c r="W1148" s="91"/>
      <c r="X1148" s="91"/>
      <c r="Y1148" s="91"/>
      <c r="Z1148" s="91"/>
      <c r="AA1148" s="91"/>
      <c r="AB1148" s="91"/>
      <c r="AC1148" s="91"/>
      <c r="AD1148" s="91"/>
      <c r="AE1148" s="91"/>
      <c r="AF1148" s="91"/>
      <c r="AG1148" s="91"/>
      <c r="AH1148" s="91"/>
      <c r="AI1148" s="91"/>
      <c r="AJ1148" s="91"/>
      <c r="AK1148" s="91"/>
      <c r="AL1148" s="91"/>
      <c r="AM1148" s="91"/>
    </row>
    <row r="1149" spans="1:39" ht="20.25" hidden="1" customHeight="1">
      <c r="A1149" s="91"/>
      <c r="B1149" s="93" t="s">
        <v>3610</v>
      </c>
      <c r="C1149" s="91" t="s">
        <v>36</v>
      </c>
      <c r="D1149" s="94" t="s">
        <v>3668</v>
      </c>
      <c r="E1149" s="94" t="s">
        <v>3669</v>
      </c>
      <c r="F1149" s="95" t="s">
        <v>3670</v>
      </c>
      <c r="G1149" s="96">
        <v>40762</v>
      </c>
      <c r="H1149" s="97">
        <v>23087</v>
      </c>
      <c r="I1149" s="94" t="s">
        <v>3671</v>
      </c>
      <c r="J1149" s="94" t="s">
        <v>58</v>
      </c>
      <c r="K1149" s="95">
        <v>982464687</v>
      </c>
      <c r="L1149" s="91" t="s">
        <v>151</v>
      </c>
      <c r="M1149" s="98">
        <f ca="1">(TODAY()-H1149)/365</f>
        <v>62.780821917808218</v>
      </c>
      <c r="N1149" s="99">
        <f>(G1149-H1149)/365</f>
        <v>48.424657534246577</v>
      </c>
      <c r="O1149" s="98">
        <f ca="1">(TODAY()-G1149)/365</f>
        <v>14.356164383561644</v>
      </c>
      <c r="P1149" s="91" t="s">
        <v>43</v>
      </c>
      <c r="Q1149" s="91">
        <v>1</v>
      </c>
      <c r="R1149" s="91">
        <v>1</v>
      </c>
      <c r="S1149" s="91">
        <v>0</v>
      </c>
      <c r="T1149" s="91"/>
      <c r="U1149" s="91"/>
      <c r="V1149" s="91"/>
      <c r="W1149" s="91"/>
      <c r="X1149" s="91"/>
      <c r="Y1149" s="91"/>
      <c r="Z1149" s="91"/>
      <c r="AA1149" s="91"/>
      <c r="AB1149" s="91"/>
      <c r="AC1149" s="91"/>
      <c r="AD1149" s="91"/>
      <c r="AE1149" s="91"/>
      <c r="AF1149" s="91"/>
      <c r="AG1149" s="91"/>
      <c r="AH1149" s="91"/>
      <c r="AI1149" s="91"/>
      <c r="AJ1149" s="91"/>
      <c r="AK1149" s="91"/>
      <c r="AL1149" s="91"/>
      <c r="AM1149" s="91"/>
    </row>
    <row r="1150" spans="1:39" ht="20.25" customHeight="1">
      <c r="A1150" s="91"/>
      <c r="B1150" s="93" t="s">
        <v>3211</v>
      </c>
      <c r="C1150" s="91" t="s">
        <v>73</v>
      </c>
      <c r="D1150" s="107" t="s">
        <v>1286</v>
      </c>
      <c r="E1150" s="107" t="s">
        <v>3220</v>
      </c>
      <c r="F1150" s="91" t="s">
        <v>3221</v>
      </c>
      <c r="G1150" s="96">
        <v>40237</v>
      </c>
      <c r="H1150" s="97">
        <v>30984</v>
      </c>
      <c r="I1150" s="94" t="s">
        <v>58</v>
      </c>
      <c r="J1150" s="94" t="s">
        <v>58</v>
      </c>
      <c r="K1150" s="95" t="s">
        <v>58</v>
      </c>
      <c r="L1150" s="91" t="s">
        <v>60</v>
      </c>
      <c r="M1150" s="98">
        <f ca="1">(TODAY()-H1150)/365</f>
        <v>41.145205479452052</v>
      </c>
      <c r="N1150" s="99">
        <f>(G1150-H1150)/365</f>
        <v>25.350684931506848</v>
      </c>
      <c r="O1150" s="98">
        <f ca="1">(TODAY()-G1150)/365</f>
        <v>15.794520547945206</v>
      </c>
      <c r="P1150" s="91" t="s">
        <v>43</v>
      </c>
      <c r="Q1150" s="91"/>
      <c r="R1150" s="91">
        <v>0</v>
      </c>
      <c r="S1150" s="91"/>
      <c r="T1150" s="91"/>
      <c r="U1150" s="91"/>
      <c r="V1150" s="91"/>
      <c r="W1150" s="91"/>
      <c r="X1150" s="91"/>
      <c r="Y1150" s="91"/>
      <c r="Z1150" s="91"/>
      <c r="AA1150" s="91"/>
      <c r="AB1150" s="91"/>
      <c r="AC1150" s="91"/>
      <c r="AD1150" s="91"/>
      <c r="AE1150" s="91"/>
      <c r="AF1150" s="91"/>
      <c r="AG1150" s="91"/>
      <c r="AH1150" s="91"/>
      <c r="AI1150" s="91"/>
      <c r="AJ1150" s="91"/>
      <c r="AK1150" s="91"/>
      <c r="AL1150" s="91"/>
      <c r="AM1150" s="91"/>
    </row>
    <row r="1151" spans="1:39" ht="20.25" customHeight="1">
      <c r="A1151" s="91"/>
      <c r="B1151" s="93" t="s">
        <v>3211</v>
      </c>
      <c r="C1151" s="91" t="s">
        <v>73</v>
      </c>
      <c r="D1151" s="107" t="s">
        <v>273</v>
      </c>
      <c r="E1151" s="107" t="s">
        <v>3216</v>
      </c>
      <c r="F1151" s="91" t="s">
        <v>3217</v>
      </c>
      <c r="G1151" s="96">
        <v>40237</v>
      </c>
      <c r="H1151" s="97">
        <v>32255</v>
      </c>
      <c r="I1151" s="94" t="s">
        <v>58</v>
      </c>
      <c r="J1151" s="94" t="s">
        <v>58</v>
      </c>
      <c r="K1151" s="95" t="s">
        <v>58</v>
      </c>
      <c r="L1151" s="91" t="s">
        <v>60</v>
      </c>
      <c r="M1151" s="98">
        <f ca="1">(TODAY()-H1151)/365</f>
        <v>37.663013698630138</v>
      </c>
      <c r="N1151" s="99">
        <f>(G1151-H1151)/365</f>
        <v>21.86849315068493</v>
      </c>
      <c r="O1151" s="98">
        <f ca="1">(TODAY()-G1151)/365</f>
        <v>15.794520547945206</v>
      </c>
      <c r="P1151" s="91" t="s">
        <v>43</v>
      </c>
      <c r="Q1151" s="91"/>
      <c r="R1151" s="91">
        <v>0</v>
      </c>
      <c r="S1151" s="91"/>
      <c r="T1151" s="91"/>
      <c r="U1151" s="91"/>
      <c r="V1151" s="91"/>
      <c r="W1151" s="91"/>
      <c r="X1151" s="91"/>
      <c r="Y1151" s="91"/>
      <c r="Z1151" s="91"/>
      <c r="AA1151" s="91"/>
      <c r="AB1151" s="91"/>
      <c r="AC1151" s="91"/>
      <c r="AD1151" s="91"/>
      <c r="AE1151" s="91"/>
      <c r="AF1151" s="91"/>
      <c r="AG1151" s="91"/>
      <c r="AH1151" s="91"/>
      <c r="AI1151" s="91"/>
      <c r="AJ1151" s="91"/>
      <c r="AK1151" s="91"/>
      <c r="AL1151" s="91"/>
      <c r="AM1151" s="91"/>
    </row>
    <row r="1152" spans="1:39" ht="20.25" hidden="1" customHeight="1">
      <c r="A1152" s="91"/>
      <c r="B1152" s="93" t="s">
        <v>3610</v>
      </c>
      <c r="C1152" s="91" t="s">
        <v>36</v>
      </c>
      <c r="D1152" s="94" t="s">
        <v>686</v>
      </c>
      <c r="E1152" s="94" t="s">
        <v>3678</v>
      </c>
      <c r="F1152" s="91" t="s">
        <v>58</v>
      </c>
      <c r="G1152" s="96">
        <v>44854</v>
      </c>
      <c r="H1152" s="96" t="s">
        <v>58</v>
      </c>
      <c r="I1152" s="100" t="s">
        <v>58</v>
      </c>
      <c r="J1152" s="94" t="s">
        <v>58</v>
      </c>
      <c r="K1152" s="95">
        <v>953059233</v>
      </c>
      <c r="L1152" s="91" t="s">
        <v>60</v>
      </c>
      <c r="M1152" s="98">
        <v>0</v>
      </c>
      <c r="N1152" s="109"/>
      <c r="O1152" s="98">
        <f ca="1">(TODAY()-G1152)/365</f>
        <v>3.1452054794520548</v>
      </c>
      <c r="P1152" s="91" t="s">
        <v>43</v>
      </c>
      <c r="Q1152" s="91">
        <v>0</v>
      </c>
      <c r="R1152" s="91">
        <v>0</v>
      </c>
      <c r="S1152" s="91">
        <v>0</v>
      </c>
      <c r="T1152" s="91"/>
      <c r="U1152" s="91"/>
      <c r="V1152" s="91"/>
      <c r="W1152" s="91"/>
      <c r="X1152" s="91"/>
      <c r="Y1152" s="91"/>
      <c r="Z1152" s="91"/>
      <c r="AA1152" s="91"/>
      <c r="AB1152" s="91"/>
      <c r="AC1152" s="91"/>
      <c r="AD1152" s="91"/>
      <c r="AE1152" s="91"/>
      <c r="AF1152" s="91"/>
      <c r="AG1152" s="91"/>
      <c r="AH1152" s="91"/>
      <c r="AI1152" s="91"/>
      <c r="AJ1152" s="91"/>
      <c r="AK1152" s="91"/>
      <c r="AL1152" s="91"/>
      <c r="AM1152" s="91"/>
    </row>
    <row r="1153" spans="1:39" ht="20.25" hidden="1" customHeight="1">
      <c r="A1153" s="91"/>
      <c r="B1153" s="93" t="s">
        <v>3610</v>
      </c>
      <c r="C1153" s="91" t="s">
        <v>36</v>
      </c>
      <c r="D1153" s="94" t="s">
        <v>74</v>
      </c>
      <c r="E1153" s="94" t="s">
        <v>3679</v>
      </c>
      <c r="F1153" s="95" t="s">
        <v>3680</v>
      </c>
      <c r="G1153" s="96">
        <v>44777</v>
      </c>
      <c r="H1153" s="96" t="s">
        <v>58</v>
      </c>
      <c r="I1153" s="100" t="s">
        <v>58</v>
      </c>
      <c r="J1153" s="94" t="s">
        <v>58</v>
      </c>
      <c r="K1153" s="95">
        <v>958197280</v>
      </c>
      <c r="L1153" s="91" t="s">
        <v>60</v>
      </c>
      <c r="M1153" s="98">
        <v>0</v>
      </c>
      <c r="N1153" s="109"/>
      <c r="O1153" s="98">
        <f ca="1">(TODAY()-G1153)/365</f>
        <v>3.3561643835616439</v>
      </c>
      <c r="P1153" s="91" t="s">
        <v>43</v>
      </c>
      <c r="Q1153" s="91">
        <v>0</v>
      </c>
      <c r="R1153" s="91">
        <v>0</v>
      </c>
      <c r="S1153" s="91">
        <v>0</v>
      </c>
      <c r="T1153" s="91"/>
      <c r="U1153" s="91"/>
      <c r="V1153" s="91"/>
      <c r="W1153" s="91"/>
      <c r="X1153" s="91"/>
      <c r="Y1153" s="91"/>
      <c r="Z1153" s="91"/>
      <c r="AA1153" s="91"/>
      <c r="AB1153" s="91"/>
      <c r="AC1153" s="91"/>
      <c r="AD1153" s="91"/>
      <c r="AE1153" s="91"/>
      <c r="AF1153" s="91"/>
      <c r="AG1153" s="91"/>
      <c r="AH1153" s="91"/>
      <c r="AI1153" s="91"/>
      <c r="AJ1153" s="91"/>
      <c r="AK1153" s="91"/>
      <c r="AL1153" s="91"/>
      <c r="AM1153" s="91"/>
    </row>
    <row r="1154" spans="1:39" ht="20.25" hidden="1" customHeight="1">
      <c r="A1154" s="91"/>
      <c r="B1154" s="93" t="s">
        <v>3610</v>
      </c>
      <c r="C1154" s="91" t="s">
        <v>36</v>
      </c>
      <c r="D1154" s="94" t="s">
        <v>3681</v>
      </c>
      <c r="E1154" s="94" t="s">
        <v>3682</v>
      </c>
      <c r="F1154" s="95" t="s">
        <v>3683</v>
      </c>
      <c r="G1154" s="96">
        <v>36283</v>
      </c>
      <c r="H1154" s="97">
        <v>17974</v>
      </c>
      <c r="I1154" s="94" t="s">
        <v>3684</v>
      </c>
      <c r="J1154" s="94" t="s">
        <v>58</v>
      </c>
      <c r="K1154" s="95">
        <v>967252337</v>
      </c>
      <c r="L1154" s="91" t="s">
        <v>42</v>
      </c>
      <c r="M1154" s="98">
        <f ca="1">(TODAY()-H1154)/365</f>
        <v>76.789041095890411</v>
      </c>
      <c r="N1154" s="99">
        <f>(G1154-H1154)/365</f>
        <v>50.161643835616438</v>
      </c>
      <c r="O1154" s="98">
        <f ca="1">(TODAY()-G1154)/365</f>
        <v>26.627397260273973</v>
      </c>
      <c r="P1154" s="91" t="s">
        <v>43</v>
      </c>
      <c r="Q1154" s="91">
        <v>0</v>
      </c>
      <c r="R1154" s="91">
        <v>0</v>
      </c>
      <c r="S1154" s="91">
        <v>0</v>
      </c>
      <c r="T1154" s="91"/>
      <c r="U1154" s="91"/>
      <c r="V1154" s="91"/>
      <c r="W1154" s="91"/>
      <c r="X1154" s="91"/>
      <c r="Y1154" s="91"/>
      <c r="Z1154" s="91"/>
      <c r="AA1154" s="91"/>
      <c r="AB1154" s="91"/>
      <c r="AC1154" s="91"/>
      <c r="AD1154" s="91"/>
      <c r="AE1154" s="91"/>
      <c r="AF1154" s="91"/>
      <c r="AG1154" s="91"/>
      <c r="AH1154" s="91"/>
      <c r="AI1154" s="91"/>
      <c r="AJ1154" s="91"/>
      <c r="AK1154" s="91"/>
      <c r="AL1154" s="91"/>
      <c r="AM1154" s="91"/>
    </row>
    <row r="1155" spans="1:39" ht="20.25" customHeight="1">
      <c r="A1155" s="91"/>
      <c r="B1155" s="93" t="s">
        <v>738</v>
      </c>
      <c r="C1155" s="91" t="s">
        <v>73</v>
      </c>
      <c r="D1155" s="94" t="s">
        <v>871</v>
      </c>
      <c r="E1155" s="94" t="s">
        <v>872</v>
      </c>
      <c r="F1155" s="95" t="s">
        <v>873</v>
      </c>
      <c r="G1155" s="96">
        <v>44400</v>
      </c>
      <c r="H1155" s="97">
        <v>22150</v>
      </c>
      <c r="I1155" s="94" t="s">
        <v>874</v>
      </c>
      <c r="J1155" s="100" t="s">
        <v>58</v>
      </c>
      <c r="K1155" s="91" t="s">
        <v>58</v>
      </c>
      <c r="L1155" s="91" t="s">
        <v>60</v>
      </c>
      <c r="M1155" s="98">
        <f ca="1">(TODAY()-H1155)/365</f>
        <v>65.347945205479448</v>
      </c>
      <c r="N1155" s="99">
        <f>(G1155-H1155)/365</f>
        <v>60.958904109589042</v>
      </c>
      <c r="O1155" s="98">
        <f ca="1">(TODAY()-G1155)/365</f>
        <v>4.3890410958904109</v>
      </c>
      <c r="P1155" s="91" t="s">
        <v>43</v>
      </c>
      <c r="Q1155" s="91">
        <v>0</v>
      </c>
      <c r="R1155" s="91">
        <v>0</v>
      </c>
      <c r="S1155" s="91">
        <v>0</v>
      </c>
      <c r="T1155" s="91"/>
      <c r="U1155" s="91"/>
      <c r="V1155" s="91"/>
      <c r="W1155" s="91"/>
      <c r="X1155" s="91"/>
      <c r="Y1155" s="91"/>
      <c r="Z1155" s="91"/>
      <c r="AA1155" s="91"/>
      <c r="AB1155" s="91"/>
      <c r="AC1155" s="91"/>
      <c r="AD1155" s="91"/>
      <c r="AE1155" s="91"/>
      <c r="AF1155" s="91"/>
      <c r="AG1155" s="91"/>
      <c r="AH1155" s="91"/>
      <c r="AI1155" s="91"/>
      <c r="AJ1155" s="91"/>
      <c r="AK1155" s="91"/>
      <c r="AL1155" s="91"/>
      <c r="AM1155" s="91"/>
    </row>
    <row r="1156" spans="1:39" ht="20.25" customHeight="1">
      <c r="A1156" s="91"/>
      <c r="B1156" s="93" t="s">
        <v>3992</v>
      </c>
      <c r="C1156" s="91" t="s">
        <v>73</v>
      </c>
      <c r="D1156" s="94" t="s">
        <v>4040</v>
      </c>
      <c r="E1156" s="94" t="s">
        <v>4041</v>
      </c>
      <c r="F1156" s="95" t="s">
        <v>4042</v>
      </c>
      <c r="G1156" s="96">
        <v>45205</v>
      </c>
      <c r="H1156" s="97">
        <v>27643</v>
      </c>
      <c r="I1156" s="94" t="s">
        <v>58</v>
      </c>
      <c r="J1156" s="94" t="s">
        <v>58</v>
      </c>
      <c r="K1156" s="95" t="s">
        <v>58</v>
      </c>
      <c r="L1156" s="91" t="s">
        <v>60</v>
      </c>
      <c r="M1156" s="98">
        <f ca="1">(TODAY()-H1156)/365</f>
        <v>50.298630136986304</v>
      </c>
      <c r="N1156" s="99">
        <f>(G1156-H1156)/365</f>
        <v>48.115068493150687</v>
      </c>
      <c r="O1156" s="98">
        <f ca="1">(TODAY()-G1156)/365</f>
        <v>2.1835616438356165</v>
      </c>
      <c r="P1156" s="91" t="s">
        <v>272</v>
      </c>
      <c r="Q1156" s="91">
        <v>0</v>
      </c>
      <c r="R1156" s="91">
        <v>0</v>
      </c>
      <c r="S1156" s="91">
        <v>0</v>
      </c>
      <c r="T1156" s="91"/>
      <c r="U1156" s="91"/>
      <c r="V1156" s="91"/>
      <c r="W1156" s="91"/>
      <c r="X1156" s="91"/>
      <c r="Y1156" s="91"/>
      <c r="Z1156" s="91"/>
      <c r="AA1156" s="91"/>
      <c r="AB1156" s="91"/>
      <c r="AC1156" s="91"/>
      <c r="AD1156" s="91"/>
      <c r="AE1156" s="91"/>
      <c r="AF1156" s="91"/>
      <c r="AG1156" s="91"/>
      <c r="AH1156" s="91"/>
      <c r="AI1156" s="91"/>
      <c r="AJ1156" s="91"/>
      <c r="AK1156" s="91"/>
      <c r="AL1156" s="91"/>
      <c r="AM1156" s="91"/>
    </row>
    <row r="1157" spans="1:39" ht="20.25" hidden="1" customHeight="1">
      <c r="A1157" s="91"/>
      <c r="B1157" s="93" t="s">
        <v>3610</v>
      </c>
      <c r="C1157" s="91" t="s">
        <v>36</v>
      </c>
      <c r="D1157" s="94" t="s">
        <v>3688</v>
      </c>
      <c r="E1157" s="94" t="s">
        <v>3689</v>
      </c>
      <c r="F1157" s="95" t="s">
        <v>3690</v>
      </c>
      <c r="G1157" s="96">
        <v>37202</v>
      </c>
      <c r="H1157" s="97">
        <v>18521</v>
      </c>
      <c r="I1157" s="94" t="s">
        <v>3691</v>
      </c>
      <c r="J1157" s="94" t="s">
        <v>58</v>
      </c>
      <c r="K1157" s="95">
        <v>992199415</v>
      </c>
      <c r="L1157" s="91" t="s">
        <v>60</v>
      </c>
      <c r="M1157" s="98">
        <f ca="1">(TODAY()-H1157)/365</f>
        <v>75.290410958904104</v>
      </c>
      <c r="N1157" s="99">
        <f>(G1157-H1157)/365</f>
        <v>51.180821917808217</v>
      </c>
      <c r="O1157" s="98">
        <f ca="1">(TODAY()-G1157)/365</f>
        <v>24.109589041095891</v>
      </c>
      <c r="P1157" s="91" t="s">
        <v>43</v>
      </c>
      <c r="Q1157" s="91">
        <v>0</v>
      </c>
      <c r="R1157" s="91">
        <v>0</v>
      </c>
      <c r="S1157" s="91">
        <v>0</v>
      </c>
      <c r="T1157" s="91"/>
      <c r="U1157" s="91"/>
      <c r="V1157" s="91"/>
      <c r="W1157" s="91"/>
      <c r="X1157" s="91"/>
      <c r="Y1157" s="91"/>
      <c r="Z1157" s="91"/>
      <c r="AA1157" s="91"/>
      <c r="AB1157" s="91"/>
      <c r="AC1157" s="91"/>
      <c r="AD1157" s="91"/>
      <c r="AE1157" s="91"/>
      <c r="AF1157" s="91"/>
      <c r="AG1157" s="91"/>
      <c r="AH1157" s="91"/>
      <c r="AI1157" s="91"/>
      <c r="AJ1157" s="91"/>
      <c r="AK1157" s="91"/>
      <c r="AL1157" s="91"/>
      <c r="AM1157" s="91"/>
    </row>
    <row r="1158" spans="1:39" ht="20.25" hidden="1" customHeight="1">
      <c r="A1158" s="91"/>
      <c r="B1158" s="93" t="s">
        <v>3610</v>
      </c>
      <c r="C1158" s="91" t="s">
        <v>36</v>
      </c>
      <c r="D1158" s="94" t="s">
        <v>3692</v>
      </c>
      <c r="E1158" s="94" t="s">
        <v>3693</v>
      </c>
      <c r="F1158" s="95" t="s">
        <v>3694</v>
      </c>
      <c r="G1158" s="96">
        <v>41585</v>
      </c>
      <c r="H1158" s="97">
        <v>22493</v>
      </c>
      <c r="I1158" s="94" t="s">
        <v>3695</v>
      </c>
      <c r="J1158" s="94" t="s">
        <v>58</v>
      </c>
      <c r="K1158" s="95">
        <v>953812880</v>
      </c>
      <c r="L1158" s="91" t="s">
        <v>54</v>
      </c>
      <c r="M1158" s="98">
        <f ca="1">(TODAY()-H1158)/365</f>
        <v>64.408219178082192</v>
      </c>
      <c r="N1158" s="99">
        <f>(G1158-H1158)/365</f>
        <v>52.30684931506849</v>
      </c>
      <c r="O1158" s="98">
        <f ca="1">(TODAY()-G1158)/365</f>
        <v>12.101369863013698</v>
      </c>
      <c r="P1158" s="91" t="s">
        <v>43</v>
      </c>
      <c r="Q1158" s="91">
        <v>0</v>
      </c>
      <c r="R1158" s="91">
        <v>0</v>
      </c>
      <c r="S1158" s="91">
        <v>0</v>
      </c>
      <c r="T1158" s="91"/>
      <c r="U1158" s="91"/>
      <c r="V1158" s="91"/>
      <c r="W1158" s="91"/>
      <c r="X1158" s="91"/>
      <c r="Y1158" s="91"/>
      <c r="Z1158" s="91"/>
      <c r="AA1158" s="91"/>
      <c r="AB1158" s="91"/>
      <c r="AC1158" s="91"/>
      <c r="AD1158" s="91"/>
      <c r="AE1158" s="91"/>
      <c r="AF1158" s="91"/>
      <c r="AG1158" s="91"/>
      <c r="AH1158" s="91"/>
      <c r="AI1158" s="91"/>
      <c r="AJ1158" s="91"/>
      <c r="AK1158" s="91"/>
      <c r="AL1158" s="91"/>
      <c r="AM1158" s="91"/>
    </row>
    <row r="1159" spans="1:39" ht="20.25" hidden="1" customHeight="1">
      <c r="A1159" s="91"/>
      <c r="B1159" s="93" t="s">
        <v>3610</v>
      </c>
      <c r="C1159" s="91" t="s">
        <v>36</v>
      </c>
      <c r="D1159" s="94" t="s">
        <v>3121</v>
      </c>
      <c r="E1159" s="94" t="s">
        <v>3696</v>
      </c>
      <c r="F1159" s="95" t="s">
        <v>3697</v>
      </c>
      <c r="G1159" s="96">
        <v>37325</v>
      </c>
      <c r="H1159" s="97">
        <v>17713</v>
      </c>
      <c r="I1159" s="94" t="s">
        <v>3698</v>
      </c>
      <c r="J1159" s="94" t="s">
        <v>58</v>
      </c>
      <c r="K1159" s="95">
        <v>993341876</v>
      </c>
      <c r="L1159" s="91" t="s">
        <v>60</v>
      </c>
      <c r="M1159" s="98">
        <f ca="1">(TODAY()-H1159)/365</f>
        <v>77.504109589041093</v>
      </c>
      <c r="N1159" s="99">
        <f>(G1159-H1159)/365</f>
        <v>53.731506849315068</v>
      </c>
      <c r="O1159" s="98">
        <f ca="1">(TODAY()-G1159)/365</f>
        <v>23.772602739726029</v>
      </c>
      <c r="P1159" s="91" t="s">
        <v>43</v>
      </c>
      <c r="Q1159" s="91">
        <v>0</v>
      </c>
      <c r="R1159" s="91">
        <v>0</v>
      </c>
      <c r="S1159" s="91">
        <v>0</v>
      </c>
      <c r="T1159" s="91"/>
      <c r="U1159" s="91"/>
      <c r="V1159" s="91"/>
      <c r="W1159" s="91"/>
      <c r="X1159" s="91"/>
      <c r="Y1159" s="91"/>
      <c r="Z1159" s="91"/>
      <c r="AA1159" s="91"/>
      <c r="AB1159" s="91"/>
      <c r="AC1159" s="91"/>
      <c r="AD1159" s="91"/>
      <c r="AE1159" s="91"/>
      <c r="AF1159" s="91"/>
      <c r="AG1159" s="91"/>
      <c r="AH1159" s="91"/>
      <c r="AI1159" s="91"/>
      <c r="AJ1159" s="91"/>
      <c r="AK1159" s="91"/>
      <c r="AL1159" s="91"/>
      <c r="AM1159" s="91"/>
    </row>
    <row r="1160" spans="1:39" ht="20.25" customHeight="1">
      <c r="A1160" s="91"/>
      <c r="B1160" s="93" t="s">
        <v>8369</v>
      </c>
      <c r="C1160" s="91" t="s">
        <v>73</v>
      </c>
      <c r="D1160" s="107" t="s">
        <v>5673</v>
      </c>
      <c r="E1160" s="107" t="s">
        <v>8403</v>
      </c>
      <c r="F1160" s="95" t="s">
        <v>8404</v>
      </c>
      <c r="G1160" s="96">
        <v>43257</v>
      </c>
      <c r="H1160" s="97" t="s">
        <v>58</v>
      </c>
      <c r="I1160" s="94" t="s">
        <v>8405</v>
      </c>
      <c r="J1160" s="100" t="s">
        <v>58</v>
      </c>
      <c r="K1160" s="91" t="s">
        <v>58</v>
      </c>
      <c r="L1160" s="91" t="s">
        <v>60</v>
      </c>
      <c r="M1160" s="98">
        <v>0</v>
      </c>
      <c r="N1160" s="95"/>
      <c r="O1160" s="98">
        <f ca="1">(TODAY()-G1160)/365</f>
        <v>7.5205479452054798</v>
      </c>
      <c r="P1160" s="91" t="s">
        <v>272</v>
      </c>
      <c r="Q1160" s="91">
        <v>0</v>
      </c>
      <c r="R1160" s="91">
        <v>0</v>
      </c>
      <c r="S1160" s="91">
        <v>0</v>
      </c>
      <c r="T1160" s="91"/>
      <c r="U1160" s="91"/>
      <c r="V1160" s="91"/>
      <c r="W1160" s="91"/>
      <c r="X1160" s="91"/>
      <c r="Y1160" s="91"/>
      <c r="Z1160" s="91"/>
      <c r="AA1160" s="91"/>
      <c r="AB1160" s="91"/>
      <c r="AC1160" s="91"/>
      <c r="AD1160" s="91"/>
      <c r="AE1160" s="91"/>
      <c r="AF1160" s="91"/>
      <c r="AG1160" s="91"/>
      <c r="AH1160" s="91"/>
      <c r="AI1160" s="91"/>
      <c r="AJ1160" s="91"/>
      <c r="AK1160" s="91"/>
      <c r="AL1160" s="91"/>
      <c r="AM1160" s="91"/>
    </row>
    <row r="1161" spans="1:39" ht="20.25" hidden="1" customHeight="1">
      <c r="A1161" s="91"/>
      <c r="B1161" s="93" t="s">
        <v>3610</v>
      </c>
      <c r="C1161" s="91" t="s">
        <v>36</v>
      </c>
      <c r="D1161" s="94" t="s">
        <v>3703</v>
      </c>
      <c r="E1161" s="94" t="s">
        <v>3704</v>
      </c>
      <c r="F1161" s="95" t="s">
        <v>3705</v>
      </c>
      <c r="G1161" s="96">
        <v>40869</v>
      </c>
      <c r="H1161" s="97">
        <v>20090</v>
      </c>
      <c r="I1161" s="94" t="s">
        <v>3706</v>
      </c>
      <c r="J1161" s="94" t="s">
        <v>58</v>
      </c>
      <c r="K1161" s="95">
        <v>985983608</v>
      </c>
      <c r="L1161" s="91" t="s">
        <v>197</v>
      </c>
      <c r="M1161" s="98">
        <f ca="1">(TODAY()-H1161)/365</f>
        <v>70.991780821917814</v>
      </c>
      <c r="N1161" s="99">
        <f>(G1161-H1161)/365</f>
        <v>56.92876712328767</v>
      </c>
      <c r="O1161" s="98">
        <f ca="1">(TODAY()-G1161)/365</f>
        <v>14.063013698630137</v>
      </c>
      <c r="P1161" s="91" t="s">
        <v>43</v>
      </c>
      <c r="Q1161" s="91">
        <v>0</v>
      </c>
      <c r="R1161" s="91">
        <v>0</v>
      </c>
      <c r="S1161" s="91">
        <v>0</v>
      </c>
      <c r="T1161" s="91"/>
      <c r="U1161" s="91"/>
      <c r="V1161" s="91"/>
      <c r="W1161" s="91"/>
      <c r="X1161" s="91"/>
      <c r="Y1161" s="91"/>
      <c r="Z1161" s="91"/>
      <c r="AA1161" s="91"/>
      <c r="AB1161" s="91"/>
      <c r="AC1161" s="91"/>
      <c r="AD1161" s="91"/>
      <c r="AE1161" s="91"/>
      <c r="AF1161" s="91"/>
      <c r="AG1161" s="91"/>
      <c r="AH1161" s="91"/>
      <c r="AI1161" s="91"/>
      <c r="AJ1161" s="91"/>
      <c r="AK1161" s="91"/>
      <c r="AL1161" s="91"/>
      <c r="AM1161" s="91"/>
    </row>
    <row r="1162" spans="1:39" ht="20.25" customHeight="1">
      <c r="A1162" s="91"/>
      <c r="B1162" s="93" t="s">
        <v>260</v>
      </c>
      <c r="C1162" s="91" t="s">
        <v>73</v>
      </c>
      <c r="D1162" s="106" t="s">
        <v>281</v>
      </c>
      <c r="E1162" s="106" t="s">
        <v>282</v>
      </c>
      <c r="F1162" s="92" t="s">
        <v>283</v>
      </c>
      <c r="G1162" s="103">
        <v>40238</v>
      </c>
      <c r="H1162" s="97">
        <v>30273</v>
      </c>
      <c r="I1162" s="100" t="s">
        <v>58</v>
      </c>
      <c r="J1162" s="100" t="s">
        <v>58</v>
      </c>
      <c r="K1162" s="91" t="s">
        <v>58</v>
      </c>
      <c r="L1162" s="91" t="s">
        <v>60</v>
      </c>
      <c r="M1162" s="98">
        <f ca="1">(TODAY()-H1162)/365</f>
        <v>43.093150684931508</v>
      </c>
      <c r="N1162" s="99">
        <f>(G1162-H1162)/365</f>
        <v>27.301369863013697</v>
      </c>
      <c r="O1162" s="98">
        <f ca="1">(TODAY()-G1162)/365</f>
        <v>15.791780821917808</v>
      </c>
      <c r="P1162" s="91" t="s">
        <v>272</v>
      </c>
      <c r="Q1162" s="91">
        <v>0</v>
      </c>
      <c r="R1162" s="91">
        <v>0</v>
      </c>
      <c r="S1162" s="91">
        <v>0</v>
      </c>
      <c r="T1162" s="91"/>
      <c r="U1162" s="91"/>
      <c r="V1162" s="91"/>
      <c r="W1162" s="91"/>
      <c r="X1162" s="91"/>
      <c r="Y1162" s="91"/>
      <c r="Z1162" s="91"/>
      <c r="AA1162" s="91"/>
      <c r="AB1162" s="91"/>
      <c r="AC1162" s="91"/>
      <c r="AD1162" s="91"/>
      <c r="AE1162" s="91"/>
      <c r="AF1162" s="91"/>
      <c r="AG1162" s="91"/>
      <c r="AH1162" s="91"/>
      <c r="AI1162" s="91"/>
      <c r="AJ1162" s="91"/>
      <c r="AK1162" s="91"/>
      <c r="AL1162" s="91"/>
      <c r="AM1162" s="91"/>
    </row>
    <row r="1163" spans="1:39" ht="20.25" hidden="1" customHeight="1">
      <c r="A1163" s="91"/>
      <c r="B1163" s="93" t="s">
        <v>3610</v>
      </c>
      <c r="C1163" s="91" t="s">
        <v>36</v>
      </c>
      <c r="D1163" s="94" t="s">
        <v>3709</v>
      </c>
      <c r="E1163" s="94" t="s">
        <v>3710</v>
      </c>
      <c r="F1163" s="95" t="s">
        <v>3711</v>
      </c>
      <c r="G1163" s="96">
        <v>42493</v>
      </c>
      <c r="H1163" s="97">
        <v>20814</v>
      </c>
      <c r="I1163" s="94" t="s">
        <v>3712</v>
      </c>
      <c r="J1163" s="94" t="s">
        <v>58</v>
      </c>
      <c r="K1163" s="95">
        <v>997838460</v>
      </c>
      <c r="L1163" s="91" t="s">
        <v>167</v>
      </c>
      <c r="M1163" s="98">
        <f ca="1">(TODAY()-H1163)/365</f>
        <v>69.008219178082186</v>
      </c>
      <c r="N1163" s="99">
        <f>(G1163-H1163)/365</f>
        <v>59.394520547945206</v>
      </c>
      <c r="O1163" s="98">
        <f ca="1">(TODAY()-G1163)/365</f>
        <v>9.6136986301369856</v>
      </c>
      <c r="P1163" s="91" t="s">
        <v>43</v>
      </c>
      <c r="Q1163" s="91">
        <v>0</v>
      </c>
      <c r="R1163" s="91">
        <v>0</v>
      </c>
      <c r="S1163" s="91">
        <v>0</v>
      </c>
      <c r="T1163" s="91"/>
      <c r="U1163" s="91"/>
      <c r="V1163" s="91"/>
      <c r="W1163" s="91"/>
      <c r="X1163" s="91"/>
      <c r="Y1163" s="91"/>
      <c r="Z1163" s="91"/>
      <c r="AA1163" s="91"/>
      <c r="AB1163" s="91"/>
      <c r="AC1163" s="91"/>
      <c r="AD1163" s="91"/>
      <c r="AE1163" s="91"/>
      <c r="AF1163" s="91"/>
      <c r="AG1163" s="91"/>
      <c r="AH1163" s="91"/>
      <c r="AI1163" s="91"/>
      <c r="AJ1163" s="91"/>
      <c r="AK1163" s="91"/>
      <c r="AL1163" s="91"/>
      <c r="AM1163" s="91"/>
    </row>
    <row r="1164" spans="1:39" ht="20.25" hidden="1" customHeight="1">
      <c r="A1164" s="91"/>
      <c r="B1164" s="93" t="s">
        <v>3610</v>
      </c>
      <c r="C1164" s="91" t="s">
        <v>36</v>
      </c>
      <c r="D1164" s="94" t="s">
        <v>3713</v>
      </c>
      <c r="E1164" s="94" t="s">
        <v>3714</v>
      </c>
      <c r="F1164" s="95" t="s">
        <v>3715</v>
      </c>
      <c r="G1164" s="96">
        <v>34324</v>
      </c>
      <c r="H1164" s="97">
        <v>12393</v>
      </c>
      <c r="I1164" s="100" t="s">
        <v>58</v>
      </c>
      <c r="J1164" s="94" t="s">
        <v>58</v>
      </c>
      <c r="K1164" s="95" t="s">
        <v>58</v>
      </c>
      <c r="L1164" s="91" t="s">
        <v>60</v>
      </c>
      <c r="M1164" s="98">
        <f ca="1">(TODAY()-H1164)/365</f>
        <v>92.079452054794515</v>
      </c>
      <c r="N1164" s="99">
        <f>(G1164-H1164)/365</f>
        <v>60.084931506849315</v>
      </c>
      <c r="O1164" s="98">
        <f ca="1">(TODAY()-G1164)/365</f>
        <v>31.994520547945207</v>
      </c>
      <c r="P1164" s="91" t="s">
        <v>43</v>
      </c>
      <c r="Q1164" s="91">
        <v>0</v>
      </c>
      <c r="R1164" s="91">
        <v>0</v>
      </c>
      <c r="S1164" s="91">
        <v>0</v>
      </c>
      <c r="T1164" s="91"/>
      <c r="U1164" s="91"/>
      <c r="V1164" s="91"/>
      <c r="W1164" s="91"/>
      <c r="X1164" s="91"/>
      <c r="Y1164" s="91"/>
      <c r="Z1164" s="91"/>
      <c r="AA1164" s="91"/>
      <c r="AB1164" s="91"/>
      <c r="AC1164" s="91"/>
      <c r="AD1164" s="91"/>
      <c r="AE1164" s="91"/>
      <c r="AF1164" s="91"/>
      <c r="AG1164" s="91"/>
      <c r="AH1164" s="91"/>
      <c r="AI1164" s="91"/>
      <c r="AJ1164" s="91"/>
      <c r="AK1164" s="91"/>
      <c r="AL1164" s="91"/>
      <c r="AM1164" s="91"/>
    </row>
    <row r="1165" spans="1:39" ht="20.25" hidden="1" customHeight="1">
      <c r="A1165" s="91"/>
      <c r="B1165" s="93" t="s">
        <v>3610</v>
      </c>
      <c r="C1165" s="91" t="s">
        <v>36</v>
      </c>
      <c r="D1165" s="94" t="s">
        <v>3716</v>
      </c>
      <c r="E1165" s="94" t="s">
        <v>3717</v>
      </c>
      <c r="F1165" s="95" t="s">
        <v>3718</v>
      </c>
      <c r="G1165" s="96">
        <v>38261</v>
      </c>
      <c r="H1165" s="97">
        <v>16213</v>
      </c>
      <c r="I1165" s="100" t="s">
        <v>58</v>
      </c>
      <c r="J1165" s="94" t="s">
        <v>58</v>
      </c>
      <c r="K1165" s="95">
        <v>998655941</v>
      </c>
      <c r="L1165" s="91" t="s">
        <v>60</v>
      </c>
      <c r="M1165" s="98">
        <f ca="1">(TODAY()-H1165)/365</f>
        <v>81.61369863013698</v>
      </c>
      <c r="N1165" s="99">
        <f>(G1165-H1165)/365</f>
        <v>60.405479452054792</v>
      </c>
      <c r="O1165" s="98">
        <f ca="1">(TODAY()-G1165)/365</f>
        <v>21.208219178082192</v>
      </c>
      <c r="P1165" s="91" t="s">
        <v>43</v>
      </c>
      <c r="Q1165" s="91">
        <v>0</v>
      </c>
      <c r="R1165" s="91">
        <v>0</v>
      </c>
      <c r="S1165" s="91">
        <v>0</v>
      </c>
      <c r="T1165" s="91"/>
      <c r="U1165" s="91"/>
      <c r="V1165" s="91"/>
      <c r="W1165" s="91"/>
      <c r="X1165" s="91"/>
      <c r="Y1165" s="91"/>
      <c r="Z1165" s="91"/>
      <c r="AA1165" s="91"/>
      <c r="AB1165" s="91"/>
      <c r="AC1165" s="91"/>
      <c r="AD1165" s="91"/>
      <c r="AE1165" s="91"/>
      <c r="AF1165" s="91"/>
      <c r="AG1165" s="91"/>
      <c r="AH1165" s="91"/>
      <c r="AI1165" s="91"/>
      <c r="AJ1165" s="91"/>
      <c r="AK1165" s="91"/>
      <c r="AL1165" s="91"/>
      <c r="AM1165" s="91"/>
    </row>
    <row r="1166" spans="1:39" ht="20.25" hidden="1" customHeight="1">
      <c r="A1166" s="91"/>
      <c r="B1166" s="93" t="s">
        <v>3610</v>
      </c>
      <c r="C1166" s="91" t="s">
        <v>36</v>
      </c>
      <c r="D1166" s="94" t="s">
        <v>3719</v>
      </c>
      <c r="E1166" s="94" t="s">
        <v>3720</v>
      </c>
      <c r="F1166" s="95" t="s">
        <v>3721</v>
      </c>
      <c r="G1166" s="96">
        <v>44410</v>
      </c>
      <c r="H1166" s="97">
        <v>20702</v>
      </c>
      <c r="I1166" s="100" t="s">
        <v>58</v>
      </c>
      <c r="J1166" s="94" t="s">
        <v>58</v>
      </c>
      <c r="K1166" s="95">
        <v>971472910</v>
      </c>
      <c r="L1166" s="91" t="s">
        <v>60</v>
      </c>
      <c r="M1166" s="98">
        <f ca="1">(TODAY()-H1166)/365</f>
        <v>69.31506849315069</v>
      </c>
      <c r="N1166" s="99">
        <f>(G1166-H1166)/365</f>
        <v>64.953424657534242</v>
      </c>
      <c r="O1166" s="98">
        <f ca="1">(TODAY()-G1166)/365</f>
        <v>4.3616438356164382</v>
      </c>
      <c r="P1166" s="91" t="s">
        <v>43</v>
      </c>
      <c r="Q1166" s="91">
        <v>0</v>
      </c>
      <c r="R1166" s="91">
        <v>0</v>
      </c>
      <c r="S1166" s="91">
        <v>0</v>
      </c>
      <c r="T1166" s="91"/>
      <c r="U1166" s="91"/>
      <c r="V1166" s="91"/>
      <c r="W1166" s="91"/>
      <c r="X1166" s="91"/>
      <c r="Y1166" s="91"/>
      <c r="Z1166" s="91"/>
      <c r="AA1166" s="91"/>
      <c r="AB1166" s="91"/>
      <c r="AC1166" s="91"/>
      <c r="AD1166" s="91"/>
      <c r="AE1166" s="91"/>
      <c r="AF1166" s="91"/>
      <c r="AG1166" s="91"/>
      <c r="AH1166" s="91"/>
      <c r="AI1166" s="91"/>
      <c r="AJ1166" s="91"/>
      <c r="AK1166" s="91"/>
      <c r="AL1166" s="91"/>
      <c r="AM1166" s="91"/>
    </row>
    <row r="1167" spans="1:39" ht="20.25" hidden="1" customHeight="1">
      <c r="A1167" s="91"/>
      <c r="B1167" s="93" t="s">
        <v>3610</v>
      </c>
      <c r="C1167" s="91" t="s">
        <v>36</v>
      </c>
      <c r="D1167" s="94" t="s">
        <v>3722</v>
      </c>
      <c r="E1167" s="94" t="s">
        <v>3723</v>
      </c>
      <c r="F1167" s="95" t="s">
        <v>3724</v>
      </c>
      <c r="G1167" s="96">
        <v>42948</v>
      </c>
      <c r="H1167" s="97">
        <v>18912</v>
      </c>
      <c r="I1167" s="100" t="s">
        <v>58</v>
      </c>
      <c r="J1167" s="94" t="s">
        <v>58</v>
      </c>
      <c r="K1167" s="95">
        <v>974239844</v>
      </c>
      <c r="L1167" s="91" t="s">
        <v>60</v>
      </c>
      <c r="M1167" s="98">
        <f ca="1">(TODAY()-H1167)/365</f>
        <v>74.219178082191775</v>
      </c>
      <c r="N1167" s="99">
        <f>(G1167-H1167)/365</f>
        <v>65.852054794520555</v>
      </c>
      <c r="O1167" s="98">
        <f ca="1">(TODAY()-G1167)/365</f>
        <v>8.367123287671232</v>
      </c>
      <c r="P1167" s="91" t="s">
        <v>43</v>
      </c>
      <c r="Q1167" s="91">
        <v>0</v>
      </c>
      <c r="R1167" s="91">
        <v>0</v>
      </c>
      <c r="S1167" s="91">
        <v>0</v>
      </c>
      <c r="T1167" s="91"/>
      <c r="U1167" s="91"/>
      <c r="V1167" s="91"/>
      <c r="W1167" s="91"/>
      <c r="X1167" s="91"/>
      <c r="Y1167" s="91"/>
      <c r="Z1167" s="91"/>
      <c r="AA1167" s="91"/>
      <c r="AB1167" s="91"/>
      <c r="AC1167" s="91"/>
      <c r="AD1167" s="91"/>
      <c r="AE1167" s="91"/>
      <c r="AF1167" s="91"/>
      <c r="AG1167" s="91"/>
      <c r="AH1167" s="91"/>
      <c r="AI1167" s="91"/>
      <c r="AJ1167" s="91"/>
      <c r="AK1167" s="91"/>
      <c r="AL1167" s="91"/>
      <c r="AM1167" s="91"/>
    </row>
    <row r="1168" spans="1:39" ht="20.25" hidden="1" customHeight="1">
      <c r="A1168" s="91"/>
      <c r="B1168" s="93" t="s">
        <v>3610</v>
      </c>
      <c r="C1168" s="91" t="s">
        <v>36</v>
      </c>
      <c r="D1168" s="94" t="s">
        <v>3692</v>
      </c>
      <c r="E1168" s="94" t="s">
        <v>3725</v>
      </c>
      <c r="F1168" s="95" t="s">
        <v>3726</v>
      </c>
      <c r="G1168" s="96">
        <v>44684</v>
      </c>
      <c r="H1168" s="97">
        <v>20435</v>
      </c>
      <c r="I1168" s="94" t="s">
        <v>3727</v>
      </c>
      <c r="J1168" s="94" t="s">
        <v>58</v>
      </c>
      <c r="K1168" s="95">
        <v>991527803</v>
      </c>
      <c r="L1168" s="91" t="s">
        <v>60</v>
      </c>
      <c r="M1168" s="98">
        <f ca="1">(TODAY()-H1168)/365</f>
        <v>70.046575342465758</v>
      </c>
      <c r="N1168" s="99">
        <f>(G1168-H1168)/365</f>
        <v>66.435616438356163</v>
      </c>
      <c r="O1168" s="98">
        <f ca="1">(TODAY()-G1168)/365</f>
        <v>3.6109589041095891</v>
      </c>
      <c r="P1168" s="91" t="s">
        <v>43</v>
      </c>
      <c r="Q1168" s="91">
        <v>0</v>
      </c>
      <c r="R1168" s="91">
        <v>0</v>
      </c>
      <c r="S1168" s="91">
        <v>0</v>
      </c>
      <c r="T1168" s="91"/>
      <c r="U1168" s="91"/>
      <c r="V1168" s="91"/>
      <c r="W1168" s="91"/>
      <c r="X1168" s="91"/>
      <c r="Y1168" s="91"/>
      <c r="Z1168" s="91"/>
      <c r="AA1168" s="91"/>
      <c r="AB1168" s="91"/>
      <c r="AC1168" s="91"/>
      <c r="AD1168" s="91"/>
      <c r="AE1168" s="91"/>
      <c r="AF1168" s="91"/>
      <c r="AG1168" s="91"/>
      <c r="AH1168" s="91"/>
      <c r="AI1168" s="91"/>
      <c r="AJ1168" s="91"/>
      <c r="AK1168" s="91"/>
      <c r="AL1168" s="91"/>
      <c r="AM1168" s="91"/>
    </row>
    <row r="1169" spans="1:39" ht="20.25" hidden="1" customHeight="1">
      <c r="A1169" s="91"/>
      <c r="B1169" s="93" t="s">
        <v>3610</v>
      </c>
      <c r="C1169" s="91" t="s">
        <v>36</v>
      </c>
      <c r="D1169" s="94" t="s">
        <v>3728</v>
      </c>
      <c r="E1169" s="94" t="s">
        <v>3729</v>
      </c>
      <c r="F1169" s="95" t="s">
        <v>3730</v>
      </c>
      <c r="G1169" s="96">
        <v>43697</v>
      </c>
      <c r="H1169" s="97">
        <v>18654</v>
      </c>
      <c r="I1169" s="94" t="s">
        <v>3731</v>
      </c>
      <c r="J1169" s="94" t="s">
        <v>58</v>
      </c>
      <c r="K1169" s="95">
        <v>977029587</v>
      </c>
      <c r="L1169" s="91" t="s">
        <v>60</v>
      </c>
      <c r="M1169" s="98">
        <f ca="1">(TODAY()-H1169)/365</f>
        <v>74.92602739726027</v>
      </c>
      <c r="N1169" s="99">
        <f>(G1169-H1169)/365</f>
        <v>68.610958904109594</v>
      </c>
      <c r="O1169" s="98">
        <f ca="1">(TODAY()-G1169)/365</f>
        <v>6.3150684931506849</v>
      </c>
      <c r="P1169" s="91" t="s">
        <v>43</v>
      </c>
      <c r="Q1169" s="91">
        <v>0</v>
      </c>
      <c r="R1169" s="91">
        <v>0</v>
      </c>
      <c r="S1169" s="91">
        <v>0</v>
      </c>
      <c r="T1169" s="91"/>
      <c r="U1169" s="91"/>
      <c r="V1169" s="91"/>
      <c r="W1169" s="91"/>
      <c r="X1169" s="91"/>
      <c r="Y1169" s="91"/>
      <c r="Z1169" s="91"/>
      <c r="AA1169" s="91"/>
      <c r="AB1169" s="91"/>
      <c r="AC1169" s="91"/>
      <c r="AD1169" s="91"/>
      <c r="AE1169" s="91"/>
      <c r="AF1169" s="91"/>
      <c r="AG1169" s="91"/>
      <c r="AH1169" s="91"/>
      <c r="AI1169" s="91"/>
      <c r="AJ1169" s="91"/>
      <c r="AK1169" s="91"/>
      <c r="AL1169" s="91"/>
      <c r="AM1169" s="91"/>
    </row>
    <row r="1170" spans="1:39" ht="20.25" hidden="1" customHeight="1">
      <c r="A1170" s="91"/>
      <c r="B1170" s="93" t="s">
        <v>3610</v>
      </c>
      <c r="C1170" s="91" t="s">
        <v>36</v>
      </c>
      <c r="D1170" s="94" t="s">
        <v>3668</v>
      </c>
      <c r="E1170" s="94" t="s">
        <v>3732</v>
      </c>
      <c r="F1170" s="95" t="s">
        <v>3733</v>
      </c>
      <c r="G1170" s="96">
        <v>43317</v>
      </c>
      <c r="H1170" s="97">
        <v>16359</v>
      </c>
      <c r="I1170" s="100" t="s">
        <v>58</v>
      </c>
      <c r="J1170" s="94" t="s">
        <v>58</v>
      </c>
      <c r="K1170" s="95">
        <v>984566515</v>
      </c>
      <c r="L1170" s="91" t="s">
        <v>60</v>
      </c>
      <c r="M1170" s="98">
        <f ca="1">(TODAY()-H1170)/365</f>
        <v>81.213698630136989</v>
      </c>
      <c r="N1170" s="99">
        <f>(G1170-H1170)/365</f>
        <v>73.857534246575341</v>
      </c>
      <c r="O1170" s="98">
        <f ca="1">(TODAY()-G1170)/365</f>
        <v>7.3561643835616435</v>
      </c>
      <c r="P1170" s="91" t="s">
        <v>43</v>
      </c>
      <c r="Q1170" s="91">
        <v>0</v>
      </c>
      <c r="R1170" s="91">
        <v>0</v>
      </c>
      <c r="S1170" s="91">
        <v>0</v>
      </c>
      <c r="T1170" s="91"/>
      <c r="U1170" s="91"/>
      <c r="V1170" s="91"/>
      <c r="W1170" s="91"/>
      <c r="X1170" s="91"/>
      <c r="Y1170" s="91"/>
      <c r="Z1170" s="91"/>
      <c r="AA1170" s="91"/>
      <c r="AB1170" s="91"/>
      <c r="AC1170" s="91"/>
      <c r="AD1170" s="91"/>
      <c r="AE1170" s="91"/>
      <c r="AF1170" s="91"/>
      <c r="AG1170" s="91"/>
      <c r="AH1170" s="91"/>
      <c r="AI1170" s="91"/>
      <c r="AJ1170" s="91"/>
      <c r="AK1170" s="91"/>
      <c r="AL1170" s="91"/>
      <c r="AM1170" s="91"/>
    </row>
    <row r="1171" spans="1:39" ht="20.25" hidden="1" customHeight="1">
      <c r="A1171" s="91"/>
      <c r="B1171" s="93" t="s">
        <v>3610</v>
      </c>
      <c r="C1171" s="91" t="s">
        <v>36</v>
      </c>
      <c r="D1171" s="94" t="s">
        <v>180</v>
      </c>
      <c r="E1171" s="94" t="s">
        <v>3734</v>
      </c>
      <c r="F1171" s="95" t="s">
        <v>3735</v>
      </c>
      <c r="G1171" s="116" t="s">
        <v>58</v>
      </c>
      <c r="H1171" s="97">
        <v>14196</v>
      </c>
      <c r="I1171" s="100" t="s">
        <v>58</v>
      </c>
      <c r="J1171" s="94" t="s">
        <v>58</v>
      </c>
      <c r="K1171" s="95">
        <v>993826167</v>
      </c>
      <c r="L1171" s="91" t="s">
        <v>60</v>
      </c>
      <c r="M1171" s="98">
        <f ca="1">(TODAY()-H1171)/365</f>
        <v>87.139726027397259</v>
      </c>
      <c r="N1171" s="95" t="s">
        <v>58</v>
      </c>
      <c r="O1171" s="98" t="e">
        <f ca="1">(TODAY()-G1171)/365</f>
        <v>#VALUE!</v>
      </c>
      <c r="P1171" s="91" t="s">
        <v>43</v>
      </c>
      <c r="Q1171" s="91">
        <v>0</v>
      </c>
      <c r="R1171" s="91">
        <v>0</v>
      </c>
      <c r="S1171" s="91">
        <v>0</v>
      </c>
      <c r="T1171" s="91"/>
      <c r="U1171" s="91"/>
      <c r="V1171" s="91"/>
      <c r="W1171" s="91"/>
      <c r="X1171" s="91"/>
      <c r="Y1171" s="91"/>
      <c r="Z1171" s="91"/>
      <c r="AA1171" s="91"/>
      <c r="AB1171" s="91"/>
      <c r="AC1171" s="91"/>
      <c r="AD1171" s="91"/>
      <c r="AE1171" s="91"/>
      <c r="AF1171" s="91"/>
      <c r="AG1171" s="91"/>
      <c r="AH1171" s="91"/>
      <c r="AI1171" s="91"/>
      <c r="AJ1171" s="91"/>
      <c r="AK1171" s="91"/>
      <c r="AL1171" s="91"/>
      <c r="AM1171" s="91"/>
    </row>
    <row r="1172" spans="1:39" ht="20.25" customHeight="1">
      <c r="A1172" s="91"/>
      <c r="B1172" s="93" t="s">
        <v>77</v>
      </c>
      <c r="C1172" s="91" t="s">
        <v>73</v>
      </c>
      <c r="D1172" s="94" t="s">
        <v>96</v>
      </c>
      <c r="E1172" s="94" t="s">
        <v>97</v>
      </c>
      <c r="F1172" s="95" t="s">
        <v>98</v>
      </c>
      <c r="G1172" s="96">
        <v>21713</v>
      </c>
      <c r="H1172" s="97">
        <v>13013</v>
      </c>
      <c r="I1172" s="94" t="s">
        <v>99</v>
      </c>
      <c r="J1172" s="100" t="s">
        <v>58</v>
      </c>
      <c r="K1172" s="91" t="s">
        <v>58</v>
      </c>
      <c r="L1172" s="91" t="s">
        <v>60</v>
      </c>
      <c r="M1172" s="98">
        <f ca="1">(TODAY()-H1172)/365</f>
        <v>90.38082191780822</v>
      </c>
      <c r="N1172" s="99">
        <f>(G1172-H1172)/365</f>
        <v>23.835616438356166</v>
      </c>
      <c r="O1172" s="98">
        <f ca="1">(TODAY()-G1172)/365</f>
        <v>66.545205479452051</v>
      </c>
      <c r="P1172" s="91" t="s">
        <v>43</v>
      </c>
      <c r="Q1172" s="91">
        <v>0</v>
      </c>
      <c r="R1172" s="91">
        <v>0</v>
      </c>
      <c r="S1172" s="91">
        <v>0</v>
      </c>
      <c r="T1172" s="91"/>
      <c r="U1172" s="91"/>
      <c r="V1172" s="91"/>
      <c r="W1172" s="91"/>
      <c r="X1172" s="91"/>
      <c r="Y1172" s="91"/>
      <c r="Z1172" s="91"/>
      <c r="AA1172" s="91"/>
      <c r="AB1172" s="91"/>
      <c r="AC1172" s="91"/>
      <c r="AD1172" s="91"/>
      <c r="AE1172" s="91"/>
      <c r="AF1172" s="91"/>
      <c r="AG1172" s="91"/>
      <c r="AH1172" s="91"/>
      <c r="AI1172" s="91"/>
      <c r="AJ1172" s="91"/>
      <c r="AK1172" s="91"/>
      <c r="AL1172" s="91"/>
      <c r="AM1172" s="91"/>
    </row>
    <row r="1173" spans="1:39" ht="20.25" customHeight="1">
      <c r="A1173" s="91"/>
      <c r="B1173" s="93" t="s">
        <v>8930</v>
      </c>
      <c r="C1173" s="91" t="s">
        <v>73</v>
      </c>
      <c r="D1173" s="107" t="s">
        <v>1183</v>
      </c>
      <c r="E1173" s="107" t="s">
        <v>8934</v>
      </c>
      <c r="F1173" s="91" t="s">
        <v>8935</v>
      </c>
      <c r="G1173" s="96">
        <v>42495</v>
      </c>
      <c r="H1173" s="97">
        <v>36049</v>
      </c>
      <c r="I1173" s="100" t="s">
        <v>8936</v>
      </c>
      <c r="J1173" s="94" t="s">
        <v>58</v>
      </c>
      <c r="K1173" s="91">
        <v>979459803</v>
      </c>
      <c r="L1173" s="91" t="s">
        <v>60</v>
      </c>
      <c r="M1173" s="98">
        <f ca="1">(TODAY()-H1173)/365</f>
        <v>27.268493150684932</v>
      </c>
      <c r="N1173" s="99">
        <f>(G1173-H1173)/365</f>
        <v>17.660273972602738</v>
      </c>
      <c r="O1173" s="98">
        <f ca="1">(TODAY()-G1173)/365</f>
        <v>9.6082191780821926</v>
      </c>
      <c r="P1173" s="91" t="s">
        <v>43</v>
      </c>
      <c r="Q1173" s="91">
        <v>0</v>
      </c>
      <c r="R1173" s="91">
        <v>0</v>
      </c>
      <c r="S1173" s="91">
        <v>0</v>
      </c>
      <c r="T1173" s="91"/>
      <c r="U1173" s="91"/>
      <c r="V1173" s="91"/>
      <c r="W1173" s="91"/>
      <c r="X1173" s="91"/>
      <c r="Y1173" s="91"/>
      <c r="Z1173" s="91"/>
      <c r="AA1173" s="91"/>
      <c r="AB1173" s="91"/>
      <c r="AC1173" s="91"/>
      <c r="AD1173" s="91"/>
      <c r="AE1173" s="91"/>
      <c r="AF1173" s="91"/>
      <c r="AG1173" s="91"/>
      <c r="AH1173" s="91"/>
      <c r="AI1173" s="91"/>
      <c r="AJ1173" s="91"/>
      <c r="AK1173" s="91"/>
      <c r="AL1173" s="91"/>
      <c r="AM1173" s="91"/>
    </row>
    <row r="1174" spans="1:39" ht="20.25" customHeight="1">
      <c r="A1174" s="91"/>
      <c r="B1174" s="93" t="s">
        <v>8930</v>
      </c>
      <c r="C1174" s="91" t="s">
        <v>73</v>
      </c>
      <c r="D1174" s="107" t="s">
        <v>3554</v>
      </c>
      <c r="E1174" s="107" t="s">
        <v>8965</v>
      </c>
      <c r="F1174" s="91" t="s">
        <v>8966</v>
      </c>
      <c r="G1174" s="96">
        <v>32728</v>
      </c>
      <c r="H1174" s="97">
        <v>15876</v>
      </c>
      <c r="I1174" s="94" t="s">
        <v>58</v>
      </c>
      <c r="J1174" s="94" t="s">
        <v>58</v>
      </c>
      <c r="K1174" s="91">
        <v>982359450</v>
      </c>
      <c r="L1174" s="91" t="s">
        <v>60</v>
      </c>
      <c r="M1174" s="98">
        <f ca="1">(TODAY()-H1174)/365</f>
        <v>82.536986301369865</v>
      </c>
      <c r="N1174" s="99">
        <f>(G1174-H1174)/365</f>
        <v>46.169863013698631</v>
      </c>
      <c r="O1174" s="98">
        <f ca="1">(TODAY()-G1174)/365</f>
        <v>36.367123287671234</v>
      </c>
      <c r="P1174" s="91" t="s">
        <v>43</v>
      </c>
      <c r="Q1174" s="91">
        <v>0</v>
      </c>
      <c r="R1174" s="91">
        <v>0</v>
      </c>
      <c r="S1174" s="91">
        <v>0</v>
      </c>
      <c r="T1174" s="91"/>
      <c r="U1174" s="91"/>
      <c r="V1174" s="91"/>
      <c r="W1174" s="91"/>
      <c r="X1174" s="91"/>
      <c r="Y1174" s="91"/>
      <c r="Z1174" s="91"/>
      <c r="AA1174" s="91"/>
      <c r="AB1174" s="91"/>
      <c r="AC1174" s="91"/>
      <c r="AD1174" s="91"/>
      <c r="AE1174" s="91"/>
      <c r="AF1174" s="91"/>
      <c r="AG1174" s="91"/>
      <c r="AH1174" s="91"/>
      <c r="AI1174" s="91"/>
      <c r="AJ1174" s="91"/>
      <c r="AK1174" s="91"/>
      <c r="AL1174" s="91"/>
      <c r="AM1174" s="91"/>
    </row>
    <row r="1175" spans="1:39" ht="20.25" customHeight="1">
      <c r="A1175" s="91"/>
      <c r="B1175" s="93" t="s">
        <v>10029</v>
      </c>
      <c r="C1175" s="91" t="s">
        <v>73</v>
      </c>
      <c r="D1175" s="106" t="s">
        <v>249</v>
      </c>
      <c r="E1175" s="106" t="s">
        <v>10057</v>
      </c>
      <c r="F1175" s="92" t="s">
        <v>10058</v>
      </c>
      <c r="G1175" s="103">
        <v>41918</v>
      </c>
      <c r="H1175" s="103">
        <v>34947</v>
      </c>
      <c r="I1175" s="94" t="s">
        <v>10032</v>
      </c>
      <c r="J1175" s="100" t="s">
        <v>58</v>
      </c>
      <c r="K1175" s="95" t="s">
        <v>58</v>
      </c>
      <c r="L1175" s="91"/>
      <c r="M1175" s="98">
        <f ca="1">(TODAY()-H1175)/365</f>
        <v>30.287671232876711</v>
      </c>
      <c r="N1175" s="99">
        <f>(G1175-H1175)/365</f>
        <v>19.098630136986301</v>
      </c>
      <c r="O1175" s="98">
        <f ca="1">(TODAY()-G1175)/365</f>
        <v>11.189041095890412</v>
      </c>
      <c r="P1175" s="91" t="s">
        <v>272</v>
      </c>
      <c r="Q1175" s="91"/>
      <c r="R1175" s="91"/>
      <c r="S1175" s="91"/>
      <c r="T1175" s="91"/>
      <c r="U1175" s="91"/>
      <c r="V1175" s="91"/>
      <c r="W1175" s="91"/>
      <c r="X1175" s="91"/>
      <c r="Y1175" s="91"/>
      <c r="Z1175" s="91"/>
      <c r="AA1175" s="91"/>
      <c r="AB1175" s="91"/>
      <c r="AC1175" s="91"/>
      <c r="AD1175" s="91"/>
      <c r="AE1175" s="91"/>
      <c r="AF1175" s="91"/>
      <c r="AG1175" s="91"/>
      <c r="AH1175" s="91"/>
      <c r="AI1175" s="91"/>
      <c r="AJ1175" s="91"/>
      <c r="AK1175" s="91"/>
      <c r="AL1175" s="91"/>
      <c r="AM1175" s="91"/>
    </row>
    <row r="1176" spans="1:39" ht="20.25" hidden="1" customHeight="1">
      <c r="A1176" s="91"/>
      <c r="B1176" s="93" t="s">
        <v>11784</v>
      </c>
      <c r="C1176" s="91" t="s">
        <v>36</v>
      </c>
      <c r="D1176" s="107" t="s">
        <v>3749</v>
      </c>
      <c r="E1176" s="107" t="s">
        <v>3750</v>
      </c>
      <c r="F1176" s="91" t="s">
        <v>3751</v>
      </c>
      <c r="G1176" s="96" t="s">
        <v>58</v>
      </c>
      <c r="H1176" s="97">
        <v>27821</v>
      </c>
      <c r="I1176" s="94" t="s">
        <v>58</v>
      </c>
      <c r="J1176" s="94" t="s">
        <v>58</v>
      </c>
      <c r="K1176" s="91">
        <v>92190776</v>
      </c>
      <c r="L1176" s="91" t="s">
        <v>60</v>
      </c>
      <c r="M1176" s="98">
        <f ca="1">(TODAY()-H1176)/365</f>
        <v>49.81095890410959</v>
      </c>
      <c r="N1176" s="95" t="s">
        <v>58</v>
      </c>
      <c r="O1176" s="98" t="e">
        <f ca="1">(TODAY()-G1176)/365</f>
        <v>#VALUE!</v>
      </c>
      <c r="P1176" s="91" t="s">
        <v>43</v>
      </c>
      <c r="Q1176" s="91">
        <v>0</v>
      </c>
      <c r="R1176" s="91">
        <v>0</v>
      </c>
      <c r="S1176" s="91">
        <v>0</v>
      </c>
      <c r="T1176" s="91"/>
      <c r="U1176" s="91"/>
      <c r="V1176" s="91"/>
      <c r="W1176" s="91"/>
      <c r="X1176" s="91"/>
      <c r="Y1176" s="91"/>
      <c r="Z1176" s="91"/>
      <c r="AA1176" s="91"/>
      <c r="AB1176" s="91"/>
      <c r="AC1176" s="91"/>
      <c r="AD1176" s="91"/>
      <c r="AE1176" s="91"/>
      <c r="AF1176" s="91"/>
      <c r="AG1176" s="91"/>
      <c r="AH1176" s="91"/>
      <c r="AI1176" s="91"/>
      <c r="AJ1176" s="91"/>
      <c r="AK1176" s="91"/>
      <c r="AL1176" s="91"/>
      <c r="AM1176" s="91"/>
    </row>
    <row r="1177" spans="1:39" ht="20.25" hidden="1" customHeight="1">
      <c r="A1177" s="91"/>
      <c r="B1177" s="93" t="s">
        <v>11784</v>
      </c>
      <c r="C1177" s="91" t="s">
        <v>36</v>
      </c>
      <c r="D1177" s="107" t="s">
        <v>3749</v>
      </c>
      <c r="E1177" s="107" t="s">
        <v>3752</v>
      </c>
      <c r="F1177" s="91" t="s">
        <v>3753</v>
      </c>
      <c r="G1177" s="96">
        <v>45242</v>
      </c>
      <c r="H1177" s="97">
        <v>40578</v>
      </c>
      <c r="I1177" s="94" t="s">
        <v>58</v>
      </c>
      <c r="J1177" s="94" t="s">
        <v>58</v>
      </c>
      <c r="K1177" s="91">
        <v>93017946</v>
      </c>
      <c r="L1177" s="91" t="s">
        <v>60</v>
      </c>
      <c r="M1177" s="98">
        <f ca="1">(TODAY()-H1177)/365</f>
        <v>14.860273972602739</v>
      </c>
      <c r="N1177" s="99">
        <f>(G1177-H1177)/365</f>
        <v>12.778082191780822</v>
      </c>
      <c r="O1177" s="98">
        <f ca="1">(TODAY()-G1177)/365</f>
        <v>2.0821917808219177</v>
      </c>
      <c r="P1177" s="91" t="s">
        <v>43</v>
      </c>
      <c r="Q1177" s="91">
        <v>0</v>
      </c>
      <c r="R1177" s="91">
        <v>0</v>
      </c>
      <c r="S1177" s="91">
        <v>0</v>
      </c>
      <c r="T1177" s="91"/>
      <c r="U1177" s="91"/>
      <c r="V1177" s="91"/>
      <c r="W1177" s="91"/>
      <c r="X1177" s="91"/>
      <c r="Y1177" s="91"/>
      <c r="Z1177" s="91"/>
      <c r="AA1177" s="91"/>
      <c r="AB1177" s="91"/>
      <c r="AC1177" s="91"/>
      <c r="AD1177" s="91"/>
      <c r="AE1177" s="91"/>
      <c r="AF1177" s="91"/>
      <c r="AG1177" s="91"/>
      <c r="AH1177" s="91"/>
      <c r="AI1177" s="91"/>
      <c r="AJ1177" s="91"/>
      <c r="AK1177" s="91"/>
      <c r="AL1177" s="91"/>
      <c r="AM1177" s="91"/>
    </row>
    <row r="1178" spans="1:39" ht="20.25" hidden="1" customHeight="1">
      <c r="A1178" s="91"/>
      <c r="B1178" s="93" t="s">
        <v>11784</v>
      </c>
      <c r="C1178" s="91" t="s">
        <v>36</v>
      </c>
      <c r="D1178" s="107" t="s">
        <v>459</v>
      </c>
      <c r="E1178" s="107" t="s">
        <v>3754</v>
      </c>
      <c r="F1178" s="91" t="s">
        <v>3755</v>
      </c>
      <c r="G1178" s="96">
        <v>45242</v>
      </c>
      <c r="H1178" s="97">
        <v>40363</v>
      </c>
      <c r="I1178" s="94" t="s">
        <v>58</v>
      </c>
      <c r="J1178" s="94" t="s">
        <v>58</v>
      </c>
      <c r="K1178" s="91">
        <v>97891172</v>
      </c>
      <c r="L1178" s="91" t="s">
        <v>60</v>
      </c>
      <c r="M1178" s="98">
        <f ca="1">(TODAY()-H1178)/365</f>
        <v>15.449315068493151</v>
      </c>
      <c r="N1178" s="99">
        <f>(G1178-H1178)/365</f>
        <v>13.367123287671232</v>
      </c>
      <c r="O1178" s="98">
        <f ca="1">(TODAY()-G1178)/365</f>
        <v>2.0821917808219177</v>
      </c>
      <c r="P1178" s="91" t="s">
        <v>43</v>
      </c>
      <c r="Q1178" s="91">
        <v>0</v>
      </c>
      <c r="R1178" s="91">
        <v>0</v>
      </c>
      <c r="S1178" s="91">
        <v>0</v>
      </c>
      <c r="T1178" s="91"/>
      <c r="U1178" s="91"/>
      <c r="V1178" s="91"/>
      <c r="W1178" s="91"/>
      <c r="X1178" s="91"/>
      <c r="Y1178" s="91"/>
      <c r="Z1178" s="91"/>
      <c r="AA1178" s="91"/>
      <c r="AB1178" s="91"/>
      <c r="AC1178" s="91"/>
      <c r="AD1178" s="91"/>
      <c r="AE1178" s="91"/>
      <c r="AF1178" s="91"/>
      <c r="AG1178" s="91"/>
      <c r="AH1178" s="91"/>
      <c r="AI1178" s="91"/>
      <c r="AJ1178" s="91"/>
      <c r="AK1178" s="91"/>
      <c r="AL1178" s="91"/>
      <c r="AM1178" s="91"/>
    </row>
    <row r="1179" spans="1:39" ht="20.25" hidden="1" customHeight="1">
      <c r="A1179" s="91"/>
      <c r="B1179" s="93" t="s">
        <v>11784</v>
      </c>
      <c r="C1179" s="91" t="s">
        <v>36</v>
      </c>
      <c r="D1179" s="107" t="s">
        <v>3756</v>
      </c>
      <c r="E1179" s="107" t="s">
        <v>3757</v>
      </c>
      <c r="F1179" s="91" t="s">
        <v>3758</v>
      </c>
      <c r="G1179" s="96">
        <v>45242</v>
      </c>
      <c r="H1179" s="97">
        <v>38989</v>
      </c>
      <c r="I1179" s="94" t="s">
        <v>58</v>
      </c>
      <c r="J1179" s="94" t="s">
        <v>58</v>
      </c>
      <c r="K1179" s="91">
        <v>95341582</v>
      </c>
      <c r="L1179" s="91" t="s">
        <v>60</v>
      </c>
      <c r="M1179" s="98">
        <f ca="1">(TODAY()-H1179)/365</f>
        <v>19.213698630136985</v>
      </c>
      <c r="N1179" s="99">
        <f>(G1179-H1179)/365</f>
        <v>17.13150684931507</v>
      </c>
      <c r="O1179" s="98">
        <f ca="1">(TODAY()-G1179)/365</f>
        <v>2.0821917808219177</v>
      </c>
      <c r="P1179" s="91" t="s">
        <v>43</v>
      </c>
      <c r="Q1179" s="91">
        <v>0</v>
      </c>
      <c r="R1179" s="91">
        <v>0</v>
      </c>
      <c r="S1179" s="91">
        <v>0</v>
      </c>
      <c r="T1179" s="91"/>
      <c r="U1179" s="91"/>
      <c r="V1179" s="91"/>
      <c r="W1179" s="91"/>
      <c r="X1179" s="91"/>
      <c r="Y1179" s="91"/>
      <c r="Z1179" s="91"/>
      <c r="AA1179" s="91"/>
      <c r="AB1179" s="91"/>
      <c r="AC1179" s="91"/>
      <c r="AD1179" s="91"/>
      <c r="AE1179" s="91"/>
      <c r="AF1179" s="91"/>
      <c r="AG1179" s="91"/>
      <c r="AH1179" s="91"/>
      <c r="AI1179" s="91"/>
      <c r="AJ1179" s="91"/>
      <c r="AK1179" s="91"/>
      <c r="AL1179" s="91"/>
      <c r="AM1179" s="91"/>
    </row>
    <row r="1180" spans="1:39" ht="20.25" hidden="1" customHeight="1">
      <c r="A1180" s="91"/>
      <c r="B1180" s="93" t="s">
        <v>11784</v>
      </c>
      <c r="C1180" s="91" t="s">
        <v>36</v>
      </c>
      <c r="D1180" s="107" t="s">
        <v>3759</v>
      </c>
      <c r="E1180" s="107" t="s">
        <v>3760</v>
      </c>
      <c r="F1180" s="91" t="s">
        <v>3761</v>
      </c>
      <c r="G1180" s="96">
        <v>45213</v>
      </c>
      <c r="H1180" s="97">
        <v>38785</v>
      </c>
      <c r="I1180" s="94" t="s">
        <v>3762</v>
      </c>
      <c r="J1180" s="94" t="s">
        <v>58</v>
      </c>
      <c r="K1180" s="91">
        <v>99407925</v>
      </c>
      <c r="L1180" s="91" t="s">
        <v>60</v>
      </c>
      <c r="M1180" s="98">
        <f ca="1">(TODAY()-H1180)/365</f>
        <v>19.772602739726029</v>
      </c>
      <c r="N1180" s="99">
        <f>(G1180-H1180)/365</f>
        <v>17.610958904109587</v>
      </c>
      <c r="O1180" s="98">
        <f ca="1">(TODAY()-G1180)/365</f>
        <v>2.1616438356164385</v>
      </c>
      <c r="P1180" s="91" t="s">
        <v>43</v>
      </c>
      <c r="Q1180" s="91">
        <v>0</v>
      </c>
      <c r="R1180" s="91">
        <v>0</v>
      </c>
      <c r="S1180" s="91">
        <v>0</v>
      </c>
      <c r="T1180" s="91"/>
      <c r="U1180" s="91"/>
      <c r="V1180" s="91"/>
      <c r="W1180" s="91"/>
      <c r="X1180" s="91"/>
      <c r="Y1180" s="91"/>
      <c r="Z1180" s="91"/>
      <c r="AA1180" s="91"/>
      <c r="AB1180" s="91"/>
      <c r="AC1180" s="91"/>
      <c r="AD1180" s="91"/>
      <c r="AE1180" s="91"/>
      <c r="AF1180" s="91"/>
      <c r="AG1180" s="91"/>
      <c r="AH1180" s="91"/>
      <c r="AI1180" s="91"/>
      <c r="AJ1180" s="91"/>
      <c r="AK1180" s="91"/>
      <c r="AL1180" s="91"/>
      <c r="AM1180" s="91"/>
    </row>
    <row r="1181" spans="1:39" ht="20.25" hidden="1" customHeight="1">
      <c r="A1181" s="91"/>
      <c r="B1181" s="93" t="s">
        <v>11784</v>
      </c>
      <c r="C1181" s="91" t="s">
        <v>36</v>
      </c>
      <c r="D1181" s="107" t="s">
        <v>3763</v>
      </c>
      <c r="E1181" s="107" t="s">
        <v>3764</v>
      </c>
      <c r="F1181" s="91" t="s">
        <v>3765</v>
      </c>
      <c r="G1181" s="96">
        <v>26785</v>
      </c>
      <c r="H1181" s="97">
        <v>15505</v>
      </c>
      <c r="I1181" s="94" t="s">
        <v>58</v>
      </c>
      <c r="J1181" s="94" t="s">
        <v>58</v>
      </c>
      <c r="K1181" s="91">
        <v>97469971</v>
      </c>
      <c r="L1181" s="91" t="s">
        <v>54</v>
      </c>
      <c r="M1181" s="98">
        <f ca="1">(TODAY()-H1181)/365</f>
        <v>83.553424657534251</v>
      </c>
      <c r="N1181" s="99">
        <f>(G1181-H1181)/365</f>
        <v>30.904109589041095</v>
      </c>
      <c r="O1181" s="98">
        <f ca="1">(TODAY()-G1181)/365</f>
        <v>52.649315068493152</v>
      </c>
      <c r="P1181" s="91" t="s">
        <v>43</v>
      </c>
      <c r="Q1181" s="91">
        <v>0</v>
      </c>
      <c r="R1181" s="91">
        <v>0</v>
      </c>
      <c r="S1181" s="91">
        <v>0</v>
      </c>
      <c r="T1181" s="91"/>
      <c r="U1181" s="91"/>
      <c r="V1181" s="91"/>
      <c r="W1181" s="91"/>
      <c r="X1181" s="91"/>
      <c r="Y1181" s="91"/>
      <c r="Z1181" s="91"/>
      <c r="AA1181" s="91"/>
      <c r="AB1181" s="91"/>
      <c r="AC1181" s="91"/>
      <c r="AD1181" s="91"/>
      <c r="AE1181" s="91"/>
      <c r="AF1181" s="91"/>
      <c r="AG1181" s="91"/>
      <c r="AH1181" s="91"/>
      <c r="AI1181" s="91"/>
      <c r="AJ1181" s="91"/>
      <c r="AK1181" s="91"/>
      <c r="AL1181" s="91"/>
      <c r="AM1181" s="91"/>
    </row>
    <row r="1182" spans="1:39" ht="20.25" hidden="1" customHeight="1">
      <c r="A1182" s="91"/>
      <c r="B1182" s="93" t="s">
        <v>11784</v>
      </c>
      <c r="C1182" s="91" t="s">
        <v>36</v>
      </c>
      <c r="D1182" s="107" t="s">
        <v>3766</v>
      </c>
      <c r="E1182" s="107" t="s">
        <v>3767</v>
      </c>
      <c r="F1182" s="91" t="s">
        <v>3768</v>
      </c>
      <c r="G1182" s="96">
        <v>45106</v>
      </c>
      <c r="H1182" s="97">
        <v>33031</v>
      </c>
      <c r="I1182" s="94" t="s">
        <v>58</v>
      </c>
      <c r="J1182" s="94" t="s">
        <v>58</v>
      </c>
      <c r="K1182" s="91">
        <v>94028160</v>
      </c>
      <c r="L1182" s="91" t="s">
        <v>60</v>
      </c>
      <c r="M1182" s="98">
        <f ca="1">(TODAY()-H1182)/365</f>
        <v>35.536986301369865</v>
      </c>
      <c r="N1182" s="99">
        <f>(G1182-H1182)/365</f>
        <v>33.082191780821915</v>
      </c>
      <c r="O1182" s="98">
        <f ca="1">(TODAY()-G1182)/365</f>
        <v>2.4547945205479453</v>
      </c>
      <c r="P1182" s="91" t="s">
        <v>43</v>
      </c>
      <c r="Q1182" s="91">
        <v>0</v>
      </c>
      <c r="R1182" s="91">
        <v>0</v>
      </c>
      <c r="S1182" s="91">
        <v>0</v>
      </c>
      <c r="T1182" s="91"/>
      <c r="U1182" s="91"/>
      <c r="V1182" s="91"/>
      <c r="W1182" s="91"/>
      <c r="X1182" s="91"/>
      <c r="Y1182" s="91"/>
      <c r="Z1182" s="91"/>
      <c r="AA1182" s="91"/>
      <c r="AB1182" s="91"/>
      <c r="AC1182" s="91"/>
      <c r="AD1182" s="91"/>
      <c r="AE1182" s="91"/>
      <c r="AF1182" s="91"/>
      <c r="AG1182" s="91"/>
      <c r="AH1182" s="91"/>
      <c r="AI1182" s="91"/>
      <c r="AJ1182" s="91"/>
      <c r="AK1182" s="91"/>
      <c r="AL1182" s="91"/>
      <c r="AM1182" s="91"/>
    </row>
    <row r="1183" spans="1:39" ht="20.25" hidden="1" customHeight="1">
      <c r="A1183" s="91"/>
      <c r="B1183" s="93" t="s">
        <v>11784</v>
      </c>
      <c r="C1183" s="91" t="s">
        <v>36</v>
      </c>
      <c r="D1183" s="107" t="s">
        <v>1463</v>
      </c>
      <c r="E1183" s="107" t="s">
        <v>3769</v>
      </c>
      <c r="F1183" s="91" t="s">
        <v>3770</v>
      </c>
      <c r="G1183" s="96">
        <v>28991</v>
      </c>
      <c r="H1183" s="97">
        <v>14887</v>
      </c>
      <c r="I1183" s="94" t="s">
        <v>58</v>
      </c>
      <c r="J1183" s="94" t="s">
        <v>58</v>
      </c>
      <c r="K1183" s="91">
        <v>64232286</v>
      </c>
      <c r="L1183" s="91" t="s">
        <v>60</v>
      </c>
      <c r="M1183" s="98">
        <f ca="1">(TODAY()-H1183)/365</f>
        <v>85.246575342465746</v>
      </c>
      <c r="N1183" s="99">
        <f>(G1183-H1183)/365</f>
        <v>38.641095890410959</v>
      </c>
      <c r="O1183" s="98">
        <f ca="1">(TODAY()-G1183)/365</f>
        <v>46.605479452054794</v>
      </c>
      <c r="P1183" s="91" t="s">
        <v>43</v>
      </c>
      <c r="Q1183" s="91">
        <v>0</v>
      </c>
      <c r="R1183" s="91">
        <v>0</v>
      </c>
      <c r="S1183" s="91">
        <v>0</v>
      </c>
      <c r="T1183" s="91"/>
      <c r="U1183" s="91"/>
      <c r="V1183" s="91"/>
      <c r="W1183" s="91"/>
      <c r="X1183" s="91"/>
      <c r="Y1183" s="91"/>
      <c r="Z1183" s="91"/>
      <c r="AA1183" s="91"/>
      <c r="AB1183" s="91"/>
      <c r="AC1183" s="91"/>
      <c r="AD1183" s="91"/>
      <c r="AE1183" s="91"/>
      <c r="AF1183" s="91"/>
      <c r="AG1183" s="91"/>
      <c r="AH1183" s="91"/>
      <c r="AI1183" s="91"/>
      <c r="AJ1183" s="91"/>
      <c r="AK1183" s="91"/>
      <c r="AL1183" s="91"/>
      <c r="AM1183" s="91"/>
    </row>
    <row r="1184" spans="1:39" ht="20.25" hidden="1" customHeight="1">
      <c r="A1184" s="91"/>
      <c r="B1184" s="93" t="s">
        <v>11784</v>
      </c>
      <c r="C1184" s="91" t="s">
        <v>36</v>
      </c>
      <c r="D1184" s="107" t="s">
        <v>3771</v>
      </c>
      <c r="E1184" s="107" t="s">
        <v>3772</v>
      </c>
      <c r="F1184" s="91">
        <v>6732838</v>
      </c>
      <c r="G1184" s="96">
        <v>35384</v>
      </c>
      <c r="H1184" s="97">
        <v>18505</v>
      </c>
      <c r="I1184" s="94" t="s">
        <v>58</v>
      </c>
      <c r="J1184" s="94" t="s">
        <v>58</v>
      </c>
      <c r="K1184" s="91">
        <v>97438989</v>
      </c>
      <c r="L1184" s="91" t="s">
        <v>66</v>
      </c>
      <c r="M1184" s="98">
        <f ca="1">(TODAY()-H1184)/365</f>
        <v>75.334246575342462</v>
      </c>
      <c r="N1184" s="99">
        <f>(G1184-H1184)/365</f>
        <v>46.243835616438353</v>
      </c>
      <c r="O1184" s="98">
        <f ca="1">(TODAY()-G1184)/365</f>
        <v>29.090410958904108</v>
      </c>
      <c r="P1184" s="91" t="s">
        <v>272</v>
      </c>
      <c r="Q1184" s="91">
        <v>0</v>
      </c>
      <c r="R1184" s="91">
        <v>0</v>
      </c>
      <c r="S1184" s="91">
        <v>0</v>
      </c>
      <c r="T1184" s="91"/>
      <c r="U1184" s="91"/>
      <c r="V1184" s="91"/>
      <c r="W1184" s="91"/>
      <c r="X1184" s="91"/>
      <c r="Y1184" s="91"/>
      <c r="Z1184" s="91"/>
      <c r="AA1184" s="91"/>
      <c r="AB1184" s="91"/>
      <c r="AC1184" s="91"/>
      <c r="AD1184" s="91"/>
      <c r="AE1184" s="91"/>
      <c r="AF1184" s="91"/>
      <c r="AG1184" s="91"/>
      <c r="AH1184" s="91"/>
      <c r="AI1184" s="91"/>
      <c r="AJ1184" s="91"/>
      <c r="AK1184" s="91"/>
      <c r="AL1184" s="91"/>
      <c r="AM1184" s="91"/>
    </row>
    <row r="1185" spans="1:39" ht="20.25" hidden="1" customHeight="1">
      <c r="A1185" s="91"/>
      <c r="B1185" s="93" t="s">
        <v>11784</v>
      </c>
      <c r="C1185" s="91" t="s">
        <v>36</v>
      </c>
      <c r="D1185" s="107" t="s">
        <v>1330</v>
      </c>
      <c r="E1185" s="107" t="s">
        <v>3773</v>
      </c>
      <c r="F1185" s="91" t="s">
        <v>3774</v>
      </c>
      <c r="G1185" s="96">
        <v>34578</v>
      </c>
      <c r="H1185" s="97">
        <v>15514</v>
      </c>
      <c r="I1185" s="94" t="s">
        <v>58</v>
      </c>
      <c r="J1185" s="94" t="s">
        <v>58</v>
      </c>
      <c r="K1185" s="91">
        <v>97255245</v>
      </c>
      <c r="L1185" s="91" t="s">
        <v>60</v>
      </c>
      <c r="M1185" s="98">
        <f ca="1">(TODAY()-H1185)/365</f>
        <v>83.528767123287665</v>
      </c>
      <c r="N1185" s="99">
        <f>(G1185-H1185)/365</f>
        <v>52.230136986301368</v>
      </c>
      <c r="O1185" s="98">
        <f ca="1">(TODAY()-G1185)/365</f>
        <v>31.298630136986301</v>
      </c>
      <c r="P1185" s="91" t="s">
        <v>43</v>
      </c>
      <c r="Q1185" s="91">
        <v>0</v>
      </c>
      <c r="R1185" s="91">
        <v>0</v>
      </c>
      <c r="S1185" s="91">
        <v>0</v>
      </c>
      <c r="T1185" s="91"/>
      <c r="U1185" s="91"/>
      <c r="V1185" s="91"/>
      <c r="W1185" s="91"/>
      <c r="X1185" s="91"/>
      <c r="Y1185" s="91"/>
      <c r="Z1185" s="91"/>
      <c r="AA1185" s="91"/>
      <c r="AB1185" s="91"/>
      <c r="AC1185" s="91"/>
      <c r="AD1185" s="91"/>
      <c r="AE1185" s="91"/>
      <c r="AF1185" s="91"/>
      <c r="AG1185" s="91"/>
      <c r="AH1185" s="91"/>
      <c r="AI1185" s="91"/>
      <c r="AJ1185" s="91"/>
      <c r="AK1185" s="91"/>
      <c r="AL1185" s="91"/>
      <c r="AM1185" s="91"/>
    </row>
    <row r="1186" spans="1:39" ht="20.25" hidden="1" customHeight="1">
      <c r="A1186" s="91"/>
      <c r="B1186" s="93" t="s">
        <v>11784</v>
      </c>
      <c r="C1186" s="91" t="s">
        <v>36</v>
      </c>
      <c r="D1186" s="107" t="s">
        <v>875</v>
      </c>
      <c r="E1186" s="107" t="s">
        <v>3775</v>
      </c>
      <c r="F1186" s="91" t="s">
        <v>3776</v>
      </c>
      <c r="G1186" s="96">
        <v>43169</v>
      </c>
      <c r="H1186" s="97">
        <v>23035</v>
      </c>
      <c r="I1186" s="100" t="s">
        <v>3777</v>
      </c>
      <c r="J1186" s="94" t="s">
        <v>58</v>
      </c>
      <c r="K1186" s="91">
        <v>98176224</v>
      </c>
      <c r="L1186" s="109" t="s">
        <v>49</v>
      </c>
      <c r="M1186" s="98">
        <f ca="1">(TODAY()-H1186)/365</f>
        <v>62.923287671232877</v>
      </c>
      <c r="N1186" s="99">
        <f>(G1186-H1186)/365</f>
        <v>55.161643835616438</v>
      </c>
      <c r="O1186" s="98">
        <f ca="1">(TODAY()-G1186)/365</f>
        <v>7.7616438356164386</v>
      </c>
      <c r="P1186" s="91" t="s">
        <v>43</v>
      </c>
      <c r="Q1186" s="91">
        <v>0</v>
      </c>
      <c r="R1186" s="91">
        <v>0</v>
      </c>
      <c r="S1186" s="91">
        <v>0</v>
      </c>
      <c r="T1186" s="91"/>
      <c r="U1186" s="91"/>
      <c r="V1186" s="91"/>
      <c r="W1186" s="91"/>
      <c r="X1186" s="91"/>
      <c r="Y1186" s="91"/>
      <c r="Z1186" s="91"/>
      <c r="AA1186" s="91"/>
      <c r="AB1186" s="91"/>
      <c r="AC1186" s="91"/>
      <c r="AD1186" s="91"/>
      <c r="AE1186" s="91"/>
      <c r="AF1186" s="91"/>
      <c r="AG1186" s="91"/>
      <c r="AH1186" s="91"/>
      <c r="AI1186" s="91"/>
      <c r="AJ1186" s="91"/>
      <c r="AK1186" s="91"/>
      <c r="AL1186" s="91"/>
      <c r="AM1186" s="91"/>
    </row>
    <row r="1187" spans="1:39" ht="20.25" hidden="1" customHeight="1">
      <c r="A1187" s="91"/>
      <c r="B1187" s="93" t="s">
        <v>11784</v>
      </c>
      <c r="C1187" s="91" t="s">
        <v>36</v>
      </c>
      <c r="D1187" s="107" t="s">
        <v>3778</v>
      </c>
      <c r="E1187" s="107" t="s">
        <v>3779</v>
      </c>
      <c r="F1187" s="91" t="s">
        <v>3780</v>
      </c>
      <c r="G1187" s="96">
        <v>32357</v>
      </c>
      <c r="H1187" s="97">
        <v>11576</v>
      </c>
      <c r="I1187" s="94" t="s">
        <v>58</v>
      </c>
      <c r="J1187" s="94" t="s">
        <v>58</v>
      </c>
      <c r="K1187" s="91">
        <v>98300423</v>
      </c>
      <c r="L1187" s="91" t="s">
        <v>60</v>
      </c>
      <c r="M1187" s="98">
        <f ca="1">(TODAY()-H1187)/365</f>
        <v>94.317808219178076</v>
      </c>
      <c r="N1187" s="99">
        <f>(G1187-H1187)/365</f>
        <v>56.934246575342463</v>
      </c>
      <c r="O1187" s="98">
        <f ca="1">(TODAY()-G1187)/365</f>
        <v>37.38356164383562</v>
      </c>
      <c r="P1187" s="91" t="s">
        <v>43</v>
      </c>
      <c r="Q1187" s="91">
        <v>0</v>
      </c>
      <c r="R1187" s="91">
        <v>0</v>
      </c>
      <c r="S1187" s="91">
        <v>0</v>
      </c>
      <c r="T1187" s="91"/>
      <c r="U1187" s="91"/>
      <c r="V1187" s="91"/>
      <c r="W1187" s="91"/>
      <c r="X1187" s="91"/>
      <c r="Y1187" s="91"/>
      <c r="Z1187" s="91"/>
      <c r="AA1187" s="91"/>
      <c r="AB1187" s="91"/>
      <c r="AC1187" s="91"/>
      <c r="AD1187" s="91"/>
      <c r="AE1187" s="91"/>
      <c r="AF1187" s="91"/>
      <c r="AG1187" s="91"/>
      <c r="AH1187" s="91"/>
      <c r="AI1187" s="91"/>
      <c r="AJ1187" s="91"/>
      <c r="AK1187" s="91"/>
      <c r="AL1187" s="91"/>
      <c r="AM1187" s="91"/>
    </row>
    <row r="1188" spans="1:39" ht="20.25" hidden="1" customHeight="1">
      <c r="A1188" s="91"/>
      <c r="B1188" s="93" t="s">
        <v>11784</v>
      </c>
      <c r="C1188" s="91" t="s">
        <v>36</v>
      </c>
      <c r="D1188" s="107" t="s">
        <v>1692</v>
      </c>
      <c r="E1188" s="107" t="s">
        <v>3781</v>
      </c>
      <c r="F1188" s="91" t="s">
        <v>3782</v>
      </c>
      <c r="G1188" s="96">
        <v>34472</v>
      </c>
      <c r="H1188" s="97">
        <v>13156</v>
      </c>
      <c r="I1188" s="94" t="s">
        <v>58</v>
      </c>
      <c r="J1188" s="94" t="s">
        <v>58</v>
      </c>
      <c r="K1188" s="91">
        <v>64232344</v>
      </c>
      <c r="L1188" s="91" t="s">
        <v>60</v>
      </c>
      <c r="M1188" s="98">
        <f ca="1">(TODAY()-H1188)/365</f>
        <v>89.989041095890414</v>
      </c>
      <c r="N1188" s="99">
        <f>(G1188-H1188)/365</f>
        <v>58.4</v>
      </c>
      <c r="O1188" s="98">
        <f ca="1">(TODAY()-G1188)/365</f>
        <v>31.589041095890412</v>
      </c>
      <c r="P1188" s="91" t="s">
        <v>43</v>
      </c>
      <c r="Q1188" s="91">
        <v>0</v>
      </c>
      <c r="R1188" s="91">
        <v>0</v>
      </c>
      <c r="S1188" s="91">
        <v>0</v>
      </c>
      <c r="T1188" s="91"/>
      <c r="U1188" s="91"/>
      <c r="V1188" s="91"/>
      <c r="W1188" s="91"/>
      <c r="X1188" s="91"/>
      <c r="Y1188" s="91"/>
      <c r="Z1188" s="91"/>
      <c r="AA1188" s="91"/>
      <c r="AB1188" s="91"/>
      <c r="AC1188" s="91"/>
      <c r="AD1188" s="91"/>
      <c r="AE1188" s="91"/>
      <c r="AF1188" s="91"/>
      <c r="AG1188" s="91"/>
      <c r="AH1188" s="91"/>
      <c r="AI1188" s="91"/>
      <c r="AJ1188" s="91"/>
      <c r="AK1188" s="91"/>
      <c r="AL1188" s="91"/>
      <c r="AM1188" s="91"/>
    </row>
    <row r="1189" spans="1:39" ht="20.25" hidden="1" customHeight="1">
      <c r="A1189" s="91"/>
      <c r="B1189" s="93" t="s">
        <v>11784</v>
      </c>
      <c r="C1189" s="91" t="s">
        <v>36</v>
      </c>
      <c r="D1189" s="107" t="s">
        <v>3783</v>
      </c>
      <c r="E1189" s="107" t="s">
        <v>3784</v>
      </c>
      <c r="F1189" s="91" t="s">
        <v>3785</v>
      </c>
      <c r="G1189" s="96">
        <v>40247</v>
      </c>
      <c r="H1189" s="97">
        <v>18675</v>
      </c>
      <c r="I1189" s="100" t="s">
        <v>3786</v>
      </c>
      <c r="J1189" s="100" t="s">
        <v>11784</v>
      </c>
      <c r="K1189" s="91">
        <v>98234283</v>
      </c>
      <c r="L1189" s="91" t="s">
        <v>42</v>
      </c>
      <c r="M1189" s="98">
        <f ca="1">(TODAY()-H1189)/365</f>
        <v>74.868493150684927</v>
      </c>
      <c r="N1189" s="99">
        <f>(G1189-H1189)/365</f>
        <v>59.101369863013701</v>
      </c>
      <c r="O1189" s="98">
        <f ca="1">(TODAY()-G1189)/365</f>
        <v>15.767123287671232</v>
      </c>
      <c r="P1189" s="91" t="s">
        <v>43</v>
      </c>
      <c r="Q1189" s="91">
        <v>0</v>
      </c>
      <c r="R1189" s="91">
        <v>0</v>
      </c>
      <c r="S1189" s="91">
        <v>0</v>
      </c>
      <c r="T1189" s="91"/>
      <c r="U1189" s="91"/>
      <c r="V1189" s="91"/>
      <c r="W1189" s="91"/>
      <c r="X1189" s="91"/>
      <c r="Y1189" s="91"/>
      <c r="Z1189" s="91"/>
      <c r="AA1189" s="91"/>
      <c r="AB1189" s="91"/>
      <c r="AC1189" s="91"/>
      <c r="AD1189" s="91"/>
      <c r="AE1189" s="91"/>
      <c r="AF1189" s="91"/>
      <c r="AG1189" s="91"/>
      <c r="AH1189" s="91"/>
      <c r="AI1189" s="91"/>
      <c r="AJ1189" s="91"/>
      <c r="AK1189" s="91"/>
      <c r="AL1189" s="91"/>
      <c r="AM1189" s="91"/>
    </row>
    <row r="1190" spans="1:39" ht="20.25" hidden="1" customHeight="1">
      <c r="A1190" s="91"/>
      <c r="B1190" s="93" t="s">
        <v>11784</v>
      </c>
      <c r="C1190" s="91" t="s">
        <v>36</v>
      </c>
      <c r="D1190" s="107" t="s">
        <v>3787</v>
      </c>
      <c r="E1190" s="107" t="s">
        <v>3788</v>
      </c>
      <c r="F1190" s="91" t="s">
        <v>3789</v>
      </c>
      <c r="G1190" s="96">
        <v>40091</v>
      </c>
      <c r="H1190" s="97">
        <v>18139</v>
      </c>
      <c r="I1190" s="94" t="s">
        <v>58</v>
      </c>
      <c r="J1190" s="94" t="s">
        <v>58</v>
      </c>
      <c r="K1190" s="91">
        <v>95186315</v>
      </c>
      <c r="L1190" s="91" t="s">
        <v>197</v>
      </c>
      <c r="M1190" s="98">
        <f ca="1">(TODAY()-H1190)/365</f>
        <v>76.336986301369862</v>
      </c>
      <c r="N1190" s="99">
        <f>(G1190-H1190)/365</f>
        <v>60.142465753424659</v>
      </c>
      <c r="O1190" s="98">
        <f ca="1">(TODAY()-G1190)/365</f>
        <v>16.194520547945206</v>
      </c>
      <c r="P1190" s="91" t="s">
        <v>43</v>
      </c>
      <c r="Q1190" s="91">
        <v>0</v>
      </c>
      <c r="R1190" s="91">
        <v>0</v>
      </c>
      <c r="S1190" s="91">
        <v>0</v>
      </c>
      <c r="T1190" s="91"/>
      <c r="U1190" s="91"/>
      <c r="V1190" s="91"/>
      <c r="W1190" s="91"/>
      <c r="X1190" s="91"/>
      <c r="Y1190" s="91"/>
      <c r="Z1190" s="91"/>
      <c r="AA1190" s="91"/>
      <c r="AB1190" s="91"/>
      <c r="AC1190" s="91"/>
      <c r="AD1190" s="91"/>
      <c r="AE1190" s="91"/>
      <c r="AF1190" s="91"/>
      <c r="AG1190" s="91"/>
      <c r="AH1190" s="91"/>
      <c r="AI1190" s="91"/>
      <c r="AJ1190" s="91"/>
      <c r="AK1190" s="91"/>
      <c r="AL1190" s="91"/>
      <c r="AM1190" s="91"/>
    </row>
    <row r="1191" spans="1:39" ht="20.25" hidden="1" customHeight="1">
      <c r="A1191" s="91"/>
      <c r="B1191" s="93" t="s">
        <v>11784</v>
      </c>
      <c r="C1191" s="91" t="s">
        <v>36</v>
      </c>
      <c r="D1191" s="107" t="s">
        <v>3790</v>
      </c>
      <c r="E1191" s="107" t="s">
        <v>3791</v>
      </c>
      <c r="F1191" s="91" t="s">
        <v>3792</v>
      </c>
      <c r="G1191" s="96">
        <v>43374</v>
      </c>
      <c r="H1191" s="97">
        <v>15910</v>
      </c>
      <c r="I1191" s="94" t="s">
        <v>58</v>
      </c>
      <c r="J1191" s="94" t="s">
        <v>58</v>
      </c>
      <c r="K1191" s="91">
        <v>93051111</v>
      </c>
      <c r="L1191" s="109" t="s">
        <v>72</v>
      </c>
      <c r="M1191" s="98">
        <f ca="1">(TODAY()-H1191)/365</f>
        <v>82.443835616438349</v>
      </c>
      <c r="N1191" s="99">
        <f>(G1191-H1191)/365</f>
        <v>75.243835616438361</v>
      </c>
      <c r="O1191" s="98">
        <f ca="1">(TODAY()-G1191)/365</f>
        <v>7.2</v>
      </c>
      <c r="P1191" s="91" t="s">
        <v>43</v>
      </c>
      <c r="Q1191" s="91">
        <v>0</v>
      </c>
      <c r="R1191" s="91">
        <v>0</v>
      </c>
      <c r="S1191" s="91">
        <v>0</v>
      </c>
      <c r="T1191" s="91"/>
      <c r="U1191" s="91"/>
      <c r="V1191" s="91"/>
      <c r="W1191" s="91"/>
      <c r="X1191" s="91"/>
      <c r="Y1191" s="91"/>
      <c r="Z1191" s="91"/>
      <c r="AA1191" s="91"/>
      <c r="AB1191" s="91"/>
      <c r="AC1191" s="91"/>
      <c r="AD1191" s="91"/>
      <c r="AE1191" s="91"/>
      <c r="AF1191" s="91"/>
      <c r="AG1191" s="91"/>
      <c r="AH1191" s="91"/>
      <c r="AI1191" s="91"/>
      <c r="AJ1191" s="91"/>
      <c r="AK1191" s="91"/>
      <c r="AL1191" s="91"/>
      <c r="AM1191" s="91"/>
    </row>
    <row r="1192" spans="1:39" ht="20.25" hidden="1" customHeight="1">
      <c r="A1192" s="91"/>
      <c r="B1192" s="93" t="s">
        <v>11784</v>
      </c>
      <c r="C1192" s="91" t="s">
        <v>36</v>
      </c>
      <c r="D1192" s="107" t="s">
        <v>3793</v>
      </c>
      <c r="E1192" s="107" t="s">
        <v>3794</v>
      </c>
      <c r="F1192" s="91" t="s">
        <v>3795</v>
      </c>
      <c r="G1192" s="96">
        <v>45147</v>
      </c>
      <c r="H1192" s="97">
        <v>13156</v>
      </c>
      <c r="I1192" s="94" t="s">
        <v>58</v>
      </c>
      <c r="J1192" s="94" t="s">
        <v>58</v>
      </c>
      <c r="K1192" s="91">
        <v>97274314</v>
      </c>
      <c r="L1192" s="91" t="s">
        <v>60</v>
      </c>
      <c r="M1192" s="98">
        <f ca="1">(TODAY()-H1192)/365</f>
        <v>89.989041095890414</v>
      </c>
      <c r="N1192" s="99">
        <f>(G1192-H1192)/365</f>
        <v>87.646575342465752</v>
      </c>
      <c r="O1192" s="98">
        <f ca="1">(TODAY()-G1192)/365</f>
        <v>2.3424657534246576</v>
      </c>
      <c r="P1192" s="91" t="s">
        <v>43</v>
      </c>
      <c r="Q1192" s="91">
        <v>0</v>
      </c>
      <c r="R1192" s="91">
        <v>0</v>
      </c>
      <c r="S1192" s="91">
        <v>0</v>
      </c>
      <c r="T1192" s="91"/>
      <c r="U1192" s="91"/>
      <c r="V1192" s="91"/>
      <c r="W1192" s="91"/>
      <c r="X1192" s="91"/>
      <c r="Y1192" s="91"/>
      <c r="Z1192" s="91"/>
      <c r="AA1192" s="91"/>
      <c r="AB1192" s="91"/>
      <c r="AC1192" s="91"/>
      <c r="AD1192" s="91"/>
      <c r="AE1192" s="91"/>
      <c r="AF1192" s="91"/>
      <c r="AG1192" s="91"/>
      <c r="AH1192" s="91"/>
      <c r="AI1192" s="91"/>
      <c r="AJ1192" s="91"/>
      <c r="AK1192" s="91"/>
      <c r="AL1192" s="91"/>
      <c r="AM1192" s="91"/>
    </row>
    <row r="1193" spans="1:39" ht="20.25" hidden="1" customHeight="1">
      <c r="A1193" s="91"/>
      <c r="B1193" s="93" t="s">
        <v>3796</v>
      </c>
      <c r="C1193" s="91" t="s">
        <v>36</v>
      </c>
      <c r="D1193" s="107" t="s">
        <v>3797</v>
      </c>
      <c r="E1193" s="107" t="s">
        <v>3798</v>
      </c>
      <c r="F1193" s="91" t="s">
        <v>3799</v>
      </c>
      <c r="G1193" s="96">
        <v>43236</v>
      </c>
      <c r="H1193" s="97">
        <v>34374</v>
      </c>
      <c r="I1193" s="108" t="s">
        <v>12363</v>
      </c>
      <c r="J1193" s="100" t="s">
        <v>3800</v>
      </c>
      <c r="K1193" s="91">
        <v>985291718</v>
      </c>
      <c r="L1193" s="91" t="s">
        <v>60</v>
      </c>
      <c r="M1193" s="98">
        <f ca="1">(TODAY()-H1193)/365</f>
        <v>31.857534246575341</v>
      </c>
      <c r="N1193" s="99">
        <f>(G1193-H1193)/365</f>
        <v>24.279452054794522</v>
      </c>
      <c r="O1193" s="98">
        <f ca="1">(TODAY()-G1193)/365</f>
        <v>7.5780821917808217</v>
      </c>
      <c r="P1193" s="91" t="s">
        <v>272</v>
      </c>
      <c r="Q1193" s="91">
        <v>0</v>
      </c>
      <c r="R1193" s="91">
        <v>0</v>
      </c>
      <c r="S1193" s="91">
        <v>0</v>
      </c>
      <c r="T1193" s="91"/>
      <c r="U1193" s="91"/>
      <c r="V1193" s="91"/>
      <c r="W1193" s="91"/>
      <c r="X1193" s="91"/>
      <c r="Y1193" s="91"/>
      <c r="Z1193" s="91"/>
      <c r="AA1193" s="91"/>
      <c r="AB1193" s="91"/>
      <c r="AC1193" s="91"/>
      <c r="AD1193" s="91"/>
      <c r="AE1193" s="91"/>
      <c r="AF1193" s="91"/>
      <c r="AG1193" s="91"/>
      <c r="AH1193" s="91"/>
      <c r="AI1193" s="91"/>
      <c r="AJ1193" s="91"/>
      <c r="AK1193" s="91"/>
      <c r="AL1193" s="91"/>
      <c r="AM1193" s="91"/>
    </row>
    <row r="1194" spans="1:39" ht="20.25" hidden="1" customHeight="1">
      <c r="A1194" s="91"/>
      <c r="B1194" s="93" t="s">
        <v>3796</v>
      </c>
      <c r="C1194" s="91" t="s">
        <v>36</v>
      </c>
      <c r="D1194" s="107" t="s">
        <v>3801</v>
      </c>
      <c r="E1194" s="107" t="s">
        <v>3802</v>
      </c>
      <c r="F1194" s="91" t="s">
        <v>3803</v>
      </c>
      <c r="G1194" s="96">
        <v>36512</v>
      </c>
      <c r="H1194" s="97">
        <v>25667</v>
      </c>
      <c r="I1194" s="94" t="s">
        <v>3804</v>
      </c>
      <c r="J1194" s="100" t="s">
        <v>3805</v>
      </c>
      <c r="K1194" s="91">
        <v>983684394</v>
      </c>
      <c r="L1194" s="91" t="s">
        <v>60</v>
      </c>
      <c r="M1194" s="98">
        <f ca="1">(TODAY()-H1194)/365</f>
        <v>55.712328767123289</v>
      </c>
      <c r="N1194" s="99">
        <f>(G1194-H1194)/365</f>
        <v>29.712328767123289</v>
      </c>
      <c r="O1194" s="98">
        <f ca="1">(TODAY()-G1194)/365</f>
        <v>26</v>
      </c>
      <c r="P1194" s="91" t="s">
        <v>43</v>
      </c>
      <c r="Q1194" s="91">
        <v>0</v>
      </c>
      <c r="R1194" s="91">
        <v>0</v>
      </c>
      <c r="S1194" s="91">
        <v>0</v>
      </c>
      <c r="T1194" s="91"/>
      <c r="U1194" s="91"/>
      <c r="V1194" s="91"/>
      <c r="W1194" s="91"/>
      <c r="X1194" s="91"/>
      <c r="Y1194" s="91"/>
      <c r="Z1194" s="91"/>
      <c r="AA1194" s="91"/>
      <c r="AB1194" s="91"/>
      <c r="AC1194" s="91"/>
      <c r="AD1194" s="91"/>
      <c r="AE1194" s="91"/>
      <c r="AF1194" s="91"/>
      <c r="AG1194" s="91"/>
      <c r="AH1194" s="91"/>
      <c r="AI1194" s="91"/>
      <c r="AJ1194" s="91"/>
      <c r="AK1194" s="91"/>
      <c r="AL1194" s="91"/>
      <c r="AM1194" s="91"/>
    </row>
    <row r="1195" spans="1:39" ht="20.25" hidden="1" customHeight="1">
      <c r="A1195" s="91"/>
      <c r="B1195" s="93" t="s">
        <v>3796</v>
      </c>
      <c r="C1195" s="91" t="s">
        <v>36</v>
      </c>
      <c r="D1195" s="107" t="s">
        <v>3806</v>
      </c>
      <c r="E1195" s="107" t="s">
        <v>3807</v>
      </c>
      <c r="F1195" s="91" t="s">
        <v>3808</v>
      </c>
      <c r="G1195" s="96">
        <v>36472</v>
      </c>
      <c r="H1195" s="97">
        <v>24078</v>
      </c>
      <c r="I1195" s="94" t="s">
        <v>3809</v>
      </c>
      <c r="J1195" s="100" t="s">
        <v>3810</v>
      </c>
      <c r="K1195" s="91">
        <v>993303765</v>
      </c>
      <c r="L1195" s="91" t="s">
        <v>60</v>
      </c>
      <c r="M1195" s="98">
        <f ca="1">(TODAY()-H1195)/365</f>
        <v>60.065753424657537</v>
      </c>
      <c r="N1195" s="99">
        <f>(G1195-H1195)/365</f>
        <v>33.956164383561642</v>
      </c>
      <c r="O1195" s="98">
        <f ca="1">(TODAY()-G1195)/365</f>
        <v>26.109589041095891</v>
      </c>
      <c r="P1195" s="91" t="s">
        <v>43</v>
      </c>
      <c r="Q1195" s="91">
        <v>0</v>
      </c>
      <c r="R1195" s="91">
        <v>0</v>
      </c>
      <c r="S1195" s="91">
        <v>0</v>
      </c>
      <c r="T1195" s="91"/>
      <c r="U1195" s="91"/>
      <c r="V1195" s="91"/>
      <c r="W1195" s="91"/>
      <c r="X1195" s="91"/>
      <c r="Y1195" s="91"/>
      <c r="Z1195" s="91"/>
      <c r="AA1195" s="91"/>
      <c r="AB1195" s="91"/>
      <c r="AC1195" s="91"/>
      <c r="AD1195" s="91"/>
      <c r="AE1195" s="91"/>
      <c r="AF1195" s="91"/>
      <c r="AG1195" s="91"/>
      <c r="AH1195" s="91"/>
      <c r="AI1195" s="91"/>
      <c r="AJ1195" s="91"/>
      <c r="AK1195" s="91"/>
      <c r="AL1195" s="91"/>
      <c r="AM1195" s="91"/>
    </row>
    <row r="1196" spans="1:39" ht="20.25" hidden="1" customHeight="1">
      <c r="A1196" s="91"/>
      <c r="B1196" s="93" t="s">
        <v>3796</v>
      </c>
      <c r="C1196" s="91" t="s">
        <v>36</v>
      </c>
      <c r="D1196" s="107" t="s">
        <v>3811</v>
      </c>
      <c r="E1196" s="107" t="s">
        <v>3812</v>
      </c>
      <c r="F1196" s="91" t="s">
        <v>3813</v>
      </c>
      <c r="G1196" s="96">
        <v>36472</v>
      </c>
      <c r="H1196" s="97">
        <v>23247</v>
      </c>
      <c r="I1196" s="94" t="s">
        <v>58</v>
      </c>
      <c r="J1196" s="100" t="s">
        <v>3814</v>
      </c>
      <c r="K1196" s="91">
        <v>952310177</v>
      </c>
      <c r="L1196" s="91" t="s">
        <v>60</v>
      </c>
      <c r="M1196" s="98">
        <f ca="1">(TODAY()-H1196)/365</f>
        <v>62.342465753424655</v>
      </c>
      <c r="N1196" s="99">
        <f>(G1196-H1196)/365</f>
        <v>36.232876712328768</v>
      </c>
      <c r="O1196" s="98">
        <f ca="1">(TODAY()-G1196)/365</f>
        <v>26.109589041095891</v>
      </c>
      <c r="P1196" s="91" t="s">
        <v>43</v>
      </c>
      <c r="Q1196" s="91">
        <v>0</v>
      </c>
      <c r="R1196" s="91">
        <v>0</v>
      </c>
      <c r="S1196" s="91">
        <v>0</v>
      </c>
      <c r="T1196" s="91"/>
      <c r="U1196" s="91"/>
      <c r="V1196" s="91"/>
      <c r="W1196" s="91"/>
      <c r="X1196" s="91"/>
      <c r="Y1196" s="91"/>
      <c r="Z1196" s="91"/>
      <c r="AA1196" s="91"/>
      <c r="AB1196" s="91"/>
      <c r="AC1196" s="91"/>
      <c r="AD1196" s="91"/>
      <c r="AE1196" s="91"/>
      <c r="AF1196" s="91"/>
      <c r="AG1196" s="91"/>
      <c r="AH1196" s="91"/>
      <c r="AI1196" s="91"/>
      <c r="AJ1196" s="91"/>
      <c r="AK1196" s="91"/>
      <c r="AL1196" s="91"/>
      <c r="AM1196" s="91"/>
    </row>
    <row r="1197" spans="1:39" ht="20.25" hidden="1" customHeight="1">
      <c r="A1197" s="91"/>
      <c r="B1197" s="93" t="s">
        <v>3796</v>
      </c>
      <c r="C1197" s="91" t="s">
        <v>36</v>
      </c>
      <c r="D1197" s="107" t="s">
        <v>3815</v>
      </c>
      <c r="E1197" s="107" t="s">
        <v>3816</v>
      </c>
      <c r="F1197" s="91" t="s">
        <v>3817</v>
      </c>
      <c r="G1197" s="96">
        <v>36392</v>
      </c>
      <c r="H1197" s="97">
        <v>22733</v>
      </c>
      <c r="I1197" s="94" t="s">
        <v>58</v>
      </c>
      <c r="J1197" s="100" t="s">
        <v>3818</v>
      </c>
      <c r="K1197" s="91">
        <v>972697760</v>
      </c>
      <c r="L1197" s="91" t="s">
        <v>60</v>
      </c>
      <c r="M1197" s="98">
        <f ca="1">(TODAY()-H1197)/365</f>
        <v>63.750684931506846</v>
      </c>
      <c r="N1197" s="99">
        <f>(G1197-H1197)/365</f>
        <v>37.421917808219177</v>
      </c>
      <c r="O1197" s="98">
        <f ca="1">(TODAY()-G1197)/365</f>
        <v>26.328767123287673</v>
      </c>
      <c r="P1197" s="91" t="s">
        <v>43</v>
      </c>
      <c r="Q1197" s="91">
        <v>0</v>
      </c>
      <c r="R1197" s="91">
        <v>0</v>
      </c>
      <c r="S1197" s="91">
        <v>0</v>
      </c>
      <c r="T1197" s="91"/>
      <c r="U1197" s="91"/>
      <c r="V1197" s="91"/>
      <c r="W1197" s="91"/>
      <c r="X1197" s="91"/>
      <c r="Y1197" s="91"/>
      <c r="Z1197" s="91"/>
      <c r="AA1197" s="91"/>
      <c r="AB1197" s="91"/>
      <c r="AC1197" s="91"/>
      <c r="AD1197" s="91"/>
      <c r="AE1197" s="91"/>
      <c r="AF1197" s="91"/>
      <c r="AG1197" s="91"/>
      <c r="AH1197" s="91"/>
      <c r="AI1197" s="91"/>
      <c r="AJ1197" s="91"/>
      <c r="AK1197" s="91"/>
      <c r="AL1197" s="91"/>
      <c r="AM1197" s="91"/>
    </row>
    <row r="1198" spans="1:39" ht="20.25" hidden="1" customHeight="1">
      <c r="A1198" s="91"/>
      <c r="B1198" s="93" t="s">
        <v>3796</v>
      </c>
      <c r="C1198" s="91" t="s">
        <v>36</v>
      </c>
      <c r="D1198" s="107" t="s">
        <v>3819</v>
      </c>
      <c r="E1198" s="107" t="s">
        <v>3820</v>
      </c>
      <c r="F1198" s="91" t="s">
        <v>3821</v>
      </c>
      <c r="G1198" s="96">
        <v>43236</v>
      </c>
      <c r="H1198" s="97">
        <v>29331</v>
      </c>
      <c r="I1198" s="100" t="s">
        <v>3822</v>
      </c>
      <c r="J1198" s="100" t="s">
        <v>3823</v>
      </c>
      <c r="K1198" s="91">
        <v>978485364</v>
      </c>
      <c r="L1198" s="91" t="s">
        <v>60</v>
      </c>
      <c r="M1198" s="98">
        <f ca="1">(TODAY()-H1198)/365</f>
        <v>45.673972602739724</v>
      </c>
      <c r="N1198" s="99">
        <f>(G1198-H1198)/365</f>
        <v>38.095890410958901</v>
      </c>
      <c r="O1198" s="98">
        <f ca="1">(TODAY()-G1198)/365</f>
        <v>7.5780821917808217</v>
      </c>
      <c r="P1198" s="91" t="s">
        <v>43</v>
      </c>
      <c r="Q1198" s="91">
        <v>0</v>
      </c>
      <c r="R1198" s="91">
        <v>0</v>
      </c>
      <c r="S1198" s="91">
        <v>0</v>
      </c>
      <c r="T1198" s="91"/>
      <c r="U1198" s="91"/>
      <c r="V1198" s="91"/>
      <c r="W1198" s="91"/>
      <c r="X1198" s="91"/>
      <c r="Y1198" s="91"/>
      <c r="Z1198" s="91"/>
      <c r="AA1198" s="91"/>
      <c r="AB1198" s="91"/>
      <c r="AC1198" s="91"/>
      <c r="AD1198" s="91"/>
      <c r="AE1198" s="91"/>
      <c r="AF1198" s="91"/>
      <c r="AG1198" s="91"/>
      <c r="AH1198" s="91"/>
      <c r="AI1198" s="91"/>
      <c r="AJ1198" s="91"/>
      <c r="AK1198" s="91"/>
      <c r="AL1198" s="91"/>
      <c r="AM1198" s="91"/>
    </row>
    <row r="1199" spans="1:39" ht="20.25" hidden="1" customHeight="1">
      <c r="A1199" s="91"/>
      <c r="B1199" s="93" t="s">
        <v>3796</v>
      </c>
      <c r="C1199" s="91" t="s">
        <v>36</v>
      </c>
      <c r="D1199" s="107" t="s">
        <v>3824</v>
      </c>
      <c r="E1199" s="107" t="s">
        <v>3825</v>
      </c>
      <c r="F1199" s="91" t="s">
        <v>3826</v>
      </c>
      <c r="G1199" s="97">
        <v>34318</v>
      </c>
      <c r="H1199" s="97">
        <v>25709</v>
      </c>
      <c r="I1199" s="100" t="s">
        <v>3827</v>
      </c>
      <c r="J1199" s="100" t="s">
        <v>3828</v>
      </c>
      <c r="K1199" s="91">
        <v>944903828</v>
      </c>
      <c r="L1199" s="91" t="s">
        <v>60</v>
      </c>
      <c r="M1199" s="98">
        <f ca="1">(TODAY()-H1199)/365</f>
        <v>55.597260273972601</v>
      </c>
      <c r="N1199" s="99">
        <f>(G1199-H1199)/365</f>
        <v>23.586301369863012</v>
      </c>
      <c r="O1199" s="98">
        <f ca="1">(TODAY()-G1199)/365</f>
        <v>32.010958904109586</v>
      </c>
      <c r="P1199" s="91" t="s">
        <v>272</v>
      </c>
      <c r="Q1199" s="91">
        <v>0</v>
      </c>
      <c r="R1199" s="91">
        <v>0</v>
      </c>
      <c r="S1199" s="91">
        <v>0</v>
      </c>
      <c r="T1199" s="91"/>
      <c r="U1199" s="91"/>
      <c r="V1199" s="91"/>
      <c r="W1199" s="91"/>
      <c r="X1199" s="91"/>
      <c r="Y1199" s="91"/>
      <c r="Z1199" s="91"/>
      <c r="AA1199" s="91"/>
      <c r="AB1199" s="91"/>
      <c r="AC1199" s="91"/>
      <c r="AD1199" s="91"/>
      <c r="AE1199" s="91"/>
      <c r="AF1199" s="91"/>
      <c r="AG1199" s="91"/>
      <c r="AH1199" s="91"/>
      <c r="AI1199" s="91"/>
      <c r="AJ1199" s="91"/>
      <c r="AK1199" s="91"/>
      <c r="AL1199" s="91"/>
      <c r="AM1199" s="91"/>
    </row>
    <row r="1200" spans="1:39" ht="20.25" hidden="1" customHeight="1">
      <c r="A1200" s="91"/>
      <c r="B1200" s="93" t="s">
        <v>3796</v>
      </c>
      <c r="C1200" s="91" t="s">
        <v>36</v>
      </c>
      <c r="D1200" s="107" t="s">
        <v>3829</v>
      </c>
      <c r="E1200" s="107" t="s">
        <v>3830</v>
      </c>
      <c r="F1200" s="91" t="s">
        <v>3831</v>
      </c>
      <c r="G1200" s="97">
        <v>44433</v>
      </c>
      <c r="H1200" s="97">
        <v>34810</v>
      </c>
      <c r="I1200" s="108" t="s">
        <v>12364</v>
      </c>
      <c r="J1200" s="100" t="s">
        <v>3828</v>
      </c>
      <c r="K1200" s="91">
        <v>966467141</v>
      </c>
      <c r="L1200" s="91" t="s">
        <v>60</v>
      </c>
      <c r="M1200" s="98">
        <f ca="1">(TODAY()-H1200)/365</f>
        <v>30.663013698630138</v>
      </c>
      <c r="N1200" s="99">
        <f>(G1200-H1200)/365</f>
        <v>26.364383561643837</v>
      </c>
      <c r="O1200" s="98">
        <f ca="1">(TODAY()-G1200)/365</f>
        <v>4.2986301369863016</v>
      </c>
      <c r="P1200" s="91" t="s">
        <v>272</v>
      </c>
      <c r="Q1200" s="91">
        <v>0</v>
      </c>
      <c r="R1200" s="91">
        <v>0</v>
      </c>
      <c r="S1200" s="91">
        <v>0</v>
      </c>
      <c r="T1200" s="91"/>
      <c r="U1200" s="91"/>
      <c r="V1200" s="91"/>
      <c r="W1200" s="91"/>
      <c r="X1200" s="91"/>
      <c r="Y1200" s="91"/>
      <c r="Z1200" s="91"/>
      <c r="AA1200" s="91"/>
      <c r="AB1200" s="91"/>
      <c r="AC1200" s="91"/>
      <c r="AD1200" s="91"/>
      <c r="AE1200" s="91"/>
      <c r="AF1200" s="91"/>
      <c r="AG1200" s="91"/>
      <c r="AH1200" s="91"/>
      <c r="AI1200" s="91"/>
      <c r="AJ1200" s="91"/>
      <c r="AK1200" s="91"/>
      <c r="AL1200" s="91"/>
      <c r="AM1200" s="91"/>
    </row>
    <row r="1201" spans="1:39" ht="20.25" hidden="1" customHeight="1">
      <c r="A1201" s="91"/>
      <c r="B1201" s="93" t="s">
        <v>3796</v>
      </c>
      <c r="C1201" s="91" t="s">
        <v>36</v>
      </c>
      <c r="D1201" s="107" t="s">
        <v>3832</v>
      </c>
      <c r="E1201" s="107" t="s">
        <v>3833</v>
      </c>
      <c r="F1201" s="91" t="s">
        <v>3834</v>
      </c>
      <c r="G1201" s="97">
        <v>32934</v>
      </c>
      <c r="H1201" s="97">
        <v>24344</v>
      </c>
      <c r="I1201" s="94" t="s">
        <v>3835</v>
      </c>
      <c r="J1201" s="100" t="s">
        <v>3836</v>
      </c>
      <c r="K1201" s="91">
        <v>997913537</v>
      </c>
      <c r="L1201" s="91" t="s">
        <v>60</v>
      </c>
      <c r="M1201" s="98">
        <f ca="1">(TODAY()-H1201)/365</f>
        <v>59.336986301369862</v>
      </c>
      <c r="N1201" s="99">
        <f>(G1201-H1201)/365</f>
        <v>23.534246575342465</v>
      </c>
      <c r="O1201" s="98">
        <f ca="1">(TODAY()-G1201)/365</f>
        <v>35.802739726027397</v>
      </c>
      <c r="P1201" s="91" t="s">
        <v>43</v>
      </c>
      <c r="Q1201" s="91">
        <v>0</v>
      </c>
      <c r="R1201" s="91">
        <v>0</v>
      </c>
      <c r="S1201" s="91">
        <v>0</v>
      </c>
      <c r="T1201" s="91"/>
      <c r="U1201" s="91"/>
      <c r="V1201" s="91"/>
      <c r="W1201" s="91"/>
      <c r="X1201" s="91"/>
      <c r="Y1201" s="91"/>
      <c r="Z1201" s="91"/>
      <c r="AA1201" s="91"/>
      <c r="AB1201" s="91"/>
      <c r="AC1201" s="91"/>
      <c r="AD1201" s="91"/>
      <c r="AE1201" s="91"/>
      <c r="AF1201" s="91"/>
      <c r="AG1201" s="91"/>
      <c r="AH1201" s="91"/>
      <c r="AI1201" s="91"/>
      <c r="AJ1201" s="91"/>
      <c r="AK1201" s="91"/>
      <c r="AL1201" s="91"/>
      <c r="AM1201" s="91"/>
    </row>
    <row r="1202" spans="1:39" ht="20.25" hidden="1" customHeight="1">
      <c r="A1202" s="91"/>
      <c r="B1202" s="93" t="s">
        <v>3796</v>
      </c>
      <c r="C1202" s="91" t="s">
        <v>36</v>
      </c>
      <c r="D1202" s="107" t="s">
        <v>3837</v>
      </c>
      <c r="E1202" s="107" t="s">
        <v>3838</v>
      </c>
      <c r="F1202" s="91" t="s">
        <v>3839</v>
      </c>
      <c r="G1202" s="97">
        <v>35072</v>
      </c>
      <c r="H1202" s="97">
        <v>22923</v>
      </c>
      <c r="I1202" s="100" t="s">
        <v>3840</v>
      </c>
      <c r="J1202" s="100" t="s">
        <v>3841</v>
      </c>
      <c r="K1202" s="91">
        <v>966454364</v>
      </c>
      <c r="L1202" s="91" t="s">
        <v>60</v>
      </c>
      <c r="M1202" s="98">
        <f ca="1">(TODAY()-H1202)/365</f>
        <v>63.230136986301368</v>
      </c>
      <c r="N1202" s="99">
        <f>(G1202-H1202)/365</f>
        <v>33.284931506849318</v>
      </c>
      <c r="O1202" s="98">
        <f ca="1">(TODAY()-G1202)/365</f>
        <v>29.945205479452056</v>
      </c>
      <c r="P1202" s="91" t="s">
        <v>272</v>
      </c>
      <c r="Q1202" s="91">
        <v>0</v>
      </c>
      <c r="R1202" s="91">
        <v>0</v>
      </c>
      <c r="S1202" s="91">
        <v>0</v>
      </c>
      <c r="T1202" s="91"/>
      <c r="U1202" s="91"/>
      <c r="V1202" s="91"/>
      <c r="W1202" s="91"/>
      <c r="X1202" s="91"/>
      <c r="Y1202" s="91"/>
      <c r="Z1202" s="91"/>
      <c r="AA1202" s="91"/>
      <c r="AB1202" s="91"/>
      <c r="AC1202" s="91"/>
      <c r="AD1202" s="91"/>
      <c r="AE1202" s="91"/>
      <c r="AF1202" s="91"/>
      <c r="AG1202" s="91"/>
      <c r="AH1202" s="91"/>
      <c r="AI1202" s="91"/>
      <c r="AJ1202" s="91"/>
      <c r="AK1202" s="91"/>
      <c r="AL1202" s="91"/>
      <c r="AM1202" s="91"/>
    </row>
    <row r="1203" spans="1:39" ht="20.25" hidden="1" customHeight="1">
      <c r="A1203" s="91"/>
      <c r="B1203" s="93" t="s">
        <v>3796</v>
      </c>
      <c r="C1203" s="91" t="s">
        <v>36</v>
      </c>
      <c r="D1203" s="107" t="s">
        <v>3842</v>
      </c>
      <c r="E1203" s="107" t="s">
        <v>3843</v>
      </c>
      <c r="F1203" s="91" t="s">
        <v>3844</v>
      </c>
      <c r="G1203" s="97">
        <v>44433</v>
      </c>
      <c r="H1203" s="97">
        <v>35728</v>
      </c>
      <c r="I1203" s="94" t="s">
        <v>58</v>
      </c>
      <c r="J1203" s="100" t="s">
        <v>3810</v>
      </c>
      <c r="K1203" s="91">
        <v>93037653</v>
      </c>
      <c r="L1203" s="91" t="s">
        <v>60</v>
      </c>
      <c r="M1203" s="98">
        <f ca="1">(TODAY()-H1203)/365</f>
        <v>28.147945205479452</v>
      </c>
      <c r="N1203" s="99">
        <f>(G1203-H1203)/365</f>
        <v>23.849315068493151</v>
      </c>
      <c r="O1203" s="98">
        <f ca="1">(TODAY()-G1203)/365</f>
        <v>4.2986301369863016</v>
      </c>
      <c r="P1203" s="91" t="s">
        <v>43</v>
      </c>
      <c r="Q1203" s="91">
        <v>0</v>
      </c>
      <c r="R1203" s="91">
        <v>0</v>
      </c>
      <c r="S1203" s="91">
        <v>0</v>
      </c>
      <c r="T1203" s="91"/>
      <c r="U1203" s="91"/>
      <c r="V1203" s="91"/>
      <c r="W1203" s="91"/>
      <c r="X1203" s="91"/>
      <c r="Y1203" s="91"/>
      <c r="Z1203" s="91"/>
      <c r="AA1203" s="91"/>
      <c r="AB1203" s="91"/>
      <c r="AC1203" s="91"/>
      <c r="AD1203" s="91"/>
      <c r="AE1203" s="91"/>
      <c r="AF1203" s="91"/>
      <c r="AG1203" s="91"/>
      <c r="AH1203" s="91"/>
      <c r="AI1203" s="91"/>
      <c r="AJ1203" s="91"/>
      <c r="AK1203" s="91"/>
      <c r="AL1203" s="91"/>
      <c r="AM1203" s="91"/>
    </row>
    <row r="1204" spans="1:39" ht="20.25" hidden="1" customHeight="1">
      <c r="A1204" s="91"/>
      <c r="B1204" s="93" t="s">
        <v>3796</v>
      </c>
      <c r="C1204" s="91" t="s">
        <v>36</v>
      </c>
      <c r="D1204" s="107" t="s">
        <v>3845</v>
      </c>
      <c r="E1204" s="107" t="s">
        <v>3846</v>
      </c>
      <c r="F1204" s="91" t="s">
        <v>3847</v>
      </c>
      <c r="G1204" s="97">
        <v>44433</v>
      </c>
      <c r="H1204" s="97">
        <v>22864</v>
      </c>
      <c r="I1204" s="94" t="s">
        <v>58</v>
      </c>
      <c r="J1204" s="100" t="s">
        <v>3848</v>
      </c>
      <c r="K1204" s="91">
        <v>981625460</v>
      </c>
      <c r="L1204" s="91" t="s">
        <v>60</v>
      </c>
      <c r="M1204" s="98">
        <f ca="1">(TODAY()-H1204)/365</f>
        <v>63.391780821917806</v>
      </c>
      <c r="N1204" s="99">
        <f>(G1204-H1204)/365</f>
        <v>59.093150684931508</v>
      </c>
      <c r="O1204" s="98">
        <f ca="1">(TODAY()-G1204)/365</f>
        <v>4.2986301369863016</v>
      </c>
      <c r="P1204" s="91" t="s">
        <v>272</v>
      </c>
      <c r="Q1204" s="91">
        <v>0</v>
      </c>
      <c r="R1204" s="91">
        <v>0</v>
      </c>
      <c r="S1204" s="91">
        <v>0</v>
      </c>
      <c r="T1204" s="91"/>
      <c r="U1204" s="91"/>
      <c r="V1204" s="91"/>
      <c r="W1204" s="91"/>
      <c r="X1204" s="91"/>
      <c r="Y1204" s="91"/>
      <c r="Z1204" s="91"/>
      <c r="AA1204" s="91"/>
      <c r="AB1204" s="91"/>
      <c r="AC1204" s="91"/>
      <c r="AD1204" s="91"/>
      <c r="AE1204" s="91"/>
      <c r="AF1204" s="91"/>
      <c r="AG1204" s="91"/>
      <c r="AH1204" s="91"/>
      <c r="AI1204" s="91"/>
      <c r="AJ1204" s="91"/>
      <c r="AK1204" s="91"/>
      <c r="AL1204" s="91"/>
      <c r="AM1204" s="91"/>
    </row>
    <row r="1205" spans="1:39" ht="20.25" hidden="1" customHeight="1">
      <c r="A1205" s="91"/>
      <c r="B1205" s="93" t="s">
        <v>3849</v>
      </c>
      <c r="C1205" s="91" t="s">
        <v>36</v>
      </c>
      <c r="D1205" s="94" t="s">
        <v>3850</v>
      </c>
      <c r="E1205" s="94" t="s">
        <v>3851</v>
      </c>
      <c r="F1205" s="95" t="s">
        <v>3852</v>
      </c>
      <c r="G1205" s="96">
        <v>45367</v>
      </c>
      <c r="H1205" s="97">
        <v>36667</v>
      </c>
      <c r="I1205" s="94" t="s">
        <v>58</v>
      </c>
      <c r="J1205" s="94" t="s">
        <v>3853</v>
      </c>
      <c r="K1205" s="95">
        <v>944663964</v>
      </c>
      <c r="L1205" s="91" t="s">
        <v>60</v>
      </c>
      <c r="M1205" s="98">
        <f ca="1">(TODAY()-H1205)/365</f>
        <v>25.575342465753426</v>
      </c>
      <c r="N1205" s="99">
        <f>(G1205-H1205)/365</f>
        <v>23.835616438356166</v>
      </c>
      <c r="O1205" s="98">
        <f ca="1">(TODAY()-G1205)/365</f>
        <v>1.7397260273972603</v>
      </c>
      <c r="P1205" s="91" t="s">
        <v>272</v>
      </c>
      <c r="Q1205" s="91">
        <v>0</v>
      </c>
      <c r="R1205" s="91">
        <v>0</v>
      </c>
      <c r="S1205" s="91">
        <v>0</v>
      </c>
      <c r="T1205" s="91"/>
      <c r="U1205" s="91"/>
      <c r="V1205" s="91"/>
      <c r="W1205" s="91"/>
      <c r="X1205" s="91"/>
      <c r="Y1205" s="91"/>
      <c r="Z1205" s="91"/>
      <c r="AA1205" s="91"/>
      <c r="AB1205" s="91"/>
      <c r="AC1205" s="91"/>
      <c r="AD1205" s="91"/>
      <c r="AE1205" s="91"/>
      <c r="AF1205" s="91"/>
      <c r="AG1205" s="91"/>
      <c r="AH1205" s="91"/>
      <c r="AI1205" s="91"/>
      <c r="AJ1205" s="91"/>
      <c r="AK1205" s="91"/>
      <c r="AL1205" s="91"/>
      <c r="AM1205" s="91"/>
    </row>
    <row r="1206" spans="1:39" ht="20.25" hidden="1" customHeight="1">
      <c r="A1206" s="91"/>
      <c r="B1206" s="93" t="s">
        <v>3849</v>
      </c>
      <c r="C1206" s="91" t="s">
        <v>36</v>
      </c>
      <c r="D1206" s="94" t="s">
        <v>3854</v>
      </c>
      <c r="E1206" s="94" t="s">
        <v>3855</v>
      </c>
      <c r="F1206" s="95" t="s">
        <v>3856</v>
      </c>
      <c r="G1206" s="96">
        <v>38417</v>
      </c>
      <c r="H1206" s="97">
        <v>25364</v>
      </c>
      <c r="I1206" s="94" t="s">
        <v>58</v>
      </c>
      <c r="J1206" s="94" t="s">
        <v>3857</v>
      </c>
      <c r="K1206" s="95">
        <v>56997670950</v>
      </c>
      <c r="L1206" s="91" t="s">
        <v>72</v>
      </c>
      <c r="M1206" s="98">
        <f ca="1">(TODAY()-H1206)/365</f>
        <v>56.542465753424658</v>
      </c>
      <c r="N1206" s="99">
        <f>(G1206-H1206)/365</f>
        <v>35.761643835616439</v>
      </c>
      <c r="O1206" s="98">
        <f ca="1">(TODAY()-G1206)/365</f>
        <v>20.780821917808218</v>
      </c>
      <c r="P1206" s="91" t="s">
        <v>43</v>
      </c>
      <c r="Q1206" s="91">
        <v>0</v>
      </c>
      <c r="R1206" s="91">
        <v>0</v>
      </c>
      <c r="S1206" s="91">
        <v>0</v>
      </c>
      <c r="T1206" s="91"/>
      <c r="U1206" s="91"/>
      <c r="V1206" s="91"/>
      <c r="W1206" s="91"/>
      <c r="X1206" s="91"/>
      <c r="Y1206" s="91"/>
      <c r="Z1206" s="91"/>
      <c r="AA1206" s="91"/>
      <c r="AB1206" s="91"/>
      <c r="AC1206" s="91"/>
      <c r="AD1206" s="91"/>
      <c r="AE1206" s="91"/>
      <c r="AF1206" s="91"/>
      <c r="AG1206" s="91"/>
      <c r="AH1206" s="91"/>
      <c r="AI1206" s="91"/>
      <c r="AJ1206" s="91"/>
      <c r="AK1206" s="91"/>
      <c r="AL1206" s="91"/>
      <c r="AM1206" s="91"/>
    </row>
    <row r="1207" spans="1:39" ht="20.25" hidden="1" customHeight="1">
      <c r="A1207" s="91"/>
      <c r="B1207" s="93" t="s">
        <v>3849</v>
      </c>
      <c r="C1207" s="91" t="s">
        <v>36</v>
      </c>
      <c r="D1207" s="94" t="s">
        <v>3858</v>
      </c>
      <c r="E1207" s="94" t="s">
        <v>3859</v>
      </c>
      <c r="F1207" s="95" t="s">
        <v>3860</v>
      </c>
      <c r="G1207" s="96">
        <v>38460</v>
      </c>
      <c r="H1207" s="97">
        <v>22805</v>
      </c>
      <c r="I1207" s="94" t="s">
        <v>58</v>
      </c>
      <c r="J1207" s="94" t="s">
        <v>3861</v>
      </c>
      <c r="K1207" s="95">
        <v>56989169395</v>
      </c>
      <c r="L1207" s="91" t="s">
        <v>60</v>
      </c>
      <c r="M1207" s="98">
        <f ca="1">(TODAY()-H1207)/365</f>
        <v>63.553424657534244</v>
      </c>
      <c r="N1207" s="99">
        <f>(G1207-H1207)/365</f>
        <v>42.890410958904113</v>
      </c>
      <c r="O1207" s="98">
        <f ca="1">(TODAY()-G1207)/365</f>
        <v>20.663013698630138</v>
      </c>
      <c r="P1207" s="91" t="s">
        <v>43</v>
      </c>
      <c r="Q1207" s="91">
        <v>0</v>
      </c>
      <c r="R1207" s="91">
        <v>0</v>
      </c>
      <c r="S1207" s="91">
        <v>0</v>
      </c>
      <c r="T1207" s="91"/>
      <c r="U1207" s="91"/>
      <c r="V1207" s="91"/>
      <c r="W1207" s="91"/>
      <c r="X1207" s="91"/>
      <c r="Y1207" s="91"/>
      <c r="Z1207" s="91"/>
      <c r="AA1207" s="91"/>
      <c r="AB1207" s="91"/>
      <c r="AC1207" s="91"/>
      <c r="AD1207" s="91"/>
      <c r="AE1207" s="91"/>
      <c r="AF1207" s="91"/>
      <c r="AG1207" s="91"/>
      <c r="AH1207" s="91"/>
      <c r="AI1207" s="91"/>
      <c r="AJ1207" s="91"/>
      <c r="AK1207" s="91"/>
      <c r="AL1207" s="91"/>
      <c r="AM1207" s="91"/>
    </row>
    <row r="1208" spans="1:39" ht="20.25" hidden="1" customHeight="1">
      <c r="A1208" s="91"/>
      <c r="B1208" s="93" t="s">
        <v>3849</v>
      </c>
      <c r="C1208" s="91" t="s">
        <v>36</v>
      </c>
      <c r="D1208" s="94" t="s">
        <v>3862</v>
      </c>
      <c r="E1208" s="94" t="s">
        <v>3863</v>
      </c>
      <c r="F1208" s="95" t="s">
        <v>3864</v>
      </c>
      <c r="G1208" s="96">
        <v>42036</v>
      </c>
      <c r="H1208" s="97">
        <v>25396</v>
      </c>
      <c r="I1208" s="94" t="s">
        <v>58</v>
      </c>
      <c r="J1208" s="94" t="s">
        <v>3865</v>
      </c>
      <c r="K1208" s="95">
        <v>962103298</v>
      </c>
      <c r="L1208" s="91" t="s">
        <v>49</v>
      </c>
      <c r="M1208" s="98">
        <f ca="1">(TODAY()-H1208)/365</f>
        <v>56.454794520547942</v>
      </c>
      <c r="N1208" s="99">
        <f>(G1208-H1208)/365</f>
        <v>45.589041095890408</v>
      </c>
      <c r="O1208" s="98">
        <f ca="1">(TODAY()-G1208)/365</f>
        <v>10.865753424657534</v>
      </c>
      <c r="P1208" s="91" t="s">
        <v>43</v>
      </c>
      <c r="Q1208" s="91">
        <v>0</v>
      </c>
      <c r="R1208" s="91">
        <v>0</v>
      </c>
      <c r="S1208" s="91">
        <v>0</v>
      </c>
      <c r="T1208" s="91"/>
      <c r="U1208" s="91"/>
      <c r="V1208" s="91"/>
      <c r="W1208" s="91"/>
      <c r="X1208" s="91"/>
      <c r="Y1208" s="91"/>
      <c r="Z1208" s="91"/>
      <c r="AA1208" s="91"/>
      <c r="AB1208" s="91"/>
      <c r="AC1208" s="91"/>
      <c r="AD1208" s="91"/>
      <c r="AE1208" s="91"/>
      <c r="AF1208" s="91"/>
      <c r="AG1208" s="91"/>
      <c r="AH1208" s="91"/>
      <c r="AI1208" s="91"/>
      <c r="AJ1208" s="91"/>
      <c r="AK1208" s="91"/>
      <c r="AL1208" s="91"/>
      <c r="AM1208" s="91"/>
    </row>
    <row r="1209" spans="1:39" ht="20.25" hidden="1" customHeight="1">
      <c r="A1209" s="91"/>
      <c r="B1209" s="93" t="s">
        <v>3849</v>
      </c>
      <c r="C1209" s="91" t="s">
        <v>36</v>
      </c>
      <c r="D1209" s="94" t="s">
        <v>3866</v>
      </c>
      <c r="E1209" s="94" t="s">
        <v>3867</v>
      </c>
      <c r="F1209" s="95" t="s">
        <v>3868</v>
      </c>
      <c r="G1209" s="96">
        <v>41495</v>
      </c>
      <c r="H1209" s="97">
        <v>21504</v>
      </c>
      <c r="I1209" s="94" t="s">
        <v>58</v>
      </c>
      <c r="J1209" s="94" t="s">
        <v>3869</v>
      </c>
      <c r="K1209" s="95">
        <v>9609050403</v>
      </c>
      <c r="L1209" s="91" t="s">
        <v>42</v>
      </c>
      <c r="M1209" s="98">
        <f ca="1">(TODAY()-H1209)/365</f>
        <v>67.117808219178087</v>
      </c>
      <c r="N1209" s="99">
        <f>(G1209-H1209)/365</f>
        <v>54.769863013698632</v>
      </c>
      <c r="O1209" s="98">
        <f ca="1">(TODAY()-G1209)/365</f>
        <v>12.347945205479451</v>
      </c>
      <c r="P1209" s="91" t="s">
        <v>43</v>
      </c>
      <c r="Q1209" s="91">
        <v>0</v>
      </c>
      <c r="R1209" s="91">
        <v>0</v>
      </c>
      <c r="S1209" s="91">
        <v>0</v>
      </c>
      <c r="T1209" s="91"/>
      <c r="U1209" s="91"/>
      <c r="V1209" s="91"/>
      <c r="W1209" s="91"/>
      <c r="X1209" s="91"/>
      <c r="Y1209" s="91"/>
      <c r="Z1209" s="91"/>
      <c r="AA1209" s="91"/>
      <c r="AB1209" s="91"/>
      <c r="AC1209" s="91"/>
      <c r="AD1209" s="91"/>
      <c r="AE1209" s="91"/>
      <c r="AF1209" s="91"/>
      <c r="AG1209" s="91"/>
      <c r="AH1209" s="91"/>
      <c r="AI1209" s="91"/>
      <c r="AJ1209" s="91"/>
      <c r="AK1209" s="91"/>
      <c r="AL1209" s="91"/>
      <c r="AM1209" s="91"/>
    </row>
    <row r="1210" spans="1:39" ht="20.25" hidden="1" customHeight="1">
      <c r="A1210" s="91"/>
      <c r="B1210" s="93" t="s">
        <v>3849</v>
      </c>
      <c r="C1210" s="91" t="s">
        <v>36</v>
      </c>
      <c r="D1210" s="94" t="s">
        <v>3870</v>
      </c>
      <c r="E1210" s="94" t="s">
        <v>3871</v>
      </c>
      <c r="F1210" s="95" t="s">
        <v>3872</v>
      </c>
      <c r="G1210" s="96">
        <v>38436</v>
      </c>
      <c r="H1210" s="97">
        <v>17400</v>
      </c>
      <c r="I1210" s="94" t="s">
        <v>58</v>
      </c>
      <c r="J1210" s="94" t="s">
        <v>3873</v>
      </c>
      <c r="K1210" s="95">
        <v>56964771842</v>
      </c>
      <c r="L1210" s="91" t="s">
        <v>60</v>
      </c>
      <c r="M1210" s="98">
        <f ca="1">(TODAY()-H1210)/365</f>
        <v>78.361643835616434</v>
      </c>
      <c r="N1210" s="99">
        <f>(G1210-H1210)/365</f>
        <v>57.632876712328766</v>
      </c>
      <c r="O1210" s="98">
        <f ca="1">(TODAY()-G1210)/365</f>
        <v>20.728767123287671</v>
      </c>
      <c r="P1210" s="91" t="s">
        <v>43</v>
      </c>
      <c r="Q1210" s="91">
        <v>0</v>
      </c>
      <c r="R1210" s="91">
        <v>0</v>
      </c>
      <c r="S1210" s="91">
        <v>0</v>
      </c>
      <c r="T1210" s="91"/>
      <c r="U1210" s="91"/>
      <c r="V1210" s="91"/>
      <c r="W1210" s="91"/>
      <c r="X1210" s="91"/>
      <c r="Y1210" s="91"/>
      <c r="Z1210" s="91"/>
      <c r="AA1210" s="91"/>
      <c r="AB1210" s="91"/>
      <c r="AC1210" s="91"/>
      <c r="AD1210" s="91"/>
      <c r="AE1210" s="91"/>
      <c r="AF1210" s="91"/>
      <c r="AG1210" s="91"/>
      <c r="AH1210" s="91"/>
      <c r="AI1210" s="91"/>
      <c r="AJ1210" s="91"/>
      <c r="AK1210" s="91"/>
      <c r="AL1210" s="91"/>
      <c r="AM1210" s="91"/>
    </row>
    <row r="1211" spans="1:39" ht="20.25" hidden="1" customHeight="1">
      <c r="A1211" s="91"/>
      <c r="B1211" s="93" t="s">
        <v>3849</v>
      </c>
      <c r="C1211" s="91" t="s">
        <v>36</v>
      </c>
      <c r="D1211" s="94" t="s">
        <v>3874</v>
      </c>
      <c r="E1211" s="94" t="s">
        <v>3875</v>
      </c>
      <c r="F1211" s="95" t="s">
        <v>3876</v>
      </c>
      <c r="G1211" s="96">
        <v>40918</v>
      </c>
      <c r="H1211" s="97">
        <v>19600</v>
      </c>
      <c r="I1211" s="94" t="s">
        <v>58</v>
      </c>
      <c r="J1211" s="94" t="s">
        <v>3877</v>
      </c>
      <c r="K1211" s="95">
        <v>986508972</v>
      </c>
      <c r="L1211" s="91" t="s">
        <v>60</v>
      </c>
      <c r="M1211" s="98">
        <f ca="1">(TODAY()-H1211)/365</f>
        <v>72.334246575342462</v>
      </c>
      <c r="N1211" s="99">
        <f>(G1211-H1211)/365</f>
        <v>58.405479452054792</v>
      </c>
      <c r="O1211" s="98">
        <f ca="1">(TODAY()-G1211)/365</f>
        <v>13.92876712328767</v>
      </c>
      <c r="P1211" s="91" t="s">
        <v>43</v>
      </c>
      <c r="Q1211" s="91">
        <v>0</v>
      </c>
      <c r="R1211" s="91">
        <v>0</v>
      </c>
      <c r="S1211" s="91">
        <v>0</v>
      </c>
      <c r="T1211" s="91"/>
      <c r="U1211" s="91"/>
      <c r="V1211" s="91"/>
      <c r="W1211" s="91"/>
      <c r="X1211" s="91"/>
      <c r="Y1211" s="91"/>
      <c r="Z1211" s="91"/>
      <c r="AA1211" s="91"/>
      <c r="AB1211" s="91"/>
      <c r="AC1211" s="91"/>
      <c r="AD1211" s="91"/>
      <c r="AE1211" s="91"/>
      <c r="AF1211" s="91"/>
      <c r="AG1211" s="91"/>
      <c r="AH1211" s="91"/>
      <c r="AI1211" s="91"/>
      <c r="AJ1211" s="91"/>
      <c r="AK1211" s="91"/>
      <c r="AL1211" s="91"/>
      <c r="AM1211" s="91"/>
    </row>
    <row r="1212" spans="1:39" ht="20.25" hidden="1" customHeight="1">
      <c r="A1212" s="91"/>
      <c r="B1212" s="93" t="s">
        <v>3849</v>
      </c>
      <c r="C1212" s="91" t="s">
        <v>36</v>
      </c>
      <c r="D1212" s="94" t="s">
        <v>930</v>
      </c>
      <c r="E1212" s="94" t="s">
        <v>3878</v>
      </c>
      <c r="F1212" s="95" t="s">
        <v>3879</v>
      </c>
      <c r="G1212" s="96">
        <v>45021</v>
      </c>
      <c r="H1212" s="97">
        <v>23389</v>
      </c>
      <c r="I1212" s="94" t="s">
        <v>58</v>
      </c>
      <c r="J1212" s="94" t="s">
        <v>3880</v>
      </c>
      <c r="K1212" s="95">
        <v>984324863</v>
      </c>
      <c r="L1212" s="91" t="s">
        <v>54</v>
      </c>
      <c r="M1212" s="98">
        <f ca="1">(TODAY()-H1212)/365</f>
        <v>61.953424657534249</v>
      </c>
      <c r="N1212" s="99">
        <f>(G1212-H1212)/365</f>
        <v>59.265753424657532</v>
      </c>
      <c r="O1212" s="98">
        <f ca="1">(TODAY()-G1212)/365</f>
        <v>2.6876712328767125</v>
      </c>
      <c r="P1212" s="91" t="s">
        <v>43</v>
      </c>
      <c r="Q1212" s="91">
        <v>0</v>
      </c>
      <c r="R1212" s="91">
        <v>0</v>
      </c>
      <c r="S1212" s="91">
        <v>0</v>
      </c>
      <c r="T1212" s="91"/>
      <c r="U1212" s="91"/>
      <c r="V1212" s="91"/>
      <c r="W1212" s="91"/>
      <c r="X1212" s="91"/>
      <c r="Y1212" s="91"/>
      <c r="Z1212" s="91"/>
      <c r="AA1212" s="91"/>
      <c r="AB1212" s="91"/>
      <c r="AC1212" s="91"/>
      <c r="AD1212" s="91"/>
      <c r="AE1212" s="91"/>
      <c r="AF1212" s="91"/>
      <c r="AG1212" s="91"/>
      <c r="AH1212" s="91"/>
      <c r="AI1212" s="91"/>
      <c r="AJ1212" s="91"/>
      <c r="AK1212" s="91"/>
      <c r="AL1212" s="91"/>
      <c r="AM1212" s="91"/>
    </row>
    <row r="1213" spans="1:39" ht="20.25" hidden="1" customHeight="1">
      <c r="A1213" s="91"/>
      <c r="B1213" s="93" t="s">
        <v>3849</v>
      </c>
      <c r="C1213" s="91" t="s">
        <v>36</v>
      </c>
      <c r="D1213" s="94" t="s">
        <v>3881</v>
      </c>
      <c r="E1213" s="94" t="s">
        <v>3882</v>
      </c>
      <c r="F1213" s="95" t="s">
        <v>3883</v>
      </c>
      <c r="G1213" s="96">
        <v>44693</v>
      </c>
      <c r="H1213" s="97">
        <v>21770</v>
      </c>
      <c r="I1213" s="94" t="s">
        <v>58</v>
      </c>
      <c r="J1213" s="94" t="s">
        <v>3884</v>
      </c>
      <c r="K1213" s="95">
        <v>950892223</v>
      </c>
      <c r="L1213" s="91" t="s">
        <v>60</v>
      </c>
      <c r="M1213" s="98">
        <f ca="1">(TODAY()-H1213)/365</f>
        <v>66.389041095890406</v>
      </c>
      <c r="N1213" s="99">
        <f>(G1213-H1213)/365</f>
        <v>62.802739726027397</v>
      </c>
      <c r="O1213" s="98">
        <f ca="1">(TODAY()-G1213)/365</f>
        <v>3.5863013698630137</v>
      </c>
      <c r="P1213" s="91" t="s">
        <v>43</v>
      </c>
      <c r="Q1213" s="91">
        <v>0</v>
      </c>
      <c r="R1213" s="91">
        <v>0</v>
      </c>
      <c r="S1213" s="91">
        <v>0</v>
      </c>
      <c r="T1213" s="91"/>
      <c r="U1213" s="91"/>
      <c r="V1213" s="91"/>
      <c r="W1213" s="91"/>
      <c r="X1213" s="91"/>
      <c r="Y1213" s="91"/>
      <c r="Z1213" s="91"/>
      <c r="AA1213" s="91"/>
      <c r="AB1213" s="91"/>
      <c r="AC1213" s="91"/>
      <c r="AD1213" s="91"/>
      <c r="AE1213" s="91"/>
      <c r="AF1213" s="91"/>
      <c r="AG1213" s="91"/>
      <c r="AH1213" s="91"/>
      <c r="AI1213" s="91"/>
      <c r="AJ1213" s="91"/>
      <c r="AK1213" s="91"/>
      <c r="AL1213" s="91"/>
      <c r="AM1213" s="91"/>
    </row>
    <row r="1214" spans="1:39" ht="20.25" hidden="1" customHeight="1">
      <c r="A1214" s="91"/>
      <c r="B1214" s="93" t="s">
        <v>10957</v>
      </c>
      <c r="C1214" s="91" t="s">
        <v>36</v>
      </c>
      <c r="D1214" s="106" t="s">
        <v>10958</v>
      </c>
      <c r="E1214" s="106" t="s">
        <v>10959</v>
      </c>
      <c r="F1214" s="92" t="s">
        <v>10960</v>
      </c>
      <c r="G1214" s="103">
        <v>1999</v>
      </c>
      <c r="H1214" s="103">
        <v>21356</v>
      </c>
      <c r="I1214" s="94" t="s">
        <v>10961</v>
      </c>
      <c r="J1214" s="94" t="s">
        <v>10962</v>
      </c>
      <c r="K1214" s="114">
        <v>988770010</v>
      </c>
      <c r="L1214" s="91"/>
      <c r="M1214" s="98">
        <f ca="1">(TODAY()-H1214)/365</f>
        <v>67.523287671232879</v>
      </c>
      <c r="N1214" s="99">
        <f>(G1214-H1214)/365</f>
        <v>-53.032876712328765</v>
      </c>
      <c r="O1214" s="98">
        <f ca="1">(TODAY()-G1214)/365</f>
        <v>120.55616438356165</v>
      </c>
      <c r="P1214" s="91" t="s">
        <v>43</v>
      </c>
      <c r="Q1214" s="91"/>
      <c r="R1214" s="91"/>
      <c r="S1214" s="91"/>
      <c r="T1214" s="91"/>
      <c r="U1214" s="91"/>
      <c r="V1214" s="91"/>
      <c r="W1214" s="91"/>
      <c r="X1214" s="91"/>
      <c r="Y1214" s="91"/>
      <c r="Z1214" s="91"/>
      <c r="AA1214" s="91"/>
      <c r="AB1214" s="91"/>
      <c r="AC1214" s="91"/>
      <c r="AD1214" s="91"/>
      <c r="AE1214" s="91"/>
      <c r="AF1214" s="91"/>
      <c r="AG1214" s="91"/>
      <c r="AH1214" s="91"/>
      <c r="AI1214" s="91"/>
      <c r="AJ1214" s="91"/>
      <c r="AK1214" s="91"/>
      <c r="AL1214" s="91"/>
      <c r="AM1214" s="91"/>
    </row>
    <row r="1215" spans="1:39" ht="20.25" hidden="1" customHeight="1">
      <c r="A1215" s="91"/>
      <c r="B1215" s="93" t="s">
        <v>10957</v>
      </c>
      <c r="C1215" s="91" t="s">
        <v>36</v>
      </c>
      <c r="D1215" s="106" t="s">
        <v>4686</v>
      </c>
      <c r="E1215" s="106" t="s">
        <v>10963</v>
      </c>
      <c r="F1215" s="92" t="s">
        <v>10964</v>
      </c>
      <c r="G1215" s="103">
        <v>42262</v>
      </c>
      <c r="H1215" s="103">
        <v>22448</v>
      </c>
      <c r="I1215" s="94" t="s">
        <v>58</v>
      </c>
      <c r="J1215" s="100" t="s">
        <v>58</v>
      </c>
      <c r="K1215" s="95" t="s">
        <v>58</v>
      </c>
      <c r="L1215" s="91"/>
      <c r="M1215" s="98">
        <f ca="1">(TODAY()-H1215)/365</f>
        <v>64.531506849315065</v>
      </c>
      <c r="N1215" s="99">
        <f>(G1215-H1215)/365</f>
        <v>54.284931506849318</v>
      </c>
      <c r="O1215" s="98">
        <f ca="1">(TODAY()-G1215)/365</f>
        <v>10.246575342465754</v>
      </c>
      <c r="P1215" s="91" t="s">
        <v>43</v>
      </c>
      <c r="Q1215" s="91"/>
      <c r="R1215" s="91"/>
      <c r="S1215" s="91"/>
      <c r="T1215" s="91"/>
      <c r="U1215" s="91"/>
      <c r="V1215" s="91"/>
      <c r="W1215" s="91"/>
      <c r="X1215" s="91"/>
      <c r="Y1215" s="91"/>
      <c r="Z1215" s="91"/>
      <c r="AA1215" s="91"/>
      <c r="AB1215" s="91"/>
      <c r="AC1215" s="91"/>
      <c r="AD1215" s="91"/>
      <c r="AE1215" s="91"/>
      <c r="AF1215" s="91"/>
      <c r="AG1215" s="91"/>
      <c r="AH1215" s="91"/>
      <c r="AI1215" s="91"/>
      <c r="AJ1215" s="91"/>
      <c r="AK1215" s="91"/>
      <c r="AL1215" s="91"/>
      <c r="AM1215" s="91"/>
    </row>
    <row r="1216" spans="1:39" ht="20.25" hidden="1" customHeight="1">
      <c r="A1216" s="91"/>
      <c r="B1216" s="93" t="s">
        <v>10957</v>
      </c>
      <c r="C1216" s="91" t="s">
        <v>36</v>
      </c>
      <c r="D1216" s="106" t="s">
        <v>10965</v>
      </c>
      <c r="E1216" s="106" t="s">
        <v>9603</v>
      </c>
      <c r="F1216" s="92" t="s">
        <v>10966</v>
      </c>
      <c r="G1216" s="103">
        <v>40258</v>
      </c>
      <c r="H1216" s="103">
        <v>34906</v>
      </c>
      <c r="I1216" s="94" t="s">
        <v>58</v>
      </c>
      <c r="J1216" s="100" t="s">
        <v>58</v>
      </c>
      <c r="K1216" s="95" t="s">
        <v>58</v>
      </c>
      <c r="L1216" s="91"/>
      <c r="M1216" s="98">
        <f ca="1">(TODAY()-H1216)/365</f>
        <v>30.4</v>
      </c>
      <c r="N1216" s="99">
        <f>(G1216-H1216)/365</f>
        <v>14.663013698630136</v>
      </c>
      <c r="O1216" s="98">
        <f ca="1">(TODAY()-G1216)/365</f>
        <v>15.736986301369862</v>
      </c>
      <c r="P1216" s="91" t="s">
        <v>43</v>
      </c>
      <c r="Q1216" s="91"/>
      <c r="R1216" s="91"/>
      <c r="S1216" s="91"/>
      <c r="T1216" s="91"/>
      <c r="U1216" s="91"/>
      <c r="V1216" s="91"/>
      <c r="W1216" s="91"/>
      <c r="X1216" s="91"/>
      <c r="Y1216" s="91"/>
      <c r="Z1216" s="91"/>
      <c r="AA1216" s="91"/>
      <c r="AB1216" s="91"/>
      <c r="AC1216" s="91"/>
      <c r="AD1216" s="91"/>
      <c r="AE1216" s="91"/>
      <c r="AF1216" s="91"/>
      <c r="AG1216" s="91"/>
      <c r="AH1216" s="91"/>
      <c r="AI1216" s="91"/>
      <c r="AJ1216" s="91"/>
      <c r="AK1216" s="91"/>
      <c r="AL1216" s="91"/>
      <c r="AM1216" s="91"/>
    </row>
    <row r="1217" spans="1:39" ht="20.25" hidden="1" customHeight="1">
      <c r="A1217" s="91"/>
      <c r="B1217" s="93" t="s">
        <v>10957</v>
      </c>
      <c r="C1217" s="91" t="s">
        <v>36</v>
      </c>
      <c r="D1217" s="106" t="s">
        <v>805</v>
      </c>
      <c r="E1217" s="106" t="s">
        <v>10967</v>
      </c>
      <c r="F1217" s="92" t="s">
        <v>10968</v>
      </c>
      <c r="G1217" s="103">
        <v>42567</v>
      </c>
      <c r="H1217" s="103">
        <v>21904</v>
      </c>
      <c r="I1217" s="94" t="s">
        <v>58</v>
      </c>
      <c r="J1217" s="100" t="s">
        <v>58</v>
      </c>
      <c r="K1217" s="95" t="s">
        <v>58</v>
      </c>
      <c r="L1217" s="91"/>
      <c r="M1217" s="98">
        <f ca="1">(TODAY()-H1217)/365</f>
        <v>66.021917808219172</v>
      </c>
      <c r="N1217" s="99">
        <f>(G1217-H1217)/365</f>
        <v>56.610958904109587</v>
      </c>
      <c r="O1217" s="98">
        <f ca="1">(TODAY()-G1217)/365</f>
        <v>9.4109589041095898</v>
      </c>
      <c r="P1217" s="91" t="s">
        <v>43</v>
      </c>
      <c r="Q1217" s="91"/>
      <c r="R1217" s="91"/>
      <c r="S1217" s="91"/>
      <c r="T1217" s="91"/>
      <c r="U1217" s="91"/>
      <c r="V1217" s="91"/>
      <c r="W1217" s="91"/>
      <c r="X1217" s="91"/>
      <c r="Y1217" s="91"/>
      <c r="Z1217" s="91"/>
      <c r="AA1217" s="91"/>
      <c r="AB1217" s="91"/>
      <c r="AC1217" s="91"/>
      <c r="AD1217" s="91"/>
      <c r="AE1217" s="91"/>
      <c r="AF1217" s="91"/>
      <c r="AG1217" s="91"/>
      <c r="AH1217" s="91"/>
      <c r="AI1217" s="91"/>
      <c r="AJ1217" s="91"/>
      <c r="AK1217" s="91"/>
      <c r="AL1217" s="91"/>
      <c r="AM1217" s="91"/>
    </row>
    <row r="1218" spans="1:39" ht="20.25" hidden="1" customHeight="1">
      <c r="A1218" s="91"/>
      <c r="B1218" s="93" t="s">
        <v>10957</v>
      </c>
      <c r="C1218" s="91" t="s">
        <v>36</v>
      </c>
      <c r="D1218" s="106" t="s">
        <v>716</v>
      </c>
      <c r="E1218" s="106" t="s">
        <v>10969</v>
      </c>
      <c r="F1218" s="92" t="s">
        <v>10970</v>
      </c>
      <c r="G1218" s="103">
        <v>30843</v>
      </c>
      <c r="H1218" s="103">
        <v>21218</v>
      </c>
      <c r="I1218" s="94" t="s">
        <v>58</v>
      </c>
      <c r="J1218" s="100" t="s">
        <v>58</v>
      </c>
      <c r="K1218" s="95" t="s">
        <v>58</v>
      </c>
      <c r="L1218" s="91"/>
      <c r="M1218" s="98">
        <f ca="1">(TODAY()-H1218)/365</f>
        <v>67.901369863013699</v>
      </c>
      <c r="N1218" s="99">
        <f>(G1218-H1218)/365</f>
        <v>26.36986301369863</v>
      </c>
      <c r="O1218" s="98">
        <f ca="1">(TODAY()-G1218)/365</f>
        <v>41.531506849315072</v>
      </c>
      <c r="P1218" s="91" t="s">
        <v>43</v>
      </c>
      <c r="Q1218" s="91"/>
      <c r="R1218" s="91"/>
      <c r="S1218" s="91"/>
      <c r="T1218" s="91"/>
      <c r="U1218" s="91"/>
      <c r="V1218" s="91"/>
      <c r="W1218" s="91"/>
      <c r="X1218" s="91"/>
      <c r="Y1218" s="91"/>
      <c r="Z1218" s="91"/>
      <c r="AA1218" s="91"/>
      <c r="AB1218" s="91"/>
      <c r="AC1218" s="91"/>
      <c r="AD1218" s="91"/>
      <c r="AE1218" s="91"/>
      <c r="AF1218" s="91"/>
      <c r="AG1218" s="91"/>
      <c r="AH1218" s="91"/>
      <c r="AI1218" s="91"/>
      <c r="AJ1218" s="91"/>
      <c r="AK1218" s="91"/>
      <c r="AL1218" s="91"/>
      <c r="AM1218" s="91"/>
    </row>
    <row r="1219" spans="1:39" ht="20.25" hidden="1" customHeight="1">
      <c r="A1219" s="91"/>
      <c r="B1219" s="93" t="s">
        <v>10957</v>
      </c>
      <c r="C1219" s="91" t="s">
        <v>36</v>
      </c>
      <c r="D1219" s="106" t="s">
        <v>10971</v>
      </c>
      <c r="E1219" s="106" t="s">
        <v>10972</v>
      </c>
      <c r="F1219" s="92" t="s">
        <v>10973</v>
      </c>
      <c r="G1219" s="103">
        <v>36271</v>
      </c>
      <c r="H1219" s="103">
        <v>22794</v>
      </c>
      <c r="I1219" s="94" t="s">
        <v>58</v>
      </c>
      <c r="J1219" s="100" t="s">
        <v>58</v>
      </c>
      <c r="K1219" s="95" t="s">
        <v>58</v>
      </c>
      <c r="L1219" s="91"/>
      <c r="M1219" s="98">
        <f ca="1">(TODAY()-H1219)/365</f>
        <v>63.583561643835615</v>
      </c>
      <c r="N1219" s="99">
        <f>(G1219-H1219)/365</f>
        <v>36.923287671232877</v>
      </c>
      <c r="O1219" s="98">
        <f ca="1">(TODAY()-G1219)/365</f>
        <v>26.660273972602738</v>
      </c>
      <c r="P1219" s="91" t="s">
        <v>43</v>
      </c>
      <c r="Q1219" s="91"/>
      <c r="R1219" s="91"/>
      <c r="S1219" s="91"/>
      <c r="T1219" s="91"/>
      <c r="U1219" s="91"/>
      <c r="V1219" s="91"/>
      <c r="W1219" s="91"/>
      <c r="X1219" s="91"/>
      <c r="Y1219" s="91"/>
      <c r="Z1219" s="91"/>
      <c r="AA1219" s="91"/>
      <c r="AB1219" s="91"/>
      <c r="AC1219" s="91"/>
      <c r="AD1219" s="91"/>
      <c r="AE1219" s="91"/>
      <c r="AF1219" s="91"/>
      <c r="AG1219" s="91"/>
      <c r="AH1219" s="91"/>
      <c r="AI1219" s="91"/>
      <c r="AJ1219" s="91"/>
      <c r="AK1219" s="91"/>
      <c r="AL1219" s="91"/>
      <c r="AM1219" s="91"/>
    </row>
    <row r="1220" spans="1:39" ht="20.25" hidden="1" customHeight="1">
      <c r="A1220" s="91"/>
      <c r="B1220" s="93" t="s">
        <v>10957</v>
      </c>
      <c r="C1220" s="91" t="s">
        <v>36</v>
      </c>
      <c r="D1220" s="106" t="s">
        <v>4623</v>
      </c>
      <c r="E1220" s="106" t="s">
        <v>10974</v>
      </c>
      <c r="F1220" s="92" t="s">
        <v>10975</v>
      </c>
      <c r="G1220" s="103">
        <v>45162</v>
      </c>
      <c r="H1220" s="103">
        <v>32043</v>
      </c>
      <c r="I1220" s="94" t="s">
        <v>58</v>
      </c>
      <c r="J1220" s="100" t="s">
        <v>58</v>
      </c>
      <c r="K1220" s="95" t="s">
        <v>58</v>
      </c>
      <c r="L1220" s="91"/>
      <c r="M1220" s="98">
        <f ca="1">(TODAY()-H1220)/365</f>
        <v>38.243835616438353</v>
      </c>
      <c r="N1220" s="99">
        <f>(G1220-H1220)/365</f>
        <v>35.942465753424656</v>
      </c>
      <c r="O1220" s="98">
        <f ca="1">(TODAY()-G1220)/365</f>
        <v>2.3013698630136985</v>
      </c>
      <c r="P1220" s="91" t="s">
        <v>43</v>
      </c>
      <c r="Q1220" s="91"/>
      <c r="R1220" s="91"/>
      <c r="S1220" s="91"/>
      <c r="T1220" s="91"/>
      <c r="U1220" s="91"/>
      <c r="V1220" s="91"/>
      <c r="W1220" s="91"/>
      <c r="X1220" s="91"/>
      <c r="Y1220" s="91"/>
      <c r="Z1220" s="91"/>
      <c r="AA1220" s="91"/>
      <c r="AB1220" s="91"/>
      <c r="AC1220" s="91"/>
      <c r="AD1220" s="91"/>
      <c r="AE1220" s="91"/>
      <c r="AF1220" s="91"/>
      <c r="AG1220" s="91"/>
      <c r="AH1220" s="91"/>
      <c r="AI1220" s="91"/>
      <c r="AJ1220" s="91"/>
      <c r="AK1220" s="91"/>
      <c r="AL1220" s="91"/>
      <c r="AM1220" s="91"/>
    </row>
    <row r="1221" spans="1:39" ht="20.25" hidden="1" customHeight="1">
      <c r="A1221" s="91"/>
      <c r="B1221" s="93" t="s">
        <v>10957</v>
      </c>
      <c r="C1221" s="91" t="s">
        <v>36</v>
      </c>
      <c r="D1221" s="106" t="s">
        <v>10976</v>
      </c>
      <c r="E1221" s="106" t="s">
        <v>10977</v>
      </c>
      <c r="F1221" s="92" t="s">
        <v>10978</v>
      </c>
      <c r="G1221" s="103">
        <v>27476</v>
      </c>
      <c r="H1221" s="103">
        <v>15216</v>
      </c>
      <c r="I1221" s="94" t="s">
        <v>58</v>
      </c>
      <c r="J1221" s="100" t="s">
        <v>58</v>
      </c>
      <c r="K1221" s="95" t="s">
        <v>58</v>
      </c>
      <c r="L1221" s="91"/>
      <c r="M1221" s="98">
        <f ca="1">(TODAY()-H1221)/365</f>
        <v>84.345205479452048</v>
      </c>
      <c r="N1221" s="99">
        <f>(G1221-H1221)/365</f>
        <v>33.589041095890408</v>
      </c>
      <c r="O1221" s="98">
        <f ca="1">(TODAY()-G1221)/365</f>
        <v>50.756164383561647</v>
      </c>
      <c r="P1221" s="91" t="s">
        <v>43</v>
      </c>
      <c r="Q1221" s="91"/>
      <c r="R1221" s="91"/>
      <c r="S1221" s="91"/>
      <c r="T1221" s="91"/>
      <c r="U1221" s="91"/>
      <c r="V1221" s="91"/>
      <c r="W1221" s="91"/>
      <c r="X1221" s="91"/>
      <c r="Y1221" s="91"/>
      <c r="Z1221" s="91"/>
      <c r="AA1221" s="91"/>
      <c r="AB1221" s="91"/>
      <c r="AC1221" s="91"/>
      <c r="AD1221" s="91"/>
      <c r="AE1221" s="91"/>
      <c r="AF1221" s="91"/>
      <c r="AG1221" s="91"/>
      <c r="AH1221" s="91"/>
      <c r="AI1221" s="91"/>
      <c r="AJ1221" s="91"/>
      <c r="AK1221" s="91"/>
      <c r="AL1221" s="91"/>
      <c r="AM1221" s="91"/>
    </row>
    <row r="1222" spans="1:39" ht="20.25" hidden="1" customHeight="1">
      <c r="A1222" s="91"/>
      <c r="B1222" s="93" t="s">
        <v>10957</v>
      </c>
      <c r="C1222" s="91" t="s">
        <v>36</v>
      </c>
      <c r="D1222" s="106" t="s">
        <v>2500</v>
      </c>
      <c r="E1222" s="106" t="s">
        <v>10979</v>
      </c>
      <c r="F1222" s="92" t="s">
        <v>10980</v>
      </c>
      <c r="G1222" s="103">
        <v>23919</v>
      </c>
      <c r="H1222" s="103">
        <v>40037</v>
      </c>
      <c r="I1222" s="94" t="s">
        <v>58</v>
      </c>
      <c r="J1222" s="100" t="s">
        <v>58</v>
      </c>
      <c r="K1222" s="95" t="s">
        <v>58</v>
      </c>
      <c r="L1222" s="91"/>
      <c r="M1222" s="98">
        <f ca="1">(TODAY()-H1222)/365</f>
        <v>16.342465753424658</v>
      </c>
      <c r="N1222" s="99">
        <f>(G1222-H1222)/365</f>
        <v>-44.158904109589038</v>
      </c>
      <c r="O1222" s="98">
        <f ca="1">(TODAY()-G1222)/365</f>
        <v>60.5013698630137</v>
      </c>
      <c r="P1222" s="91" t="s">
        <v>43</v>
      </c>
      <c r="Q1222" s="91"/>
      <c r="R1222" s="91"/>
      <c r="S1222" s="91"/>
      <c r="T1222" s="91"/>
      <c r="U1222" s="91"/>
      <c r="V1222" s="91"/>
      <c r="W1222" s="91"/>
      <c r="X1222" s="91"/>
      <c r="Y1222" s="91"/>
      <c r="Z1222" s="91"/>
      <c r="AA1222" s="91"/>
      <c r="AB1222" s="91"/>
      <c r="AC1222" s="91"/>
      <c r="AD1222" s="91"/>
      <c r="AE1222" s="91"/>
      <c r="AF1222" s="91"/>
      <c r="AG1222" s="91"/>
      <c r="AH1222" s="91"/>
      <c r="AI1222" s="91"/>
      <c r="AJ1222" s="91"/>
      <c r="AK1222" s="91"/>
      <c r="AL1222" s="91"/>
      <c r="AM1222" s="91"/>
    </row>
    <row r="1223" spans="1:39" ht="20.25" customHeight="1">
      <c r="A1223" s="91"/>
      <c r="B1223" s="93" t="s">
        <v>10029</v>
      </c>
      <c r="C1223" s="91" t="s">
        <v>73</v>
      </c>
      <c r="D1223" s="106" t="s">
        <v>10059</v>
      </c>
      <c r="E1223" s="106" t="s">
        <v>10057</v>
      </c>
      <c r="F1223" s="92" t="s">
        <v>10060</v>
      </c>
      <c r="G1223" s="126">
        <v>45589</v>
      </c>
      <c r="H1223" s="126">
        <v>26444</v>
      </c>
      <c r="I1223" s="94" t="s">
        <v>10032</v>
      </c>
      <c r="J1223" s="100" t="s">
        <v>58</v>
      </c>
      <c r="K1223" s="95" t="s">
        <v>58</v>
      </c>
      <c r="L1223" s="91"/>
      <c r="M1223" s="98">
        <f ca="1">(TODAY()-H1223)/365</f>
        <v>53.583561643835615</v>
      </c>
      <c r="N1223" s="99">
        <f>(G1223-H1223)/365</f>
        <v>52.452054794520549</v>
      </c>
      <c r="O1223" s="98">
        <f ca="1">(TODAY()-G1223)/365</f>
        <v>1.1315068493150684</v>
      </c>
      <c r="P1223" s="91" t="s">
        <v>43</v>
      </c>
      <c r="Q1223" s="91"/>
      <c r="R1223" s="91"/>
      <c r="S1223" s="91"/>
      <c r="T1223" s="91"/>
      <c r="U1223" s="91"/>
      <c r="V1223" s="91"/>
      <c r="W1223" s="91"/>
      <c r="X1223" s="91"/>
      <c r="Y1223" s="91"/>
      <c r="Z1223" s="91"/>
      <c r="AA1223" s="91"/>
      <c r="AB1223" s="91"/>
      <c r="AC1223" s="91"/>
      <c r="AD1223" s="91"/>
      <c r="AE1223" s="91"/>
      <c r="AF1223" s="91"/>
      <c r="AG1223" s="91"/>
      <c r="AH1223" s="91"/>
      <c r="AI1223" s="91"/>
      <c r="AJ1223" s="91"/>
      <c r="AK1223" s="91"/>
      <c r="AL1223" s="91"/>
      <c r="AM1223" s="91"/>
    </row>
    <row r="1224" spans="1:39" ht="20.25" hidden="1" customHeight="1">
      <c r="A1224" s="91"/>
      <c r="B1224" s="93" t="s">
        <v>3885</v>
      </c>
      <c r="C1224" s="91" t="s">
        <v>36</v>
      </c>
      <c r="D1224" s="106" t="s">
        <v>3890</v>
      </c>
      <c r="E1224" s="106" t="s">
        <v>3891</v>
      </c>
      <c r="F1224" s="92" t="s">
        <v>3892</v>
      </c>
      <c r="G1224" s="96">
        <v>28091</v>
      </c>
      <c r="H1224" s="97">
        <v>16098</v>
      </c>
      <c r="I1224" s="102" t="s">
        <v>3893</v>
      </c>
      <c r="J1224" s="94" t="s">
        <v>3894</v>
      </c>
      <c r="K1224" s="92">
        <v>995024645</v>
      </c>
      <c r="L1224" s="91" t="s">
        <v>60</v>
      </c>
      <c r="M1224" s="98">
        <f ca="1">(TODAY()-H1224)/365</f>
        <v>81.92876712328767</v>
      </c>
      <c r="N1224" s="99">
        <f>(G1224-H1224)/365</f>
        <v>32.857534246575341</v>
      </c>
      <c r="O1224" s="98">
        <f ca="1">(TODAY()-G1224)/365</f>
        <v>49.07123287671233</v>
      </c>
      <c r="P1224" s="91" t="s">
        <v>43</v>
      </c>
      <c r="Q1224" s="91">
        <v>0</v>
      </c>
      <c r="R1224" s="91">
        <v>0</v>
      </c>
      <c r="S1224" s="91">
        <v>0</v>
      </c>
      <c r="T1224" s="91"/>
      <c r="U1224" s="91"/>
      <c r="V1224" s="91"/>
      <c r="W1224" s="91"/>
      <c r="X1224" s="91"/>
      <c r="Y1224" s="91"/>
      <c r="Z1224" s="91"/>
      <c r="AA1224" s="91"/>
      <c r="AB1224" s="91"/>
      <c r="AC1224" s="91"/>
      <c r="AD1224" s="91"/>
      <c r="AE1224" s="91"/>
      <c r="AF1224" s="91"/>
      <c r="AG1224" s="91"/>
      <c r="AH1224" s="91"/>
      <c r="AI1224" s="91"/>
      <c r="AJ1224" s="91"/>
      <c r="AK1224" s="91"/>
      <c r="AL1224" s="91"/>
      <c r="AM1224" s="91"/>
    </row>
    <row r="1225" spans="1:39" ht="20.25" hidden="1" customHeight="1">
      <c r="A1225" s="91"/>
      <c r="B1225" s="93" t="s">
        <v>3885</v>
      </c>
      <c r="C1225" s="91" t="s">
        <v>36</v>
      </c>
      <c r="D1225" s="106" t="s">
        <v>3895</v>
      </c>
      <c r="E1225" s="106" t="s">
        <v>3896</v>
      </c>
      <c r="F1225" s="92" t="s">
        <v>3897</v>
      </c>
      <c r="G1225" s="96">
        <v>42019</v>
      </c>
      <c r="H1225" s="97">
        <v>29945</v>
      </c>
      <c r="I1225" s="102" t="s">
        <v>3898</v>
      </c>
      <c r="J1225" s="94" t="s">
        <v>3899</v>
      </c>
      <c r="K1225" s="92">
        <v>986289840</v>
      </c>
      <c r="L1225" s="91" t="s">
        <v>60</v>
      </c>
      <c r="M1225" s="98">
        <f ca="1">(TODAY()-H1225)/365</f>
        <v>43.991780821917807</v>
      </c>
      <c r="N1225" s="99">
        <f>(G1225-H1225)/365</f>
        <v>33.079452054794523</v>
      </c>
      <c r="O1225" s="98">
        <f ca="1">(TODAY()-G1225)/365</f>
        <v>10.912328767123288</v>
      </c>
      <c r="P1225" s="91" t="s">
        <v>43</v>
      </c>
      <c r="Q1225" s="91">
        <v>0</v>
      </c>
      <c r="R1225" s="91">
        <v>0</v>
      </c>
      <c r="S1225" s="91">
        <v>0</v>
      </c>
      <c r="T1225" s="91"/>
      <c r="U1225" s="91"/>
      <c r="V1225" s="91"/>
      <c r="W1225" s="91"/>
      <c r="X1225" s="91"/>
      <c r="Y1225" s="91"/>
      <c r="Z1225" s="91"/>
      <c r="AA1225" s="91"/>
      <c r="AB1225" s="91"/>
      <c r="AC1225" s="91"/>
      <c r="AD1225" s="91"/>
      <c r="AE1225" s="91"/>
      <c r="AF1225" s="91"/>
      <c r="AG1225" s="91"/>
      <c r="AH1225" s="91"/>
      <c r="AI1225" s="91"/>
      <c r="AJ1225" s="91"/>
      <c r="AK1225" s="91"/>
      <c r="AL1225" s="91"/>
      <c r="AM1225" s="91"/>
    </row>
    <row r="1226" spans="1:39" ht="20.25" hidden="1" customHeight="1">
      <c r="A1226" s="91"/>
      <c r="B1226" s="93" t="s">
        <v>3885</v>
      </c>
      <c r="C1226" s="91" t="s">
        <v>36</v>
      </c>
      <c r="D1226" s="106" t="s">
        <v>513</v>
      </c>
      <c r="E1226" s="106" t="s">
        <v>3900</v>
      </c>
      <c r="F1226" s="92" t="s">
        <v>3901</v>
      </c>
      <c r="G1226" s="96">
        <v>27723</v>
      </c>
      <c r="H1226" s="97">
        <v>14579</v>
      </c>
      <c r="I1226" s="102" t="s">
        <v>3902</v>
      </c>
      <c r="J1226" s="94" t="s">
        <v>3899</v>
      </c>
      <c r="K1226" s="92">
        <v>989151454</v>
      </c>
      <c r="L1226" s="91" t="s">
        <v>60</v>
      </c>
      <c r="M1226" s="98">
        <f ca="1">(TODAY()-H1226)/365</f>
        <v>86.090410958904116</v>
      </c>
      <c r="N1226" s="99">
        <f>(G1226-H1226)/365</f>
        <v>36.010958904109586</v>
      </c>
      <c r="O1226" s="98">
        <f ca="1">(TODAY()-G1226)/365</f>
        <v>50.079452054794523</v>
      </c>
      <c r="P1226" s="91" t="s">
        <v>43</v>
      </c>
      <c r="Q1226" s="91">
        <v>0</v>
      </c>
      <c r="R1226" s="91">
        <v>0</v>
      </c>
      <c r="S1226" s="91">
        <v>0</v>
      </c>
      <c r="T1226" s="91"/>
      <c r="U1226" s="91"/>
      <c r="V1226" s="91"/>
      <c r="W1226" s="91"/>
      <c r="X1226" s="91"/>
      <c r="Y1226" s="91"/>
      <c r="Z1226" s="91"/>
      <c r="AA1226" s="91"/>
      <c r="AB1226" s="91"/>
      <c r="AC1226" s="91"/>
      <c r="AD1226" s="91"/>
      <c r="AE1226" s="91"/>
      <c r="AF1226" s="91"/>
      <c r="AG1226" s="91"/>
      <c r="AH1226" s="91"/>
      <c r="AI1226" s="91"/>
      <c r="AJ1226" s="91"/>
      <c r="AK1226" s="91"/>
      <c r="AL1226" s="91"/>
      <c r="AM1226" s="91"/>
    </row>
    <row r="1227" spans="1:39" ht="20.25" hidden="1" customHeight="1">
      <c r="A1227" s="91"/>
      <c r="B1227" s="93" t="s">
        <v>3885</v>
      </c>
      <c r="C1227" s="91" t="s">
        <v>36</v>
      </c>
      <c r="D1227" s="106" t="s">
        <v>3903</v>
      </c>
      <c r="E1227" s="106" t="s">
        <v>3904</v>
      </c>
      <c r="F1227" s="92" t="s">
        <v>3905</v>
      </c>
      <c r="G1227" s="96">
        <v>31999</v>
      </c>
      <c r="H1227" s="97">
        <v>16108</v>
      </c>
      <c r="I1227" s="100" t="s">
        <v>58</v>
      </c>
      <c r="J1227" s="94" t="s">
        <v>3906</v>
      </c>
      <c r="K1227" s="92">
        <v>953678204</v>
      </c>
      <c r="L1227" s="91" t="s">
        <v>60</v>
      </c>
      <c r="M1227" s="98">
        <f ca="1">(TODAY()-H1227)/365</f>
        <v>81.901369863013699</v>
      </c>
      <c r="N1227" s="99">
        <f>(G1227-H1227)/365</f>
        <v>43.536986301369865</v>
      </c>
      <c r="O1227" s="98">
        <f ca="1">(TODAY()-G1227)/365</f>
        <v>38.364383561643834</v>
      </c>
      <c r="P1227" s="91" t="s">
        <v>43</v>
      </c>
      <c r="Q1227" s="91">
        <v>0</v>
      </c>
      <c r="R1227" s="91">
        <v>0</v>
      </c>
      <c r="S1227" s="91">
        <v>0</v>
      </c>
      <c r="T1227" s="91"/>
      <c r="U1227" s="91"/>
      <c r="V1227" s="91"/>
      <c r="W1227" s="91"/>
      <c r="X1227" s="91"/>
      <c r="Y1227" s="91"/>
      <c r="Z1227" s="91"/>
      <c r="AA1227" s="91"/>
      <c r="AB1227" s="91"/>
      <c r="AC1227" s="91"/>
      <c r="AD1227" s="91"/>
      <c r="AE1227" s="91"/>
      <c r="AF1227" s="91"/>
      <c r="AG1227" s="91"/>
      <c r="AH1227" s="91"/>
      <c r="AI1227" s="91"/>
      <c r="AJ1227" s="91"/>
      <c r="AK1227" s="91"/>
      <c r="AL1227" s="91"/>
      <c r="AM1227" s="91"/>
    </row>
    <row r="1228" spans="1:39" ht="20.25" hidden="1" customHeight="1">
      <c r="A1228" s="91"/>
      <c r="B1228" s="93" t="s">
        <v>3885</v>
      </c>
      <c r="C1228" s="91" t="s">
        <v>36</v>
      </c>
      <c r="D1228" s="106" t="s">
        <v>3907</v>
      </c>
      <c r="E1228" s="106" t="s">
        <v>3908</v>
      </c>
      <c r="F1228" s="92" t="s">
        <v>3909</v>
      </c>
      <c r="G1228" s="96">
        <v>34109</v>
      </c>
      <c r="H1228" s="97">
        <v>16909</v>
      </c>
      <c r="I1228" s="100" t="s">
        <v>58</v>
      </c>
      <c r="J1228" s="94" t="s">
        <v>3910</v>
      </c>
      <c r="K1228" s="92">
        <v>953103554</v>
      </c>
      <c r="L1228" s="91" t="s">
        <v>60</v>
      </c>
      <c r="M1228" s="98">
        <f ca="1">(TODAY()-H1228)/365</f>
        <v>79.706849315068496</v>
      </c>
      <c r="N1228" s="99">
        <f>(G1228-H1228)/365</f>
        <v>47.123287671232873</v>
      </c>
      <c r="O1228" s="98">
        <f ca="1">(TODAY()-G1228)/365</f>
        <v>32.583561643835615</v>
      </c>
      <c r="P1228" s="91" t="s">
        <v>43</v>
      </c>
      <c r="Q1228" s="91">
        <v>0</v>
      </c>
      <c r="R1228" s="91">
        <v>0</v>
      </c>
      <c r="S1228" s="91">
        <v>0</v>
      </c>
      <c r="T1228" s="91"/>
      <c r="U1228" s="91"/>
      <c r="V1228" s="91"/>
      <c r="W1228" s="91"/>
      <c r="X1228" s="91"/>
      <c r="Y1228" s="91"/>
      <c r="Z1228" s="91"/>
      <c r="AA1228" s="91"/>
      <c r="AB1228" s="91"/>
      <c r="AC1228" s="91"/>
      <c r="AD1228" s="91"/>
      <c r="AE1228" s="91"/>
      <c r="AF1228" s="91"/>
      <c r="AG1228" s="91"/>
      <c r="AH1228" s="91"/>
      <c r="AI1228" s="91"/>
      <c r="AJ1228" s="91"/>
      <c r="AK1228" s="91"/>
      <c r="AL1228" s="91"/>
      <c r="AM1228" s="91"/>
    </row>
    <row r="1229" spans="1:39" ht="20.25" hidden="1" customHeight="1">
      <c r="A1229" s="91"/>
      <c r="B1229" s="93" t="s">
        <v>3885</v>
      </c>
      <c r="C1229" s="91" t="s">
        <v>36</v>
      </c>
      <c r="D1229" s="106" t="s">
        <v>3911</v>
      </c>
      <c r="E1229" s="106" t="s">
        <v>3912</v>
      </c>
      <c r="F1229" s="92" t="s">
        <v>3913</v>
      </c>
      <c r="G1229" s="96">
        <v>45427</v>
      </c>
      <c r="H1229" s="97">
        <v>26432</v>
      </c>
      <c r="I1229" s="102" t="s">
        <v>3914</v>
      </c>
      <c r="J1229" s="94" t="s">
        <v>3915</v>
      </c>
      <c r="K1229" s="92">
        <v>954439124</v>
      </c>
      <c r="L1229" s="91" t="s">
        <v>60</v>
      </c>
      <c r="M1229" s="98">
        <f ca="1">(TODAY()-H1229)/365</f>
        <v>53.61643835616438</v>
      </c>
      <c r="N1229" s="99">
        <f>(G1229-H1229)/365</f>
        <v>52.041095890410958</v>
      </c>
      <c r="O1229" s="98">
        <f ca="1">(TODAY()-G1229)/365</f>
        <v>1.5753424657534247</v>
      </c>
      <c r="P1229" s="91" t="s">
        <v>43</v>
      </c>
      <c r="Q1229" s="91">
        <v>0</v>
      </c>
      <c r="R1229" s="91">
        <v>0</v>
      </c>
      <c r="S1229" s="91">
        <v>0</v>
      </c>
      <c r="T1229" s="91"/>
      <c r="U1229" s="91"/>
      <c r="V1229" s="91"/>
      <c r="W1229" s="91"/>
      <c r="X1229" s="91"/>
      <c r="Y1229" s="91"/>
      <c r="Z1229" s="91"/>
      <c r="AA1229" s="91"/>
      <c r="AB1229" s="91"/>
      <c r="AC1229" s="91"/>
      <c r="AD1229" s="91"/>
      <c r="AE1229" s="91"/>
      <c r="AF1229" s="91"/>
      <c r="AG1229" s="91"/>
      <c r="AH1229" s="91"/>
      <c r="AI1229" s="91"/>
      <c r="AJ1229" s="91"/>
      <c r="AK1229" s="91"/>
      <c r="AL1229" s="91"/>
      <c r="AM1229" s="91"/>
    </row>
    <row r="1230" spans="1:39" ht="20.25" hidden="1" customHeight="1">
      <c r="A1230" s="91"/>
      <c r="B1230" s="93" t="s">
        <v>3885</v>
      </c>
      <c r="C1230" s="91" t="s">
        <v>36</v>
      </c>
      <c r="D1230" s="106" t="s">
        <v>3916</v>
      </c>
      <c r="E1230" s="106" t="s">
        <v>3917</v>
      </c>
      <c r="F1230" s="92" t="s">
        <v>3918</v>
      </c>
      <c r="G1230" s="96">
        <v>45427</v>
      </c>
      <c r="H1230" s="97">
        <v>25564</v>
      </c>
      <c r="I1230" s="102" t="s">
        <v>3919</v>
      </c>
      <c r="J1230" s="94" t="s">
        <v>3920</v>
      </c>
      <c r="K1230" s="92">
        <v>961321951</v>
      </c>
      <c r="L1230" s="91" t="s">
        <v>60</v>
      </c>
      <c r="M1230" s="98">
        <f ca="1">(TODAY()-H1230)/365</f>
        <v>55.994520547945207</v>
      </c>
      <c r="N1230" s="99">
        <f>(G1230-H1230)/365</f>
        <v>54.419178082191777</v>
      </c>
      <c r="O1230" s="98">
        <f ca="1">(TODAY()-G1230)/365</f>
        <v>1.5753424657534247</v>
      </c>
      <c r="P1230" s="91" t="s">
        <v>43</v>
      </c>
      <c r="Q1230" s="91">
        <v>0</v>
      </c>
      <c r="R1230" s="91">
        <v>0</v>
      </c>
      <c r="S1230" s="91">
        <v>0</v>
      </c>
      <c r="T1230" s="91"/>
      <c r="U1230" s="91"/>
      <c r="V1230" s="91"/>
      <c r="W1230" s="91"/>
      <c r="X1230" s="91"/>
      <c r="Y1230" s="91"/>
      <c r="Z1230" s="91"/>
      <c r="AA1230" s="91"/>
      <c r="AB1230" s="91"/>
      <c r="AC1230" s="91"/>
      <c r="AD1230" s="91"/>
      <c r="AE1230" s="91"/>
      <c r="AF1230" s="91"/>
      <c r="AG1230" s="91"/>
      <c r="AH1230" s="91"/>
      <c r="AI1230" s="91"/>
      <c r="AJ1230" s="91"/>
      <c r="AK1230" s="91"/>
      <c r="AL1230" s="91"/>
      <c r="AM1230" s="91"/>
    </row>
    <row r="1231" spans="1:39" ht="20.25" hidden="1" customHeight="1">
      <c r="A1231" s="91"/>
      <c r="B1231" s="93" t="s">
        <v>3885</v>
      </c>
      <c r="C1231" s="91" t="s">
        <v>36</v>
      </c>
      <c r="D1231" s="106" t="s">
        <v>3921</v>
      </c>
      <c r="E1231" s="106" t="s">
        <v>3922</v>
      </c>
      <c r="F1231" s="92" t="s">
        <v>3923</v>
      </c>
      <c r="G1231" s="96">
        <v>45427</v>
      </c>
      <c r="H1231" s="97">
        <v>24245</v>
      </c>
      <c r="I1231" s="100" t="s">
        <v>58</v>
      </c>
      <c r="J1231" s="94" t="s">
        <v>3924</v>
      </c>
      <c r="K1231" s="92">
        <v>988121528</v>
      </c>
      <c r="L1231" s="91" t="s">
        <v>60</v>
      </c>
      <c r="M1231" s="98">
        <f ca="1">(TODAY()-H1231)/365</f>
        <v>59.608219178082194</v>
      </c>
      <c r="N1231" s="99">
        <f>(G1231-H1231)/365</f>
        <v>58.032876712328765</v>
      </c>
      <c r="O1231" s="98">
        <f ca="1">(TODAY()-G1231)/365</f>
        <v>1.5753424657534247</v>
      </c>
      <c r="P1231" s="91" t="s">
        <v>43</v>
      </c>
      <c r="Q1231" s="91">
        <v>0</v>
      </c>
      <c r="R1231" s="91">
        <v>0</v>
      </c>
      <c r="S1231" s="91">
        <v>0</v>
      </c>
      <c r="T1231" s="91"/>
      <c r="U1231" s="91"/>
      <c r="V1231" s="91"/>
      <c r="W1231" s="91"/>
      <c r="X1231" s="91"/>
      <c r="Y1231" s="91"/>
      <c r="Z1231" s="91"/>
      <c r="AA1231" s="91"/>
      <c r="AB1231" s="91"/>
      <c r="AC1231" s="91"/>
      <c r="AD1231" s="91"/>
      <c r="AE1231" s="91"/>
      <c r="AF1231" s="91"/>
      <c r="AG1231" s="91"/>
      <c r="AH1231" s="91"/>
      <c r="AI1231" s="91"/>
      <c r="AJ1231" s="91"/>
      <c r="AK1231" s="91"/>
      <c r="AL1231" s="91"/>
      <c r="AM1231" s="91"/>
    </row>
    <row r="1232" spans="1:39" ht="20.25" hidden="1" customHeight="1">
      <c r="A1232" s="91"/>
      <c r="B1232" s="93" t="s">
        <v>3885</v>
      </c>
      <c r="C1232" s="91" t="s">
        <v>36</v>
      </c>
      <c r="D1232" s="106" t="s">
        <v>3925</v>
      </c>
      <c r="E1232" s="106" t="s">
        <v>3908</v>
      </c>
      <c r="F1232" s="92" t="s">
        <v>3926</v>
      </c>
      <c r="G1232" s="96">
        <v>40366</v>
      </c>
      <c r="H1232" s="97">
        <v>17832</v>
      </c>
      <c r="I1232" s="100" t="s">
        <v>58</v>
      </c>
      <c r="J1232" s="94" t="s">
        <v>3927</v>
      </c>
      <c r="K1232" s="92">
        <v>939378193</v>
      </c>
      <c r="L1232" s="91" t="s">
        <v>60</v>
      </c>
      <c r="M1232" s="98">
        <f ca="1">(TODAY()-H1232)/365</f>
        <v>77.178082191780817</v>
      </c>
      <c r="N1232" s="99">
        <f>(G1232-H1232)/365</f>
        <v>61.736986301369861</v>
      </c>
      <c r="O1232" s="98">
        <f ca="1">(TODAY()-G1232)/365</f>
        <v>15.441095890410958</v>
      </c>
      <c r="P1232" s="91" t="s">
        <v>43</v>
      </c>
      <c r="Q1232" s="91">
        <v>0</v>
      </c>
      <c r="R1232" s="91">
        <v>0</v>
      </c>
      <c r="S1232" s="91">
        <v>0</v>
      </c>
      <c r="T1232" s="91"/>
      <c r="U1232" s="91"/>
      <c r="V1232" s="91"/>
      <c r="W1232" s="91"/>
      <c r="X1232" s="91"/>
      <c r="Y1232" s="91"/>
      <c r="Z1232" s="91"/>
      <c r="AA1232" s="91"/>
      <c r="AB1232" s="91"/>
      <c r="AC1232" s="91"/>
      <c r="AD1232" s="91"/>
      <c r="AE1232" s="91"/>
      <c r="AF1232" s="91"/>
      <c r="AG1232" s="91"/>
      <c r="AH1232" s="91"/>
      <c r="AI1232" s="91"/>
      <c r="AJ1232" s="91"/>
      <c r="AK1232" s="91"/>
      <c r="AL1232" s="91"/>
      <c r="AM1232" s="91"/>
    </row>
    <row r="1233" spans="1:39" ht="20.25" hidden="1" customHeight="1">
      <c r="A1233" s="91"/>
      <c r="B1233" s="93" t="s">
        <v>3885</v>
      </c>
      <c r="C1233" s="91" t="s">
        <v>36</v>
      </c>
      <c r="D1233" s="106" t="s">
        <v>3928</v>
      </c>
      <c r="E1233" s="106" t="s">
        <v>3929</v>
      </c>
      <c r="F1233" s="92" t="s">
        <v>3930</v>
      </c>
      <c r="G1233" s="96">
        <v>40714</v>
      </c>
      <c r="H1233" s="97">
        <v>18112</v>
      </c>
      <c r="I1233" s="100" t="s">
        <v>58</v>
      </c>
      <c r="J1233" s="94" t="s">
        <v>3931</v>
      </c>
      <c r="K1233" s="92">
        <v>995024645</v>
      </c>
      <c r="L1233" s="91" t="s">
        <v>60</v>
      </c>
      <c r="M1233" s="98">
        <f ca="1">(TODAY()-H1233)/365</f>
        <v>76.410958904109592</v>
      </c>
      <c r="N1233" s="99">
        <f>(G1233-H1233)/365</f>
        <v>61.923287671232877</v>
      </c>
      <c r="O1233" s="98">
        <f ca="1">(TODAY()-G1233)/365</f>
        <v>14.487671232876712</v>
      </c>
      <c r="P1233" s="91" t="s">
        <v>272</v>
      </c>
      <c r="Q1233" s="91">
        <v>0</v>
      </c>
      <c r="R1233" s="91">
        <v>0</v>
      </c>
      <c r="S1233" s="91">
        <v>0</v>
      </c>
      <c r="T1233" s="91"/>
      <c r="U1233" s="91"/>
      <c r="V1233" s="91"/>
      <c r="W1233" s="91"/>
      <c r="X1233" s="91"/>
      <c r="Y1233" s="91"/>
      <c r="Z1233" s="91"/>
      <c r="AA1233" s="91"/>
      <c r="AB1233" s="91"/>
      <c r="AC1233" s="91"/>
      <c r="AD1233" s="91"/>
      <c r="AE1233" s="91"/>
      <c r="AF1233" s="91"/>
      <c r="AG1233" s="91"/>
      <c r="AH1233" s="91"/>
      <c r="AI1233" s="91"/>
      <c r="AJ1233" s="91"/>
      <c r="AK1233" s="91"/>
      <c r="AL1233" s="91"/>
      <c r="AM1233" s="91"/>
    </row>
    <row r="1234" spans="1:39" ht="20.25" customHeight="1">
      <c r="A1234" s="91"/>
      <c r="B1234" s="93" t="s">
        <v>7434</v>
      </c>
      <c r="C1234" s="91" t="s">
        <v>73</v>
      </c>
      <c r="D1234" s="94" t="s">
        <v>3890</v>
      </c>
      <c r="E1234" s="94" t="s">
        <v>7460</v>
      </c>
      <c r="F1234" s="95" t="s">
        <v>7461</v>
      </c>
      <c r="G1234" s="96">
        <v>32967</v>
      </c>
      <c r="H1234" s="97" t="s">
        <v>58</v>
      </c>
      <c r="I1234" s="100" t="s">
        <v>58</v>
      </c>
      <c r="J1234" s="100" t="s">
        <v>58</v>
      </c>
      <c r="K1234" s="91" t="s">
        <v>58</v>
      </c>
      <c r="L1234" s="91" t="s">
        <v>54</v>
      </c>
      <c r="M1234" s="98"/>
      <c r="N1234" s="91"/>
      <c r="O1234" s="98">
        <f ca="1">(TODAY()-G1234)/365</f>
        <v>35.712328767123289</v>
      </c>
      <c r="P1234" s="91" t="s">
        <v>43</v>
      </c>
      <c r="Q1234" s="91">
        <v>0</v>
      </c>
      <c r="R1234" s="91">
        <v>0</v>
      </c>
      <c r="S1234" s="91">
        <v>0</v>
      </c>
      <c r="T1234" s="91"/>
      <c r="U1234" s="91"/>
      <c r="V1234" s="91"/>
      <c r="W1234" s="91"/>
      <c r="X1234" s="91"/>
      <c r="Y1234" s="91"/>
      <c r="Z1234" s="91"/>
      <c r="AA1234" s="91"/>
      <c r="AB1234" s="91"/>
      <c r="AC1234" s="91"/>
      <c r="AD1234" s="91"/>
      <c r="AE1234" s="91"/>
      <c r="AF1234" s="91"/>
      <c r="AG1234" s="91"/>
      <c r="AH1234" s="91"/>
      <c r="AI1234" s="91"/>
      <c r="AJ1234" s="91"/>
      <c r="AK1234" s="91"/>
      <c r="AL1234" s="91"/>
      <c r="AM1234" s="91"/>
    </row>
    <row r="1235" spans="1:39" ht="20.25" hidden="1" customHeight="1">
      <c r="A1235" s="91"/>
      <c r="B1235" s="93" t="s">
        <v>3935</v>
      </c>
      <c r="C1235" s="91" t="s">
        <v>36</v>
      </c>
      <c r="D1235" s="94" t="s">
        <v>3936</v>
      </c>
      <c r="E1235" s="94" t="s">
        <v>3937</v>
      </c>
      <c r="F1235" s="95" t="s">
        <v>3938</v>
      </c>
      <c r="G1235" s="96">
        <v>44508</v>
      </c>
      <c r="H1235" s="97">
        <v>40417</v>
      </c>
      <c r="I1235" s="108" t="s">
        <v>12365</v>
      </c>
      <c r="J1235" s="94" t="s">
        <v>3939</v>
      </c>
      <c r="K1235" s="95">
        <v>937457824</v>
      </c>
      <c r="L1235" s="91" t="s">
        <v>60</v>
      </c>
      <c r="M1235" s="98">
        <f ca="1">(TODAY()-H1235)/365</f>
        <v>15.301369863013699</v>
      </c>
      <c r="N1235" s="99">
        <f>(G1235-H1235)/365</f>
        <v>11.208219178082192</v>
      </c>
      <c r="O1235" s="98">
        <f ca="1">(TODAY()-G1235)/365</f>
        <v>4.0931506849315067</v>
      </c>
      <c r="P1235" s="91" t="s">
        <v>43</v>
      </c>
      <c r="Q1235" s="91">
        <v>0</v>
      </c>
      <c r="R1235" s="91">
        <v>0</v>
      </c>
      <c r="S1235" s="91">
        <v>0</v>
      </c>
      <c r="T1235" s="91"/>
      <c r="U1235" s="91"/>
      <c r="V1235" s="91"/>
      <c r="W1235" s="91"/>
      <c r="X1235" s="91"/>
      <c r="Y1235" s="91"/>
      <c r="Z1235" s="91"/>
      <c r="AA1235" s="91"/>
      <c r="AB1235" s="91"/>
      <c r="AC1235" s="91"/>
      <c r="AD1235" s="91"/>
      <c r="AE1235" s="91"/>
      <c r="AF1235" s="91"/>
      <c r="AG1235" s="91"/>
      <c r="AH1235" s="91"/>
      <c r="AI1235" s="91"/>
      <c r="AJ1235" s="91"/>
      <c r="AK1235" s="91"/>
      <c r="AL1235" s="91"/>
      <c r="AM1235" s="91"/>
    </row>
    <row r="1236" spans="1:39" ht="20.25" hidden="1" customHeight="1">
      <c r="A1236" s="91"/>
      <c r="B1236" s="93" t="s">
        <v>3935</v>
      </c>
      <c r="C1236" s="91" t="s">
        <v>36</v>
      </c>
      <c r="D1236" s="94" t="s">
        <v>3940</v>
      </c>
      <c r="E1236" s="94" t="s">
        <v>3941</v>
      </c>
      <c r="F1236" s="95" t="s">
        <v>3942</v>
      </c>
      <c r="G1236" s="96">
        <v>42224</v>
      </c>
      <c r="H1236" s="97">
        <v>35935</v>
      </c>
      <c r="I1236" s="108" t="s">
        <v>12366</v>
      </c>
      <c r="J1236" s="94" t="s">
        <v>3943</v>
      </c>
      <c r="K1236" s="95">
        <v>989620715</v>
      </c>
      <c r="L1236" s="91" t="s">
        <v>60</v>
      </c>
      <c r="M1236" s="98">
        <f ca="1">(TODAY()-H1236)/365</f>
        <v>27.580821917808219</v>
      </c>
      <c r="N1236" s="99">
        <f>(G1236-H1236)/365</f>
        <v>17.230136986301371</v>
      </c>
      <c r="O1236" s="98">
        <f ca="1">(TODAY()-G1236)/365</f>
        <v>10.35068493150685</v>
      </c>
      <c r="P1236" s="91" t="s">
        <v>43</v>
      </c>
      <c r="Q1236" s="91">
        <v>0</v>
      </c>
      <c r="R1236" s="91">
        <v>0</v>
      </c>
      <c r="S1236" s="91">
        <v>0</v>
      </c>
      <c r="T1236" s="91"/>
      <c r="U1236" s="91"/>
      <c r="V1236" s="91"/>
      <c r="W1236" s="91"/>
      <c r="X1236" s="91"/>
      <c r="Y1236" s="91"/>
      <c r="Z1236" s="91"/>
      <c r="AA1236" s="91"/>
      <c r="AB1236" s="91"/>
      <c r="AC1236" s="91"/>
      <c r="AD1236" s="91"/>
      <c r="AE1236" s="91"/>
      <c r="AF1236" s="91"/>
      <c r="AG1236" s="91"/>
      <c r="AH1236" s="91"/>
      <c r="AI1236" s="91"/>
      <c r="AJ1236" s="91"/>
      <c r="AK1236" s="91"/>
      <c r="AL1236" s="91"/>
      <c r="AM1236" s="91"/>
    </row>
    <row r="1237" spans="1:39" ht="20.25" hidden="1" customHeight="1">
      <c r="A1237" s="91"/>
      <c r="B1237" s="93" t="s">
        <v>3935</v>
      </c>
      <c r="C1237" s="91" t="s">
        <v>36</v>
      </c>
      <c r="D1237" s="94" t="s">
        <v>3944</v>
      </c>
      <c r="E1237" s="94" t="s">
        <v>3945</v>
      </c>
      <c r="F1237" s="95" t="s">
        <v>3946</v>
      </c>
      <c r="G1237" s="96">
        <v>44467</v>
      </c>
      <c r="H1237" s="97">
        <v>36938</v>
      </c>
      <c r="I1237" s="100" t="s">
        <v>58</v>
      </c>
      <c r="J1237" s="94" t="s">
        <v>3947</v>
      </c>
      <c r="K1237" s="95">
        <v>988926524</v>
      </c>
      <c r="L1237" s="91" t="s">
        <v>60</v>
      </c>
      <c r="M1237" s="98">
        <f ca="1">(TODAY()-H1237)/365</f>
        <v>24.832876712328765</v>
      </c>
      <c r="N1237" s="99">
        <f>(G1237-H1237)/365</f>
        <v>20.627397260273973</v>
      </c>
      <c r="O1237" s="98">
        <f ca="1">(TODAY()-G1237)/365</f>
        <v>4.2054794520547949</v>
      </c>
      <c r="P1237" s="91" t="s">
        <v>43</v>
      </c>
      <c r="Q1237" s="91">
        <v>0</v>
      </c>
      <c r="R1237" s="91">
        <v>0</v>
      </c>
      <c r="S1237" s="91">
        <v>0</v>
      </c>
      <c r="T1237" s="91"/>
      <c r="U1237" s="91"/>
      <c r="V1237" s="91"/>
      <c r="W1237" s="91"/>
      <c r="X1237" s="91"/>
      <c r="Y1237" s="91"/>
      <c r="Z1237" s="91"/>
      <c r="AA1237" s="91"/>
      <c r="AB1237" s="91"/>
      <c r="AC1237" s="91"/>
      <c r="AD1237" s="91"/>
      <c r="AE1237" s="91"/>
      <c r="AF1237" s="91"/>
      <c r="AG1237" s="91"/>
      <c r="AH1237" s="91"/>
      <c r="AI1237" s="91"/>
      <c r="AJ1237" s="91"/>
      <c r="AK1237" s="91"/>
      <c r="AL1237" s="91"/>
      <c r="AM1237" s="91"/>
    </row>
    <row r="1238" spans="1:39" ht="20.25" hidden="1" customHeight="1">
      <c r="A1238" s="91"/>
      <c r="B1238" s="93" t="s">
        <v>3935</v>
      </c>
      <c r="C1238" s="91" t="s">
        <v>36</v>
      </c>
      <c r="D1238" s="94" t="s">
        <v>3948</v>
      </c>
      <c r="E1238" s="94" t="s">
        <v>3949</v>
      </c>
      <c r="F1238" s="95" t="s">
        <v>3950</v>
      </c>
      <c r="G1238" s="96">
        <v>42776</v>
      </c>
      <c r="H1238" s="97">
        <v>35084</v>
      </c>
      <c r="I1238" s="100" t="s">
        <v>58</v>
      </c>
      <c r="J1238" s="94" t="s">
        <v>3951</v>
      </c>
      <c r="K1238" s="95">
        <v>966326531</v>
      </c>
      <c r="L1238" s="91" t="s">
        <v>197</v>
      </c>
      <c r="M1238" s="98">
        <f ca="1">(TODAY()-H1238)/365</f>
        <v>29.912328767123288</v>
      </c>
      <c r="N1238" s="99">
        <f>(G1238-H1238)/365</f>
        <v>21.073972602739726</v>
      </c>
      <c r="O1238" s="98">
        <f ca="1">(TODAY()-G1238)/365</f>
        <v>8.838356164383562</v>
      </c>
      <c r="P1238" s="91" t="s">
        <v>272</v>
      </c>
      <c r="Q1238" s="91">
        <v>0</v>
      </c>
      <c r="R1238" s="91">
        <v>0</v>
      </c>
      <c r="S1238" s="91">
        <v>0</v>
      </c>
      <c r="T1238" s="91"/>
      <c r="U1238" s="91"/>
      <c r="V1238" s="91"/>
      <c r="W1238" s="91"/>
      <c r="X1238" s="91"/>
      <c r="Y1238" s="91"/>
      <c r="Z1238" s="91"/>
      <c r="AA1238" s="91"/>
      <c r="AB1238" s="91"/>
      <c r="AC1238" s="91"/>
      <c r="AD1238" s="91"/>
      <c r="AE1238" s="91"/>
      <c r="AF1238" s="91"/>
      <c r="AG1238" s="91"/>
      <c r="AH1238" s="91"/>
      <c r="AI1238" s="91"/>
      <c r="AJ1238" s="91"/>
      <c r="AK1238" s="91"/>
      <c r="AL1238" s="91"/>
      <c r="AM1238" s="91"/>
    </row>
    <row r="1239" spans="1:39" ht="20.25" hidden="1" customHeight="1">
      <c r="A1239" s="91"/>
      <c r="B1239" s="93" t="s">
        <v>3935</v>
      </c>
      <c r="C1239" s="91" t="s">
        <v>36</v>
      </c>
      <c r="D1239" s="94" t="s">
        <v>3952</v>
      </c>
      <c r="E1239" s="94" t="s">
        <v>3953</v>
      </c>
      <c r="F1239" s="95" t="s">
        <v>3954</v>
      </c>
      <c r="G1239" s="96">
        <v>44421</v>
      </c>
      <c r="H1239" s="97">
        <v>36728</v>
      </c>
      <c r="I1239" s="100" t="s">
        <v>58</v>
      </c>
      <c r="J1239" s="94" t="s">
        <v>3955</v>
      </c>
      <c r="K1239" s="95">
        <v>987228912</v>
      </c>
      <c r="L1239" s="91" t="s">
        <v>60</v>
      </c>
      <c r="M1239" s="98">
        <f ca="1">(TODAY()-H1239)/365</f>
        <v>25.408219178082192</v>
      </c>
      <c r="N1239" s="99">
        <f>(G1239-H1239)/365</f>
        <v>21.076712328767123</v>
      </c>
      <c r="O1239" s="98">
        <f ca="1">(TODAY()-G1239)/365</f>
        <v>4.3315068493150681</v>
      </c>
      <c r="P1239" s="91" t="s">
        <v>43</v>
      </c>
      <c r="Q1239" s="91">
        <v>0</v>
      </c>
      <c r="R1239" s="91">
        <v>0</v>
      </c>
      <c r="S1239" s="91">
        <v>0</v>
      </c>
      <c r="T1239" s="91"/>
      <c r="U1239" s="91"/>
      <c r="V1239" s="91"/>
      <c r="W1239" s="91"/>
      <c r="X1239" s="91"/>
      <c r="Y1239" s="91"/>
      <c r="Z1239" s="91"/>
      <c r="AA1239" s="91"/>
      <c r="AB1239" s="91"/>
      <c r="AC1239" s="91"/>
      <c r="AD1239" s="91"/>
      <c r="AE1239" s="91"/>
      <c r="AF1239" s="91"/>
      <c r="AG1239" s="91"/>
      <c r="AH1239" s="91"/>
      <c r="AI1239" s="91"/>
      <c r="AJ1239" s="91"/>
      <c r="AK1239" s="91"/>
      <c r="AL1239" s="91"/>
      <c r="AM1239" s="91"/>
    </row>
    <row r="1240" spans="1:39" ht="20.25" hidden="1" customHeight="1">
      <c r="A1240" s="91"/>
      <c r="B1240" s="93" t="s">
        <v>3935</v>
      </c>
      <c r="C1240" s="91" t="s">
        <v>36</v>
      </c>
      <c r="D1240" s="94" t="s">
        <v>3956</v>
      </c>
      <c r="E1240" s="94" t="s">
        <v>3957</v>
      </c>
      <c r="F1240" s="95" t="s">
        <v>3958</v>
      </c>
      <c r="G1240" s="96">
        <v>44421</v>
      </c>
      <c r="H1240" s="97">
        <v>36287</v>
      </c>
      <c r="I1240" s="94" t="s">
        <v>3959</v>
      </c>
      <c r="J1240" s="94" t="s">
        <v>3960</v>
      </c>
      <c r="K1240" s="95">
        <v>933869680</v>
      </c>
      <c r="L1240" s="91" t="s">
        <v>54</v>
      </c>
      <c r="M1240" s="98">
        <f ca="1">(TODAY()-H1240)/365</f>
        <v>26.616438356164384</v>
      </c>
      <c r="N1240" s="99">
        <f>(G1240-H1240)/365</f>
        <v>22.284931506849315</v>
      </c>
      <c r="O1240" s="98">
        <f ca="1">(TODAY()-G1240)/365</f>
        <v>4.3315068493150681</v>
      </c>
      <c r="P1240" s="91" t="s">
        <v>43</v>
      </c>
      <c r="Q1240" s="91">
        <v>1</v>
      </c>
      <c r="R1240" s="91">
        <v>0</v>
      </c>
      <c r="S1240" s="91">
        <v>0</v>
      </c>
      <c r="T1240" s="91"/>
      <c r="U1240" s="91"/>
      <c r="V1240" s="91"/>
      <c r="W1240" s="91"/>
      <c r="X1240" s="91"/>
      <c r="Y1240" s="91"/>
      <c r="Z1240" s="91"/>
      <c r="AA1240" s="91"/>
      <c r="AB1240" s="91"/>
      <c r="AC1240" s="91"/>
      <c r="AD1240" s="91"/>
      <c r="AE1240" s="91"/>
      <c r="AF1240" s="91"/>
      <c r="AG1240" s="91"/>
      <c r="AH1240" s="91"/>
      <c r="AI1240" s="91"/>
      <c r="AJ1240" s="91"/>
      <c r="AK1240" s="91"/>
      <c r="AL1240" s="91"/>
      <c r="AM1240" s="91"/>
    </row>
    <row r="1241" spans="1:39" ht="20.25" hidden="1" customHeight="1">
      <c r="A1241" s="91"/>
      <c r="B1241" s="93" t="s">
        <v>3935</v>
      </c>
      <c r="C1241" s="91" t="s">
        <v>36</v>
      </c>
      <c r="D1241" s="94" t="s">
        <v>1660</v>
      </c>
      <c r="E1241" s="94" t="s">
        <v>3961</v>
      </c>
      <c r="F1241" s="95" t="s">
        <v>3962</v>
      </c>
      <c r="G1241" s="96">
        <v>44778</v>
      </c>
      <c r="H1241" s="97">
        <v>36011</v>
      </c>
      <c r="I1241" s="100" t="s">
        <v>58</v>
      </c>
      <c r="J1241" s="94" t="s">
        <v>3963</v>
      </c>
      <c r="K1241" s="95">
        <v>984548903</v>
      </c>
      <c r="L1241" s="91" t="s">
        <v>167</v>
      </c>
      <c r="M1241" s="98">
        <f ca="1">(TODAY()-H1241)/365</f>
        <v>27.372602739726027</v>
      </c>
      <c r="N1241" s="99">
        <f>(G1241-H1241)/365</f>
        <v>24.019178082191782</v>
      </c>
      <c r="O1241" s="98">
        <f ca="1">(TODAY()-G1241)/365</f>
        <v>3.3534246575342466</v>
      </c>
      <c r="P1241" s="91" t="s">
        <v>43</v>
      </c>
      <c r="Q1241" s="91">
        <v>0</v>
      </c>
      <c r="R1241" s="91">
        <v>0</v>
      </c>
      <c r="S1241" s="91">
        <v>0</v>
      </c>
      <c r="T1241" s="91"/>
      <c r="U1241" s="91"/>
      <c r="V1241" s="91"/>
      <c r="W1241" s="91"/>
      <c r="X1241" s="91"/>
      <c r="Y1241" s="91"/>
      <c r="Z1241" s="91"/>
      <c r="AA1241" s="91"/>
      <c r="AB1241" s="91"/>
      <c r="AC1241" s="91"/>
      <c r="AD1241" s="91"/>
      <c r="AE1241" s="91"/>
      <c r="AF1241" s="91"/>
      <c r="AG1241" s="91"/>
      <c r="AH1241" s="91"/>
      <c r="AI1241" s="91"/>
      <c r="AJ1241" s="91"/>
      <c r="AK1241" s="91"/>
      <c r="AL1241" s="91"/>
      <c r="AM1241" s="91"/>
    </row>
    <row r="1242" spans="1:39" ht="20.25" customHeight="1">
      <c r="A1242" s="91"/>
      <c r="B1242" s="93" t="s">
        <v>8095</v>
      </c>
      <c r="C1242" s="91" t="s">
        <v>73</v>
      </c>
      <c r="D1242" s="94" t="s">
        <v>8179</v>
      </c>
      <c r="E1242" s="94" t="s">
        <v>8180</v>
      </c>
      <c r="F1242" s="95" t="s">
        <v>8181</v>
      </c>
      <c r="G1242" s="96">
        <v>44974</v>
      </c>
      <c r="H1242" s="97">
        <v>28125</v>
      </c>
      <c r="I1242" s="94" t="s">
        <v>8182</v>
      </c>
      <c r="J1242" s="100" t="s">
        <v>58</v>
      </c>
      <c r="K1242" s="91" t="s">
        <v>58</v>
      </c>
      <c r="L1242" s="91" t="s">
        <v>60</v>
      </c>
      <c r="M1242" s="98">
        <f ca="1">(TODAY()-H1242)/365</f>
        <v>48.978082191780821</v>
      </c>
      <c r="N1242" s="99">
        <f>(G1242-H1242)/365</f>
        <v>46.161643835616438</v>
      </c>
      <c r="O1242" s="98">
        <f ca="1">(TODAY()-G1242)/365</f>
        <v>2.8164383561643835</v>
      </c>
      <c r="P1242" s="91" t="s">
        <v>43</v>
      </c>
      <c r="Q1242" s="91">
        <v>0</v>
      </c>
      <c r="R1242" s="91">
        <v>0</v>
      </c>
      <c r="S1242" s="91">
        <v>0</v>
      </c>
      <c r="T1242" s="91"/>
      <c r="U1242" s="91"/>
      <c r="V1242" s="91"/>
      <c r="W1242" s="91"/>
      <c r="X1242" s="91"/>
      <c r="Y1242" s="91"/>
      <c r="Z1242" s="91"/>
      <c r="AA1242" s="91"/>
      <c r="AB1242" s="91"/>
      <c r="AC1242" s="91"/>
      <c r="AD1242" s="91"/>
      <c r="AE1242" s="91"/>
      <c r="AF1242" s="91"/>
      <c r="AG1242" s="91"/>
      <c r="AH1242" s="91"/>
      <c r="AI1242" s="91"/>
      <c r="AJ1242" s="91"/>
      <c r="AK1242" s="91"/>
      <c r="AL1242" s="91"/>
      <c r="AM1242" s="91"/>
    </row>
    <row r="1243" spans="1:39" ht="20.25" hidden="1" customHeight="1">
      <c r="A1243" s="91"/>
      <c r="B1243" s="93" t="s">
        <v>3935</v>
      </c>
      <c r="C1243" s="91" t="s">
        <v>36</v>
      </c>
      <c r="D1243" s="94" t="s">
        <v>1225</v>
      </c>
      <c r="E1243" s="94" t="s">
        <v>3967</v>
      </c>
      <c r="F1243" s="95" t="s">
        <v>3968</v>
      </c>
      <c r="G1243" s="96">
        <v>41698</v>
      </c>
      <c r="H1243" s="97">
        <v>30139</v>
      </c>
      <c r="I1243" s="100" t="s">
        <v>58</v>
      </c>
      <c r="J1243" s="94" t="s">
        <v>3943</v>
      </c>
      <c r="K1243" s="95">
        <v>985814309</v>
      </c>
      <c r="L1243" s="91" t="s">
        <v>60</v>
      </c>
      <c r="M1243" s="98">
        <f ca="1">(TODAY()-H1243)/365</f>
        <v>43.460273972602742</v>
      </c>
      <c r="N1243" s="99">
        <f>(G1243-H1243)/365</f>
        <v>31.668493150684931</v>
      </c>
      <c r="O1243" s="98">
        <f ca="1">(TODAY()-G1243)/365</f>
        <v>11.791780821917808</v>
      </c>
      <c r="P1243" s="91" t="s">
        <v>43</v>
      </c>
      <c r="Q1243" s="91">
        <v>0</v>
      </c>
      <c r="R1243" s="91">
        <v>0</v>
      </c>
      <c r="S1243" s="91">
        <v>0</v>
      </c>
      <c r="T1243" s="91"/>
      <c r="U1243" s="91"/>
      <c r="V1243" s="91"/>
      <c r="W1243" s="91"/>
      <c r="X1243" s="91"/>
      <c r="Y1243" s="91"/>
      <c r="Z1243" s="91"/>
      <c r="AA1243" s="91"/>
      <c r="AB1243" s="91"/>
      <c r="AC1243" s="91"/>
      <c r="AD1243" s="91"/>
      <c r="AE1243" s="91"/>
      <c r="AF1243" s="91"/>
      <c r="AG1243" s="91"/>
      <c r="AH1243" s="91"/>
      <c r="AI1243" s="91"/>
      <c r="AJ1243" s="91"/>
      <c r="AK1243" s="91"/>
      <c r="AL1243" s="91"/>
      <c r="AM1243" s="91"/>
    </row>
    <row r="1244" spans="1:39" ht="20.25" hidden="1" customHeight="1">
      <c r="A1244" s="91"/>
      <c r="B1244" s="93" t="s">
        <v>3935</v>
      </c>
      <c r="C1244" s="91" t="s">
        <v>36</v>
      </c>
      <c r="D1244" s="94" t="s">
        <v>3304</v>
      </c>
      <c r="E1244" s="94" t="s">
        <v>3969</v>
      </c>
      <c r="F1244" s="95" t="s">
        <v>3970</v>
      </c>
      <c r="G1244" s="96">
        <v>41726</v>
      </c>
      <c r="H1244" s="97">
        <v>28367</v>
      </c>
      <c r="I1244" s="100" t="s">
        <v>58</v>
      </c>
      <c r="J1244" s="94" t="s">
        <v>3943</v>
      </c>
      <c r="K1244" s="95">
        <v>964931611</v>
      </c>
      <c r="L1244" s="91" t="s">
        <v>60</v>
      </c>
      <c r="M1244" s="98">
        <f ca="1">(TODAY()-H1244)/365</f>
        <v>48.315068493150683</v>
      </c>
      <c r="N1244" s="99">
        <f>(G1244-H1244)/365</f>
        <v>36.6</v>
      </c>
      <c r="O1244" s="98">
        <f ca="1">(TODAY()-G1244)/365</f>
        <v>11.715068493150685</v>
      </c>
      <c r="P1244" s="91" t="s">
        <v>272</v>
      </c>
      <c r="Q1244" s="91">
        <v>0</v>
      </c>
      <c r="R1244" s="91">
        <v>0</v>
      </c>
      <c r="S1244" s="91">
        <v>0</v>
      </c>
      <c r="T1244" s="91"/>
      <c r="U1244" s="91"/>
      <c r="V1244" s="91"/>
      <c r="W1244" s="91"/>
      <c r="X1244" s="91"/>
      <c r="Y1244" s="91"/>
      <c r="Z1244" s="91"/>
      <c r="AA1244" s="91"/>
      <c r="AB1244" s="91"/>
      <c r="AC1244" s="91"/>
      <c r="AD1244" s="91"/>
      <c r="AE1244" s="91"/>
      <c r="AF1244" s="91"/>
      <c r="AG1244" s="91"/>
      <c r="AH1244" s="91"/>
      <c r="AI1244" s="91"/>
      <c r="AJ1244" s="91"/>
      <c r="AK1244" s="91"/>
      <c r="AL1244" s="91"/>
      <c r="AM1244" s="91"/>
    </row>
    <row r="1245" spans="1:39" ht="20.25" customHeight="1">
      <c r="A1245" s="91"/>
      <c r="B1245" s="93" t="s">
        <v>9558</v>
      </c>
      <c r="C1245" s="91" t="s">
        <v>73</v>
      </c>
      <c r="D1245" s="94" t="s">
        <v>8731</v>
      </c>
      <c r="E1245" s="94" t="s">
        <v>9628</v>
      </c>
      <c r="F1245" s="91" t="s">
        <v>58</v>
      </c>
      <c r="G1245" s="96">
        <v>42005</v>
      </c>
      <c r="H1245" s="97" t="s">
        <v>58</v>
      </c>
      <c r="I1245" s="100" t="s">
        <v>58</v>
      </c>
      <c r="J1245" s="100" t="s">
        <v>58</v>
      </c>
      <c r="K1245" s="91" t="s">
        <v>58</v>
      </c>
      <c r="L1245" s="91" t="s">
        <v>60</v>
      </c>
      <c r="M1245" s="98"/>
      <c r="N1245" s="99"/>
      <c r="O1245" s="98">
        <f ca="1">(TODAY()-G1245)/365</f>
        <v>10.950684931506849</v>
      </c>
      <c r="P1245" s="91" t="s">
        <v>272</v>
      </c>
      <c r="Q1245" s="91">
        <v>0</v>
      </c>
      <c r="R1245" s="91">
        <v>0</v>
      </c>
      <c r="S1245" s="91">
        <v>0</v>
      </c>
      <c r="T1245" s="91"/>
      <c r="U1245" s="91"/>
      <c r="V1245" s="91"/>
      <c r="W1245" s="91"/>
      <c r="X1245" s="91"/>
      <c r="Y1245" s="91"/>
      <c r="Z1245" s="91"/>
      <c r="AA1245" s="91"/>
      <c r="AB1245" s="91"/>
      <c r="AC1245" s="91"/>
      <c r="AD1245" s="91"/>
      <c r="AE1245" s="91"/>
      <c r="AF1245" s="91"/>
      <c r="AG1245" s="91"/>
      <c r="AH1245" s="91"/>
      <c r="AI1245" s="91"/>
      <c r="AJ1245" s="91"/>
      <c r="AK1245" s="91"/>
      <c r="AL1245" s="91"/>
      <c r="AM1245" s="91"/>
    </row>
    <row r="1246" spans="1:39" ht="20.25" hidden="1" customHeight="1">
      <c r="A1246" s="91"/>
      <c r="B1246" s="93" t="s">
        <v>3935</v>
      </c>
      <c r="C1246" s="91" t="s">
        <v>36</v>
      </c>
      <c r="D1246" s="94" t="s">
        <v>3936</v>
      </c>
      <c r="E1246" s="94" t="s">
        <v>3975</v>
      </c>
      <c r="F1246" s="95" t="s">
        <v>3976</v>
      </c>
      <c r="G1246" s="96">
        <v>44508</v>
      </c>
      <c r="H1246" s="97">
        <v>29820</v>
      </c>
      <c r="I1246" s="108" t="s">
        <v>12367</v>
      </c>
      <c r="J1246" s="94" t="s">
        <v>3977</v>
      </c>
      <c r="K1246" s="95">
        <v>967381655</v>
      </c>
      <c r="L1246" s="91" t="s">
        <v>49</v>
      </c>
      <c r="M1246" s="98">
        <f ca="1">(TODAY()-H1246)/365</f>
        <v>44.334246575342469</v>
      </c>
      <c r="N1246" s="99">
        <f>(G1246-H1246)/365</f>
        <v>40.241095890410961</v>
      </c>
      <c r="O1246" s="98">
        <f ca="1">(TODAY()-G1246)/365</f>
        <v>4.0931506849315067</v>
      </c>
      <c r="P1246" s="91" t="s">
        <v>43</v>
      </c>
      <c r="Q1246" s="91">
        <v>0</v>
      </c>
      <c r="R1246" s="91">
        <v>0</v>
      </c>
      <c r="S1246" s="91">
        <v>0</v>
      </c>
      <c r="T1246" s="91"/>
      <c r="U1246" s="91"/>
      <c r="V1246" s="91"/>
      <c r="W1246" s="91"/>
      <c r="X1246" s="91"/>
      <c r="Y1246" s="91"/>
      <c r="Z1246" s="91"/>
      <c r="AA1246" s="91"/>
      <c r="AB1246" s="91"/>
      <c r="AC1246" s="91"/>
      <c r="AD1246" s="91"/>
      <c r="AE1246" s="91"/>
      <c r="AF1246" s="91"/>
      <c r="AG1246" s="91"/>
      <c r="AH1246" s="91"/>
      <c r="AI1246" s="91"/>
      <c r="AJ1246" s="91"/>
      <c r="AK1246" s="91"/>
      <c r="AL1246" s="91"/>
      <c r="AM1246" s="91"/>
    </row>
    <row r="1247" spans="1:39" ht="20.25" hidden="1" customHeight="1">
      <c r="A1247" s="91"/>
      <c r="B1247" s="93" t="s">
        <v>3935</v>
      </c>
      <c r="C1247" s="91" t="s">
        <v>36</v>
      </c>
      <c r="D1247" s="94" t="s">
        <v>3978</v>
      </c>
      <c r="E1247" s="94" t="s">
        <v>3979</v>
      </c>
      <c r="F1247" s="95" t="s">
        <v>3980</v>
      </c>
      <c r="G1247" s="96">
        <v>44695</v>
      </c>
      <c r="H1247" s="97">
        <v>27249</v>
      </c>
      <c r="I1247" s="94" t="s">
        <v>3981</v>
      </c>
      <c r="J1247" s="94" t="s">
        <v>3982</v>
      </c>
      <c r="K1247" s="95">
        <v>934032883</v>
      </c>
      <c r="L1247" s="91" t="s">
        <v>60</v>
      </c>
      <c r="M1247" s="98">
        <f ca="1">(TODAY()-H1247)/365</f>
        <v>51.37808219178082</v>
      </c>
      <c r="N1247" s="99">
        <f>(G1247-H1247)/365</f>
        <v>47.797260273972604</v>
      </c>
      <c r="O1247" s="98">
        <f ca="1">(TODAY()-G1247)/365</f>
        <v>3.580821917808219</v>
      </c>
      <c r="P1247" s="91" t="s">
        <v>43</v>
      </c>
      <c r="Q1247" s="91">
        <v>0</v>
      </c>
      <c r="R1247" s="91">
        <v>0</v>
      </c>
      <c r="S1247" s="91">
        <v>0</v>
      </c>
      <c r="T1247" s="91"/>
      <c r="U1247" s="91"/>
      <c r="V1247" s="91"/>
      <c r="W1247" s="91"/>
      <c r="X1247" s="91"/>
      <c r="Y1247" s="91"/>
      <c r="Z1247" s="91"/>
      <c r="AA1247" s="91"/>
      <c r="AB1247" s="91"/>
      <c r="AC1247" s="91"/>
      <c r="AD1247" s="91"/>
      <c r="AE1247" s="91"/>
      <c r="AF1247" s="91"/>
      <c r="AG1247" s="91"/>
      <c r="AH1247" s="91"/>
      <c r="AI1247" s="91"/>
      <c r="AJ1247" s="91"/>
      <c r="AK1247" s="91"/>
      <c r="AL1247" s="91"/>
      <c r="AM1247" s="91"/>
    </row>
    <row r="1248" spans="1:39" ht="20.25" hidden="1" customHeight="1">
      <c r="A1248" s="91"/>
      <c r="B1248" s="93" t="s">
        <v>3935</v>
      </c>
      <c r="C1248" s="91" t="s">
        <v>36</v>
      </c>
      <c r="D1248" s="94" t="s">
        <v>416</v>
      </c>
      <c r="E1248" s="94" t="s">
        <v>3983</v>
      </c>
      <c r="F1248" s="95" t="s">
        <v>3984</v>
      </c>
      <c r="G1248" s="96">
        <v>41753</v>
      </c>
      <c r="H1248" s="97">
        <v>22603</v>
      </c>
      <c r="I1248" s="94" t="s">
        <v>3985</v>
      </c>
      <c r="J1248" s="94" t="s">
        <v>3986</v>
      </c>
      <c r="K1248" s="95">
        <v>973466314</v>
      </c>
      <c r="L1248" s="91" t="s">
        <v>72</v>
      </c>
      <c r="M1248" s="98">
        <f ca="1">(TODAY()-H1248)/365</f>
        <v>64.106849315068487</v>
      </c>
      <c r="N1248" s="99">
        <f>(G1248-H1248)/365</f>
        <v>52.465753424657535</v>
      </c>
      <c r="O1248" s="98">
        <f ca="1">(TODAY()-G1248)/365</f>
        <v>11.641095890410959</v>
      </c>
      <c r="P1248" s="91" t="s">
        <v>43</v>
      </c>
      <c r="Q1248" s="91">
        <v>1</v>
      </c>
      <c r="R1248" s="91">
        <v>0</v>
      </c>
      <c r="S1248" s="91">
        <v>0</v>
      </c>
      <c r="T1248" s="91"/>
      <c r="U1248" s="91"/>
      <c r="V1248" s="91"/>
      <c r="W1248" s="91"/>
      <c r="X1248" s="91"/>
      <c r="Y1248" s="91"/>
      <c r="Z1248" s="91"/>
      <c r="AA1248" s="91"/>
      <c r="AB1248" s="91"/>
      <c r="AC1248" s="91"/>
      <c r="AD1248" s="91"/>
      <c r="AE1248" s="91"/>
      <c r="AF1248" s="91"/>
      <c r="AG1248" s="91"/>
      <c r="AH1248" s="91"/>
      <c r="AI1248" s="91"/>
      <c r="AJ1248" s="91"/>
      <c r="AK1248" s="91"/>
      <c r="AL1248" s="91"/>
      <c r="AM1248" s="91"/>
    </row>
    <row r="1249" spans="1:39" ht="20.25" hidden="1" customHeight="1">
      <c r="A1249" s="91"/>
      <c r="B1249" s="93" t="s">
        <v>3935</v>
      </c>
      <c r="C1249" s="91" t="s">
        <v>36</v>
      </c>
      <c r="D1249" s="94" t="s">
        <v>451</v>
      </c>
      <c r="E1249" s="94" t="s">
        <v>3987</v>
      </c>
      <c r="F1249" s="95" t="s">
        <v>3988</v>
      </c>
      <c r="G1249" s="96">
        <v>44688</v>
      </c>
      <c r="H1249" s="97">
        <v>24995</v>
      </c>
      <c r="I1249" s="108" t="s">
        <v>12368</v>
      </c>
      <c r="J1249" s="94" t="s">
        <v>3989</v>
      </c>
      <c r="K1249" s="95">
        <v>977250149</v>
      </c>
      <c r="L1249" s="91" t="s">
        <v>66</v>
      </c>
      <c r="M1249" s="98">
        <f ca="1">(TODAY()-H1249)/365</f>
        <v>57.553424657534244</v>
      </c>
      <c r="N1249" s="99">
        <f>(G1249-H1249)/365</f>
        <v>53.953424657534249</v>
      </c>
      <c r="O1249" s="98">
        <f ca="1">(TODAY()-G1249)/365</f>
        <v>3.6</v>
      </c>
      <c r="P1249" s="91" t="s">
        <v>43</v>
      </c>
      <c r="Q1249" s="91">
        <v>1</v>
      </c>
      <c r="R1249" s="91">
        <v>0</v>
      </c>
      <c r="S1249" s="91">
        <v>0</v>
      </c>
      <c r="T1249" s="91"/>
      <c r="U1249" s="91"/>
      <c r="V1249" s="91"/>
      <c r="W1249" s="91"/>
      <c r="X1249" s="91"/>
      <c r="Y1249" s="91"/>
      <c r="Z1249" s="91"/>
      <c r="AA1249" s="91"/>
      <c r="AB1249" s="91"/>
      <c r="AC1249" s="91"/>
      <c r="AD1249" s="91"/>
      <c r="AE1249" s="91"/>
      <c r="AF1249" s="91"/>
      <c r="AG1249" s="91"/>
      <c r="AH1249" s="91"/>
      <c r="AI1249" s="91"/>
      <c r="AJ1249" s="91"/>
      <c r="AK1249" s="91"/>
      <c r="AL1249" s="91"/>
      <c r="AM1249" s="91"/>
    </row>
    <row r="1250" spans="1:39" ht="20.25" hidden="1" customHeight="1">
      <c r="A1250" s="91"/>
      <c r="B1250" s="93" t="s">
        <v>3935</v>
      </c>
      <c r="C1250" s="91" t="s">
        <v>36</v>
      </c>
      <c r="D1250" s="94" t="s">
        <v>3990</v>
      </c>
      <c r="E1250" s="94" t="s">
        <v>3987</v>
      </c>
      <c r="F1250" s="95" t="s">
        <v>3991</v>
      </c>
      <c r="G1250" s="96">
        <v>41753</v>
      </c>
      <c r="H1250" s="97">
        <v>21804</v>
      </c>
      <c r="I1250" s="108" t="s">
        <v>12369</v>
      </c>
      <c r="J1250" s="94" t="s">
        <v>3986</v>
      </c>
      <c r="K1250" s="95">
        <v>998656463</v>
      </c>
      <c r="L1250" s="91" t="s">
        <v>42</v>
      </c>
      <c r="M1250" s="98">
        <f ca="1">(TODAY()-H1250)/365</f>
        <v>66.295890410958904</v>
      </c>
      <c r="N1250" s="99">
        <f>(G1250-H1250)/365</f>
        <v>54.654794520547945</v>
      </c>
      <c r="O1250" s="98">
        <f ca="1">(TODAY()-G1250)/365</f>
        <v>11.641095890410959</v>
      </c>
      <c r="P1250" s="91" t="s">
        <v>272</v>
      </c>
      <c r="Q1250" s="91">
        <v>1</v>
      </c>
      <c r="R1250" s="91">
        <v>0</v>
      </c>
      <c r="S1250" s="91">
        <v>0</v>
      </c>
      <c r="T1250" s="91"/>
      <c r="U1250" s="91"/>
      <c r="V1250" s="91"/>
      <c r="W1250" s="91"/>
      <c r="X1250" s="91"/>
      <c r="Y1250" s="91"/>
      <c r="Z1250" s="91"/>
      <c r="AA1250" s="91"/>
      <c r="AB1250" s="91"/>
      <c r="AC1250" s="91"/>
      <c r="AD1250" s="91"/>
      <c r="AE1250" s="91"/>
      <c r="AF1250" s="91"/>
      <c r="AG1250" s="91"/>
      <c r="AH1250" s="91"/>
      <c r="AI1250" s="91"/>
      <c r="AJ1250" s="91"/>
      <c r="AK1250" s="91"/>
      <c r="AL1250" s="91"/>
      <c r="AM1250" s="91"/>
    </row>
    <row r="1251" spans="1:39" ht="20.25" hidden="1" customHeight="1">
      <c r="A1251" s="91"/>
      <c r="B1251" s="93" t="s">
        <v>3992</v>
      </c>
      <c r="C1251" s="91" t="s">
        <v>36</v>
      </c>
      <c r="D1251" s="94" t="s">
        <v>3993</v>
      </c>
      <c r="E1251" s="94" t="s">
        <v>3994</v>
      </c>
      <c r="F1251" s="95" t="s">
        <v>3995</v>
      </c>
      <c r="G1251" s="96">
        <v>30854</v>
      </c>
      <c r="H1251" s="96">
        <v>28642</v>
      </c>
      <c r="I1251" s="94" t="s">
        <v>58</v>
      </c>
      <c r="J1251" s="94" t="s">
        <v>3996</v>
      </c>
      <c r="K1251" s="95">
        <v>998518304</v>
      </c>
      <c r="L1251" s="91" t="s">
        <v>60</v>
      </c>
      <c r="M1251" s="98">
        <f ca="1">(TODAY()-H1251)/365</f>
        <v>47.561643835616437</v>
      </c>
      <c r="N1251" s="99">
        <f>(G1251-H1251)/365</f>
        <v>6.0602739726027401</v>
      </c>
      <c r="O1251" s="98">
        <f ca="1">(TODAY()-G1251)/365</f>
        <v>41.5013698630137</v>
      </c>
      <c r="P1251" s="91" t="s">
        <v>43</v>
      </c>
      <c r="Q1251" s="91">
        <v>0</v>
      </c>
      <c r="R1251" s="91">
        <v>0</v>
      </c>
      <c r="S1251" s="91">
        <v>0</v>
      </c>
      <c r="T1251" s="91"/>
      <c r="U1251" s="91"/>
      <c r="V1251" s="91"/>
      <c r="W1251" s="91"/>
      <c r="X1251" s="91"/>
      <c r="Y1251" s="91"/>
      <c r="Z1251" s="91"/>
      <c r="AA1251" s="91"/>
      <c r="AB1251" s="91"/>
      <c r="AC1251" s="91"/>
      <c r="AD1251" s="91"/>
      <c r="AE1251" s="91"/>
      <c r="AF1251" s="91"/>
      <c r="AG1251" s="91"/>
      <c r="AH1251" s="91"/>
      <c r="AI1251" s="91"/>
      <c r="AJ1251" s="91"/>
      <c r="AK1251" s="91"/>
      <c r="AL1251" s="91"/>
      <c r="AM1251" s="91"/>
    </row>
    <row r="1252" spans="1:39" ht="20.25" hidden="1" customHeight="1">
      <c r="A1252" s="91"/>
      <c r="B1252" s="93" t="s">
        <v>3992</v>
      </c>
      <c r="C1252" s="91" t="s">
        <v>36</v>
      </c>
      <c r="D1252" s="94" t="s">
        <v>3997</v>
      </c>
      <c r="E1252" s="94" t="s">
        <v>3998</v>
      </c>
      <c r="F1252" s="95" t="s">
        <v>3999</v>
      </c>
      <c r="G1252" s="96">
        <v>44698</v>
      </c>
      <c r="H1252" s="97">
        <v>36663</v>
      </c>
      <c r="I1252" s="94" t="s">
        <v>58</v>
      </c>
      <c r="J1252" s="94" t="s">
        <v>4000</v>
      </c>
      <c r="K1252" s="95">
        <v>991233589</v>
      </c>
      <c r="L1252" s="91" t="s">
        <v>121</v>
      </c>
      <c r="M1252" s="98">
        <f ca="1">(TODAY()-H1252)/365</f>
        <v>25.586301369863012</v>
      </c>
      <c r="N1252" s="99">
        <f>(G1252-H1252)/365</f>
        <v>22.013698630136986</v>
      </c>
      <c r="O1252" s="98">
        <f ca="1">(TODAY()-G1252)/365</f>
        <v>3.5726027397260274</v>
      </c>
      <c r="P1252" s="91" t="s">
        <v>43</v>
      </c>
      <c r="Q1252" s="91">
        <v>0</v>
      </c>
      <c r="R1252" s="91">
        <v>0</v>
      </c>
      <c r="S1252" s="91">
        <v>0</v>
      </c>
      <c r="T1252" s="91"/>
      <c r="U1252" s="91"/>
      <c r="V1252" s="91"/>
      <c r="W1252" s="91"/>
      <c r="X1252" s="91"/>
      <c r="Y1252" s="91"/>
      <c r="Z1252" s="91"/>
      <c r="AA1252" s="91"/>
      <c r="AB1252" s="91"/>
      <c r="AC1252" s="91"/>
      <c r="AD1252" s="91"/>
      <c r="AE1252" s="91"/>
      <c r="AF1252" s="91"/>
      <c r="AG1252" s="91"/>
      <c r="AH1252" s="91"/>
      <c r="AI1252" s="91"/>
      <c r="AJ1252" s="91"/>
      <c r="AK1252" s="91"/>
      <c r="AL1252" s="91"/>
      <c r="AM1252" s="91"/>
    </row>
    <row r="1253" spans="1:39" ht="20.25" customHeight="1">
      <c r="A1253" s="91"/>
      <c r="B1253" s="93" t="s">
        <v>371</v>
      </c>
      <c r="C1253" s="91" t="s">
        <v>73</v>
      </c>
      <c r="D1253" s="94" t="s">
        <v>439</v>
      </c>
      <c r="E1253" s="94" t="s">
        <v>440</v>
      </c>
      <c r="F1253" s="95" t="s">
        <v>441</v>
      </c>
      <c r="G1253" s="96">
        <v>45361</v>
      </c>
      <c r="H1253" s="97">
        <v>37982</v>
      </c>
      <c r="I1253" s="100" t="s">
        <v>442</v>
      </c>
      <c r="J1253" s="100" t="s">
        <v>58</v>
      </c>
      <c r="K1253" s="91" t="s">
        <v>58</v>
      </c>
      <c r="L1253" s="91" t="s">
        <v>60</v>
      </c>
      <c r="M1253" s="98">
        <f ca="1">(TODAY()-H1253)/365</f>
        <v>21.972602739726028</v>
      </c>
      <c r="N1253" s="99">
        <f>(G1253-H1253)/365</f>
        <v>20.216438356164385</v>
      </c>
      <c r="O1253" s="98">
        <f ca="1">(TODAY()-G1253)/365</f>
        <v>1.7561643835616438</v>
      </c>
      <c r="P1253" s="91" t="s">
        <v>43</v>
      </c>
      <c r="Q1253" s="91">
        <v>0</v>
      </c>
      <c r="R1253" s="91">
        <v>0</v>
      </c>
      <c r="S1253" s="91">
        <v>0</v>
      </c>
      <c r="T1253" s="91"/>
      <c r="U1253" s="91"/>
      <c r="V1253" s="91"/>
      <c r="W1253" s="91"/>
      <c r="X1253" s="91"/>
      <c r="Y1253" s="91"/>
      <c r="Z1253" s="91"/>
      <c r="AA1253" s="91"/>
      <c r="AB1253" s="91"/>
      <c r="AC1253" s="91"/>
      <c r="AD1253" s="91"/>
      <c r="AE1253" s="91"/>
      <c r="AF1253" s="91"/>
      <c r="AG1253" s="91"/>
      <c r="AH1253" s="91"/>
      <c r="AI1253" s="91"/>
      <c r="AJ1253" s="91"/>
      <c r="AK1253" s="91"/>
      <c r="AL1253" s="91"/>
      <c r="AM1253" s="91"/>
    </row>
    <row r="1254" spans="1:39" ht="20.25" hidden="1" customHeight="1">
      <c r="A1254" s="91"/>
      <c r="B1254" s="93" t="s">
        <v>3992</v>
      </c>
      <c r="C1254" s="91" t="s">
        <v>36</v>
      </c>
      <c r="D1254" s="94" t="s">
        <v>4004</v>
      </c>
      <c r="E1254" s="94" t="s">
        <v>4005</v>
      </c>
      <c r="F1254" s="95" t="s">
        <v>4006</v>
      </c>
      <c r="G1254" s="96">
        <v>44816</v>
      </c>
      <c r="H1254" s="97">
        <v>35138</v>
      </c>
      <c r="I1254" s="94" t="s">
        <v>58</v>
      </c>
      <c r="J1254" s="94" t="s">
        <v>4007</v>
      </c>
      <c r="K1254" s="95">
        <v>956928603</v>
      </c>
      <c r="L1254" s="91" t="s">
        <v>60</v>
      </c>
      <c r="M1254" s="98">
        <f ca="1">(TODAY()-H1254)/365</f>
        <v>29.764383561643836</v>
      </c>
      <c r="N1254" s="99">
        <f>(G1254-H1254)/365</f>
        <v>26.515068493150686</v>
      </c>
      <c r="O1254" s="98">
        <f ca="1">(TODAY()-G1254)/365</f>
        <v>3.2493150684931509</v>
      </c>
      <c r="P1254" s="91" t="s">
        <v>43</v>
      </c>
      <c r="Q1254" s="91">
        <v>0</v>
      </c>
      <c r="R1254" s="91">
        <v>0</v>
      </c>
      <c r="S1254" s="91">
        <v>0</v>
      </c>
      <c r="T1254" s="91"/>
      <c r="U1254" s="91"/>
      <c r="V1254" s="91"/>
      <c r="W1254" s="91"/>
      <c r="X1254" s="91"/>
      <c r="Y1254" s="91"/>
      <c r="Z1254" s="91"/>
      <c r="AA1254" s="91"/>
      <c r="AB1254" s="91"/>
      <c r="AC1254" s="91"/>
      <c r="AD1254" s="91"/>
      <c r="AE1254" s="91"/>
      <c r="AF1254" s="91"/>
      <c r="AG1254" s="91"/>
      <c r="AH1254" s="91"/>
      <c r="AI1254" s="91"/>
      <c r="AJ1254" s="91"/>
      <c r="AK1254" s="91"/>
      <c r="AL1254" s="91"/>
      <c r="AM1254" s="91"/>
    </row>
    <row r="1255" spans="1:39" ht="20.25" hidden="1" customHeight="1">
      <c r="A1255" s="91"/>
      <c r="B1255" s="93" t="s">
        <v>3992</v>
      </c>
      <c r="C1255" s="91" t="s">
        <v>36</v>
      </c>
      <c r="D1255" s="94" t="s">
        <v>4008</v>
      </c>
      <c r="E1255" s="94" t="s">
        <v>4009</v>
      </c>
      <c r="F1255" s="95" t="s">
        <v>4010</v>
      </c>
      <c r="G1255" s="96">
        <v>35156</v>
      </c>
      <c r="H1255" s="97">
        <v>25440</v>
      </c>
      <c r="I1255" s="94" t="s">
        <v>58</v>
      </c>
      <c r="J1255" s="94" t="s">
        <v>4011</v>
      </c>
      <c r="K1255" s="95">
        <v>953063474</v>
      </c>
      <c r="L1255" s="91" t="s">
        <v>54</v>
      </c>
      <c r="M1255" s="98">
        <f ca="1">(TODAY()-H1255)/365</f>
        <v>56.334246575342469</v>
      </c>
      <c r="N1255" s="99">
        <f>(G1255-H1255)/365</f>
        <v>26.61917808219178</v>
      </c>
      <c r="O1255" s="98">
        <f ca="1">(TODAY()-G1255)/365</f>
        <v>29.715068493150685</v>
      </c>
      <c r="P1255" s="91" t="s">
        <v>43</v>
      </c>
      <c r="Q1255" s="91">
        <v>0</v>
      </c>
      <c r="R1255" s="91">
        <v>0</v>
      </c>
      <c r="S1255" s="91">
        <v>0</v>
      </c>
      <c r="T1255" s="91"/>
      <c r="U1255" s="91"/>
      <c r="V1255" s="91"/>
      <c r="W1255" s="91"/>
      <c r="X1255" s="91"/>
      <c r="Y1255" s="91"/>
      <c r="Z1255" s="91"/>
      <c r="AA1255" s="91"/>
      <c r="AB1255" s="91"/>
      <c r="AC1255" s="91"/>
      <c r="AD1255" s="91"/>
      <c r="AE1255" s="91"/>
      <c r="AF1255" s="91"/>
      <c r="AG1255" s="91"/>
      <c r="AH1255" s="91"/>
      <c r="AI1255" s="91"/>
      <c r="AJ1255" s="91"/>
      <c r="AK1255" s="91"/>
      <c r="AL1255" s="91"/>
      <c r="AM1255" s="91"/>
    </row>
    <row r="1256" spans="1:39" ht="20.25" hidden="1" customHeight="1">
      <c r="A1256" s="91"/>
      <c r="B1256" s="93" t="s">
        <v>3992</v>
      </c>
      <c r="C1256" s="91" t="s">
        <v>36</v>
      </c>
      <c r="D1256" s="94" t="s">
        <v>4012</v>
      </c>
      <c r="E1256" s="94" t="s">
        <v>4013</v>
      </c>
      <c r="F1256" s="95" t="s">
        <v>4014</v>
      </c>
      <c r="G1256" s="96">
        <v>44944</v>
      </c>
      <c r="H1256" s="97">
        <v>33515</v>
      </c>
      <c r="I1256" s="94" t="s">
        <v>58</v>
      </c>
      <c r="J1256" s="94" t="s">
        <v>4015</v>
      </c>
      <c r="K1256" s="95">
        <v>961013978</v>
      </c>
      <c r="L1256" s="91" t="s">
        <v>60</v>
      </c>
      <c r="M1256" s="98">
        <f ca="1">(TODAY()-H1256)/365</f>
        <v>34.210958904109589</v>
      </c>
      <c r="N1256" s="99">
        <f>(G1256-H1256)/365</f>
        <v>31.312328767123287</v>
      </c>
      <c r="O1256" s="98">
        <f ca="1">(TODAY()-G1256)/365</f>
        <v>2.8986301369863012</v>
      </c>
      <c r="P1256" s="91" t="s">
        <v>43</v>
      </c>
      <c r="Q1256" s="91">
        <v>0</v>
      </c>
      <c r="R1256" s="91">
        <v>0</v>
      </c>
      <c r="S1256" s="91">
        <v>0</v>
      </c>
      <c r="T1256" s="91"/>
      <c r="U1256" s="91"/>
      <c r="V1256" s="91"/>
      <c r="W1256" s="91"/>
      <c r="X1256" s="91"/>
      <c r="Y1256" s="91"/>
      <c r="Z1256" s="91"/>
      <c r="AA1256" s="91"/>
      <c r="AB1256" s="91"/>
      <c r="AC1256" s="91"/>
      <c r="AD1256" s="91"/>
      <c r="AE1256" s="91"/>
      <c r="AF1256" s="91"/>
      <c r="AG1256" s="91"/>
      <c r="AH1256" s="91"/>
      <c r="AI1256" s="91"/>
      <c r="AJ1256" s="91"/>
      <c r="AK1256" s="91"/>
      <c r="AL1256" s="91"/>
      <c r="AM1256" s="91"/>
    </row>
    <row r="1257" spans="1:39" ht="20.25" customHeight="1">
      <c r="A1257" s="91"/>
      <c r="B1257" s="93" t="s">
        <v>8095</v>
      </c>
      <c r="C1257" s="91" t="s">
        <v>73</v>
      </c>
      <c r="D1257" s="94" t="s">
        <v>8200</v>
      </c>
      <c r="E1257" s="94" t="s">
        <v>8201</v>
      </c>
      <c r="F1257" s="95" t="s">
        <v>8202</v>
      </c>
      <c r="G1257" s="96">
        <v>43001</v>
      </c>
      <c r="H1257" s="97">
        <v>22152</v>
      </c>
      <c r="I1257" s="94" t="s">
        <v>8203</v>
      </c>
      <c r="J1257" s="100" t="s">
        <v>58</v>
      </c>
      <c r="K1257" s="91" t="s">
        <v>58</v>
      </c>
      <c r="L1257" s="91" t="s">
        <v>60</v>
      </c>
      <c r="M1257" s="98">
        <f ca="1">(TODAY()-H1257)/365</f>
        <v>65.342465753424662</v>
      </c>
      <c r="N1257" s="99">
        <f>(G1257-H1257)/365</f>
        <v>57.12054794520548</v>
      </c>
      <c r="O1257" s="98">
        <f ca="1">(TODAY()-G1257)/365</f>
        <v>8.2219178082191782</v>
      </c>
      <c r="P1257" s="91" t="s">
        <v>43</v>
      </c>
      <c r="Q1257" s="91">
        <v>0</v>
      </c>
      <c r="R1257" s="91">
        <v>0</v>
      </c>
      <c r="S1257" s="91">
        <v>0</v>
      </c>
      <c r="T1257" s="91"/>
      <c r="U1257" s="91"/>
      <c r="V1257" s="91"/>
      <c r="W1257" s="91"/>
      <c r="X1257" s="91"/>
      <c r="Y1257" s="91"/>
      <c r="Z1257" s="91"/>
      <c r="AA1257" s="91"/>
      <c r="AB1257" s="91"/>
      <c r="AC1257" s="91"/>
      <c r="AD1257" s="91"/>
      <c r="AE1257" s="91"/>
      <c r="AF1257" s="91"/>
      <c r="AG1257" s="91"/>
      <c r="AH1257" s="91"/>
      <c r="AI1257" s="91"/>
      <c r="AJ1257" s="91"/>
      <c r="AK1257" s="91"/>
      <c r="AL1257" s="91"/>
      <c r="AM1257" s="91"/>
    </row>
    <row r="1258" spans="1:39" ht="20.25" hidden="1" customHeight="1">
      <c r="A1258" s="91"/>
      <c r="B1258" s="93" t="s">
        <v>3992</v>
      </c>
      <c r="C1258" s="91" t="s">
        <v>36</v>
      </c>
      <c r="D1258" s="94" t="s">
        <v>4018</v>
      </c>
      <c r="E1258" s="94" t="s">
        <v>4019</v>
      </c>
      <c r="F1258" s="95" t="s">
        <v>4020</v>
      </c>
      <c r="G1258" s="96">
        <v>45163</v>
      </c>
      <c r="H1258" s="97">
        <v>32663</v>
      </c>
      <c r="I1258" s="94" t="s">
        <v>58</v>
      </c>
      <c r="J1258" s="94" t="s">
        <v>4021</v>
      </c>
      <c r="K1258" s="95">
        <v>933806354</v>
      </c>
      <c r="L1258" s="91" t="s">
        <v>60</v>
      </c>
      <c r="M1258" s="98">
        <f ca="1">(TODAY()-H1258)/365</f>
        <v>36.545205479452058</v>
      </c>
      <c r="N1258" s="99">
        <f>(G1258-H1258)/365</f>
        <v>34.246575342465754</v>
      </c>
      <c r="O1258" s="98">
        <f ca="1">(TODAY()-G1258)/365</f>
        <v>2.2986301369863016</v>
      </c>
      <c r="P1258" s="91" t="s">
        <v>43</v>
      </c>
      <c r="Q1258" s="91">
        <v>0</v>
      </c>
      <c r="R1258" s="91">
        <v>0</v>
      </c>
      <c r="S1258" s="91">
        <v>0</v>
      </c>
      <c r="T1258" s="91"/>
      <c r="U1258" s="91"/>
      <c r="V1258" s="91"/>
      <c r="W1258" s="91"/>
      <c r="X1258" s="91"/>
      <c r="Y1258" s="91"/>
      <c r="Z1258" s="91"/>
      <c r="AA1258" s="91"/>
      <c r="AB1258" s="91"/>
      <c r="AC1258" s="91"/>
      <c r="AD1258" s="91"/>
      <c r="AE1258" s="91"/>
      <c r="AF1258" s="91"/>
      <c r="AG1258" s="91"/>
      <c r="AH1258" s="91"/>
      <c r="AI1258" s="91"/>
      <c r="AJ1258" s="91"/>
      <c r="AK1258" s="91"/>
      <c r="AL1258" s="91"/>
      <c r="AM1258" s="91"/>
    </row>
    <row r="1259" spans="1:39" ht="20.25" customHeight="1">
      <c r="A1259" s="91"/>
      <c r="B1259" s="93" t="s">
        <v>8287</v>
      </c>
      <c r="C1259" s="91" t="s">
        <v>73</v>
      </c>
      <c r="D1259" s="94" t="s">
        <v>8332</v>
      </c>
      <c r="E1259" s="94" t="s">
        <v>8333</v>
      </c>
      <c r="F1259" s="95" t="s">
        <v>8334</v>
      </c>
      <c r="G1259" s="96">
        <v>45256</v>
      </c>
      <c r="H1259" s="97">
        <v>37172</v>
      </c>
      <c r="I1259" s="94" t="s">
        <v>8335</v>
      </c>
      <c r="J1259" s="100" t="s">
        <v>58</v>
      </c>
      <c r="K1259" s="91" t="s">
        <v>58</v>
      </c>
      <c r="L1259" s="91" t="s">
        <v>60</v>
      </c>
      <c r="M1259" s="98">
        <f ca="1">(TODAY()-H1259)/365</f>
        <v>24.19178082191781</v>
      </c>
      <c r="N1259" s="99">
        <f>(G1259-H1259)/365</f>
        <v>22.147945205479452</v>
      </c>
      <c r="O1259" s="98">
        <f ca="1">(TODAY()-G1259)/365</f>
        <v>2.043835616438356</v>
      </c>
      <c r="P1259" s="91" t="s">
        <v>43</v>
      </c>
      <c r="Q1259" s="91">
        <v>0</v>
      </c>
      <c r="R1259" s="91">
        <v>0</v>
      </c>
      <c r="S1259" s="91">
        <v>0</v>
      </c>
      <c r="T1259" s="91"/>
      <c r="U1259" s="91"/>
      <c r="V1259" s="91"/>
      <c r="W1259" s="91"/>
      <c r="X1259" s="91"/>
      <c r="Y1259" s="91"/>
      <c r="Z1259" s="91"/>
      <c r="AA1259" s="91"/>
      <c r="AB1259" s="91"/>
      <c r="AC1259" s="91"/>
      <c r="AD1259" s="91"/>
      <c r="AE1259" s="91"/>
      <c r="AF1259" s="91"/>
      <c r="AG1259" s="91"/>
      <c r="AH1259" s="91"/>
      <c r="AI1259" s="91"/>
      <c r="AJ1259" s="91"/>
      <c r="AK1259" s="91"/>
      <c r="AL1259" s="91"/>
      <c r="AM1259" s="91"/>
    </row>
    <row r="1260" spans="1:39" ht="20.25" hidden="1" customHeight="1">
      <c r="A1260" s="91"/>
      <c r="B1260" s="93" t="s">
        <v>3992</v>
      </c>
      <c r="C1260" s="91" t="s">
        <v>36</v>
      </c>
      <c r="D1260" s="94" t="s">
        <v>4024</v>
      </c>
      <c r="E1260" s="94" t="s">
        <v>4025</v>
      </c>
      <c r="F1260" s="95" t="s">
        <v>4026</v>
      </c>
      <c r="G1260" s="96">
        <v>45156</v>
      </c>
      <c r="H1260" s="97">
        <v>30330</v>
      </c>
      <c r="I1260" s="94" t="s">
        <v>58</v>
      </c>
      <c r="J1260" s="94" t="s">
        <v>4027</v>
      </c>
      <c r="K1260" s="95">
        <v>964476630</v>
      </c>
      <c r="L1260" s="91" t="s">
        <v>197</v>
      </c>
      <c r="M1260" s="98">
        <f ca="1">(TODAY()-H1260)/365</f>
        <v>42.936986301369863</v>
      </c>
      <c r="N1260" s="99">
        <f>(G1260-H1260)/365</f>
        <v>40.61917808219178</v>
      </c>
      <c r="O1260" s="98">
        <f ca="1">(TODAY()-G1260)/365</f>
        <v>2.3178082191780822</v>
      </c>
      <c r="P1260" s="91" t="s">
        <v>43</v>
      </c>
      <c r="Q1260" s="91">
        <v>0</v>
      </c>
      <c r="R1260" s="91">
        <v>0</v>
      </c>
      <c r="S1260" s="91">
        <v>0</v>
      </c>
      <c r="T1260" s="91"/>
      <c r="U1260" s="91"/>
      <c r="V1260" s="91"/>
      <c r="W1260" s="91"/>
      <c r="X1260" s="91"/>
      <c r="Y1260" s="91"/>
      <c r="Z1260" s="91"/>
      <c r="AA1260" s="91"/>
      <c r="AB1260" s="91"/>
      <c r="AC1260" s="91"/>
      <c r="AD1260" s="91"/>
      <c r="AE1260" s="91"/>
      <c r="AF1260" s="91"/>
      <c r="AG1260" s="91"/>
      <c r="AH1260" s="91"/>
      <c r="AI1260" s="91"/>
      <c r="AJ1260" s="91"/>
      <c r="AK1260" s="91"/>
      <c r="AL1260" s="91"/>
      <c r="AM1260" s="91"/>
    </row>
    <row r="1261" spans="1:39" ht="20.25" hidden="1" customHeight="1">
      <c r="A1261" s="91"/>
      <c r="B1261" s="93" t="s">
        <v>3992</v>
      </c>
      <c r="C1261" s="91" t="s">
        <v>36</v>
      </c>
      <c r="D1261" s="94" t="s">
        <v>4028</v>
      </c>
      <c r="E1261" s="94" t="s">
        <v>4029</v>
      </c>
      <c r="F1261" s="95" t="s">
        <v>4030</v>
      </c>
      <c r="G1261" s="96">
        <v>45149</v>
      </c>
      <c r="H1261" s="97">
        <v>30074</v>
      </c>
      <c r="I1261" s="94" t="s">
        <v>58</v>
      </c>
      <c r="J1261" s="94" t="s">
        <v>4031</v>
      </c>
      <c r="K1261" s="95">
        <v>984296155</v>
      </c>
      <c r="L1261" s="91" t="s">
        <v>60</v>
      </c>
      <c r="M1261" s="98">
        <f ca="1">(TODAY()-H1261)/365</f>
        <v>43.638356164383559</v>
      </c>
      <c r="N1261" s="99">
        <f>(G1261-H1261)/365</f>
        <v>41.301369863013697</v>
      </c>
      <c r="O1261" s="98">
        <f ca="1">(TODAY()-G1261)/365</f>
        <v>2.3369863013698629</v>
      </c>
      <c r="P1261" s="91" t="s">
        <v>43</v>
      </c>
      <c r="Q1261" s="91">
        <v>0</v>
      </c>
      <c r="R1261" s="91">
        <v>0</v>
      </c>
      <c r="S1261" s="91">
        <v>0</v>
      </c>
      <c r="T1261" s="91"/>
      <c r="U1261" s="91"/>
      <c r="V1261" s="91"/>
      <c r="W1261" s="91"/>
      <c r="X1261" s="91"/>
      <c r="Y1261" s="91"/>
      <c r="Z1261" s="91"/>
      <c r="AA1261" s="91"/>
      <c r="AB1261" s="91"/>
      <c r="AC1261" s="91"/>
      <c r="AD1261" s="91"/>
      <c r="AE1261" s="91"/>
      <c r="AF1261" s="91"/>
      <c r="AG1261" s="91"/>
      <c r="AH1261" s="91"/>
      <c r="AI1261" s="91"/>
      <c r="AJ1261" s="91"/>
      <c r="AK1261" s="91"/>
      <c r="AL1261" s="91"/>
      <c r="AM1261" s="91"/>
    </row>
    <row r="1262" spans="1:39" ht="20.25" hidden="1" customHeight="1">
      <c r="A1262" s="91"/>
      <c r="B1262" s="93" t="s">
        <v>3992</v>
      </c>
      <c r="C1262" s="91" t="s">
        <v>36</v>
      </c>
      <c r="D1262" s="94" t="s">
        <v>4032</v>
      </c>
      <c r="E1262" s="94" t="s">
        <v>4033</v>
      </c>
      <c r="F1262" s="95" t="s">
        <v>4034</v>
      </c>
      <c r="G1262" s="96">
        <v>35096</v>
      </c>
      <c r="H1262" s="97">
        <v>19937</v>
      </c>
      <c r="I1262" s="94" t="s">
        <v>58</v>
      </c>
      <c r="J1262" s="94" t="s">
        <v>4035</v>
      </c>
      <c r="K1262" s="95">
        <v>983521380</v>
      </c>
      <c r="L1262" s="91" t="s">
        <v>151</v>
      </c>
      <c r="M1262" s="98">
        <f ca="1">(TODAY()-H1262)/365</f>
        <v>71.410958904109592</v>
      </c>
      <c r="N1262" s="99">
        <f>(G1262-H1262)/365</f>
        <v>41.531506849315072</v>
      </c>
      <c r="O1262" s="98">
        <f ca="1">(TODAY()-G1262)/365</f>
        <v>29.87945205479452</v>
      </c>
      <c r="P1262" s="91" t="s">
        <v>43</v>
      </c>
      <c r="Q1262" s="91">
        <v>0</v>
      </c>
      <c r="R1262" s="91">
        <v>0</v>
      </c>
      <c r="S1262" s="91">
        <v>0</v>
      </c>
      <c r="T1262" s="91"/>
      <c r="U1262" s="91"/>
      <c r="V1262" s="91"/>
      <c r="W1262" s="91"/>
      <c r="X1262" s="91"/>
      <c r="Y1262" s="91"/>
      <c r="Z1262" s="91"/>
      <c r="AA1262" s="91"/>
      <c r="AB1262" s="91"/>
      <c r="AC1262" s="91"/>
      <c r="AD1262" s="91"/>
      <c r="AE1262" s="91"/>
      <c r="AF1262" s="91"/>
      <c r="AG1262" s="91"/>
      <c r="AH1262" s="91"/>
      <c r="AI1262" s="91"/>
      <c r="AJ1262" s="91"/>
      <c r="AK1262" s="91"/>
      <c r="AL1262" s="91"/>
      <c r="AM1262" s="91"/>
    </row>
    <row r="1263" spans="1:39" ht="20.25" hidden="1" customHeight="1">
      <c r="A1263" s="91"/>
      <c r="B1263" s="93" t="s">
        <v>3992</v>
      </c>
      <c r="C1263" s="91" t="s">
        <v>36</v>
      </c>
      <c r="D1263" s="94" t="s">
        <v>4036</v>
      </c>
      <c r="E1263" s="94" t="s">
        <v>4037</v>
      </c>
      <c r="F1263" s="95" t="s">
        <v>4038</v>
      </c>
      <c r="G1263" s="96">
        <v>44816</v>
      </c>
      <c r="H1263" s="97">
        <v>28497</v>
      </c>
      <c r="I1263" s="94" t="s">
        <v>58</v>
      </c>
      <c r="J1263" s="94" t="s">
        <v>4039</v>
      </c>
      <c r="K1263" s="95">
        <v>973066717</v>
      </c>
      <c r="L1263" s="91" t="s">
        <v>60</v>
      </c>
      <c r="M1263" s="98">
        <f ca="1">(TODAY()-H1263)/365</f>
        <v>47.958904109589042</v>
      </c>
      <c r="N1263" s="99">
        <f>(G1263-H1263)/365</f>
        <v>44.709589041095889</v>
      </c>
      <c r="O1263" s="98">
        <f ca="1">(TODAY()-G1263)/365</f>
        <v>3.2493150684931509</v>
      </c>
      <c r="P1263" s="91" t="s">
        <v>43</v>
      </c>
      <c r="Q1263" s="91">
        <v>0</v>
      </c>
      <c r="R1263" s="91">
        <v>0</v>
      </c>
      <c r="S1263" s="91">
        <v>0</v>
      </c>
      <c r="T1263" s="91"/>
      <c r="U1263" s="91"/>
      <c r="V1263" s="91"/>
      <c r="W1263" s="91"/>
      <c r="X1263" s="91"/>
      <c r="Y1263" s="91"/>
      <c r="Z1263" s="91"/>
      <c r="AA1263" s="91"/>
      <c r="AB1263" s="91"/>
      <c r="AC1263" s="91"/>
      <c r="AD1263" s="91"/>
      <c r="AE1263" s="91"/>
      <c r="AF1263" s="91"/>
      <c r="AG1263" s="91"/>
      <c r="AH1263" s="91"/>
      <c r="AI1263" s="91"/>
      <c r="AJ1263" s="91"/>
      <c r="AK1263" s="91"/>
      <c r="AL1263" s="91"/>
      <c r="AM1263" s="91"/>
    </row>
    <row r="1264" spans="1:39" ht="20.25" customHeight="1">
      <c r="A1264" s="91"/>
      <c r="B1264" s="93" t="s">
        <v>8369</v>
      </c>
      <c r="C1264" s="91" t="s">
        <v>73</v>
      </c>
      <c r="D1264" s="107" t="s">
        <v>8370</v>
      </c>
      <c r="E1264" s="107" t="s">
        <v>8371</v>
      </c>
      <c r="F1264" s="95" t="s">
        <v>8372</v>
      </c>
      <c r="G1264" s="96">
        <v>37316</v>
      </c>
      <c r="H1264" s="97">
        <v>32641</v>
      </c>
      <c r="I1264" s="94" t="s">
        <v>8373</v>
      </c>
      <c r="J1264" s="100" t="s">
        <v>58</v>
      </c>
      <c r="K1264" s="91" t="s">
        <v>58</v>
      </c>
      <c r="L1264" s="91" t="s">
        <v>60</v>
      </c>
      <c r="M1264" s="98">
        <f ca="1">(TODAY()-H1264)/365</f>
        <v>36.605479452054794</v>
      </c>
      <c r="N1264" s="99">
        <f>(G1264-H1264)/365</f>
        <v>12.808219178082192</v>
      </c>
      <c r="O1264" s="98">
        <f ca="1">(TODAY()-G1264)/365</f>
        <v>23.797260273972604</v>
      </c>
      <c r="P1264" s="91" t="s">
        <v>272</v>
      </c>
      <c r="Q1264" s="91">
        <v>1</v>
      </c>
      <c r="R1264" s="91">
        <v>0</v>
      </c>
      <c r="S1264" s="91">
        <v>0</v>
      </c>
      <c r="T1264" s="91" t="s">
        <v>8374</v>
      </c>
      <c r="U1264" s="91"/>
      <c r="V1264" s="91"/>
      <c r="W1264" s="91"/>
      <c r="X1264" s="91"/>
      <c r="Y1264" s="91"/>
      <c r="Z1264" s="91"/>
      <c r="AA1264" s="91"/>
      <c r="AB1264" s="91"/>
      <c r="AC1264" s="91"/>
      <c r="AD1264" s="91"/>
      <c r="AE1264" s="91"/>
      <c r="AF1264" s="91"/>
      <c r="AG1264" s="91"/>
      <c r="AH1264" s="91"/>
      <c r="AI1264" s="91"/>
      <c r="AJ1264" s="91"/>
      <c r="AK1264" s="91"/>
      <c r="AL1264" s="91"/>
      <c r="AM1264" s="91"/>
    </row>
    <row r="1265" spans="1:39" ht="20.25" hidden="1" customHeight="1">
      <c r="A1265" s="91"/>
      <c r="B1265" s="93" t="s">
        <v>3992</v>
      </c>
      <c r="C1265" s="91" t="s">
        <v>36</v>
      </c>
      <c r="D1265" s="94" t="s">
        <v>4043</v>
      </c>
      <c r="E1265" s="94" t="s">
        <v>4044</v>
      </c>
      <c r="F1265" s="95" t="s">
        <v>4045</v>
      </c>
      <c r="G1265" s="96">
        <v>39363</v>
      </c>
      <c r="H1265" s="97">
        <v>21680</v>
      </c>
      <c r="I1265" s="94" t="s">
        <v>58</v>
      </c>
      <c r="J1265" s="94" t="s">
        <v>4046</v>
      </c>
      <c r="K1265" s="95">
        <v>946159667</v>
      </c>
      <c r="L1265" s="91" t="s">
        <v>49</v>
      </c>
      <c r="M1265" s="98">
        <f ca="1">(TODAY()-H1265)/365</f>
        <v>66.635616438356166</v>
      </c>
      <c r="N1265" s="99">
        <f>(G1265-H1265)/365</f>
        <v>48.446575342465756</v>
      </c>
      <c r="O1265" s="98">
        <f ca="1">(TODAY()-G1265)/365</f>
        <v>18.18904109589041</v>
      </c>
      <c r="P1265" s="91" t="s">
        <v>43</v>
      </c>
      <c r="Q1265" s="91">
        <v>0</v>
      </c>
      <c r="R1265" s="91">
        <v>0</v>
      </c>
      <c r="S1265" s="91">
        <v>0</v>
      </c>
      <c r="T1265" s="91"/>
      <c r="U1265" s="91"/>
      <c r="V1265" s="91"/>
      <c r="W1265" s="91"/>
      <c r="X1265" s="91"/>
      <c r="Y1265" s="91"/>
      <c r="Z1265" s="91"/>
      <c r="AA1265" s="91"/>
      <c r="AB1265" s="91"/>
      <c r="AC1265" s="91"/>
      <c r="AD1265" s="91"/>
      <c r="AE1265" s="91"/>
      <c r="AF1265" s="91"/>
      <c r="AG1265" s="91"/>
      <c r="AH1265" s="91"/>
      <c r="AI1265" s="91"/>
      <c r="AJ1265" s="91"/>
      <c r="AK1265" s="91"/>
      <c r="AL1265" s="91"/>
      <c r="AM1265" s="91"/>
    </row>
    <row r="1266" spans="1:39" ht="20.25" hidden="1" customHeight="1">
      <c r="A1266" s="91"/>
      <c r="B1266" s="93" t="s">
        <v>3992</v>
      </c>
      <c r="C1266" s="91" t="s">
        <v>36</v>
      </c>
      <c r="D1266" s="94" t="s">
        <v>3272</v>
      </c>
      <c r="E1266" s="94" t="s">
        <v>4047</v>
      </c>
      <c r="F1266" s="95" t="s">
        <v>4048</v>
      </c>
      <c r="G1266" s="96">
        <v>44816</v>
      </c>
      <c r="H1266" s="97">
        <v>26599</v>
      </c>
      <c r="I1266" s="94" t="s">
        <v>58</v>
      </c>
      <c r="J1266" s="94" t="s">
        <v>4049</v>
      </c>
      <c r="K1266" s="95">
        <v>987782391</v>
      </c>
      <c r="L1266" s="91" t="s">
        <v>60</v>
      </c>
      <c r="M1266" s="98">
        <f ca="1">(TODAY()-H1266)/365</f>
        <v>53.158904109589038</v>
      </c>
      <c r="N1266" s="99">
        <f>(G1266-H1266)/365</f>
        <v>49.909589041095892</v>
      </c>
      <c r="O1266" s="98">
        <f ca="1">(TODAY()-G1266)/365</f>
        <v>3.2493150684931509</v>
      </c>
      <c r="P1266" s="91" t="s">
        <v>43</v>
      </c>
      <c r="Q1266" s="91">
        <v>0</v>
      </c>
      <c r="R1266" s="91">
        <v>0</v>
      </c>
      <c r="S1266" s="91">
        <v>0</v>
      </c>
      <c r="T1266" s="91"/>
      <c r="U1266" s="91"/>
      <c r="V1266" s="91"/>
      <c r="W1266" s="91"/>
      <c r="X1266" s="91"/>
      <c r="Y1266" s="91"/>
      <c r="Z1266" s="91"/>
      <c r="AA1266" s="91"/>
      <c r="AB1266" s="91"/>
      <c r="AC1266" s="91"/>
      <c r="AD1266" s="91"/>
      <c r="AE1266" s="91"/>
      <c r="AF1266" s="91"/>
      <c r="AG1266" s="91"/>
      <c r="AH1266" s="91"/>
      <c r="AI1266" s="91"/>
      <c r="AJ1266" s="91"/>
      <c r="AK1266" s="91"/>
      <c r="AL1266" s="91"/>
      <c r="AM1266" s="91"/>
    </row>
    <row r="1267" spans="1:39" ht="20.25" hidden="1" customHeight="1">
      <c r="A1267" s="91"/>
      <c r="B1267" s="93" t="s">
        <v>3992</v>
      </c>
      <c r="C1267" s="91" t="s">
        <v>36</v>
      </c>
      <c r="D1267" s="94" t="s">
        <v>4050</v>
      </c>
      <c r="E1267" s="94" t="s">
        <v>4051</v>
      </c>
      <c r="F1267" s="95" t="s">
        <v>4052</v>
      </c>
      <c r="G1267" s="96">
        <v>45233</v>
      </c>
      <c r="H1267" s="97">
        <v>26430</v>
      </c>
      <c r="I1267" s="94" t="s">
        <v>58</v>
      </c>
      <c r="J1267" s="94" t="s">
        <v>4053</v>
      </c>
      <c r="K1267" s="95">
        <v>941650569</v>
      </c>
      <c r="L1267" s="91" t="s">
        <v>60</v>
      </c>
      <c r="M1267" s="98">
        <f ca="1">(TODAY()-H1267)/365</f>
        <v>53.62191780821918</v>
      </c>
      <c r="N1267" s="99">
        <f>(G1267-H1267)/365</f>
        <v>51.515068493150686</v>
      </c>
      <c r="O1267" s="98">
        <f ca="1">(TODAY()-G1267)/365</f>
        <v>2.106849315068493</v>
      </c>
      <c r="P1267" s="91" t="s">
        <v>43</v>
      </c>
      <c r="Q1267" s="91">
        <v>0</v>
      </c>
      <c r="R1267" s="91">
        <v>0</v>
      </c>
      <c r="S1267" s="91">
        <v>0</v>
      </c>
      <c r="T1267" s="91"/>
      <c r="U1267" s="91"/>
      <c r="V1267" s="91"/>
      <c r="W1267" s="91"/>
      <c r="X1267" s="91"/>
      <c r="Y1267" s="91"/>
      <c r="Z1267" s="91"/>
      <c r="AA1267" s="91"/>
      <c r="AB1267" s="91"/>
      <c r="AC1267" s="91"/>
      <c r="AD1267" s="91"/>
      <c r="AE1267" s="91"/>
      <c r="AF1267" s="91"/>
      <c r="AG1267" s="91"/>
      <c r="AH1267" s="91"/>
      <c r="AI1267" s="91"/>
      <c r="AJ1267" s="91"/>
      <c r="AK1267" s="91"/>
      <c r="AL1267" s="91"/>
      <c r="AM1267" s="91"/>
    </row>
    <row r="1268" spans="1:39" ht="20.25" hidden="1" customHeight="1">
      <c r="A1268" s="91"/>
      <c r="B1268" s="93" t="s">
        <v>3992</v>
      </c>
      <c r="C1268" s="91" t="s">
        <v>36</v>
      </c>
      <c r="D1268" s="94" t="s">
        <v>4054</v>
      </c>
      <c r="E1268" s="94" t="s">
        <v>4055</v>
      </c>
      <c r="F1268" s="95" t="s">
        <v>4056</v>
      </c>
      <c r="G1268" s="96">
        <v>45170</v>
      </c>
      <c r="H1268" s="97">
        <v>26363</v>
      </c>
      <c r="I1268" s="94" t="s">
        <v>58</v>
      </c>
      <c r="J1268" s="94" t="s">
        <v>4057</v>
      </c>
      <c r="K1268" s="95">
        <v>964242858</v>
      </c>
      <c r="L1268" s="91" t="s">
        <v>60</v>
      </c>
      <c r="M1268" s="98">
        <f ca="1">(TODAY()-H1268)/365</f>
        <v>53.805479452054797</v>
      </c>
      <c r="N1268" s="99">
        <f>(G1268-H1268)/365</f>
        <v>51.526027397260272</v>
      </c>
      <c r="O1268" s="98">
        <f ca="1">(TODAY()-G1268)/365</f>
        <v>2.2794520547945205</v>
      </c>
      <c r="P1268" s="91" t="s">
        <v>43</v>
      </c>
      <c r="Q1268" s="91">
        <v>0</v>
      </c>
      <c r="R1268" s="91">
        <v>0</v>
      </c>
      <c r="S1268" s="91">
        <v>0</v>
      </c>
      <c r="T1268" s="91"/>
      <c r="U1268" s="91"/>
      <c r="V1268" s="91"/>
      <c r="W1268" s="91"/>
      <c r="X1268" s="91"/>
      <c r="Y1268" s="91"/>
      <c r="Z1268" s="91"/>
      <c r="AA1268" s="91"/>
      <c r="AB1268" s="91"/>
      <c r="AC1268" s="91"/>
      <c r="AD1268" s="91"/>
      <c r="AE1268" s="91"/>
      <c r="AF1268" s="91"/>
      <c r="AG1268" s="91"/>
      <c r="AH1268" s="91"/>
      <c r="AI1268" s="91"/>
      <c r="AJ1268" s="91"/>
      <c r="AK1268" s="91"/>
      <c r="AL1268" s="91"/>
      <c r="AM1268" s="91"/>
    </row>
    <row r="1269" spans="1:39" ht="20.25" customHeight="1">
      <c r="A1269" s="91"/>
      <c r="B1269" s="93" t="s">
        <v>8369</v>
      </c>
      <c r="C1269" s="91" t="s">
        <v>73</v>
      </c>
      <c r="D1269" s="107" t="s">
        <v>8381</v>
      </c>
      <c r="E1269" s="107" t="s">
        <v>8382</v>
      </c>
      <c r="F1269" s="95" t="s">
        <v>8383</v>
      </c>
      <c r="G1269" s="96">
        <v>45573</v>
      </c>
      <c r="H1269" s="97">
        <v>38569</v>
      </c>
      <c r="I1269" s="94" t="s">
        <v>8384</v>
      </c>
      <c r="J1269" s="100" t="s">
        <v>58</v>
      </c>
      <c r="K1269" s="91" t="s">
        <v>58</v>
      </c>
      <c r="L1269" s="91" t="s">
        <v>60</v>
      </c>
      <c r="M1269" s="98">
        <f ca="1">(TODAY()-H1269)/365</f>
        <v>20.364383561643837</v>
      </c>
      <c r="N1269" s="99">
        <f>(G1269-H1269)/365</f>
        <v>19.18904109589041</v>
      </c>
      <c r="O1269" s="98">
        <f ca="1">(TODAY()-G1269)/365</f>
        <v>1.1753424657534246</v>
      </c>
      <c r="P1269" s="91" t="s">
        <v>43</v>
      </c>
      <c r="Q1269" s="91">
        <v>0</v>
      </c>
      <c r="R1269" s="91">
        <v>0</v>
      </c>
      <c r="S1269" s="91">
        <v>0</v>
      </c>
      <c r="T1269" s="91"/>
      <c r="U1269" s="91"/>
      <c r="V1269" s="91"/>
      <c r="W1269" s="91"/>
      <c r="X1269" s="91"/>
      <c r="Y1269" s="91"/>
      <c r="Z1269" s="91"/>
      <c r="AA1269" s="91"/>
      <c r="AB1269" s="91"/>
      <c r="AC1269" s="91"/>
      <c r="AD1269" s="91"/>
      <c r="AE1269" s="91"/>
      <c r="AF1269" s="91"/>
      <c r="AG1269" s="91"/>
      <c r="AH1269" s="91"/>
      <c r="AI1269" s="91"/>
      <c r="AJ1269" s="91"/>
      <c r="AK1269" s="91"/>
      <c r="AL1269" s="91"/>
      <c r="AM1269" s="91"/>
    </row>
    <row r="1270" spans="1:39" ht="20.25" customHeight="1">
      <c r="A1270" s="91"/>
      <c r="B1270" s="93" t="s">
        <v>7434</v>
      </c>
      <c r="C1270" s="91" t="s">
        <v>73</v>
      </c>
      <c r="D1270" s="94" t="s">
        <v>7462</v>
      </c>
      <c r="E1270" s="94" t="s">
        <v>7463</v>
      </c>
      <c r="F1270" s="95" t="s">
        <v>7464</v>
      </c>
      <c r="G1270" s="96">
        <v>40664</v>
      </c>
      <c r="H1270" s="97" t="s">
        <v>58</v>
      </c>
      <c r="I1270" s="100" t="s">
        <v>58</v>
      </c>
      <c r="J1270" s="100" t="s">
        <v>58</v>
      </c>
      <c r="K1270" s="91" t="s">
        <v>58</v>
      </c>
      <c r="L1270" s="91" t="s">
        <v>60</v>
      </c>
      <c r="M1270" s="98"/>
      <c r="N1270" s="91"/>
      <c r="O1270" s="98">
        <f ca="1">(TODAY()-G1270)/365</f>
        <v>14.624657534246575</v>
      </c>
      <c r="P1270" s="91" t="s">
        <v>43</v>
      </c>
      <c r="Q1270" s="91">
        <v>0</v>
      </c>
      <c r="R1270" s="91">
        <v>0</v>
      </c>
      <c r="S1270" s="91">
        <v>0</v>
      </c>
      <c r="T1270" s="91"/>
      <c r="U1270" s="91"/>
      <c r="V1270" s="91"/>
      <c r="W1270" s="91"/>
      <c r="X1270" s="91"/>
      <c r="Y1270" s="91"/>
      <c r="Z1270" s="91"/>
      <c r="AA1270" s="91"/>
      <c r="AB1270" s="91"/>
      <c r="AC1270" s="91"/>
      <c r="AD1270" s="91"/>
      <c r="AE1270" s="91"/>
      <c r="AF1270" s="91"/>
      <c r="AG1270" s="91"/>
      <c r="AH1270" s="91"/>
      <c r="AI1270" s="91"/>
      <c r="AJ1270" s="91"/>
      <c r="AK1270" s="91"/>
      <c r="AL1270" s="91"/>
      <c r="AM1270" s="91"/>
    </row>
    <row r="1271" spans="1:39" ht="20.25" hidden="1" customHeight="1">
      <c r="A1271" s="91"/>
      <c r="B1271" s="93" t="s">
        <v>3992</v>
      </c>
      <c r="C1271" s="91" t="s">
        <v>36</v>
      </c>
      <c r="D1271" s="94" t="s">
        <v>4064</v>
      </c>
      <c r="E1271" s="94" t="s">
        <v>4065</v>
      </c>
      <c r="F1271" s="95" t="s">
        <v>4066</v>
      </c>
      <c r="G1271" s="96">
        <v>45149</v>
      </c>
      <c r="H1271" s="97">
        <v>25963</v>
      </c>
      <c r="I1271" s="94" t="s">
        <v>58</v>
      </c>
      <c r="J1271" s="94" t="s">
        <v>4067</v>
      </c>
      <c r="K1271" s="95">
        <v>957682835</v>
      </c>
      <c r="L1271" s="91" t="s">
        <v>167</v>
      </c>
      <c r="M1271" s="98">
        <f ca="1">(TODAY()-H1271)/365</f>
        <v>54.901369863013699</v>
      </c>
      <c r="N1271" s="99">
        <f>(G1271-H1271)/365</f>
        <v>52.564383561643837</v>
      </c>
      <c r="O1271" s="98">
        <f ca="1">(TODAY()-G1271)/365</f>
        <v>2.3369863013698629</v>
      </c>
      <c r="P1271" s="91" t="s">
        <v>43</v>
      </c>
      <c r="Q1271" s="91">
        <v>0</v>
      </c>
      <c r="R1271" s="91">
        <v>0</v>
      </c>
      <c r="S1271" s="91">
        <v>0</v>
      </c>
      <c r="T1271" s="91"/>
      <c r="U1271" s="91"/>
      <c r="V1271" s="91"/>
      <c r="W1271" s="91"/>
      <c r="X1271" s="91"/>
      <c r="Y1271" s="91"/>
      <c r="Z1271" s="91"/>
      <c r="AA1271" s="91"/>
      <c r="AB1271" s="91"/>
      <c r="AC1271" s="91"/>
      <c r="AD1271" s="91"/>
      <c r="AE1271" s="91"/>
      <c r="AF1271" s="91"/>
      <c r="AG1271" s="91"/>
      <c r="AH1271" s="91"/>
      <c r="AI1271" s="91"/>
      <c r="AJ1271" s="91"/>
      <c r="AK1271" s="91"/>
      <c r="AL1271" s="91"/>
      <c r="AM1271" s="91"/>
    </row>
    <row r="1272" spans="1:39" ht="20.25" hidden="1" customHeight="1">
      <c r="A1272" s="91"/>
      <c r="B1272" s="93" t="s">
        <v>3992</v>
      </c>
      <c r="C1272" s="91" t="s">
        <v>36</v>
      </c>
      <c r="D1272" s="94" t="s">
        <v>4068</v>
      </c>
      <c r="E1272" s="94" t="s">
        <v>4069</v>
      </c>
      <c r="F1272" s="95" t="s">
        <v>4070</v>
      </c>
      <c r="G1272" s="96">
        <v>41431</v>
      </c>
      <c r="H1272" s="97">
        <v>21422</v>
      </c>
      <c r="I1272" s="94" t="s">
        <v>58</v>
      </c>
      <c r="J1272" s="94" t="s">
        <v>4071</v>
      </c>
      <c r="K1272" s="95">
        <v>941474229</v>
      </c>
      <c r="L1272" s="91" t="s">
        <v>60</v>
      </c>
      <c r="M1272" s="98">
        <f ca="1">(TODAY()-H1272)/365</f>
        <v>67.342465753424662</v>
      </c>
      <c r="N1272" s="99">
        <f>(G1272-H1272)/365</f>
        <v>54.819178082191783</v>
      </c>
      <c r="O1272" s="98">
        <f ca="1">(TODAY()-G1272)/365</f>
        <v>12.523287671232877</v>
      </c>
      <c r="P1272" s="91" t="s">
        <v>43</v>
      </c>
      <c r="Q1272" s="91">
        <v>0</v>
      </c>
      <c r="R1272" s="91">
        <v>0</v>
      </c>
      <c r="S1272" s="91">
        <v>0</v>
      </c>
      <c r="T1272" s="91"/>
      <c r="U1272" s="91"/>
      <c r="V1272" s="91"/>
      <c r="W1272" s="91"/>
      <c r="X1272" s="91"/>
      <c r="Y1272" s="91"/>
      <c r="Z1272" s="91"/>
      <c r="AA1272" s="91"/>
      <c r="AB1272" s="91"/>
      <c r="AC1272" s="91"/>
      <c r="AD1272" s="91"/>
      <c r="AE1272" s="91"/>
      <c r="AF1272" s="91"/>
      <c r="AG1272" s="91"/>
      <c r="AH1272" s="91"/>
      <c r="AI1272" s="91"/>
      <c r="AJ1272" s="91"/>
      <c r="AK1272" s="91"/>
      <c r="AL1272" s="91"/>
      <c r="AM1272" s="91"/>
    </row>
    <row r="1273" spans="1:39" ht="20.25" hidden="1" customHeight="1">
      <c r="A1273" s="91"/>
      <c r="B1273" s="93" t="s">
        <v>3992</v>
      </c>
      <c r="C1273" s="91" t="s">
        <v>36</v>
      </c>
      <c r="D1273" s="94" t="s">
        <v>4072</v>
      </c>
      <c r="E1273" s="94" t="s">
        <v>4073</v>
      </c>
      <c r="F1273" s="95" t="s">
        <v>4074</v>
      </c>
      <c r="G1273" s="96">
        <v>41334</v>
      </c>
      <c r="H1273" s="97">
        <v>20791</v>
      </c>
      <c r="I1273" s="94" t="s">
        <v>4075</v>
      </c>
      <c r="J1273" s="94" t="s">
        <v>4076</v>
      </c>
      <c r="K1273" s="95">
        <v>982306102</v>
      </c>
      <c r="L1273" s="91" t="s">
        <v>42</v>
      </c>
      <c r="M1273" s="98">
        <f ca="1">(TODAY()-H1273)/365</f>
        <v>69.07123287671233</v>
      </c>
      <c r="N1273" s="99">
        <f>(G1273-H1273)/365</f>
        <v>56.282191780821918</v>
      </c>
      <c r="O1273" s="98">
        <f ca="1">(TODAY()-G1273)/365</f>
        <v>12.789041095890411</v>
      </c>
      <c r="P1273" s="91" t="s">
        <v>43</v>
      </c>
      <c r="Q1273" s="91">
        <v>0</v>
      </c>
      <c r="R1273" s="91">
        <v>0</v>
      </c>
      <c r="S1273" s="91">
        <v>0</v>
      </c>
      <c r="T1273" s="91"/>
      <c r="U1273" s="91"/>
      <c r="V1273" s="91"/>
      <c r="W1273" s="91"/>
      <c r="X1273" s="91"/>
      <c r="Y1273" s="91"/>
      <c r="Z1273" s="91"/>
      <c r="AA1273" s="91"/>
      <c r="AB1273" s="91"/>
      <c r="AC1273" s="91"/>
      <c r="AD1273" s="91"/>
      <c r="AE1273" s="91"/>
      <c r="AF1273" s="91"/>
      <c r="AG1273" s="91"/>
      <c r="AH1273" s="91"/>
      <c r="AI1273" s="91"/>
      <c r="AJ1273" s="91"/>
      <c r="AK1273" s="91"/>
      <c r="AL1273" s="91"/>
      <c r="AM1273" s="91"/>
    </row>
    <row r="1274" spans="1:39" ht="20.25" hidden="1" customHeight="1">
      <c r="A1274" s="91"/>
      <c r="B1274" s="93" t="s">
        <v>3992</v>
      </c>
      <c r="C1274" s="91" t="s">
        <v>36</v>
      </c>
      <c r="D1274" s="94" t="s">
        <v>4077</v>
      </c>
      <c r="E1274" s="94" t="s">
        <v>4078</v>
      </c>
      <c r="F1274" s="95" t="s">
        <v>4079</v>
      </c>
      <c r="G1274" s="96">
        <v>45156</v>
      </c>
      <c r="H1274" s="97">
        <v>24376</v>
      </c>
      <c r="I1274" s="94" t="s">
        <v>58</v>
      </c>
      <c r="J1274" s="94" t="s">
        <v>4080</v>
      </c>
      <c r="K1274" s="95">
        <v>973352700</v>
      </c>
      <c r="L1274" s="91" t="s">
        <v>60</v>
      </c>
      <c r="M1274" s="98">
        <f ca="1">(TODAY()-H1274)/365</f>
        <v>59.249315068493154</v>
      </c>
      <c r="N1274" s="99">
        <f>(G1274-H1274)/365</f>
        <v>56.93150684931507</v>
      </c>
      <c r="O1274" s="98">
        <f ca="1">(TODAY()-G1274)/365</f>
        <v>2.3178082191780822</v>
      </c>
      <c r="P1274" s="91" t="s">
        <v>272</v>
      </c>
      <c r="Q1274" s="91">
        <v>0</v>
      </c>
      <c r="R1274" s="91">
        <v>0</v>
      </c>
      <c r="S1274" s="91">
        <v>0</v>
      </c>
      <c r="T1274" s="91"/>
      <c r="U1274" s="91"/>
      <c r="V1274" s="91"/>
      <c r="W1274" s="91"/>
      <c r="X1274" s="91"/>
      <c r="Y1274" s="91"/>
      <c r="Z1274" s="91"/>
      <c r="AA1274" s="91"/>
      <c r="AB1274" s="91"/>
      <c r="AC1274" s="91"/>
      <c r="AD1274" s="91"/>
      <c r="AE1274" s="91"/>
      <c r="AF1274" s="91"/>
      <c r="AG1274" s="91"/>
      <c r="AH1274" s="91"/>
      <c r="AI1274" s="91"/>
      <c r="AJ1274" s="91"/>
      <c r="AK1274" s="91"/>
      <c r="AL1274" s="91"/>
      <c r="AM1274" s="91"/>
    </row>
    <row r="1275" spans="1:39" ht="20.25" hidden="1" customHeight="1">
      <c r="A1275" s="91"/>
      <c r="B1275" s="93" t="s">
        <v>3992</v>
      </c>
      <c r="C1275" s="91" t="s">
        <v>36</v>
      </c>
      <c r="D1275" s="94" t="s">
        <v>4081</v>
      </c>
      <c r="E1275" s="94" t="s">
        <v>4082</v>
      </c>
      <c r="F1275" s="91" t="s">
        <v>58</v>
      </c>
      <c r="G1275" s="96">
        <v>35070</v>
      </c>
      <c r="H1275" s="96" t="s">
        <v>58</v>
      </c>
      <c r="I1275" s="94" t="s">
        <v>58</v>
      </c>
      <c r="J1275" s="94" t="s">
        <v>4083</v>
      </c>
      <c r="K1275" s="95">
        <v>995761347</v>
      </c>
      <c r="L1275" s="91" t="s">
        <v>60</v>
      </c>
      <c r="M1275" s="98">
        <v>0</v>
      </c>
      <c r="N1275" s="95"/>
      <c r="O1275" s="98">
        <f ca="1">(TODAY()-G1275)/365</f>
        <v>29.950684931506849</v>
      </c>
      <c r="P1275" s="91" t="s">
        <v>43</v>
      </c>
      <c r="Q1275" s="91">
        <v>0</v>
      </c>
      <c r="R1275" s="91">
        <v>0</v>
      </c>
      <c r="S1275" s="91">
        <v>0</v>
      </c>
      <c r="T1275" s="91"/>
      <c r="U1275" s="91"/>
      <c r="V1275" s="91"/>
      <c r="W1275" s="91"/>
      <c r="X1275" s="91"/>
      <c r="Y1275" s="91"/>
      <c r="Z1275" s="91"/>
      <c r="AA1275" s="91"/>
      <c r="AB1275" s="91"/>
      <c r="AC1275" s="91"/>
      <c r="AD1275" s="91"/>
      <c r="AE1275" s="91"/>
      <c r="AF1275" s="91"/>
      <c r="AG1275" s="91"/>
      <c r="AH1275" s="91"/>
      <c r="AI1275" s="91"/>
      <c r="AJ1275" s="91"/>
      <c r="AK1275" s="91"/>
      <c r="AL1275" s="91"/>
      <c r="AM1275" s="91"/>
    </row>
    <row r="1276" spans="1:39" ht="20.25" hidden="1" customHeight="1">
      <c r="A1276" s="91"/>
      <c r="B1276" s="93" t="s">
        <v>3992</v>
      </c>
      <c r="C1276" s="91" t="s">
        <v>36</v>
      </c>
      <c r="D1276" s="94" t="s">
        <v>4084</v>
      </c>
      <c r="E1276" s="94" t="s">
        <v>4085</v>
      </c>
      <c r="F1276" s="95" t="s">
        <v>4086</v>
      </c>
      <c r="G1276" s="96">
        <v>42430</v>
      </c>
      <c r="H1276" s="96" t="s">
        <v>58</v>
      </c>
      <c r="I1276" s="94" t="s">
        <v>58</v>
      </c>
      <c r="J1276" s="94" t="s">
        <v>4087</v>
      </c>
      <c r="K1276" s="95">
        <v>993155431</v>
      </c>
      <c r="L1276" s="91" t="s">
        <v>60</v>
      </c>
      <c r="M1276" s="98">
        <v>0</v>
      </c>
      <c r="N1276" s="95"/>
      <c r="O1276" s="98">
        <f ca="1">(TODAY()-G1276)/365</f>
        <v>9.786301369863013</v>
      </c>
      <c r="P1276" s="91" t="s">
        <v>43</v>
      </c>
      <c r="Q1276" s="91">
        <v>0</v>
      </c>
      <c r="R1276" s="91">
        <v>0</v>
      </c>
      <c r="S1276" s="91">
        <v>0</v>
      </c>
      <c r="T1276" s="91"/>
      <c r="U1276" s="91"/>
      <c r="V1276" s="91"/>
      <c r="W1276" s="91"/>
      <c r="X1276" s="91"/>
      <c r="Y1276" s="91"/>
      <c r="Z1276" s="91"/>
      <c r="AA1276" s="91"/>
      <c r="AB1276" s="91"/>
      <c r="AC1276" s="91"/>
      <c r="AD1276" s="91"/>
      <c r="AE1276" s="91"/>
      <c r="AF1276" s="91"/>
      <c r="AG1276" s="91"/>
      <c r="AH1276" s="91"/>
      <c r="AI1276" s="91"/>
      <c r="AJ1276" s="91"/>
      <c r="AK1276" s="91"/>
      <c r="AL1276" s="91"/>
      <c r="AM1276" s="91"/>
    </row>
    <row r="1277" spans="1:39" ht="20.25" hidden="1" customHeight="1">
      <c r="A1277" s="91"/>
      <c r="B1277" s="93" t="s">
        <v>3992</v>
      </c>
      <c r="C1277" s="91" t="s">
        <v>36</v>
      </c>
      <c r="D1277" s="94" t="s">
        <v>3580</v>
      </c>
      <c r="E1277" s="94" t="s">
        <v>4088</v>
      </c>
      <c r="F1277" s="91" t="s">
        <v>58</v>
      </c>
      <c r="G1277" s="96" t="s">
        <v>58</v>
      </c>
      <c r="H1277" s="96" t="s">
        <v>58</v>
      </c>
      <c r="I1277" s="94" t="s">
        <v>58</v>
      </c>
      <c r="J1277" s="94" t="s">
        <v>4089</v>
      </c>
      <c r="K1277" s="95" t="s">
        <v>58</v>
      </c>
      <c r="L1277" s="91" t="s">
        <v>60</v>
      </c>
      <c r="M1277" s="98">
        <v>0</v>
      </c>
      <c r="N1277" s="95"/>
      <c r="O1277" s="98" t="e">
        <f ca="1">(TODAY()-G1277)/365</f>
        <v>#VALUE!</v>
      </c>
      <c r="P1277" s="91" t="s">
        <v>43</v>
      </c>
      <c r="Q1277" s="91">
        <v>0</v>
      </c>
      <c r="R1277" s="91">
        <v>0</v>
      </c>
      <c r="S1277" s="91">
        <v>0</v>
      </c>
      <c r="T1277" s="91"/>
      <c r="U1277" s="91"/>
      <c r="V1277" s="91"/>
      <c r="W1277" s="91"/>
      <c r="X1277" s="91"/>
      <c r="Y1277" s="91"/>
      <c r="Z1277" s="91"/>
      <c r="AA1277" s="91"/>
      <c r="AB1277" s="91"/>
      <c r="AC1277" s="91"/>
      <c r="AD1277" s="91"/>
      <c r="AE1277" s="91"/>
      <c r="AF1277" s="91"/>
      <c r="AG1277" s="91"/>
      <c r="AH1277" s="91"/>
      <c r="AI1277" s="91"/>
      <c r="AJ1277" s="91"/>
      <c r="AK1277" s="91"/>
      <c r="AL1277" s="91"/>
      <c r="AM1277" s="91"/>
    </row>
    <row r="1278" spans="1:39" ht="20.25" hidden="1" customHeight="1">
      <c r="A1278" s="91"/>
      <c r="B1278" s="93" t="s">
        <v>3992</v>
      </c>
      <c r="C1278" s="91" t="s">
        <v>36</v>
      </c>
      <c r="D1278" s="94" t="s">
        <v>4090</v>
      </c>
      <c r="E1278" s="94" t="s">
        <v>4091</v>
      </c>
      <c r="F1278" s="95" t="s">
        <v>4092</v>
      </c>
      <c r="G1278" s="96">
        <v>39363</v>
      </c>
      <c r="H1278" s="97">
        <v>17869</v>
      </c>
      <c r="I1278" s="94" t="s">
        <v>58</v>
      </c>
      <c r="J1278" s="94" t="s">
        <v>4093</v>
      </c>
      <c r="K1278" s="95">
        <v>997408502</v>
      </c>
      <c r="L1278" s="91" t="s">
        <v>60</v>
      </c>
      <c r="M1278" s="98">
        <f ca="1">(TODAY()-H1278)/365</f>
        <v>77.07671232876713</v>
      </c>
      <c r="N1278" s="99">
        <f>(G1278-H1278)/365</f>
        <v>58.887671232876713</v>
      </c>
      <c r="O1278" s="98">
        <f ca="1">(TODAY()-G1278)/365</f>
        <v>18.18904109589041</v>
      </c>
      <c r="P1278" s="91" t="s">
        <v>43</v>
      </c>
      <c r="Q1278" s="91">
        <v>0</v>
      </c>
      <c r="R1278" s="91">
        <v>0</v>
      </c>
      <c r="S1278" s="91">
        <v>0</v>
      </c>
      <c r="T1278" s="91"/>
      <c r="U1278" s="91"/>
      <c r="V1278" s="91"/>
      <c r="W1278" s="91"/>
      <c r="X1278" s="91"/>
      <c r="Y1278" s="91"/>
      <c r="Z1278" s="91"/>
      <c r="AA1278" s="91"/>
      <c r="AB1278" s="91"/>
      <c r="AC1278" s="91"/>
      <c r="AD1278" s="91"/>
      <c r="AE1278" s="91"/>
      <c r="AF1278" s="91"/>
      <c r="AG1278" s="91"/>
      <c r="AH1278" s="91"/>
      <c r="AI1278" s="91"/>
      <c r="AJ1278" s="91"/>
      <c r="AK1278" s="91"/>
      <c r="AL1278" s="91"/>
      <c r="AM1278" s="91"/>
    </row>
    <row r="1279" spans="1:39" ht="20.25" hidden="1" customHeight="1">
      <c r="A1279" s="91"/>
      <c r="B1279" s="93" t="s">
        <v>3992</v>
      </c>
      <c r="C1279" s="91" t="s">
        <v>36</v>
      </c>
      <c r="D1279" s="94" t="s">
        <v>2211</v>
      </c>
      <c r="E1279" s="94" t="s">
        <v>4094</v>
      </c>
      <c r="F1279" s="95" t="s">
        <v>4095</v>
      </c>
      <c r="G1279" s="96">
        <v>45149</v>
      </c>
      <c r="H1279" s="97">
        <v>21423</v>
      </c>
      <c r="I1279" s="94" t="s">
        <v>58</v>
      </c>
      <c r="J1279" s="94" t="s">
        <v>4096</v>
      </c>
      <c r="K1279" s="95">
        <v>998417168</v>
      </c>
      <c r="L1279" s="91" t="s">
        <v>72</v>
      </c>
      <c r="M1279" s="98">
        <f ca="1">(TODAY()-H1279)/365</f>
        <v>67.339726027397262</v>
      </c>
      <c r="N1279" s="99">
        <f>(G1279-H1279)/365</f>
        <v>65.0027397260274</v>
      </c>
      <c r="O1279" s="98">
        <f ca="1">(TODAY()-G1279)/365</f>
        <v>2.3369863013698629</v>
      </c>
      <c r="P1279" s="91" t="s">
        <v>43</v>
      </c>
      <c r="Q1279" s="91">
        <v>0</v>
      </c>
      <c r="R1279" s="91">
        <v>0</v>
      </c>
      <c r="S1279" s="91">
        <v>0</v>
      </c>
      <c r="T1279" s="91"/>
      <c r="U1279" s="91"/>
      <c r="V1279" s="91"/>
      <c r="W1279" s="91"/>
      <c r="X1279" s="91"/>
      <c r="Y1279" s="91"/>
      <c r="Z1279" s="91"/>
      <c r="AA1279" s="91"/>
      <c r="AB1279" s="91"/>
      <c r="AC1279" s="91"/>
      <c r="AD1279" s="91"/>
      <c r="AE1279" s="91"/>
      <c r="AF1279" s="91"/>
      <c r="AG1279" s="91"/>
      <c r="AH1279" s="91"/>
      <c r="AI1279" s="91"/>
      <c r="AJ1279" s="91"/>
      <c r="AK1279" s="91"/>
      <c r="AL1279" s="91"/>
      <c r="AM1279" s="91"/>
    </row>
    <row r="1280" spans="1:39" ht="20.25" hidden="1" customHeight="1">
      <c r="A1280" s="91"/>
      <c r="B1280" s="93" t="s">
        <v>3992</v>
      </c>
      <c r="C1280" s="91" t="s">
        <v>36</v>
      </c>
      <c r="D1280" s="94" t="s">
        <v>4097</v>
      </c>
      <c r="E1280" s="94" t="s">
        <v>4098</v>
      </c>
      <c r="F1280" s="95" t="s">
        <v>4099</v>
      </c>
      <c r="G1280" s="96">
        <v>45156</v>
      </c>
      <c r="H1280" s="97">
        <v>20322</v>
      </c>
      <c r="I1280" s="94" t="s">
        <v>58</v>
      </c>
      <c r="J1280" s="94" t="s">
        <v>4100</v>
      </c>
      <c r="K1280" s="95">
        <v>949856273</v>
      </c>
      <c r="L1280" s="91" t="s">
        <v>60</v>
      </c>
      <c r="M1280" s="98">
        <f ca="1">(TODAY()-H1280)/365</f>
        <v>70.356164383561648</v>
      </c>
      <c r="N1280" s="99">
        <f>(G1280-H1280)/365</f>
        <v>68.038356164383558</v>
      </c>
      <c r="O1280" s="98">
        <f ca="1">(TODAY()-G1280)/365</f>
        <v>2.3178082191780822</v>
      </c>
      <c r="P1280" s="91" t="s">
        <v>43</v>
      </c>
      <c r="Q1280" s="91">
        <v>0</v>
      </c>
      <c r="R1280" s="91">
        <v>0</v>
      </c>
      <c r="S1280" s="91">
        <v>0</v>
      </c>
      <c r="T1280" s="91"/>
      <c r="U1280" s="91"/>
      <c r="V1280" s="91"/>
      <c r="W1280" s="91"/>
      <c r="X1280" s="91"/>
      <c r="Y1280" s="91"/>
      <c r="Z1280" s="91"/>
      <c r="AA1280" s="91"/>
      <c r="AB1280" s="91"/>
      <c r="AC1280" s="91"/>
      <c r="AD1280" s="91"/>
      <c r="AE1280" s="91"/>
      <c r="AF1280" s="91"/>
      <c r="AG1280" s="91"/>
      <c r="AH1280" s="91"/>
      <c r="AI1280" s="91"/>
      <c r="AJ1280" s="91"/>
      <c r="AK1280" s="91"/>
      <c r="AL1280" s="91"/>
      <c r="AM1280" s="91"/>
    </row>
    <row r="1281" spans="1:39" ht="20.25" hidden="1" customHeight="1">
      <c r="A1281" s="91"/>
      <c r="B1281" s="93" t="s">
        <v>3992</v>
      </c>
      <c r="C1281" s="91" t="s">
        <v>36</v>
      </c>
      <c r="D1281" s="94" t="s">
        <v>180</v>
      </c>
      <c r="E1281" s="94" t="s">
        <v>4101</v>
      </c>
      <c r="F1281" s="95" t="s">
        <v>4102</v>
      </c>
      <c r="G1281" s="96">
        <v>42064</v>
      </c>
      <c r="H1281" s="97">
        <v>14292</v>
      </c>
      <c r="I1281" s="94" t="s">
        <v>58</v>
      </c>
      <c r="J1281" s="94" t="s">
        <v>4103</v>
      </c>
      <c r="K1281" s="95">
        <v>982372393</v>
      </c>
      <c r="L1281" s="91" t="s">
        <v>60</v>
      </c>
      <c r="M1281" s="98">
        <f ca="1">(TODAY()-H1281)/365</f>
        <v>86.876712328767127</v>
      </c>
      <c r="N1281" s="99">
        <f>(G1281-H1281)/365</f>
        <v>76.087671232876716</v>
      </c>
      <c r="O1281" s="98">
        <f ca="1">(TODAY()-G1281)/365</f>
        <v>10.789041095890411</v>
      </c>
      <c r="P1281" s="91" t="s">
        <v>43</v>
      </c>
      <c r="Q1281" s="91">
        <v>0</v>
      </c>
      <c r="R1281" s="91">
        <v>0</v>
      </c>
      <c r="S1281" s="91">
        <v>0</v>
      </c>
      <c r="T1281" s="91"/>
      <c r="U1281" s="91"/>
      <c r="V1281" s="91"/>
      <c r="W1281" s="91"/>
      <c r="X1281" s="91"/>
      <c r="Y1281" s="91"/>
      <c r="Z1281" s="91"/>
      <c r="AA1281" s="91"/>
      <c r="AB1281" s="91"/>
      <c r="AC1281" s="91"/>
      <c r="AD1281" s="91"/>
      <c r="AE1281" s="91"/>
      <c r="AF1281" s="91"/>
      <c r="AG1281" s="91"/>
      <c r="AH1281" s="91"/>
      <c r="AI1281" s="91"/>
      <c r="AJ1281" s="91"/>
      <c r="AK1281" s="91"/>
      <c r="AL1281" s="91"/>
      <c r="AM1281" s="91"/>
    </row>
    <row r="1282" spans="1:39" ht="20.25" hidden="1" customHeight="1">
      <c r="A1282" s="91"/>
      <c r="B1282" s="93" t="s">
        <v>4104</v>
      </c>
      <c r="C1282" s="91" t="s">
        <v>36</v>
      </c>
      <c r="D1282" s="107" t="s">
        <v>4105</v>
      </c>
      <c r="E1282" s="107" t="s">
        <v>4106</v>
      </c>
      <c r="F1282" s="91" t="s">
        <v>4107</v>
      </c>
      <c r="G1282" s="96">
        <v>24869</v>
      </c>
      <c r="H1282" s="97">
        <v>18863</v>
      </c>
      <c r="I1282" s="100" t="s">
        <v>4108</v>
      </c>
      <c r="J1282" s="100" t="s">
        <v>4109</v>
      </c>
      <c r="K1282" s="91">
        <v>978492737</v>
      </c>
      <c r="L1282" s="91" t="s">
        <v>60</v>
      </c>
      <c r="M1282" s="98">
        <f ca="1">(TODAY()-H1282)/365</f>
        <v>74.353424657534248</v>
      </c>
      <c r="N1282" s="99">
        <f>(G1282-H1282)/365</f>
        <v>16.454794520547946</v>
      </c>
      <c r="O1282" s="98">
        <f ca="1">(TODAY()-G1282)/365</f>
        <v>57.898630136986299</v>
      </c>
      <c r="P1282" s="91" t="s">
        <v>43</v>
      </c>
      <c r="Q1282" s="91">
        <v>0</v>
      </c>
      <c r="R1282" s="91">
        <v>0</v>
      </c>
      <c r="S1282" s="91">
        <v>0</v>
      </c>
      <c r="T1282" s="91"/>
      <c r="U1282" s="91"/>
      <c r="V1282" s="91"/>
      <c r="W1282" s="91"/>
      <c r="X1282" s="91"/>
      <c r="Y1282" s="91"/>
      <c r="Z1282" s="91"/>
      <c r="AA1282" s="91"/>
      <c r="AB1282" s="91"/>
      <c r="AC1282" s="91"/>
      <c r="AD1282" s="91"/>
      <c r="AE1282" s="91"/>
      <c r="AF1282" s="91"/>
      <c r="AG1282" s="91"/>
      <c r="AH1282" s="91"/>
      <c r="AI1282" s="91"/>
      <c r="AJ1282" s="91"/>
      <c r="AK1282" s="91"/>
      <c r="AL1282" s="91"/>
      <c r="AM1282" s="91"/>
    </row>
    <row r="1283" spans="1:39" ht="20.25" hidden="1" customHeight="1">
      <c r="A1283" s="91"/>
      <c r="B1283" s="93" t="s">
        <v>4104</v>
      </c>
      <c r="C1283" s="91" t="s">
        <v>36</v>
      </c>
      <c r="D1283" s="107" t="s">
        <v>4110</v>
      </c>
      <c r="E1283" s="107" t="s">
        <v>4111</v>
      </c>
      <c r="F1283" s="91" t="s">
        <v>4112</v>
      </c>
      <c r="G1283" s="96">
        <v>44622</v>
      </c>
      <c r="H1283" s="97">
        <v>37925</v>
      </c>
      <c r="I1283" s="100" t="s">
        <v>58</v>
      </c>
      <c r="J1283" s="100" t="s">
        <v>4113</v>
      </c>
      <c r="K1283" s="91">
        <v>935325160</v>
      </c>
      <c r="L1283" s="91" t="s">
        <v>60</v>
      </c>
      <c r="M1283" s="98">
        <f ca="1">(TODAY()-H1283)/365</f>
        <v>22.12876712328767</v>
      </c>
      <c r="N1283" s="99">
        <f>(G1283-H1283)/365</f>
        <v>18.347945205479451</v>
      </c>
      <c r="O1283" s="98">
        <f ca="1">(TODAY()-G1283)/365</f>
        <v>3.7808219178082192</v>
      </c>
      <c r="P1283" s="91" t="s">
        <v>43</v>
      </c>
      <c r="Q1283" s="91">
        <v>0</v>
      </c>
      <c r="R1283" s="91">
        <v>0</v>
      </c>
      <c r="S1283" s="91">
        <v>0</v>
      </c>
      <c r="T1283" s="91"/>
      <c r="U1283" s="91"/>
      <c r="V1283" s="91"/>
      <c r="W1283" s="91"/>
      <c r="X1283" s="91"/>
      <c r="Y1283" s="91"/>
      <c r="Z1283" s="91"/>
      <c r="AA1283" s="91"/>
      <c r="AB1283" s="91"/>
      <c r="AC1283" s="91"/>
      <c r="AD1283" s="91"/>
      <c r="AE1283" s="91"/>
      <c r="AF1283" s="91"/>
      <c r="AG1283" s="91"/>
      <c r="AH1283" s="91"/>
      <c r="AI1283" s="91"/>
      <c r="AJ1283" s="91"/>
      <c r="AK1283" s="91"/>
      <c r="AL1283" s="91"/>
      <c r="AM1283" s="91"/>
    </row>
    <row r="1284" spans="1:39" ht="20.25" hidden="1" customHeight="1">
      <c r="A1284" s="91"/>
      <c r="B1284" s="93" t="s">
        <v>4104</v>
      </c>
      <c r="C1284" s="91" t="s">
        <v>36</v>
      </c>
      <c r="D1284" s="107" t="s">
        <v>4114</v>
      </c>
      <c r="E1284" s="107" t="s">
        <v>4115</v>
      </c>
      <c r="F1284" s="91" t="s">
        <v>4116</v>
      </c>
      <c r="G1284" s="96">
        <v>45361</v>
      </c>
      <c r="H1284" s="97">
        <v>37114</v>
      </c>
      <c r="I1284" s="100" t="s">
        <v>4117</v>
      </c>
      <c r="J1284" s="100" t="s">
        <v>4118</v>
      </c>
      <c r="K1284" s="91">
        <v>961882136</v>
      </c>
      <c r="L1284" s="91" t="s">
        <v>60</v>
      </c>
      <c r="M1284" s="98">
        <f ca="1">(TODAY()-H1284)/365</f>
        <v>24.350684931506848</v>
      </c>
      <c r="N1284" s="99">
        <f>(G1284-H1284)/365</f>
        <v>22.594520547945205</v>
      </c>
      <c r="O1284" s="98">
        <f ca="1">(TODAY()-G1284)/365</f>
        <v>1.7561643835616438</v>
      </c>
      <c r="P1284" s="91" t="s">
        <v>43</v>
      </c>
      <c r="Q1284" s="91">
        <v>0</v>
      </c>
      <c r="R1284" s="91">
        <v>0</v>
      </c>
      <c r="S1284" s="91">
        <v>0</v>
      </c>
      <c r="T1284" s="91"/>
      <c r="U1284" s="91"/>
      <c r="V1284" s="91"/>
      <c r="W1284" s="91"/>
      <c r="X1284" s="91"/>
      <c r="Y1284" s="91"/>
      <c r="Z1284" s="91"/>
      <c r="AA1284" s="91"/>
      <c r="AB1284" s="91"/>
      <c r="AC1284" s="91"/>
      <c r="AD1284" s="91"/>
      <c r="AE1284" s="91"/>
      <c r="AF1284" s="91"/>
      <c r="AG1284" s="91"/>
      <c r="AH1284" s="91"/>
      <c r="AI1284" s="91"/>
      <c r="AJ1284" s="91"/>
      <c r="AK1284" s="91"/>
      <c r="AL1284" s="91"/>
      <c r="AM1284" s="91"/>
    </row>
    <row r="1285" spans="1:39" ht="20.25" hidden="1" customHeight="1">
      <c r="A1285" s="91"/>
      <c r="B1285" s="93" t="s">
        <v>4104</v>
      </c>
      <c r="C1285" s="91" t="s">
        <v>36</v>
      </c>
      <c r="D1285" s="107" t="s">
        <v>4119</v>
      </c>
      <c r="E1285" s="107" t="s">
        <v>1417</v>
      </c>
      <c r="F1285" s="91" t="s">
        <v>4120</v>
      </c>
      <c r="G1285" s="96">
        <v>36590</v>
      </c>
      <c r="H1285" s="97">
        <v>27642</v>
      </c>
      <c r="I1285" s="100" t="s">
        <v>4121</v>
      </c>
      <c r="J1285" s="100" t="s">
        <v>4122</v>
      </c>
      <c r="K1285" s="91">
        <v>944410678</v>
      </c>
      <c r="L1285" s="91" t="s">
        <v>66</v>
      </c>
      <c r="M1285" s="98">
        <f ca="1">(TODAY()-H1285)/365</f>
        <v>50.301369863013697</v>
      </c>
      <c r="N1285" s="99">
        <f>(G1285-H1285)/365</f>
        <v>24.515068493150686</v>
      </c>
      <c r="O1285" s="98">
        <f ca="1">(TODAY()-G1285)/365</f>
        <v>25.786301369863015</v>
      </c>
      <c r="P1285" s="91" t="s">
        <v>43</v>
      </c>
      <c r="Q1285" s="91">
        <v>0</v>
      </c>
      <c r="R1285" s="91">
        <v>0</v>
      </c>
      <c r="S1285" s="91">
        <v>0</v>
      </c>
      <c r="T1285" s="91"/>
      <c r="U1285" s="91"/>
      <c r="V1285" s="91"/>
      <c r="W1285" s="91"/>
      <c r="X1285" s="91"/>
      <c r="Y1285" s="91">
        <v>2021</v>
      </c>
      <c r="Z1285" s="91"/>
      <c r="AA1285" s="91"/>
      <c r="AB1285" s="91"/>
      <c r="AC1285" s="91"/>
      <c r="AD1285" s="91"/>
      <c r="AE1285" s="91"/>
      <c r="AF1285" s="91"/>
      <c r="AG1285" s="91"/>
      <c r="AH1285" s="91"/>
      <c r="AI1285" s="91"/>
      <c r="AJ1285" s="91"/>
      <c r="AK1285" s="91"/>
      <c r="AL1285" s="91"/>
      <c r="AM1285" s="91"/>
    </row>
    <row r="1286" spans="1:39" ht="20.25" hidden="1" customHeight="1">
      <c r="A1286" s="91"/>
      <c r="B1286" s="93" t="s">
        <v>4104</v>
      </c>
      <c r="C1286" s="91" t="s">
        <v>36</v>
      </c>
      <c r="D1286" s="107" t="s">
        <v>4123</v>
      </c>
      <c r="E1286" s="107" t="s">
        <v>4124</v>
      </c>
      <c r="F1286" s="91" t="s">
        <v>4125</v>
      </c>
      <c r="G1286" s="96">
        <v>44991</v>
      </c>
      <c r="H1286" s="97">
        <v>35703</v>
      </c>
      <c r="I1286" s="100" t="s">
        <v>4126</v>
      </c>
      <c r="J1286" s="100" t="s">
        <v>4127</v>
      </c>
      <c r="K1286" s="91">
        <v>940853602</v>
      </c>
      <c r="L1286" s="91" t="s">
        <v>121</v>
      </c>
      <c r="M1286" s="98">
        <f ca="1">(TODAY()-H1286)/365</f>
        <v>28.216438356164385</v>
      </c>
      <c r="N1286" s="99">
        <f>(G1286-H1286)/365</f>
        <v>25.446575342465753</v>
      </c>
      <c r="O1286" s="98">
        <f ca="1">(TODAY()-G1286)/365</f>
        <v>2.7698630136986302</v>
      </c>
      <c r="P1286" s="91" t="s">
        <v>272</v>
      </c>
      <c r="Q1286" s="91">
        <v>0</v>
      </c>
      <c r="R1286" s="91">
        <v>0</v>
      </c>
      <c r="S1286" s="91">
        <v>0</v>
      </c>
      <c r="T1286" s="91"/>
      <c r="U1286" s="91"/>
      <c r="V1286" s="91"/>
      <c r="W1286" s="91"/>
      <c r="X1286" s="91"/>
      <c r="Y1286" s="91"/>
      <c r="Z1286" s="91"/>
      <c r="AA1286" s="91"/>
      <c r="AB1286" s="91"/>
      <c r="AC1286" s="91"/>
      <c r="AD1286" s="91"/>
      <c r="AE1286" s="91"/>
      <c r="AF1286" s="91"/>
      <c r="AG1286" s="91"/>
      <c r="AH1286" s="91"/>
      <c r="AI1286" s="91"/>
      <c r="AJ1286" s="91"/>
      <c r="AK1286" s="91"/>
      <c r="AL1286" s="91"/>
      <c r="AM1286" s="91"/>
    </row>
    <row r="1287" spans="1:39" ht="20.25" hidden="1" customHeight="1">
      <c r="A1287" s="91"/>
      <c r="B1287" s="93" t="s">
        <v>4104</v>
      </c>
      <c r="C1287" s="91" t="s">
        <v>36</v>
      </c>
      <c r="D1287" s="107" t="s">
        <v>4128</v>
      </c>
      <c r="E1287" s="107" t="s">
        <v>4129</v>
      </c>
      <c r="F1287" s="91" t="s">
        <v>4130</v>
      </c>
      <c r="G1287" s="96">
        <v>45422</v>
      </c>
      <c r="H1287" s="97">
        <v>35712</v>
      </c>
      <c r="I1287" s="100" t="s">
        <v>4131</v>
      </c>
      <c r="J1287" s="100" t="s">
        <v>4132</v>
      </c>
      <c r="K1287" s="91">
        <v>944121960</v>
      </c>
      <c r="L1287" s="91" t="s">
        <v>60</v>
      </c>
      <c r="M1287" s="98">
        <f ca="1">(TODAY()-H1287)/365</f>
        <v>28.19178082191781</v>
      </c>
      <c r="N1287" s="99">
        <f>(G1287-H1287)/365</f>
        <v>26.602739726027398</v>
      </c>
      <c r="O1287" s="98">
        <f ca="1">(TODAY()-G1287)/365</f>
        <v>1.5890410958904109</v>
      </c>
      <c r="P1287" s="91" t="s">
        <v>43</v>
      </c>
      <c r="Q1287" s="91">
        <v>0</v>
      </c>
      <c r="R1287" s="91">
        <v>0</v>
      </c>
      <c r="S1287" s="91">
        <v>0</v>
      </c>
      <c r="T1287" s="91"/>
      <c r="U1287" s="91"/>
      <c r="V1287" s="91"/>
      <c r="W1287" s="91"/>
      <c r="X1287" s="91"/>
      <c r="Y1287" s="91"/>
      <c r="Z1287" s="91"/>
      <c r="AA1287" s="91"/>
      <c r="AB1287" s="91"/>
      <c r="AC1287" s="91"/>
      <c r="AD1287" s="91"/>
      <c r="AE1287" s="91"/>
      <c r="AF1287" s="91"/>
      <c r="AG1287" s="91"/>
      <c r="AH1287" s="91"/>
      <c r="AI1287" s="91"/>
      <c r="AJ1287" s="91"/>
      <c r="AK1287" s="91"/>
      <c r="AL1287" s="91"/>
      <c r="AM1287" s="91"/>
    </row>
    <row r="1288" spans="1:39" ht="20.25" hidden="1" customHeight="1">
      <c r="A1288" s="91"/>
      <c r="B1288" s="93" t="s">
        <v>4104</v>
      </c>
      <c r="C1288" s="91" t="s">
        <v>36</v>
      </c>
      <c r="D1288" s="107" t="s">
        <v>4133</v>
      </c>
      <c r="E1288" s="107" t="s">
        <v>4134</v>
      </c>
      <c r="F1288" s="91" t="s">
        <v>4135</v>
      </c>
      <c r="G1288" s="96">
        <v>45422</v>
      </c>
      <c r="H1288" s="97">
        <v>35287</v>
      </c>
      <c r="I1288" s="100" t="s">
        <v>4136</v>
      </c>
      <c r="J1288" s="100" t="s">
        <v>12678</v>
      </c>
      <c r="K1288" s="91">
        <v>997328387</v>
      </c>
      <c r="L1288" s="91" t="s">
        <v>60</v>
      </c>
      <c r="M1288" s="98">
        <f ca="1">(TODAY()-H1288)/365</f>
        <v>29.356164383561644</v>
      </c>
      <c r="N1288" s="99">
        <f>(G1288-H1288)/365</f>
        <v>27.767123287671232</v>
      </c>
      <c r="O1288" s="98">
        <f ca="1">(TODAY()-G1288)/365</f>
        <v>1.5890410958904109</v>
      </c>
      <c r="P1288" s="91" t="s">
        <v>43</v>
      </c>
      <c r="Q1288" s="91">
        <v>0</v>
      </c>
      <c r="R1288" s="91">
        <v>0</v>
      </c>
      <c r="S1288" s="91">
        <v>0</v>
      </c>
      <c r="T1288" s="91"/>
      <c r="U1288" s="91"/>
      <c r="V1288" s="91"/>
      <c r="W1288" s="91"/>
      <c r="X1288" s="91"/>
      <c r="Y1288" s="91"/>
      <c r="Z1288" s="91"/>
      <c r="AA1288" s="91"/>
      <c r="AB1288" s="91"/>
      <c r="AC1288" s="91"/>
      <c r="AD1288" s="91"/>
      <c r="AE1288" s="91"/>
      <c r="AF1288" s="91"/>
      <c r="AG1288" s="91"/>
      <c r="AH1288" s="91"/>
      <c r="AI1288" s="91"/>
      <c r="AJ1288" s="91"/>
      <c r="AK1288" s="91"/>
      <c r="AL1288" s="91"/>
      <c r="AM1288" s="91"/>
    </row>
    <row r="1289" spans="1:39" ht="20.25" hidden="1" customHeight="1">
      <c r="A1289" s="91"/>
      <c r="B1289" s="93" t="s">
        <v>4104</v>
      </c>
      <c r="C1289" s="91" t="s">
        <v>36</v>
      </c>
      <c r="D1289" s="107" t="s">
        <v>4137</v>
      </c>
      <c r="E1289" s="107" t="s">
        <v>4138</v>
      </c>
      <c r="F1289" s="91" t="s">
        <v>4139</v>
      </c>
      <c r="G1289" s="96">
        <v>45535</v>
      </c>
      <c r="H1289" s="97">
        <v>34985</v>
      </c>
      <c r="I1289" s="100" t="s">
        <v>4140</v>
      </c>
      <c r="J1289" s="100" t="s">
        <v>12679</v>
      </c>
      <c r="K1289" s="91">
        <v>939024607</v>
      </c>
      <c r="L1289" s="91" t="s">
        <v>60</v>
      </c>
      <c r="M1289" s="98">
        <f ca="1">(TODAY()-H1289)/365</f>
        <v>30.183561643835617</v>
      </c>
      <c r="N1289" s="99">
        <f>(G1289-H1289)/365</f>
        <v>28.904109589041095</v>
      </c>
      <c r="O1289" s="98">
        <f ca="1">(TODAY()-G1289)/365</f>
        <v>1.2794520547945205</v>
      </c>
      <c r="P1289" s="91" t="s">
        <v>43</v>
      </c>
      <c r="Q1289" s="91">
        <v>0</v>
      </c>
      <c r="R1289" s="91">
        <v>0</v>
      </c>
      <c r="S1289" s="91">
        <v>0</v>
      </c>
      <c r="T1289" s="91"/>
      <c r="U1289" s="91"/>
      <c r="V1289" s="91"/>
      <c r="W1289" s="91"/>
      <c r="X1289" s="91"/>
      <c r="Y1289" s="91"/>
      <c r="Z1289" s="91"/>
      <c r="AA1289" s="91"/>
      <c r="AB1289" s="91"/>
      <c r="AC1289" s="91"/>
      <c r="AD1289" s="91"/>
      <c r="AE1289" s="91"/>
      <c r="AF1289" s="91"/>
      <c r="AG1289" s="91"/>
      <c r="AH1289" s="91"/>
      <c r="AI1289" s="91"/>
      <c r="AJ1289" s="91"/>
      <c r="AK1289" s="91"/>
      <c r="AL1289" s="91"/>
      <c r="AM1289" s="91"/>
    </row>
    <row r="1290" spans="1:39" ht="20.25" hidden="1" customHeight="1">
      <c r="A1290" s="91"/>
      <c r="B1290" s="93" t="s">
        <v>4104</v>
      </c>
      <c r="C1290" s="91" t="s">
        <v>36</v>
      </c>
      <c r="D1290" s="107" t="s">
        <v>4141</v>
      </c>
      <c r="E1290" s="107" t="s">
        <v>4142</v>
      </c>
      <c r="F1290" s="91" t="s">
        <v>4143</v>
      </c>
      <c r="G1290" s="96">
        <v>44602</v>
      </c>
      <c r="H1290" s="97">
        <v>33463</v>
      </c>
      <c r="I1290" s="100" t="s">
        <v>4144</v>
      </c>
      <c r="J1290" s="100" t="s">
        <v>4145</v>
      </c>
      <c r="K1290" s="91">
        <v>945215850</v>
      </c>
      <c r="L1290" s="91" t="s">
        <v>60</v>
      </c>
      <c r="M1290" s="98">
        <f ca="1">(TODAY()-H1290)/365</f>
        <v>34.353424657534248</v>
      </c>
      <c r="N1290" s="99">
        <f>(G1290-H1290)/365</f>
        <v>30.517808219178082</v>
      </c>
      <c r="O1290" s="98">
        <f ca="1">(TODAY()-G1290)/365</f>
        <v>3.8356164383561642</v>
      </c>
      <c r="P1290" s="91" t="s">
        <v>272</v>
      </c>
      <c r="Q1290" s="91">
        <v>0</v>
      </c>
      <c r="R1290" s="91">
        <v>0</v>
      </c>
      <c r="S1290" s="91">
        <v>0</v>
      </c>
      <c r="T1290" s="91"/>
      <c r="U1290" s="91"/>
      <c r="V1290" s="91"/>
      <c r="W1290" s="91"/>
      <c r="X1290" s="91"/>
      <c r="Y1290" s="91"/>
      <c r="Z1290" s="91"/>
      <c r="AA1290" s="91"/>
      <c r="AB1290" s="91"/>
      <c r="AC1290" s="91"/>
      <c r="AD1290" s="91"/>
      <c r="AE1290" s="91"/>
      <c r="AF1290" s="91"/>
      <c r="AG1290" s="91"/>
      <c r="AH1290" s="91"/>
      <c r="AI1290" s="91"/>
      <c r="AJ1290" s="91"/>
      <c r="AK1290" s="91"/>
      <c r="AL1290" s="91"/>
      <c r="AM1290" s="91"/>
    </row>
    <row r="1291" spans="1:39" ht="20.25" hidden="1" customHeight="1">
      <c r="A1291" s="91"/>
      <c r="B1291" s="93" t="s">
        <v>4104</v>
      </c>
      <c r="C1291" s="91" t="s">
        <v>36</v>
      </c>
      <c r="D1291" s="107" t="s">
        <v>4146</v>
      </c>
      <c r="E1291" s="107" t="s">
        <v>4147</v>
      </c>
      <c r="F1291" s="91" t="s">
        <v>4148</v>
      </c>
      <c r="G1291" s="96">
        <v>45292</v>
      </c>
      <c r="H1291" s="97">
        <v>33037</v>
      </c>
      <c r="I1291" s="100" t="s">
        <v>4149</v>
      </c>
      <c r="J1291" s="100" t="s">
        <v>4150</v>
      </c>
      <c r="K1291" s="91">
        <v>990796929</v>
      </c>
      <c r="L1291" s="91" t="s">
        <v>60</v>
      </c>
      <c r="M1291" s="98">
        <f ca="1">(TODAY()-H1291)/365</f>
        <v>35.520547945205479</v>
      </c>
      <c r="N1291" s="99">
        <f>(G1291-H1291)/365</f>
        <v>33.575342465753423</v>
      </c>
      <c r="O1291" s="98">
        <f ca="1">(TODAY()-G1291)/365</f>
        <v>1.9452054794520548</v>
      </c>
      <c r="P1291" s="91" t="s">
        <v>272</v>
      </c>
      <c r="Q1291" s="91">
        <v>0</v>
      </c>
      <c r="R1291" s="91">
        <v>0</v>
      </c>
      <c r="S1291" s="91">
        <v>0</v>
      </c>
      <c r="T1291" s="91"/>
      <c r="U1291" s="91"/>
      <c r="V1291" s="91"/>
      <c r="W1291" s="91"/>
      <c r="X1291" s="91"/>
      <c r="Y1291" s="91"/>
      <c r="Z1291" s="91"/>
      <c r="AA1291" s="91"/>
      <c r="AB1291" s="91"/>
      <c r="AC1291" s="91"/>
      <c r="AD1291" s="91"/>
      <c r="AE1291" s="91"/>
      <c r="AF1291" s="91"/>
      <c r="AG1291" s="91"/>
      <c r="AH1291" s="91"/>
      <c r="AI1291" s="91"/>
      <c r="AJ1291" s="91"/>
      <c r="AK1291" s="91"/>
      <c r="AL1291" s="91"/>
      <c r="AM1291" s="91"/>
    </row>
    <row r="1292" spans="1:39" ht="20.25" hidden="1" customHeight="1">
      <c r="A1292" s="91"/>
      <c r="B1292" s="93" t="s">
        <v>4104</v>
      </c>
      <c r="C1292" s="91" t="s">
        <v>36</v>
      </c>
      <c r="D1292" s="107" t="s">
        <v>4151</v>
      </c>
      <c r="E1292" s="107" t="s">
        <v>4152</v>
      </c>
      <c r="F1292" s="91" t="s">
        <v>4153</v>
      </c>
      <c r="G1292" s="96">
        <v>41737</v>
      </c>
      <c r="H1292" s="97">
        <v>28953</v>
      </c>
      <c r="I1292" s="100" t="s">
        <v>4154</v>
      </c>
      <c r="J1292" s="100" t="s">
        <v>4155</v>
      </c>
      <c r="K1292" s="91">
        <v>920575485</v>
      </c>
      <c r="L1292" s="91" t="s">
        <v>60</v>
      </c>
      <c r="M1292" s="98">
        <f ca="1">(TODAY()-H1292)/365</f>
        <v>46.709589041095889</v>
      </c>
      <c r="N1292" s="99">
        <f>(G1292-H1292)/365</f>
        <v>35.024657534246572</v>
      </c>
      <c r="O1292" s="98">
        <f ca="1">(TODAY()-G1292)/365</f>
        <v>11.684931506849315</v>
      </c>
      <c r="P1292" s="91" t="s">
        <v>272</v>
      </c>
      <c r="Q1292" s="91">
        <v>0</v>
      </c>
      <c r="R1292" s="91">
        <v>0</v>
      </c>
      <c r="S1292" s="91">
        <v>0</v>
      </c>
      <c r="T1292" s="91"/>
      <c r="U1292" s="91"/>
      <c r="V1292" s="91"/>
      <c r="W1292" s="91"/>
      <c r="X1292" s="91"/>
      <c r="Y1292" s="91"/>
      <c r="Z1292" s="91"/>
      <c r="AA1292" s="91"/>
      <c r="AB1292" s="91"/>
      <c r="AC1292" s="91"/>
      <c r="AD1292" s="91"/>
      <c r="AE1292" s="91"/>
      <c r="AF1292" s="91"/>
      <c r="AG1292" s="91"/>
      <c r="AH1292" s="91"/>
      <c r="AI1292" s="91"/>
      <c r="AJ1292" s="91"/>
      <c r="AK1292" s="91"/>
      <c r="AL1292" s="91"/>
      <c r="AM1292" s="91"/>
    </row>
    <row r="1293" spans="1:39" ht="23.25" hidden="1" customHeight="1">
      <c r="A1293" s="91"/>
      <c r="B1293" s="93" t="s">
        <v>4104</v>
      </c>
      <c r="C1293" s="91" t="s">
        <v>36</v>
      </c>
      <c r="D1293" s="107" t="s">
        <v>4156</v>
      </c>
      <c r="E1293" s="107" t="s">
        <v>4157</v>
      </c>
      <c r="F1293" s="91" t="s">
        <v>4158</v>
      </c>
      <c r="G1293" s="96">
        <v>35533</v>
      </c>
      <c r="H1293" s="97">
        <v>22311</v>
      </c>
      <c r="I1293" s="100" t="s">
        <v>4159</v>
      </c>
      <c r="J1293" s="100" t="s">
        <v>12680</v>
      </c>
      <c r="K1293" s="91">
        <v>985886612</v>
      </c>
      <c r="L1293" s="91" t="s">
        <v>197</v>
      </c>
      <c r="M1293" s="98">
        <f ca="1">(TODAY()-H1293)/365</f>
        <v>64.906849315068499</v>
      </c>
      <c r="N1293" s="99">
        <f>(G1293-H1293)/365</f>
        <v>36.224657534246575</v>
      </c>
      <c r="O1293" s="98">
        <f ca="1">(TODAY()-G1293)/365</f>
        <v>28.682191780821917</v>
      </c>
      <c r="P1293" s="91" t="s">
        <v>272</v>
      </c>
      <c r="Q1293" s="91">
        <v>0</v>
      </c>
      <c r="R1293" s="91">
        <v>0</v>
      </c>
      <c r="S1293" s="91">
        <v>0</v>
      </c>
      <c r="T1293" s="91"/>
      <c r="U1293" s="91"/>
      <c r="V1293" s="91"/>
      <c r="W1293" s="91"/>
      <c r="X1293" s="91"/>
      <c r="Y1293" s="91"/>
      <c r="Z1293" s="91"/>
      <c r="AA1293" s="91"/>
      <c r="AB1293" s="91"/>
      <c r="AC1293" s="91"/>
      <c r="AD1293" s="91"/>
      <c r="AE1293" s="91"/>
      <c r="AF1293" s="91"/>
      <c r="AG1293" s="91"/>
      <c r="AH1293" s="91"/>
      <c r="AI1293" s="91"/>
      <c r="AJ1293" s="91"/>
      <c r="AK1293" s="91"/>
      <c r="AL1293" s="91"/>
      <c r="AM1293" s="91"/>
    </row>
    <row r="1294" spans="1:39" ht="20.25" hidden="1" customHeight="1">
      <c r="A1294" s="91"/>
      <c r="B1294" s="93" t="s">
        <v>4104</v>
      </c>
      <c r="C1294" s="91" t="s">
        <v>36</v>
      </c>
      <c r="D1294" s="107" t="s">
        <v>4160</v>
      </c>
      <c r="E1294" s="107" t="s">
        <v>4161</v>
      </c>
      <c r="F1294" s="91" t="s">
        <v>4162</v>
      </c>
      <c r="G1294" s="96">
        <v>45222</v>
      </c>
      <c r="H1294" s="97">
        <v>31668</v>
      </c>
      <c r="I1294" s="100" t="s">
        <v>4163</v>
      </c>
      <c r="J1294" s="100" t="s">
        <v>4150</v>
      </c>
      <c r="K1294" s="91">
        <v>948808897</v>
      </c>
      <c r="L1294" s="91" t="s">
        <v>167</v>
      </c>
      <c r="M1294" s="98">
        <f ca="1">(TODAY()-H1294)/365</f>
        <v>39.271232876712325</v>
      </c>
      <c r="N1294" s="99">
        <f>(G1294-H1294)/365</f>
        <v>37.134246575342466</v>
      </c>
      <c r="O1294" s="98">
        <f ca="1">(TODAY()-G1294)/365</f>
        <v>2.1369863013698631</v>
      </c>
      <c r="P1294" s="91" t="s">
        <v>43</v>
      </c>
      <c r="Q1294" s="91">
        <v>0</v>
      </c>
      <c r="R1294" s="91">
        <v>0</v>
      </c>
      <c r="S1294" s="91">
        <v>0</v>
      </c>
      <c r="T1294" s="91"/>
      <c r="U1294" s="91"/>
      <c r="V1294" s="91"/>
      <c r="W1294" s="91"/>
      <c r="X1294" s="91"/>
      <c r="Y1294" s="91"/>
      <c r="Z1294" s="91"/>
      <c r="AA1294" s="91"/>
      <c r="AB1294" s="91"/>
      <c r="AC1294" s="91"/>
      <c r="AD1294" s="91"/>
      <c r="AE1294" s="91"/>
      <c r="AF1294" s="91"/>
      <c r="AG1294" s="91"/>
      <c r="AH1294" s="91"/>
      <c r="AI1294" s="91"/>
      <c r="AJ1294" s="91"/>
      <c r="AK1294" s="91"/>
      <c r="AL1294" s="91"/>
      <c r="AM1294" s="91"/>
    </row>
    <row r="1295" spans="1:39" ht="20.25" hidden="1" customHeight="1">
      <c r="A1295" s="91"/>
      <c r="B1295" s="93" t="s">
        <v>4104</v>
      </c>
      <c r="C1295" s="91" t="s">
        <v>36</v>
      </c>
      <c r="D1295" s="107" t="s">
        <v>4164</v>
      </c>
      <c r="E1295" s="107" t="s">
        <v>4165</v>
      </c>
      <c r="F1295" s="91" t="s">
        <v>4166</v>
      </c>
      <c r="G1295" s="96">
        <v>45245</v>
      </c>
      <c r="H1295" s="97">
        <v>30950</v>
      </c>
      <c r="I1295" s="100" t="s">
        <v>4167</v>
      </c>
      <c r="J1295" s="100" t="s">
        <v>4168</v>
      </c>
      <c r="K1295" s="91">
        <v>99470969</v>
      </c>
      <c r="L1295" s="91" t="s">
        <v>60</v>
      </c>
      <c r="M1295" s="98">
        <f ca="1">(TODAY()-H1295)/365</f>
        <v>41.238356164383561</v>
      </c>
      <c r="N1295" s="99">
        <f>(G1295-H1295)/365</f>
        <v>39.164383561643838</v>
      </c>
      <c r="O1295" s="98">
        <f ca="1">(TODAY()-G1295)/365</f>
        <v>2.0739726027397261</v>
      </c>
      <c r="P1295" s="91" t="s">
        <v>272</v>
      </c>
      <c r="Q1295" s="91">
        <v>0</v>
      </c>
      <c r="R1295" s="91">
        <v>0</v>
      </c>
      <c r="S1295" s="91">
        <v>0</v>
      </c>
      <c r="T1295" s="91"/>
      <c r="U1295" s="91"/>
      <c r="V1295" s="91"/>
      <c r="W1295" s="91"/>
      <c r="X1295" s="91"/>
      <c r="Y1295" s="91"/>
      <c r="Z1295" s="91"/>
      <c r="AA1295" s="91"/>
      <c r="AB1295" s="91"/>
      <c r="AC1295" s="91"/>
      <c r="AD1295" s="91"/>
      <c r="AE1295" s="91"/>
      <c r="AF1295" s="91"/>
      <c r="AG1295" s="91"/>
      <c r="AH1295" s="91"/>
      <c r="AI1295" s="91"/>
      <c r="AJ1295" s="91"/>
      <c r="AK1295" s="91"/>
      <c r="AL1295" s="91"/>
      <c r="AM1295" s="91"/>
    </row>
    <row r="1296" spans="1:39" ht="20.25" hidden="1" customHeight="1">
      <c r="A1296" s="91"/>
      <c r="B1296" s="93" t="s">
        <v>4104</v>
      </c>
      <c r="C1296" s="91" t="s">
        <v>36</v>
      </c>
      <c r="D1296" s="107" t="s">
        <v>1225</v>
      </c>
      <c r="E1296" s="107" t="s">
        <v>4169</v>
      </c>
      <c r="F1296" s="91" t="s">
        <v>4170</v>
      </c>
      <c r="G1296" s="96">
        <v>37685</v>
      </c>
      <c r="H1296" s="97">
        <v>20810</v>
      </c>
      <c r="I1296" s="100" t="s">
        <v>4171</v>
      </c>
      <c r="J1296" s="100" t="s">
        <v>4172</v>
      </c>
      <c r="K1296" s="91">
        <v>963416035</v>
      </c>
      <c r="L1296" s="91" t="s">
        <v>60</v>
      </c>
      <c r="M1296" s="98">
        <f ca="1">(TODAY()-H1296)/365</f>
        <v>69.019178082191786</v>
      </c>
      <c r="N1296" s="99">
        <f>(G1296-H1296)/365</f>
        <v>46.232876712328768</v>
      </c>
      <c r="O1296" s="98">
        <f ca="1">(TODAY()-G1296)/365</f>
        <v>22.786301369863015</v>
      </c>
      <c r="P1296" s="91" t="s">
        <v>43</v>
      </c>
      <c r="Q1296" s="91">
        <v>0</v>
      </c>
      <c r="R1296" s="91">
        <v>0</v>
      </c>
      <c r="S1296" s="91">
        <v>0</v>
      </c>
      <c r="T1296" s="91"/>
      <c r="U1296" s="91"/>
      <c r="V1296" s="91"/>
      <c r="W1296" s="91"/>
      <c r="X1296" s="91"/>
      <c r="Y1296" s="91"/>
      <c r="Z1296" s="91"/>
      <c r="AA1296" s="91"/>
      <c r="AB1296" s="91"/>
      <c r="AC1296" s="91"/>
      <c r="AD1296" s="91"/>
      <c r="AE1296" s="91"/>
      <c r="AF1296" s="91"/>
      <c r="AG1296" s="91"/>
      <c r="AH1296" s="91"/>
      <c r="AI1296" s="91"/>
      <c r="AJ1296" s="91"/>
      <c r="AK1296" s="91"/>
      <c r="AL1296" s="91"/>
      <c r="AM1296" s="91"/>
    </row>
    <row r="1297" spans="1:39" ht="20.25" hidden="1" customHeight="1">
      <c r="A1297" s="91"/>
      <c r="B1297" s="93" t="s">
        <v>4104</v>
      </c>
      <c r="C1297" s="91" t="s">
        <v>36</v>
      </c>
      <c r="D1297" s="107" t="s">
        <v>4173</v>
      </c>
      <c r="E1297" s="107" t="s">
        <v>4174</v>
      </c>
      <c r="F1297" s="91" t="s">
        <v>4175</v>
      </c>
      <c r="G1297" s="96">
        <v>42583</v>
      </c>
      <c r="H1297" s="97">
        <v>24863</v>
      </c>
      <c r="I1297" s="100" t="s">
        <v>4176</v>
      </c>
      <c r="J1297" s="100" t="s">
        <v>4177</v>
      </c>
      <c r="K1297" s="91">
        <v>997418866</v>
      </c>
      <c r="L1297" s="91" t="s">
        <v>49</v>
      </c>
      <c r="M1297" s="98">
        <f ca="1">(TODAY()-H1297)/365</f>
        <v>57.915068493150685</v>
      </c>
      <c r="N1297" s="99">
        <f>(G1297-H1297)/365</f>
        <v>48.547945205479451</v>
      </c>
      <c r="O1297" s="98">
        <f ca="1">(TODAY()-G1297)/365</f>
        <v>9.367123287671232</v>
      </c>
      <c r="P1297" s="91" t="s">
        <v>43</v>
      </c>
      <c r="Q1297" s="91">
        <v>0</v>
      </c>
      <c r="R1297" s="91">
        <v>0</v>
      </c>
      <c r="S1297" s="91">
        <v>0</v>
      </c>
      <c r="T1297" s="91"/>
      <c r="U1297" s="91"/>
      <c r="V1297" s="91"/>
      <c r="W1297" s="91"/>
      <c r="X1297" s="91"/>
      <c r="Y1297" s="91"/>
      <c r="Z1297" s="91"/>
      <c r="AA1297" s="91"/>
      <c r="AB1297" s="91"/>
      <c r="AC1297" s="91"/>
      <c r="AD1297" s="91"/>
      <c r="AE1297" s="91"/>
      <c r="AF1297" s="91"/>
      <c r="AG1297" s="91"/>
      <c r="AH1297" s="91"/>
      <c r="AI1297" s="91"/>
      <c r="AJ1297" s="91"/>
      <c r="AK1297" s="91"/>
      <c r="AL1297" s="91"/>
      <c r="AM1297" s="91"/>
    </row>
    <row r="1298" spans="1:39" ht="20.25" hidden="1" customHeight="1">
      <c r="A1298" s="91"/>
      <c r="B1298" s="93" t="s">
        <v>4104</v>
      </c>
      <c r="C1298" s="91" t="s">
        <v>36</v>
      </c>
      <c r="D1298" s="107" t="s">
        <v>4178</v>
      </c>
      <c r="E1298" s="107" t="s">
        <v>4179</v>
      </c>
      <c r="F1298" s="91" t="s">
        <v>4180</v>
      </c>
      <c r="G1298" s="96">
        <v>45208</v>
      </c>
      <c r="H1298" s="97">
        <v>26935</v>
      </c>
      <c r="I1298" s="100" t="s">
        <v>4181</v>
      </c>
      <c r="J1298" s="100" t="s">
        <v>12679</v>
      </c>
      <c r="K1298" s="91">
        <v>931866188</v>
      </c>
      <c r="L1298" s="91" t="s">
        <v>54</v>
      </c>
      <c r="M1298" s="98">
        <f ca="1">(TODAY()-H1298)/365</f>
        <v>52.238356164383561</v>
      </c>
      <c r="N1298" s="99">
        <f>(G1298-H1298)/365</f>
        <v>50.063013698630137</v>
      </c>
      <c r="O1298" s="98">
        <f ca="1">(TODAY()-G1298)/365</f>
        <v>2.1753424657534248</v>
      </c>
      <c r="P1298" s="91" t="s">
        <v>43</v>
      </c>
      <c r="Q1298" s="91">
        <v>0</v>
      </c>
      <c r="R1298" s="91">
        <v>0</v>
      </c>
      <c r="S1298" s="91">
        <v>0</v>
      </c>
      <c r="T1298" s="91"/>
      <c r="U1298" s="91"/>
      <c r="V1298" s="91"/>
      <c r="W1298" s="91"/>
      <c r="X1298" s="91"/>
      <c r="Y1298" s="91"/>
      <c r="Z1298" s="91"/>
      <c r="AA1298" s="91"/>
      <c r="AB1298" s="91"/>
      <c r="AC1298" s="91"/>
      <c r="AD1298" s="91"/>
      <c r="AE1298" s="91"/>
      <c r="AF1298" s="91"/>
      <c r="AG1298" s="91"/>
      <c r="AH1298" s="91"/>
      <c r="AI1298" s="91"/>
      <c r="AJ1298" s="91"/>
      <c r="AK1298" s="91"/>
      <c r="AL1298" s="91"/>
      <c r="AM1298" s="91"/>
    </row>
    <row r="1299" spans="1:39" ht="20.25" hidden="1" customHeight="1">
      <c r="A1299" s="91"/>
      <c r="B1299" s="93" t="s">
        <v>4104</v>
      </c>
      <c r="C1299" s="91" t="s">
        <v>36</v>
      </c>
      <c r="D1299" s="107" t="s">
        <v>4182</v>
      </c>
      <c r="E1299" s="107" t="s">
        <v>4183</v>
      </c>
      <c r="F1299" s="91" t="s">
        <v>4184</v>
      </c>
      <c r="G1299" s="96">
        <v>42982</v>
      </c>
      <c r="H1299" s="97">
        <v>24426</v>
      </c>
      <c r="I1299" s="100" t="s">
        <v>4185</v>
      </c>
      <c r="J1299" s="100" t="s">
        <v>4186</v>
      </c>
      <c r="K1299" s="91">
        <v>992299582</v>
      </c>
      <c r="L1299" s="91" t="s">
        <v>216</v>
      </c>
      <c r="M1299" s="98">
        <f ca="1">(TODAY()-H1299)/365</f>
        <v>59.112328767123287</v>
      </c>
      <c r="N1299" s="99">
        <f>(G1299-H1299)/365</f>
        <v>50.838356164383562</v>
      </c>
      <c r="O1299" s="98">
        <f ca="1">(TODAY()-G1299)/365</f>
        <v>8.2739726027397253</v>
      </c>
      <c r="P1299" s="91" t="s">
        <v>43</v>
      </c>
      <c r="Q1299" s="91">
        <v>0</v>
      </c>
      <c r="R1299" s="91">
        <v>0</v>
      </c>
      <c r="S1299" s="91">
        <v>0</v>
      </c>
      <c r="T1299" s="91"/>
      <c r="U1299" s="91"/>
      <c r="V1299" s="91"/>
      <c r="W1299" s="91"/>
      <c r="X1299" s="91"/>
      <c r="Y1299" s="91"/>
      <c r="Z1299" s="91"/>
      <c r="AA1299" s="91"/>
      <c r="AB1299" s="91"/>
      <c r="AC1299" s="91"/>
      <c r="AD1299" s="91"/>
      <c r="AE1299" s="91"/>
      <c r="AF1299" s="91"/>
      <c r="AG1299" s="91"/>
      <c r="AH1299" s="91"/>
      <c r="AI1299" s="91"/>
      <c r="AJ1299" s="91"/>
      <c r="AK1299" s="91"/>
      <c r="AL1299" s="91"/>
      <c r="AM1299" s="91"/>
    </row>
    <row r="1300" spans="1:39" ht="20.25" hidden="1" customHeight="1">
      <c r="A1300" s="91"/>
      <c r="B1300" s="93" t="s">
        <v>4104</v>
      </c>
      <c r="C1300" s="91" t="s">
        <v>36</v>
      </c>
      <c r="D1300" s="107" t="s">
        <v>4187</v>
      </c>
      <c r="E1300" s="107" t="s">
        <v>4188</v>
      </c>
      <c r="F1300" s="91" t="s">
        <v>58</v>
      </c>
      <c r="G1300" s="97" t="s">
        <v>58</v>
      </c>
      <c r="H1300" s="97" t="s">
        <v>58</v>
      </c>
      <c r="I1300" s="100" t="s">
        <v>58</v>
      </c>
      <c r="J1300" s="100" t="s">
        <v>58</v>
      </c>
      <c r="K1300" s="91" t="s">
        <v>58</v>
      </c>
      <c r="L1300" s="91" t="s">
        <v>42</v>
      </c>
      <c r="M1300" s="98">
        <v>0</v>
      </c>
      <c r="N1300" s="91"/>
      <c r="O1300" s="98" t="e">
        <f ca="1">(TODAY()-G1300)/365</f>
        <v>#VALUE!</v>
      </c>
      <c r="P1300" s="91" t="s">
        <v>272</v>
      </c>
      <c r="Q1300" s="91">
        <v>0</v>
      </c>
      <c r="R1300" s="91">
        <v>0</v>
      </c>
      <c r="S1300" s="91">
        <v>0</v>
      </c>
      <c r="T1300" s="91"/>
      <c r="U1300" s="91"/>
      <c r="V1300" s="91"/>
      <c r="W1300" s="91"/>
      <c r="X1300" s="91"/>
      <c r="Y1300" s="91">
        <v>2021</v>
      </c>
      <c r="Z1300" s="91"/>
      <c r="AA1300" s="91"/>
      <c r="AB1300" s="91"/>
      <c r="AC1300" s="91"/>
      <c r="AD1300" s="91"/>
      <c r="AE1300" s="91"/>
      <c r="AF1300" s="91"/>
      <c r="AG1300" s="91"/>
      <c r="AH1300" s="91"/>
      <c r="AI1300" s="91"/>
      <c r="AJ1300" s="91"/>
      <c r="AK1300" s="91"/>
      <c r="AL1300" s="91"/>
      <c r="AM1300" s="91"/>
    </row>
    <row r="1301" spans="1:39" ht="20.25" hidden="1" customHeight="1">
      <c r="A1301" s="91"/>
      <c r="B1301" s="93" t="s">
        <v>4104</v>
      </c>
      <c r="C1301" s="91" t="s">
        <v>36</v>
      </c>
      <c r="D1301" s="107" t="s">
        <v>4189</v>
      </c>
      <c r="E1301" s="107" t="s">
        <v>4190</v>
      </c>
      <c r="F1301" s="91" t="s">
        <v>4191</v>
      </c>
      <c r="G1301" s="96">
        <v>43700</v>
      </c>
      <c r="H1301" s="97">
        <v>24190</v>
      </c>
      <c r="I1301" s="100" t="s">
        <v>4192</v>
      </c>
      <c r="J1301" s="100" t="s">
        <v>4193</v>
      </c>
      <c r="K1301" s="91">
        <v>993608058</v>
      </c>
      <c r="L1301" s="91" t="s">
        <v>60</v>
      </c>
      <c r="M1301" s="98">
        <f ca="1">(TODAY()-H1301)/365</f>
        <v>59.758904109589039</v>
      </c>
      <c r="N1301" s="99">
        <f>(G1301-H1301)/365</f>
        <v>53.452054794520549</v>
      </c>
      <c r="O1301" s="98">
        <f ca="1">(TODAY()-G1301)/365</f>
        <v>6.3068493150684928</v>
      </c>
      <c r="P1301" s="91" t="s">
        <v>272</v>
      </c>
      <c r="Q1301" s="91">
        <v>0</v>
      </c>
      <c r="R1301" s="91">
        <v>0</v>
      </c>
      <c r="S1301" s="91">
        <v>0</v>
      </c>
      <c r="T1301" s="91"/>
      <c r="U1301" s="91"/>
      <c r="V1301" s="91"/>
      <c r="W1301" s="91"/>
      <c r="X1301" s="91"/>
      <c r="Y1301" s="91"/>
      <c r="Z1301" s="91"/>
      <c r="AA1301" s="91"/>
      <c r="AB1301" s="91"/>
      <c r="AC1301" s="91"/>
      <c r="AD1301" s="91"/>
      <c r="AE1301" s="91"/>
      <c r="AF1301" s="91"/>
      <c r="AG1301" s="91"/>
      <c r="AH1301" s="91"/>
      <c r="AI1301" s="91"/>
      <c r="AJ1301" s="91"/>
      <c r="AK1301" s="91"/>
      <c r="AL1301" s="91"/>
      <c r="AM1301" s="91"/>
    </row>
    <row r="1302" spans="1:39" ht="20.25" hidden="1" customHeight="1">
      <c r="A1302" s="91"/>
      <c r="B1302" s="93" t="s">
        <v>4104</v>
      </c>
      <c r="C1302" s="91" t="s">
        <v>36</v>
      </c>
      <c r="D1302" s="107" t="s">
        <v>4194</v>
      </c>
      <c r="E1302" s="107" t="s">
        <v>4195</v>
      </c>
      <c r="F1302" s="91" t="s">
        <v>4196</v>
      </c>
      <c r="G1302" s="96">
        <v>45540</v>
      </c>
      <c r="H1302" s="97">
        <v>21387</v>
      </c>
      <c r="I1302" s="100" t="s">
        <v>4197</v>
      </c>
      <c r="J1302" s="100" t="s">
        <v>4198</v>
      </c>
      <c r="K1302" s="91">
        <v>969045112</v>
      </c>
      <c r="L1302" s="91" t="s">
        <v>60</v>
      </c>
      <c r="M1302" s="98">
        <f ca="1">(TODAY()-H1302)/365</f>
        <v>67.438356164383563</v>
      </c>
      <c r="N1302" s="99">
        <f>(G1302-H1302)/365</f>
        <v>66.172602739726031</v>
      </c>
      <c r="O1302" s="98">
        <f ca="1">(TODAY()-G1302)/365</f>
        <v>1.2657534246575342</v>
      </c>
      <c r="P1302" s="91" t="s">
        <v>43</v>
      </c>
      <c r="Q1302" s="91">
        <v>0</v>
      </c>
      <c r="R1302" s="91">
        <v>0</v>
      </c>
      <c r="S1302" s="91">
        <v>0</v>
      </c>
      <c r="T1302" s="91"/>
      <c r="U1302" s="91"/>
      <c r="V1302" s="91"/>
      <c r="W1302" s="91"/>
      <c r="X1302" s="91"/>
      <c r="Y1302" s="91"/>
      <c r="Z1302" s="91"/>
      <c r="AA1302" s="91"/>
      <c r="AB1302" s="91"/>
      <c r="AC1302" s="91"/>
      <c r="AD1302" s="91"/>
      <c r="AE1302" s="91"/>
      <c r="AF1302" s="91"/>
      <c r="AG1302" s="91"/>
      <c r="AH1302" s="91"/>
      <c r="AI1302" s="91"/>
      <c r="AJ1302" s="91"/>
      <c r="AK1302" s="91"/>
      <c r="AL1302" s="91"/>
      <c r="AM1302" s="91"/>
    </row>
    <row r="1303" spans="1:39" ht="20.25" hidden="1" customHeight="1">
      <c r="A1303" s="91"/>
      <c r="B1303" s="93" t="s">
        <v>4104</v>
      </c>
      <c r="C1303" s="91" t="s">
        <v>36</v>
      </c>
      <c r="D1303" s="107" t="s">
        <v>4199</v>
      </c>
      <c r="E1303" s="107" t="s">
        <v>4200</v>
      </c>
      <c r="F1303" s="91" t="s">
        <v>4201</v>
      </c>
      <c r="G1303" s="97" t="s">
        <v>58</v>
      </c>
      <c r="H1303" s="97">
        <v>32998</v>
      </c>
      <c r="I1303" s="100" t="s">
        <v>4202</v>
      </c>
      <c r="J1303" s="100" t="s">
        <v>4203</v>
      </c>
      <c r="K1303" s="91">
        <v>976896437</v>
      </c>
      <c r="L1303" s="91" t="s">
        <v>60</v>
      </c>
      <c r="M1303" s="98">
        <f ca="1">(TODAY()-H1303)/365</f>
        <v>35.627397260273973</v>
      </c>
      <c r="N1303" s="95" t="s">
        <v>58</v>
      </c>
      <c r="O1303" s="98" t="e">
        <f ca="1">(TODAY()-G1303)/365</f>
        <v>#VALUE!</v>
      </c>
      <c r="P1303" s="91" t="s">
        <v>43</v>
      </c>
      <c r="Q1303" s="91">
        <v>0</v>
      </c>
      <c r="R1303" s="91">
        <v>0</v>
      </c>
      <c r="S1303" s="91">
        <v>0</v>
      </c>
      <c r="T1303" s="91"/>
      <c r="U1303" s="91"/>
      <c r="V1303" s="91"/>
      <c r="W1303" s="91"/>
      <c r="X1303" s="91"/>
      <c r="Y1303" s="91"/>
      <c r="Z1303" s="91"/>
      <c r="AA1303" s="91"/>
      <c r="AB1303" s="91"/>
      <c r="AC1303" s="91"/>
      <c r="AD1303" s="91"/>
      <c r="AE1303" s="91"/>
      <c r="AF1303" s="91"/>
      <c r="AG1303" s="91"/>
      <c r="AH1303" s="91"/>
      <c r="AI1303" s="91"/>
      <c r="AJ1303" s="91"/>
      <c r="AK1303" s="91"/>
      <c r="AL1303" s="91"/>
      <c r="AM1303" s="91"/>
    </row>
    <row r="1304" spans="1:39" ht="20.25" hidden="1" customHeight="1">
      <c r="A1304" s="91"/>
      <c r="B1304" s="93" t="s">
        <v>4104</v>
      </c>
      <c r="C1304" s="91" t="s">
        <v>36</v>
      </c>
      <c r="D1304" s="107" t="s">
        <v>4204</v>
      </c>
      <c r="E1304" s="107" t="s">
        <v>4205</v>
      </c>
      <c r="F1304" s="91" t="s">
        <v>4206</v>
      </c>
      <c r="G1304" s="97" t="s">
        <v>58</v>
      </c>
      <c r="H1304" s="97">
        <v>32699</v>
      </c>
      <c r="I1304" s="100" t="s">
        <v>4207</v>
      </c>
      <c r="J1304" s="100" t="s">
        <v>4208</v>
      </c>
      <c r="K1304" s="91">
        <v>945737452</v>
      </c>
      <c r="L1304" s="91" t="s">
        <v>60</v>
      </c>
      <c r="M1304" s="98">
        <f ca="1">(TODAY()-H1304)/365</f>
        <v>36.446575342465756</v>
      </c>
      <c r="N1304" s="95" t="s">
        <v>58</v>
      </c>
      <c r="O1304" s="98" t="e">
        <f ca="1">(TODAY()-G1304)/365</f>
        <v>#VALUE!</v>
      </c>
      <c r="P1304" s="91" t="s">
        <v>272</v>
      </c>
      <c r="Q1304" s="91">
        <v>0</v>
      </c>
      <c r="R1304" s="91">
        <v>0</v>
      </c>
      <c r="S1304" s="91">
        <v>0</v>
      </c>
      <c r="T1304" s="91"/>
      <c r="U1304" s="91"/>
      <c r="V1304" s="91"/>
      <c r="W1304" s="91"/>
      <c r="X1304" s="91"/>
      <c r="Y1304" s="91"/>
      <c r="Z1304" s="91"/>
      <c r="AA1304" s="91"/>
      <c r="AB1304" s="91"/>
      <c r="AC1304" s="91"/>
      <c r="AD1304" s="91"/>
      <c r="AE1304" s="91"/>
      <c r="AF1304" s="91"/>
      <c r="AG1304" s="91"/>
      <c r="AH1304" s="91"/>
      <c r="AI1304" s="91"/>
      <c r="AJ1304" s="91"/>
      <c r="AK1304" s="91"/>
      <c r="AL1304" s="91"/>
      <c r="AM1304" s="91"/>
    </row>
    <row r="1305" spans="1:39" ht="20.25" hidden="1" customHeight="1">
      <c r="A1305" s="91"/>
      <c r="B1305" s="93" t="s">
        <v>4104</v>
      </c>
      <c r="C1305" s="91" t="s">
        <v>36</v>
      </c>
      <c r="D1305" s="107" t="s">
        <v>4209</v>
      </c>
      <c r="E1305" s="107" t="s">
        <v>4210</v>
      </c>
      <c r="F1305" s="91" t="s">
        <v>4211</v>
      </c>
      <c r="G1305" s="97" t="s">
        <v>58</v>
      </c>
      <c r="H1305" s="97">
        <v>28002</v>
      </c>
      <c r="I1305" s="100" t="s">
        <v>4212</v>
      </c>
      <c r="J1305" s="100" t="s">
        <v>4213</v>
      </c>
      <c r="K1305" s="91">
        <v>946658088</v>
      </c>
      <c r="L1305" s="91" t="s">
        <v>60</v>
      </c>
      <c r="M1305" s="98">
        <f ca="1">(TODAY()-H1305)/365</f>
        <v>49.315068493150683</v>
      </c>
      <c r="N1305" s="95" t="s">
        <v>58</v>
      </c>
      <c r="O1305" s="98" t="e">
        <f ca="1">(TODAY()-G1305)/365</f>
        <v>#VALUE!</v>
      </c>
      <c r="P1305" s="91" t="s">
        <v>43</v>
      </c>
      <c r="Q1305" s="91">
        <v>0</v>
      </c>
      <c r="R1305" s="91">
        <v>0</v>
      </c>
      <c r="S1305" s="91">
        <v>0</v>
      </c>
      <c r="T1305" s="91"/>
      <c r="U1305" s="91"/>
      <c r="V1305" s="91"/>
      <c r="W1305" s="91"/>
      <c r="X1305" s="91"/>
      <c r="Y1305" s="91"/>
      <c r="Z1305" s="91"/>
      <c r="AA1305" s="91"/>
      <c r="AB1305" s="91"/>
      <c r="AC1305" s="91"/>
      <c r="AD1305" s="91"/>
      <c r="AE1305" s="91"/>
      <c r="AF1305" s="91"/>
      <c r="AG1305" s="91"/>
      <c r="AH1305" s="91"/>
      <c r="AI1305" s="91"/>
      <c r="AJ1305" s="91"/>
      <c r="AK1305" s="91"/>
      <c r="AL1305" s="91"/>
      <c r="AM1305" s="91"/>
    </row>
    <row r="1306" spans="1:39" ht="20.25" hidden="1" customHeight="1">
      <c r="A1306" s="91"/>
      <c r="B1306" s="93" t="s">
        <v>9779</v>
      </c>
      <c r="C1306" s="91" t="s">
        <v>36</v>
      </c>
      <c r="D1306" s="107" t="s">
        <v>9780</v>
      </c>
      <c r="E1306" s="107" t="s">
        <v>9781</v>
      </c>
      <c r="F1306" s="91" t="s">
        <v>9782</v>
      </c>
      <c r="G1306" s="97">
        <v>33743</v>
      </c>
      <c r="H1306" s="97">
        <v>19068</v>
      </c>
      <c r="I1306" s="100" t="s">
        <v>58</v>
      </c>
      <c r="J1306" s="100" t="s">
        <v>9783</v>
      </c>
      <c r="K1306" s="92">
        <v>968625934</v>
      </c>
      <c r="L1306" s="91" t="s">
        <v>197</v>
      </c>
      <c r="M1306" s="98">
        <f ca="1">(TODAY()-H1306)/365</f>
        <v>73.791780821917811</v>
      </c>
      <c r="N1306" s="99">
        <f>(G1306-H1306)/365</f>
        <v>40.205479452054796</v>
      </c>
      <c r="O1306" s="98">
        <f ca="1">(TODAY()-G1306)/365</f>
        <v>33.586301369863016</v>
      </c>
      <c r="P1306" s="91" t="s">
        <v>43</v>
      </c>
      <c r="Q1306" s="91"/>
      <c r="R1306" s="91"/>
      <c r="S1306" s="91"/>
      <c r="T1306" s="91"/>
      <c r="U1306" s="91"/>
      <c r="V1306" s="91"/>
      <c r="W1306" s="91"/>
      <c r="X1306" s="91"/>
      <c r="Y1306" s="91"/>
      <c r="Z1306" s="91"/>
      <c r="AA1306" s="91"/>
      <c r="AB1306" s="91"/>
      <c r="AC1306" s="91"/>
      <c r="AD1306" s="91"/>
      <c r="AE1306" s="91"/>
      <c r="AF1306" s="91"/>
      <c r="AG1306" s="91"/>
      <c r="AH1306" s="91"/>
      <c r="AI1306" s="91"/>
      <c r="AJ1306" s="91"/>
      <c r="AK1306" s="91"/>
      <c r="AL1306" s="91"/>
      <c r="AM1306" s="91"/>
    </row>
    <row r="1307" spans="1:39" ht="20.25" hidden="1" customHeight="1">
      <c r="A1307" s="91"/>
      <c r="B1307" s="93" t="s">
        <v>9779</v>
      </c>
      <c r="C1307" s="91" t="s">
        <v>36</v>
      </c>
      <c r="D1307" s="107" t="s">
        <v>698</v>
      </c>
      <c r="E1307" s="107" t="s">
        <v>9784</v>
      </c>
      <c r="F1307" s="91" t="s">
        <v>9785</v>
      </c>
      <c r="G1307" s="97">
        <v>44414</v>
      </c>
      <c r="H1307" s="97">
        <v>25446</v>
      </c>
      <c r="I1307" s="100" t="s">
        <v>58</v>
      </c>
      <c r="J1307" s="100" t="s">
        <v>9786</v>
      </c>
      <c r="K1307" s="91">
        <v>933960303</v>
      </c>
      <c r="L1307" s="91" t="s">
        <v>60</v>
      </c>
      <c r="M1307" s="98">
        <f ca="1">(TODAY()-H1307)/365</f>
        <v>56.317808219178083</v>
      </c>
      <c r="N1307" s="99">
        <f>(G1307-H1307)/365</f>
        <v>51.967123287671235</v>
      </c>
      <c r="O1307" s="98">
        <f ca="1">(TODAY()-G1307)/365</f>
        <v>4.3506849315068497</v>
      </c>
      <c r="P1307" s="91" t="s">
        <v>43</v>
      </c>
      <c r="Q1307" s="91"/>
      <c r="R1307" s="91"/>
      <c r="S1307" s="91"/>
      <c r="T1307" s="91"/>
      <c r="U1307" s="91"/>
      <c r="V1307" s="91"/>
      <c r="W1307" s="91"/>
      <c r="X1307" s="91"/>
      <c r="Y1307" s="91"/>
      <c r="Z1307" s="91"/>
      <c r="AA1307" s="91"/>
      <c r="AB1307" s="91"/>
      <c r="AC1307" s="91"/>
      <c r="AD1307" s="91"/>
      <c r="AE1307" s="91"/>
      <c r="AF1307" s="91"/>
      <c r="AG1307" s="91"/>
      <c r="AH1307" s="91"/>
      <c r="AI1307" s="91"/>
      <c r="AJ1307" s="91"/>
      <c r="AK1307" s="91"/>
      <c r="AL1307" s="91"/>
      <c r="AM1307" s="91"/>
    </row>
    <row r="1308" spans="1:39" ht="20.25" hidden="1" customHeight="1">
      <c r="A1308" s="91"/>
      <c r="B1308" s="93" t="s">
        <v>9779</v>
      </c>
      <c r="C1308" s="91" t="s">
        <v>36</v>
      </c>
      <c r="D1308" s="107" t="s">
        <v>1246</v>
      </c>
      <c r="E1308" s="107" t="s">
        <v>9787</v>
      </c>
      <c r="F1308" s="91" t="s">
        <v>9788</v>
      </c>
      <c r="G1308" s="97">
        <v>31475</v>
      </c>
      <c r="H1308" s="97">
        <v>19655</v>
      </c>
      <c r="I1308" s="100" t="s">
        <v>58</v>
      </c>
      <c r="J1308" s="100" t="s">
        <v>9789</v>
      </c>
      <c r="K1308" s="91">
        <v>981610240</v>
      </c>
      <c r="L1308" s="91" t="s">
        <v>60</v>
      </c>
      <c r="M1308" s="98">
        <f ca="1">(TODAY()-H1308)/365</f>
        <v>72.183561643835617</v>
      </c>
      <c r="N1308" s="99">
        <f>(G1308-H1308)/365</f>
        <v>32.38356164383562</v>
      </c>
      <c r="O1308" s="98">
        <f ca="1">(TODAY()-G1308)/365</f>
        <v>39.799999999999997</v>
      </c>
      <c r="P1308" s="91" t="s">
        <v>43</v>
      </c>
      <c r="Q1308" s="91"/>
      <c r="R1308" s="91"/>
      <c r="S1308" s="91"/>
      <c r="T1308" s="91"/>
      <c r="U1308" s="91"/>
      <c r="V1308" s="91"/>
      <c r="W1308" s="91"/>
      <c r="X1308" s="91"/>
      <c r="Y1308" s="91"/>
      <c r="Z1308" s="91"/>
      <c r="AA1308" s="91"/>
      <c r="AB1308" s="91"/>
      <c r="AC1308" s="91"/>
      <c r="AD1308" s="91"/>
      <c r="AE1308" s="91"/>
      <c r="AF1308" s="91"/>
      <c r="AG1308" s="91"/>
      <c r="AH1308" s="91"/>
      <c r="AI1308" s="91"/>
      <c r="AJ1308" s="91"/>
      <c r="AK1308" s="91"/>
      <c r="AL1308" s="91"/>
      <c r="AM1308" s="91"/>
    </row>
    <row r="1309" spans="1:39" ht="20.25" hidden="1" customHeight="1">
      <c r="A1309" s="91"/>
      <c r="B1309" s="93" t="s">
        <v>9779</v>
      </c>
      <c r="C1309" s="91" t="s">
        <v>36</v>
      </c>
      <c r="D1309" s="107" t="s">
        <v>9790</v>
      </c>
      <c r="E1309" s="107" t="s">
        <v>9791</v>
      </c>
      <c r="F1309" s="91" t="s">
        <v>9792</v>
      </c>
      <c r="G1309" s="97">
        <v>33743</v>
      </c>
      <c r="H1309" s="97">
        <v>19465</v>
      </c>
      <c r="I1309" s="100" t="s">
        <v>58</v>
      </c>
      <c r="J1309" s="100" t="s">
        <v>9793</v>
      </c>
      <c r="K1309" s="92">
        <v>988884577</v>
      </c>
      <c r="L1309" s="91" t="s">
        <v>167</v>
      </c>
      <c r="M1309" s="98">
        <f ca="1">(TODAY()-H1309)/365</f>
        <v>72.704109589041096</v>
      </c>
      <c r="N1309" s="99">
        <f>(G1309-H1309)/365</f>
        <v>39.11780821917808</v>
      </c>
      <c r="O1309" s="98">
        <f ca="1">(TODAY()-G1309)/365</f>
        <v>33.586301369863016</v>
      </c>
      <c r="P1309" s="91" t="s">
        <v>43</v>
      </c>
      <c r="Q1309" s="91"/>
      <c r="R1309" s="91"/>
      <c r="S1309" s="91"/>
      <c r="T1309" s="91"/>
      <c r="U1309" s="91"/>
      <c r="V1309" s="91"/>
      <c r="W1309" s="91"/>
      <c r="X1309" s="91"/>
      <c r="Y1309" s="91"/>
      <c r="Z1309" s="91"/>
      <c r="AA1309" s="91"/>
      <c r="AB1309" s="91"/>
      <c r="AC1309" s="91"/>
      <c r="AD1309" s="91"/>
      <c r="AE1309" s="91"/>
      <c r="AF1309" s="91"/>
      <c r="AG1309" s="91"/>
      <c r="AH1309" s="91"/>
      <c r="AI1309" s="91"/>
      <c r="AJ1309" s="91"/>
      <c r="AK1309" s="91"/>
      <c r="AL1309" s="91"/>
      <c r="AM1309" s="91"/>
    </row>
    <row r="1310" spans="1:39" ht="20.25" hidden="1" customHeight="1">
      <c r="A1310" s="91"/>
      <c r="B1310" s="93" t="s">
        <v>9779</v>
      </c>
      <c r="C1310" s="91" t="s">
        <v>36</v>
      </c>
      <c r="D1310" s="106" t="s">
        <v>9794</v>
      </c>
      <c r="E1310" s="106" t="s">
        <v>9795</v>
      </c>
      <c r="F1310" s="92" t="s">
        <v>9796</v>
      </c>
      <c r="G1310" s="103">
        <v>41397</v>
      </c>
      <c r="H1310" s="103">
        <v>19176</v>
      </c>
      <c r="I1310" s="100" t="s">
        <v>58</v>
      </c>
      <c r="J1310" s="94" t="s">
        <v>9797</v>
      </c>
      <c r="K1310" s="92">
        <v>962079871</v>
      </c>
      <c r="L1310" s="91" t="s">
        <v>60</v>
      </c>
      <c r="M1310" s="98">
        <f ca="1">(TODAY()-H1310)/365</f>
        <v>73.495890410958907</v>
      </c>
      <c r="N1310" s="99">
        <f>(G1310-H1310)/365</f>
        <v>60.87945205479452</v>
      </c>
      <c r="O1310" s="98">
        <f ca="1">(TODAY()-G1310)/365</f>
        <v>12.616438356164384</v>
      </c>
      <c r="P1310" s="91" t="s">
        <v>43</v>
      </c>
      <c r="Q1310" s="91"/>
      <c r="R1310" s="91"/>
      <c r="S1310" s="91"/>
      <c r="T1310" s="91"/>
      <c r="U1310" s="91"/>
      <c r="V1310" s="91"/>
      <c r="W1310" s="91"/>
      <c r="X1310" s="91"/>
      <c r="Y1310" s="91"/>
      <c r="Z1310" s="91"/>
      <c r="AA1310" s="91"/>
      <c r="AB1310" s="91"/>
      <c r="AC1310" s="91"/>
      <c r="AD1310" s="91"/>
      <c r="AE1310" s="91"/>
      <c r="AF1310" s="91"/>
      <c r="AG1310" s="91"/>
      <c r="AH1310" s="91"/>
      <c r="AI1310" s="91"/>
      <c r="AJ1310" s="91"/>
      <c r="AK1310" s="91"/>
      <c r="AL1310" s="91"/>
      <c r="AM1310" s="91"/>
    </row>
    <row r="1311" spans="1:39" ht="20.25" hidden="1" customHeight="1">
      <c r="A1311" s="91"/>
      <c r="B1311" s="93" t="s">
        <v>9779</v>
      </c>
      <c r="C1311" s="91" t="s">
        <v>36</v>
      </c>
      <c r="D1311" s="106" t="s">
        <v>1716</v>
      </c>
      <c r="E1311" s="106" t="s">
        <v>9798</v>
      </c>
      <c r="F1311" s="92" t="s">
        <v>9799</v>
      </c>
      <c r="G1311" s="103">
        <v>33667</v>
      </c>
      <c r="H1311" s="103">
        <v>21614</v>
      </c>
      <c r="I1311" s="100" t="s">
        <v>58</v>
      </c>
      <c r="J1311" s="94" t="s">
        <v>9800</v>
      </c>
      <c r="K1311" s="92">
        <v>993213701</v>
      </c>
      <c r="L1311" s="91" t="s">
        <v>60</v>
      </c>
      <c r="M1311" s="98">
        <f ca="1">(TODAY()-H1311)/365</f>
        <v>66.816438356164383</v>
      </c>
      <c r="N1311" s="99">
        <f>(G1311-H1311)/365</f>
        <v>33.021917808219179</v>
      </c>
      <c r="O1311" s="98">
        <f ca="1">(TODAY()-G1311)/365</f>
        <v>33.794520547945204</v>
      </c>
      <c r="P1311" s="91" t="s">
        <v>43</v>
      </c>
      <c r="Q1311" s="91"/>
      <c r="R1311" s="91"/>
      <c r="S1311" s="91"/>
      <c r="T1311" s="91"/>
      <c r="U1311" s="91"/>
      <c r="V1311" s="91"/>
      <c r="W1311" s="91"/>
      <c r="X1311" s="91"/>
      <c r="Y1311" s="91"/>
      <c r="Z1311" s="91"/>
      <c r="AA1311" s="91"/>
      <c r="AB1311" s="91"/>
      <c r="AC1311" s="91"/>
      <c r="AD1311" s="91"/>
      <c r="AE1311" s="91"/>
      <c r="AF1311" s="91"/>
      <c r="AG1311" s="91"/>
      <c r="AH1311" s="91"/>
      <c r="AI1311" s="91"/>
      <c r="AJ1311" s="91"/>
      <c r="AK1311" s="91"/>
      <c r="AL1311" s="91"/>
      <c r="AM1311" s="91"/>
    </row>
    <row r="1312" spans="1:39" ht="20.25" hidden="1" customHeight="1">
      <c r="A1312" s="91"/>
      <c r="B1312" s="93" t="s">
        <v>9779</v>
      </c>
      <c r="C1312" s="91" t="s">
        <v>36</v>
      </c>
      <c r="D1312" s="106" t="s">
        <v>9801</v>
      </c>
      <c r="E1312" s="106" t="s">
        <v>9802</v>
      </c>
      <c r="F1312" s="92" t="s">
        <v>9803</v>
      </c>
      <c r="G1312" s="103">
        <v>39205</v>
      </c>
      <c r="H1312" s="103">
        <v>17414</v>
      </c>
      <c r="I1312" s="100" t="s">
        <v>58</v>
      </c>
      <c r="J1312" s="94" t="s">
        <v>9804</v>
      </c>
      <c r="K1312" s="92">
        <v>993582071</v>
      </c>
      <c r="L1312" s="91" t="s">
        <v>60</v>
      </c>
      <c r="M1312" s="98">
        <f ca="1">(TODAY()-H1312)/365</f>
        <v>78.323287671232876</v>
      </c>
      <c r="N1312" s="99">
        <f>(G1312-H1312)/365</f>
        <v>59.701369863013696</v>
      </c>
      <c r="O1312" s="98">
        <f ca="1">(TODAY()-G1312)/365</f>
        <v>18.621917808219177</v>
      </c>
      <c r="P1312" s="91" t="s">
        <v>43</v>
      </c>
      <c r="Q1312" s="91"/>
      <c r="R1312" s="91"/>
      <c r="S1312" s="91"/>
      <c r="T1312" s="91"/>
      <c r="U1312" s="91"/>
      <c r="V1312" s="91"/>
      <c r="W1312" s="91"/>
      <c r="X1312" s="91"/>
      <c r="Y1312" s="91"/>
      <c r="Z1312" s="91"/>
      <c r="AA1312" s="91"/>
      <c r="AB1312" s="91"/>
      <c r="AC1312" s="91"/>
      <c r="AD1312" s="91"/>
      <c r="AE1312" s="91"/>
      <c r="AF1312" s="91"/>
      <c r="AG1312" s="91"/>
      <c r="AH1312" s="91"/>
      <c r="AI1312" s="91"/>
      <c r="AJ1312" s="91"/>
      <c r="AK1312" s="91"/>
      <c r="AL1312" s="91"/>
      <c r="AM1312" s="91"/>
    </row>
    <row r="1313" spans="1:39" ht="20.25" hidden="1" customHeight="1">
      <c r="A1313" s="91"/>
      <c r="B1313" s="93" t="s">
        <v>9779</v>
      </c>
      <c r="C1313" s="91" t="s">
        <v>36</v>
      </c>
      <c r="D1313" s="106" t="s">
        <v>9805</v>
      </c>
      <c r="E1313" s="106" t="s">
        <v>9806</v>
      </c>
      <c r="F1313" s="92" t="s">
        <v>9807</v>
      </c>
      <c r="G1313" s="103">
        <v>39681</v>
      </c>
      <c r="H1313" s="103">
        <v>25520</v>
      </c>
      <c r="I1313" s="100" t="s">
        <v>58</v>
      </c>
      <c r="J1313" s="94" t="s">
        <v>9808</v>
      </c>
      <c r="K1313" s="92">
        <v>942477732</v>
      </c>
      <c r="L1313" s="91" t="s">
        <v>60</v>
      </c>
      <c r="M1313" s="98">
        <f ca="1">(TODAY()-H1313)/365</f>
        <v>56.115068493150687</v>
      </c>
      <c r="N1313" s="99">
        <f>(G1313-H1313)/365</f>
        <v>38.797260273972604</v>
      </c>
      <c r="O1313" s="98">
        <f ca="1">(TODAY()-G1313)/365</f>
        <v>17.317808219178083</v>
      </c>
      <c r="P1313" s="91" t="s">
        <v>43</v>
      </c>
      <c r="Q1313" s="91"/>
      <c r="R1313" s="91"/>
      <c r="S1313" s="91"/>
      <c r="T1313" s="91"/>
      <c r="U1313" s="91"/>
      <c r="V1313" s="91"/>
      <c r="W1313" s="91"/>
      <c r="X1313" s="91"/>
      <c r="Y1313" s="91"/>
      <c r="Z1313" s="91"/>
      <c r="AA1313" s="91"/>
      <c r="AB1313" s="91"/>
      <c r="AC1313" s="91"/>
      <c r="AD1313" s="91"/>
      <c r="AE1313" s="91"/>
      <c r="AF1313" s="91"/>
      <c r="AG1313" s="91"/>
      <c r="AH1313" s="91"/>
      <c r="AI1313" s="91"/>
      <c r="AJ1313" s="91"/>
      <c r="AK1313" s="91"/>
      <c r="AL1313" s="91"/>
      <c r="AM1313" s="91"/>
    </row>
    <row r="1314" spans="1:39" ht="20.25" hidden="1" customHeight="1">
      <c r="A1314" s="91"/>
      <c r="B1314" s="93" t="s">
        <v>9779</v>
      </c>
      <c r="C1314" s="91" t="s">
        <v>36</v>
      </c>
      <c r="D1314" s="106" t="s">
        <v>9809</v>
      </c>
      <c r="E1314" s="106" t="s">
        <v>9810</v>
      </c>
      <c r="F1314" s="92" t="s">
        <v>9811</v>
      </c>
      <c r="G1314" s="103">
        <v>29703</v>
      </c>
      <c r="H1314" s="103">
        <v>15891</v>
      </c>
      <c r="I1314" s="100" t="s">
        <v>58</v>
      </c>
      <c r="J1314" s="94" t="s">
        <v>9812</v>
      </c>
      <c r="K1314" s="92">
        <v>942427132</v>
      </c>
      <c r="L1314" s="91" t="s">
        <v>72</v>
      </c>
      <c r="M1314" s="98">
        <f ca="1">(TODAY()-H1314)/365</f>
        <v>82.495890410958907</v>
      </c>
      <c r="N1314" s="99">
        <f>(G1314-H1314)/365</f>
        <v>37.841095890410962</v>
      </c>
      <c r="O1314" s="98">
        <f ca="1">(TODAY()-G1314)/365</f>
        <v>44.654794520547945</v>
      </c>
      <c r="P1314" s="91" t="s">
        <v>43</v>
      </c>
      <c r="Q1314" s="91"/>
      <c r="R1314" s="91"/>
      <c r="S1314" s="91"/>
      <c r="T1314" s="91"/>
      <c r="U1314" s="91"/>
      <c r="V1314" s="91"/>
      <c r="W1314" s="91"/>
      <c r="X1314" s="91"/>
      <c r="Y1314" s="91"/>
      <c r="Z1314" s="91"/>
      <c r="AA1314" s="91"/>
      <c r="AB1314" s="91"/>
      <c r="AC1314" s="91"/>
      <c r="AD1314" s="91"/>
      <c r="AE1314" s="91"/>
      <c r="AF1314" s="91"/>
      <c r="AG1314" s="91"/>
      <c r="AH1314" s="91"/>
      <c r="AI1314" s="91"/>
      <c r="AJ1314" s="91"/>
      <c r="AK1314" s="91"/>
      <c r="AL1314" s="91"/>
      <c r="AM1314" s="91"/>
    </row>
    <row r="1315" spans="1:39" ht="20.25" hidden="1" customHeight="1">
      <c r="A1315" s="91"/>
      <c r="B1315" s="93" t="s">
        <v>9779</v>
      </c>
      <c r="C1315" s="91" t="s">
        <v>36</v>
      </c>
      <c r="D1315" s="106" t="s">
        <v>3121</v>
      </c>
      <c r="E1315" s="106" t="s">
        <v>9813</v>
      </c>
      <c r="F1315" s="92" t="s">
        <v>9814</v>
      </c>
      <c r="G1315" s="103">
        <v>33697</v>
      </c>
      <c r="H1315" s="103">
        <v>13502</v>
      </c>
      <c r="I1315" s="100" t="s">
        <v>58</v>
      </c>
      <c r="J1315" s="94" t="s">
        <v>9815</v>
      </c>
      <c r="K1315" s="92">
        <v>978586949</v>
      </c>
      <c r="L1315" s="91" t="s">
        <v>60</v>
      </c>
      <c r="M1315" s="98">
        <f ca="1">(TODAY()-H1315)/365</f>
        <v>89.041095890410958</v>
      </c>
      <c r="N1315" s="99">
        <f>(G1315-H1315)/365</f>
        <v>55.328767123287669</v>
      </c>
      <c r="O1315" s="98">
        <f ca="1">(TODAY()-G1315)/365</f>
        <v>33.712328767123289</v>
      </c>
      <c r="P1315" s="91" t="s">
        <v>43</v>
      </c>
      <c r="Q1315" s="91"/>
      <c r="R1315" s="91"/>
      <c r="S1315" s="91"/>
      <c r="T1315" s="91"/>
      <c r="U1315" s="91"/>
      <c r="V1315" s="91"/>
      <c r="W1315" s="91"/>
      <c r="X1315" s="91"/>
      <c r="Y1315" s="91"/>
      <c r="Z1315" s="91"/>
      <c r="AA1315" s="91"/>
      <c r="AB1315" s="91"/>
      <c r="AC1315" s="91"/>
      <c r="AD1315" s="91"/>
      <c r="AE1315" s="91"/>
      <c r="AF1315" s="91"/>
      <c r="AG1315" s="91"/>
      <c r="AH1315" s="91"/>
      <c r="AI1315" s="91"/>
      <c r="AJ1315" s="91"/>
      <c r="AK1315" s="91"/>
      <c r="AL1315" s="91"/>
      <c r="AM1315" s="91"/>
    </row>
    <row r="1316" spans="1:39" ht="20.25" hidden="1" customHeight="1">
      <c r="A1316" s="91"/>
      <c r="B1316" s="93" t="s">
        <v>9779</v>
      </c>
      <c r="C1316" s="91" t="s">
        <v>36</v>
      </c>
      <c r="D1316" s="106" t="s">
        <v>9816</v>
      </c>
      <c r="E1316" s="106" t="s">
        <v>9817</v>
      </c>
      <c r="F1316" s="92" t="s">
        <v>9818</v>
      </c>
      <c r="G1316" s="103">
        <v>40119</v>
      </c>
      <c r="H1316" s="103">
        <v>20022</v>
      </c>
      <c r="I1316" s="100" t="s">
        <v>58</v>
      </c>
      <c r="J1316" s="94" t="s">
        <v>9819</v>
      </c>
      <c r="K1316" s="92">
        <v>976534155</v>
      </c>
      <c r="L1316" s="91" t="s">
        <v>60</v>
      </c>
      <c r="M1316" s="98">
        <f ca="1">(TODAY()-H1316)/365</f>
        <v>71.178082191780817</v>
      </c>
      <c r="N1316" s="99">
        <f>(G1316-H1316)/365</f>
        <v>55.060273972602737</v>
      </c>
      <c r="O1316" s="98">
        <f ca="1">(TODAY()-G1316)/365</f>
        <v>16.117808219178084</v>
      </c>
      <c r="P1316" s="91" t="s">
        <v>43</v>
      </c>
      <c r="Q1316" s="91"/>
      <c r="R1316" s="91"/>
      <c r="S1316" s="91"/>
      <c r="T1316" s="91"/>
      <c r="U1316" s="91"/>
      <c r="V1316" s="91"/>
      <c r="W1316" s="91"/>
      <c r="X1316" s="91"/>
      <c r="Y1316" s="91"/>
      <c r="Z1316" s="91"/>
      <c r="AA1316" s="91"/>
      <c r="AB1316" s="91"/>
      <c r="AC1316" s="91"/>
      <c r="AD1316" s="91"/>
      <c r="AE1316" s="91"/>
      <c r="AF1316" s="91"/>
      <c r="AG1316" s="91"/>
      <c r="AH1316" s="91"/>
      <c r="AI1316" s="91"/>
      <c r="AJ1316" s="91"/>
      <c r="AK1316" s="91"/>
      <c r="AL1316" s="91"/>
      <c r="AM1316" s="91"/>
    </row>
    <row r="1317" spans="1:39" ht="20.25" hidden="1" customHeight="1">
      <c r="A1317" s="91"/>
      <c r="B1317" s="93" t="s">
        <v>9779</v>
      </c>
      <c r="C1317" s="91" t="s">
        <v>36</v>
      </c>
      <c r="D1317" s="106" t="s">
        <v>9820</v>
      </c>
      <c r="E1317" s="106" t="s">
        <v>9821</v>
      </c>
      <c r="F1317" s="92" t="s">
        <v>9822</v>
      </c>
      <c r="G1317" s="103">
        <v>45101</v>
      </c>
      <c r="H1317" s="103">
        <v>27857</v>
      </c>
      <c r="I1317" s="100" t="s">
        <v>58</v>
      </c>
      <c r="J1317" s="94" t="s">
        <v>9823</v>
      </c>
      <c r="K1317" s="92">
        <v>998575257</v>
      </c>
      <c r="L1317" s="91" t="s">
        <v>60</v>
      </c>
      <c r="M1317" s="98">
        <f ca="1">(TODAY()-H1317)/365</f>
        <v>49.712328767123289</v>
      </c>
      <c r="N1317" s="99">
        <f>(G1317-H1317)/365</f>
        <v>47.243835616438353</v>
      </c>
      <c r="O1317" s="98">
        <f ca="1">(TODAY()-G1317)/365</f>
        <v>2.4684931506849317</v>
      </c>
      <c r="P1317" s="91" t="s">
        <v>43</v>
      </c>
      <c r="Q1317" s="91"/>
      <c r="R1317" s="91"/>
      <c r="S1317" s="91"/>
      <c r="T1317" s="91"/>
      <c r="U1317" s="91"/>
      <c r="V1317" s="91"/>
      <c r="W1317" s="91"/>
      <c r="X1317" s="91"/>
      <c r="Y1317" s="91"/>
      <c r="Z1317" s="91"/>
      <c r="AA1317" s="91"/>
      <c r="AB1317" s="91"/>
      <c r="AC1317" s="91"/>
      <c r="AD1317" s="91"/>
      <c r="AE1317" s="91"/>
      <c r="AF1317" s="91"/>
      <c r="AG1317" s="91"/>
      <c r="AH1317" s="91"/>
      <c r="AI1317" s="91"/>
      <c r="AJ1317" s="91"/>
      <c r="AK1317" s="91"/>
      <c r="AL1317" s="91"/>
      <c r="AM1317" s="91"/>
    </row>
    <row r="1318" spans="1:39" ht="20.25" hidden="1" customHeight="1">
      <c r="A1318" s="91"/>
      <c r="B1318" s="93" t="s">
        <v>9779</v>
      </c>
      <c r="C1318" s="91" t="s">
        <v>36</v>
      </c>
      <c r="D1318" s="106" t="s">
        <v>6493</v>
      </c>
      <c r="E1318" s="106" t="s">
        <v>9824</v>
      </c>
      <c r="F1318" s="92" t="s">
        <v>9825</v>
      </c>
      <c r="G1318" s="103">
        <v>29181</v>
      </c>
      <c r="H1318" s="103">
        <v>14342</v>
      </c>
      <c r="I1318" s="100" t="s">
        <v>58</v>
      </c>
      <c r="J1318" s="94" t="s">
        <v>9826</v>
      </c>
      <c r="K1318" s="92">
        <v>988997815</v>
      </c>
      <c r="L1318" s="91" t="s">
        <v>151</v>
      </c>
      <c r="M1318" s="98">
        <f ca="1">(TODAY()-H1318)/365</f>
        <v>86.739726027397253</v>
      </c>
      <c r="N1318" s="99">
        <f>(G1318-H1318)/365</f>
        <v>40.654794520547945</v>
      </c>
      <c r="O1318" s="98">
        <f ca="1">(TODAY()-G1318)/365</f>
        <v>46.084931506849315</v>
      </c>
      <c r="P1318" s="91" t="s">
        <v>43</v>
      </c>
      <c r="Q1318" s="91"/>
      <c r="R1318" s="91"/>
      <c r="S1318" s="91"/>
      <c r="T1318" s="91"/>
      <c r="U1318" s="91"/>
      <c r="V1318" s="91"/>
      <c r="W1318" s="91"/>
      <c r="X1318" s="91"/>
      <c r="Y1318" s="91"/>
      <c r="Z1318" s="91"/>
      <c r="AA1318" s="91"/>
      <c r="AB1318" s="91"/>
      <c r="AC1318" s="91"/>
      <c r="AD1318" s="91"/>
      <c r="AE1318" s="91"/>
      <c r="AF1318" s="91"/>
      <c r="AG1318" s="91"/>
      <c r="AH1318" s="91"/>
      <c r="AI1318" s="91"/>
      <c r="AJ1318" s="91"/>
      <c r="AK1318" s="91"/>
      <c r="AL1318" s="91"/>
      <c r="AM1318" s="91"/>
    </row>
    <row r="1319" spans="1:39" ht="20.25" hidden="1" customHeight="1">
      <c r="A1319" s="91"/>
      <c r="B1319" s="93" t="s">
        <v>9779</v>
      </c>
      <c r="C1319" s="91" t="s">
        <v>36</v>
      </c>
      <c r="D1319" s="106" t="s">
        <v>9827</v>
      </c>
      <c r="E1319" s="106" t="s">
        <v>9828</v>
      </c>
      <c r="F1319" s="92" t="s">
        <v>9829</v>
      </c>
      <c r="G1319" s="103">
        <v>36986</v>
      </c>
      <c r="H1319" s="103">
        <v>20062</v>
      </c>
      <c r="I1319" s="100" t="s">
        <v>58</v>
      </c>
      <c r="J1319" s="94" t="s">
        <v>9830</v>
      </c>
      <c r="K1319" s="92">
        <v>976276470</v>
      </c>
      <c r="L1319" s="91" t="s">
        <v>54</v>
      </c>
      <c r="M1319" s="98">
        <f ca="1">(TODAY()-H1319)/365</f>
        <v>71.06849315068493</v>
      </c>
      <c r="N1319" s="99">
        <f>(G1319-H1319)/365</f>
        <v>46.367123287671234</v>
      </c>
      <c r="O1319" s="98">
        <f ca="1">(TODAY()-G1319)/365</f>
        <v>24.701369863013699</v>
      </c>
      <c r="P1319" s="91" t="s">
        <v>43</v>
      </c>
      <c r="Q1319" s="91"/>
      <c r="R1319" s="91"/>
      <c r="S1319" s="91"/>
      <c r="T1319" s="91"/>
      <c r="U1319" s="91"/>
      <c r="V1319" s="91"/>
      <c r="W1319" s="91"/>
      <c r="X1319" s="91"/>
      <c r="Y1319" s="91"/>
      <c r="Z1319" s="91"/>
      <c r="AA1319" s="91"/>
      <c r="AB1319" s="91"/>
      <c r="AC1319" s="91"/>
      <c r="AD1319" s="91"/>
      <c r="AE1319" s="91"/>
      <c r="AF1319" s="91"/>
      <c r="AG1319" s="91"/>
      <c r="AH1319" s="91"/>
      <c r="AI1319" s="91"/>
      <c r="AJ1319" s="91"/>
      <c r="AK1319" s="91"/>
      <c r="AL1319" s="91"/>
      <c r="AM1319" s="91"/>
    </row>
    <row r="1320" spans="1:39" ht="20.25" hidden="1" customHeight="1">
      <c r="A1320" s="91"/>
      <c r="B1320" s="93" t="s">
        <v>9779</v>
      </c>
      <c r="C1320" s="91" t="s">
        <v>36</v>
      </c>
      <c r="D1320" s="106" t="s">
        <v>9831</v>
      </c>
      <c r="E1320" s="106" t="s">
        <v>9832</v>
      </c>
      <c r="F1320" s="92" t="s">
        <v>9833</v>
      </c>
      <c r="G1320" s="103">
        <v>38932</v>
      </c>
      <c r="H1320" s="103">
        <v>20502</v>
      </c>
      <c r="I1320" s="100" t="s">
        <v>58</v>
      </c>
      <c r="J1320" s="94" t="s">
        <v>9834</v>
      </c>
      <c r="K1320" s="92">
        <v>986284733</v>
      </c>
      <c r="L1320" s="91" t="s">
        <v>49</v>
      </c>
      <c r="M1320" s="98">
        <f ca="1">(TODAY()-H1320)/365</f>
        <v>69.863013698630141</v>
      </c>
      <c r="N1320" s="99">
        <f>(G1320-H1320)/365</f>
        <v>50.493150684931507</v>
      </c>
      <c r="O1320" s="98">
        <f ca="1">(TODAY()-G1320)/365</f>
        <v>19.36986301369863</v>
      </c>
      <c r="P1320" s="91" t="s">
        <v>43</v>
      </c>
      <c r="Q1320" s="91"/>
      <c r="R1320" s="91"/>
      <c r="S1320" s="91"/>
      <c r="T1320" s="91"/>
      <c r="U1320" s="91"/>
      <c r="V1320" s="91"/>
      <c r="W1320" s="91"/>
      <c r="X1320" s="91"/>
      <c r="Y1320" s="91"/>
      <c r="Z1320" s="91"/>
      <c r="AA1320" s="91"/>
      <c r="AB1320" s="91"/>
      <c r="AC1320" s="91"/>
      <c r="AD1320" s="91"/>
      <c r="AE1320" s="91"/>
      <c r="AF1320" s="91"/>
      <c r="AG1320" s="91"/>
      <c r="AH1320" s="91"/>
      <c r="AI1320" s="91"/>
      <c r="AJ1320" s="91"/>
      <c r="AK1320" s="91"/>
      <c r="AL1320" s="91"/>
      <c r="AM1320" s="91"/>
    </row>
    <row r="1321" spans="1:39" ht="20.25" hidden="1" customHeight="1">
      <c r="A1321" s="91"/>
      <c r="B1321" s="93" t="s">
        <v>9779</v>
      </c>
      <c r="C1321" s="91" t="s">
        <v>36</v>
      </c>
      <c r="D1321" s="106" t="s">
        <v>1017</v>
      </c>
      <c r="E1321" s="106" t="s">
        <v>9835</v>
      </c>
      <c r="F1321" s="92" t="s">
        <v>9836</v>
      </c>
      <c r="G1321" s="103">
        <v>32877</v>
      </c>
      <c r="H1321" s="103">
        <v>19313</v>
      </c>
      <c r="I1321" s="100" t="s">
        <v>58</v>
      </c>
      <c r="J1321" s="94" t="s">
        <v>9837</v>
      </c>
      <c r="K1321" s="92">
        <v>962389074</v>
      </c>
      <c r="L1321" s="91" t="s">
        <v>60</v>
      </c>
      <c r="M1321" s="98">
        <f ca="1">(TODAY()-H1321)/365</f>
        <v>73.120547945205473</v>
      </c>
      <c r="N1321" s="99">
        <f>(G1321-H1321)/365</f>
        <v>37.161643835616438</v>
      </c>
      <c r="O1321" s="98">
        <f ca="1">(TODAY()-G1321)/365</f>
        <v>35.958904109589042</v>
      </c>
      <c r="P1321" s="91" t="s">
        <v>43</v>
      </c>
      <c r="Q1321" s="91"/>
      <c r="R1321" s="91"/>
      <c r="S1321" s="91"/>
      <c r="T1321" s="91"/>
      <c r="U1321" s="91"/>
      <c r="V1321" s="91"/>
      <c r="W1321" s="91"/>
      <c r="X1321" s="91"/>
      <c r="Y1321" s="91"/>
      <c r="Z1321" s="91"/>
      <c r="AA1321" s="91"/>
      <c r="AB1321" s="91"/>
      <c r="AC1321" s="91"/>
      <c r="AD1321" s="91"/>
      <c r="AE1321" s="91"/>
      <c r="AF1321" s="91"/>
      <c r="AG1321" s="91"/>
      <c r="AH1321" s="91"/>
      <c r="AI1321" s="91"/>
      <c r="AJ1321" s="91"/>
      <c r="AK1321" s="91"/>
      <c r="AL1321" s="91"/>
      <c r="AM1321" s="91"/>
    </row>
    <row r="1322" spans="1:39" ht="20.25" hidden="1" customHeight="1">
      <c r="A1322" s="91"/>
      <c r="B1322" s="93" t="s">
        <v>9779</v>
      </c>
      <c r="C1322" s="91" t="s">
        <v>36</v>
      </c>
      <c r="D1322" s="106" t="s">
        <v>9838</v>
      </c>
      <c r="E1322" s="106" t="s">
        <v>9839</v>
      </c>
      <c r="F1322" s="92" t="s">
        <v>9840</v>
      </c>
      <c r="G1322" s="103">
        <v>23178</v>
      </c>
      <c r="H1322" s="103">
        <v>10277</v>
      </c>
      <c r="I1322" s="100" t="s">
        <v>58</v>
      </c>
      <c r="J1322" s="94" t="s">
        <v>9841</v>
      </c>
      <c r="K1322" s="92">
        <v>991576023</v>
      </c>
      <c r="L1322" s="91" t="s">
        <v>60</v>
      </c>
      <c r="M1322" s="98">
        <f ca="1">(TODAY()-H1322)/365</f>
        <v>97.876712328767127</v>
      </c>
      <c r="N1322" s="99">
        <f>(G1322-H1322)/365</f>
        <v>35.345205479452055</v>
      </c>
      <c r="O1322" s="98">
        <f ca="1">(TODAY()-G1322)/365</f>
        <v>62.531506849315072</v>
      </c>
      <c r="P1322" s="91" t="s">
        <v>43</v>
      </c>
      <c r="Q1322" s="91"/>
      <c r="R1322" s="91"/>
      <c r="S1322" s="91"/>
      <c r="T1322" s="91"/>
      <c r="U1322" s="91"/>
      <c r="V1322" s="91"/>
      <c r="W1322" s="91"/>
      <c r="X1322" s="91"/>
      <c r="Y1322" s="91"/>
      <c r="Z1322" s="91"/>
      <c r="AA1322" s="91"/>
      <c r="AB1322" s="91"/>
      <c r="AC1322" s="91"/>
      <c r="AD1322" s="91"/>
      <c r="AE1322" s="91"/>
      <c r="AF1322" s="91"/>
      <c r="AG1322" s="91"/>
      <c r="AH1322" s="91"/>
      <c r="AI1322" s="91"/>
      <c r="AJ1322" s="91"/>
      <c r="AK1322" s="91"/>
      <c r="AL1322" s="91"/>
      <c r="AM1322" s="91"/>
    </row>
    <row r="1323" spans="1:39" ht="20.25" hidden="1" customHeight="1">
      <c r="A1323" s="91"/>
      <c r="B1323" s="93" t="s">
        <v>9779</v>
      </c>
      <c r="C1323" s="91" t="s">
        <v>36</v>
      </c>
      <c r="D1323" s="106" t="s">
        <v>9842</v>
      </c>
      <c r="E1323" s="106" t="s">
        <v>9843</v>
      </c>
      <c r="F1323" s="92" t="s">
        <v>9844</v>
      </c>
      <c r="G1323" s="103">
        <v>43374</v>
      </c>
      <c r="H1323" s="103">
        <v>30984</v>
      </c>
      <c r="I1323" s="100" t="s">
        <v>58</v>
      </c>
      <c r="J1323" s="94" t="s">
        <v>9845</v>
      </c>
      <c r="K1323" s="92">
        <v>978586949</v>
      </c>
      <c r="L1323" s="91" t="s">
        <v>60</v>
      </c>
      <c r="M1323" s="98">
        <f ca="1">(TODAY()-H1323)/365</f>
        <v>41.145205479452052</v>
      </c>
      <c r="N1323" s="99">
        <f>(G1323-H1323)/365</f>
        <v>33.945205479452056</v>
      </c>
      <c r="O1323" s="98">
        <f ca="1">(TODAY()-G1323)/365</f>
        <v>7.2</v>
      </c>
      <c r="P1323" s="91" t="s">
        <v>43</v>
      </c>
      <c r="Q1323" s="91"/>
      <c r="R1323" s="91"/>
      <c r="S1323" s="91"/>
      <c r="T1323" s="91"/>
      <c r="U1323" s="91"/>
      <c r="V1323" s="91"/>
      <c r="W1323" s="91"/>
      <c r="X1323" s="91"/>
      <c r="Y1323" s="91"/>
      <c r="Z1323" s="91"/>
      <c r="AA1323" s="91"/>
      <c r="AB1323" s="91"/>
      <c r="AC1323" s="91"/>
      <c r="AD1323" s="91"/>
      <c r="AE1323" s="91"/>
      <c r="AF1323" s="91"/>
      <c r="AG1323" s="91"/>
      <c r="AH1323" s="91"/>
      <c r="AI1323" s="91"/>
      <c r="AJ1323" s="91"/>
      <c r="AK1323" s="91"/>
      <c r="AL1323" s="91"/>
      <c r="AM1323" s="91"/>
    </row>
    <row r="1324" spans="1:39" ht="20.25" hidden="1" customHeight="1">
      <c r="A1324" s="91"/>
      <c r="B1324" s="93" t="s">
        <v>9779</v>
      </c>
      <c r="C1324" s="91" t="s">
        <v>36</v>
      </c>
      <c r="D1324" s="106" t="s">
        <v>9846</v>
      </c>
      <c r="E1324" s="106" t="s">
        <v>9847</v>
      </c>
      <c r="F1324" s="92" t="s">
        <v>9848</v>
      </c>
      <c r="G1324" s="103">
        <v>24917</v>
      </c>
      <c r="H1324" s="103">
        <v>15653</v>
      </c>
      <c r="I1324" s="100" t="s">
        <v>58</v>
      </c>
      <c r="J1324" s="94" t="s">
        <v>9849</v>
      </c>
      <c r="K1324" s="92">
        <v>95098553</v>
      </c>
      <c r="L1324" s="91" t="s">
        <v>60</v>
      </c>
      <c r="M1324" s="98">
        <f ca="1">(TODAY()-H1324)/365</f>
        <v>83.147945205479445</v>
      </c>
      <c r="N1324" s="99">
        <f>(G1324-H1324)/365</f>
        <v>25.38082191780822</v>
      </c>
      <c r="O1324" s="98">
        <f ca="1">(TODAY()-G1324)/365</f>
        <v>57.767123287671232</v>
      </c>
      <c r="P1324" s="91" t="s">
        <v>43</v>
      </c>
      <c r="Q1324" s="91"/>
      <c r="R1324" s="91"/>
      <c r="S1324" s="91"/>
      <c r="T1324" s="91"/>
      <c r="U1324" s="91"/>
      <c r="V1324" s="91"/>
      <c r="W1324" s="91"/>
      <c r="X1324" s="91"/>
      <c r="Y1324" s="91"/>
      <c r="Z1324" s="91"/>
      <c r="AA1324" s="91"/>
      <c r="AB1324" s="91"/>
      <c r="AC1324" s="91"/>
      <c r="AD1324" s="91"/>
      <c r="AE1324" s="91"/>
      <c r="AF1324" s="91"/>
      <c r="AG1324" s="91"/>
      <c r="AH1324" s="91"/>
      <c r="AI1324" s="91"/>
      <c r="AJ1324" s="91"/>
      <c r="AK1324" s="91"/>
      <c r="AL1324" s="91"/>
      <c r="AM1324" s="91"/>
    </row>
    <row r="1325" spans="1:39" ht="20.25" hidden="1" customHeight="1">
      <c r="A1325" s="91"/>
      <c r="B1325" s="93" t="s">
        <v>9779</v>
      </c>
      <c r="C1325" s="91" t="s">
        <v>36</v>
      </c>
      <c r="D1325" s="106" t="s">
        <v>9850</v>
      </c>
      <c r="E1325" s="106" t="s">
        <v>9851</v>
      </c>
      <c r="F1325" s="92" t="s">
        <v>9852</v>
      </c>
      <c r="G1325" s="103">
        <v>30244</v>
      </c>
      <c r="H1325" s="103">
        <v>20922</v>
      </c>
      <c r="I1325" s="100" t="s">
        <v>58</v>
      </c>
      <c r="J1325" s="94" t="s">
        <v>9853</v>
      </c>
      <c r="K1325" s="92">
        <v>962412657</v>
      </c>
      <c r="L1325" s="91" t="s">
        <v>42</v>
      </c>
      <c r="M1325" s="98">
        <f ca="1">(TODAY()-H1325)/365</f>
        <v>68.712328767123282</v>
      </c>
      <c r="N1325" s="99">
        <f>(G1325-H1325)/365</f>
        <v>25.539726027397261</v>
      </c>
      <c r="O1325" s="98">
        <f ca="1">(TODAY()-G1325)/365</f>
        <v>43.172602739726024</v>
      </c>
      <c r="P1325" s="91" t="s">
        <v>43</v>
      </c>
      <c r="Q1325" s="91"/>
      <c r="R1325" s="91"/>
      <c r="S1325" s="91"/>
      <c r="T1325" s="91"/>
      <c r="U1325" s="91"/>
      <c r="V1325" s="91"/>
      <c r="W1325" s="91"/>
      <c r="X1325" s="91"/>
      <c r="Y1325" s="91"/>
      <c r="Z1325" s="91"/>
      <c r="AA1325" s="91"/>
      <c r="AB1325" s="91"/>
      <c r="AC1325" s="91"/>
      <c r="AD1325" s="91"/>
      <c r="AE1325" s="91"/>
      <c r="AF1325" s="91"/>
      <c r="AG1325" s="91"/>
      <c r="AH1325" s="91"/>
      <c r="AI1325" s="91"/>
      <c r="AJ1325" s="91"/>
      <c r="AK1325" s="91"/>
      <c r="AL1325" s="91"/>
      <c r="AM1325" s="91"/>
    </row>
    <row r="1326" spans="1:39" ht="20.25" hidden="1" customHeight="1">
      <c r="A1326" s="91"/>
      <c r="B1326" s="93" t="s">
        <v>9779</v>
      </c>
      <c r="C1326" s="91" t="s">
        <v>36</v>
      </c>
      <c r="D1326" s="106" t="s">
        <v>9854</v>
      </c>
      <c r="E1326" s="106" t="s">
        <v>9855</v>
      </c>
      <c r="F1326" s="92" t="s">
        <v>9856</v>
      </c>
      <c r="G1326" s="103">
        <v>26378</v>
      </c>
      <c r="H1326" s="103">
        <v>19055</v>
      </c>
      <c r="I1326" s="100" t="s">
        <v>58</v>
      </c>
      <c r="J1326" s="94" t="s">
        <v>9857</v>
      </c>
      <c r="K1326" s="92">
        <v>976985722</v>
      </c>
      <c r="L1326" s="91" t="s">
        <v>66</v>
      </c>
      <c r="M1326" s="98">
        <f ca="1">(TODAY()-H1326)/365</f>
        <v>73.827397260273969</v>
      </c>
      <c r="N1326" s="99">
        <f>(G1326-H1326)/365</f>
        <v>20.063013698630137</v>
      </c>
      <c r="O1326" s="98">
        <f ca="1">(TODAY()-G1326)/365</f>
        <v>53.764383561643832</v>
      </c>
      <c r="P1326" s="91" t="s">
        <v>43</v>
      </c>
      <c r="Q1326" s="91"/>
      <c r="R1326" s="91"/>
      <c r="S1326" s="91"/>
      <c r="T1326" s="91"/>
      <c r="U1326" s="91"/>
      <c r="V1326" s="91"/>
      <c r="W1326" s="91"/>
      <c r="X1326" s="91"/>
      <c r="Y1326" s="91"/>
      <c r="Z1326" s="91"/>
      <c r="AA1326" s="91"/>
      <c r="AB1326" s="91"/>
      <c r="AC1326" s="91"/>
      <c r="AD1326" s="91"/>
      <c r="AE1326" s="91"/>
      <c r="AF1326" s="91"/>
      <c r="AG1326" s="91"/>
      <c r="AH1326" s="91"/>
      <c r="AI1326" s="91"/>
      <c r="AJ1326" s="91"/>
      <c r="AK1326" s="91"/>
      <c r="AL1326" s="91"/>
      <c r="AM1326" s="91"/>
    </row>
    <row r="1327" spans="1:39" ht="20.25" customHeight="1">
      <c r="A1327" s="91"/>
      <c r="B1327" s="93" t="s">
        <v>3211</v>
      </c>
      <c r="C1327" s="91" t="s">
        <v>73</v>
      </c>
      <c r="D1327" s="107" t="s">
        <v>482</v>
      </c>
      <c r="E1327" s="107" t="s">
        <v>3226</v>
      </c>
      <c r="F1327" s="91" t="s">
        <v>58</v>
      </c>
      <c r="G1327" s="96" t="s">
        <v>58</v>
      </c>
      <c r="H1327" s="96" t="s">
        <v>58</v>
      </c>
      <c r="I1327" s="94" t="s">
        <v>58</v>
      </c>
      <c r="J1327" s="94" t="s">
        <v>58</v>
      </c>
      <c r="K1327" s="95" t="s">
        <v>58</v>
      </c>
      <c r="L1327" s="91" t="s">
        <v>60</v>
      </c>
      <c r="M1327" s="98"/>
      <c r="N1327" s="95"/>
      <c r="O1327" s="98" t="e">
        <f ca="1">(TODAY()-G1327)/365</f>
        <v>#VALUE!</v>
      </c>
      <c r="P1327" s="91" t="s">
        <v>43</v>
      </c>
      <c r="Q1327" s="91"/>
      <c r="R1327" s="91">
        <v>0</v>
      </c>
      <c r="S1327" s="91"/>
      <c r="T1327" s="91"/>
      <c r="U1327" s="91"/>
      <c r="V1327" s="91"/>
      <c r="W1327" s="91"/>
      <c r="X1327" s="91"/>
      <c r="Y1327" s="91"/>
      <c r="Z1327" s="91"/>
      <c r="AA1327" s="91"/>
      <c r="AB1327" s="91"/>
      <c r="AC1327" s="91"/>
      <c r="AD1327" s="91"/>
      <c r="AE1327" s="91"/>
      <c r="AF1327" s="91"/>
      <c r="AG1327" s="91"/>
      <c r="AH1327" s="91"/>
      <c r="AI1327" s="91"/>
      <c r="AJ1327" s="91"/>
      <c r="AK1327" s="91"/>
      <c r="AL1327" s="91"/>
      <c r="AM1327" s="91"/>
    </row>
    <row r="1328" spans="1:39" ht="20.25" hidden="1" customHeight="1">
      <c r="A1328" s="91"/>
      <c r="B1328" s="93" t="s">
        <v>4214</v>
      </c>
      <c r="C1328" s="91" t="s">
        <v>36</v>
      </c>
      <c r="D1328" s="94" t="s">
        <v>4215</v>
      </c>
      <c r="E1328" s="94" t="s">
        <v>4216</v>
      </c>
      <c r="F1328" s="95" t="s">
        <v>4217</v>
      </c>
      <c r="G1328" s="96">
        <v>44760</v>
      </c>
      <c r="H1328" s="97">
        <v>38230</v>
      </c>
      <c r="I1328" s="94" t="s">
        <v>4218</v>
      </c>
      <c r="J1328" s="94" t="s">
        <v>4219</v>
      </c>
      <c r="K1328" s="95">
        <v>985717373</v>
      </c>
      <c r="L1328" s="91" t="s">
        <v>60</v>
      </c>
      <c r="M1328" s="98">
        <f ca="1">(TODAY()-H1328)/365</f>
        <v>21.293150684931508</v>
      </c>
      <c r="N1328" s="99">
        <f>(G1328-H1328)/365</f>
        <v>17.890410958904109</v>
      </c>
      <c r="O1328" s="98">
        <f ca="1">(TODAY()-G1328)/365</f>
        <v>3.4027397260273973</v>
      </c>
      <c r="P1328" s="91" t="s">
        <v>43</v>
      </c>
      <c r="Q1328" s="91">
        <v>0</v>
      </c>
      <c r="R1328" s="91">
        <v>0</v>
      </c>
      <c r="S1328" s="91">
        <v>0</v>
      </c>
      <c r="T1328" s="91"/>
      <c r="U1328" s="91"/>
      <c r="V1328" s="91"/>
      <c r="W1328" s="91"/>
      <c r="X1328" s="91"/>
      <c r="Y1328" s="91"/>
      <c r="Z1328" s="91"/>
      <c r="AA1328" s="91"/>
      <c r="AB1328" s="91"/>
      <c r="AC1328" s="91"/>
      <c r="AD1328" s="91"/>
      <c r="AE1328" s="91"/>
      <c r="AF1328" s="91"/>
      <c r="AG1328" s="91"/>
      <c r="AH1328" s="91"/>
      <c r="AI1328" s="91"/>
      <c r="AJ1328" s="91"/>
      <c r="AK1328" s="91"/>
      <c r="AL1328" s="91"/>
      <c r="AM1328" s="91"/>
    </row>
    <row r="1329" spans="1:39" ht="20.25" hidden="1" customHeight="1">
      <c r="A1329" s="91"/>
      <c r="B1329" s="93" t="s">
        <v>4214</v>
      </c>
      <c r="C1329" s="91" t="s">
        <v>36</v>
      </c>
      <c r="D1329" s="94" t="s">
        <v>4220</v>
      </c>
      <c r="E1329" s="94" t="s">
        <v>4221</v>
      </c>
      <c r="F1329" s="95" t="s">
        <v>4222</v>
      </c>
      <c r="G1329" s="96">
        <v>30487</v>
      </c>
      <c r="H1329" s="97">
        <v>20006</v>
      </c>
      <c r="I1329" s="94" t="s">
        <v>4223</v>
      </c>
      <c r="J1329" s="94" t="s">
        <v>4224</v>
      </c>
      <c r="K1329" s="95">
        <v>99173943</v>
      </c>
      <c r="L1329" s="91" t="s">
        <v>66</v>
      </c>
      <c r="M1329" s="98">
        <f ca="1">(TODAY()-H1329)/365</f>
        <v>71.221917808219175</v>
      </c>
      <c r="N1329" s="99">
        <f>(G1329-H1329)/365</f>
        <v>28.715068493150685</v>
      </c>
      <c r="O1329" s="98">
        <f ca="1">(TODAY()-G1329)/365</f>
        <v>42.506849315068493</v>
      </c>
      <c r="P1329" s="91" t="s">
        <v>43</v>
      </c>
      <c r="Q1329" s="91">
        <v>1</v>
      </c>
      <c r="R1329" s="91">
        <v>1</v>
      </c>
      <c r="S1329" s="91">
        <v>0</v>
      </c>
      <c r="T1329" s="91"/>
      <c r="U1329" s="91"/>
      <c r="V1329" s="91"/>
      <c r="W1329" s="91"/>
      <c r="X1329" s="91"/>
      <c r="Y1329" s="91"/>
      <c r="Z1329" s="91"/>
      <c r="AA1329" s="91"/>
      <c r="AB1329" s="91"/>
      <c r="AC1329" s="91"/>
      <c r="AD1329" s="91"/>
      <c r="AE1329" s="91"/>
      <c r="AF1329" s="91"/>
      <c r="AG1329" s="91"/>
      <c r="AH1329" s="91"/>
      <c r="AI1329" s="91"/>
      <c r="AJ1329" s="91"/>
      <c r="AK1329" s="91"/>
      <c r="AL1329" s="91"/>
      <c r="AM1329" s="91"/>
    </row>
    <row r="1330" spans="1:39" ht="20.25" customHeight="1">
      <c r="A1330" s="128"/>
      <c r="B1330" s="93" t="s">
        <v>11240</v>
      </c>
      <c r="C1330" s="91" t="s">
        <v>73</v>
      </c>
      <c r="D1330" s="106" t="s">
        <v>9758</v>
      </c>
      <c r="E1330" s="106" t="s">
        <v>7940</v>
      </c>
      <c r="F1330" s="92" t="s">
        <v>11263</v>
      </c>
      <c r="G1330" s="103">
        <v>45658</v>
      </c>
      <c r="H1330" s="103">
        <v>29218</v>
      </c>
      <c r="I1330" s="94" t="s">
        <v>58</v>
      </c>
      <c r="J1330" s="100" t="s">
        <v>58</v>
      </c>
      <c r="K1330" s="95" t="s">
        <v>58</v>
      </c>
      <c r="L1330" s="91"/>
      <c r="M1330" s="98">
        <f ca="1">(TODAY()-H1330)/365</f>
        <v>45.983561643835614</v>
      </c>
      <c r="N1330" s="99">
        <f>(G1330-H1330)/365</f>
        <v>45.041095890410958</v>
      </c>
      <c r="O1330" s="98">
        <f ca="1">(TODAY()-G1330)/365</f>
        <v>0.94246575342465755</v>
      </c>
      <c r="P1330" s="91" t="s">
        <v>272</v>
      </c>
      <c r="Q1330" s="91"/>
      <c r="R1330" s="91"/>
      <c r="S1330" s="91"/>
      <c r="T1330" s="91"/>
      <c r="U1330" s="91"/>
      <c r="V1330" s="91"/>
      <c r="W1330" s="91"/>
      <c r="X1330" s="91"/>
      <c r="Y1330" s="91"/>
      <c r="Z1330" s="91"/>
      <c r="AA1330" s="91"/>
      <c r="AB1330" s="91"/>
      <c r="AC1330" s="91"/>
      <c r="AD1330" s="91"/>
      <c r="AE1330" s="91"/>
      <c r="AF1330" s="91"/>
      <c r="AG1330" s="91"/>
      <c r="AH1330" s="91"/>
      <c r="AI1330" s="91"/>
      <c r="AJ1330" s="91"/>
      <c r="AK1330" s="91"/>
      <c r="AL1330" s="91"/>
      <c r="AM1330" s="91"/>
    </row>
    <row r="1331" spans="1:39" ht="20.25" hidden="1" customHeight="1">
      <c r="A1331" s="91"/>
      <c r="B1331" s="93" t="s">
        <v>4214</v>
      </c>
      <c r="C1331" s="91" t="s">
        <v>36</v>
      </c>
      <c r="D1331" s="94" t="s">
        <v>4228</v>
      </c>
      <c r="E1331" s="94" t="s">
        <v>4229</v>
      </c>
      <c r="F1331" s="95" t="s">
        <v>4230</v>
      </c>
      <c r="G1331" s="96">
        <v>45404</v>
      </c>
      <c r="H1331" s="97">
        <v>32111</v>
      </c>
      <c r="I1331" s="94" t="s">
        <v>4231</v>
      </c>
      <c r="J1331" s="94" t="s">
        <v>4232</v>
      </c>
      <c r="K1331" s="95">
        <v>939256808</v>
      </c>
      <c r="L1331" s="91" t="s">
        <v>60</v>
      </c>
      <c r="M1331" s="98">
        <f ca="1">(TODAY()-H1331)/365</f>
        <v>38.057534246575344</v>
      </c>
      <c r="N1331" s="99">
        <f>(G1331-H1331)/365</f>
        <v>36.419178082191777</v>
      </c>
      <c r="O1331" s="98">
        <f ca="1">(TODAY()-G1331)/365</f>
        <v>1.6383561643835616</v>
      </c>
      <c r="P1331" s="91" t="s">
        <v>43</v>
      </c>
      <c r="Q1331" s="91">
        <v>0</v>
      </c>
      <c r="R1331" s="91">
        <v>0</v>
      </c>
      <c r="S1331" s="91">
        <v>0</v>
      </c>
      <c r="T1331" s="91"/>
      <c r="U1331" s="91"/>
      <c r="V1331" s="91"/>
      <c r="W1331" s="91"/>
      <c r="X1331" s="91"/>
      <c r="Y1331" s="91"/>
      <c r="Z1331" s="91"/>
      <c r="AA1331" s="91"/>
      <c r="AB1331" s="91"/>
      <c r="AC1331" s="91"/>
      <c r="AD1331" s="91"/>
      <c r="AE1331" s="91"/>
      <c r="AF1331" s="91"/>
      <c r="AG1331" s="91"/>
      <c r="AH1331" s="91"/>
      <c r="AI1331" s="91"/>
      <c r="AJ1331" s="91"/>
      <c r="AK1331" s="91"/>
      <c r="AL1331" s="91"/>
      <c r="AM1331" s="91"/>
    </row>
    <row r="1332" spans="1:39" ht="20.25" hidden="1" customHeight="1">
      <c r="A1332" s="91"/>
      <c r="B1332" s="93" t="s">
        <v>4214</v>
      </c>
      <c r="C1332" s="91" t="s">
        <v>36</v>
      </c>
      <c r="D1332" s="94" t="s">
        <v>4233</v>
      </c>
      <c r="E1332" s="94" t="s">
        <v>4234</v>
      </c>
      <c r="F1332" s="95" t="s">
        <v>4235</v>
      </c>
      <c r="G1332" s="96">
        <v>37379</v>
      </c>
      <c r="H1332" s="97">
        <v>23900</v>
      </c>
      <c r="I1332" s="94" t="s">
        <v>4236</v>
      </c>
      <c r="J1332" s="94" t="s">
        <v>4237</v>
      </c>
      <c r="K1332" s="95">
        <v>966542142</v>
      </c>
      <c r="L1332" s="91" t="s">
        <v>60</v>
      </c>
      <c r="M1332" s="98">
        <f ca="1">(TODAY()-H1332)/365</f>
        <v>60.553424657534244</v>
      </c>
      <c r="N1332" s="99">
        <f>(G1332-H1332)/365</f>
        <v>36.92876712328767</v>
      </c>
      <c r="O1332" s="98">
        <f ca="1">(TODAY()-G1332)/365</f>
        <v>23.624657534246577</v>
      </c>
      <c r="P1332" s="91" t="s">
        <v>43</v>
      </c>
      <c r="Q1332" s="91">
        <v>1</v>
      </c>
      <c r="R1332" s="91">
        <v>1</v>
      </c>
      <c r="S1332" s="91">
        <v>0</v>
      </c>
      <c r="T1332" s="91"/>
      <c r="U1332" s="91"/>
      <c r="V1332" s="91"/>
      <c r="W1332" s="91"/>
      <c r="X1332" s="91"/>
      <c r="Y1332" s="91"/>
      <c r="Z1332" s="91"/>
      <c r="AA1332" s="91"/>
      <c r="AB1332" s="91"/>
      <c r="AC1332" s="91"/>
      <c r="AD1332" s="91"/>
      <c r="AE1332" s="91"/>
      <c r="AF1332" s="91"/>
      <c r="AG1332" s="91"/>
      <c r="AH1332" s="91"/>
      <c r="AI1332" s="91"/>
      <c r="AJ1332" s="91"/>
      <c r="AK1332" s="91"/>
      <c r="AL1332" s="91"/>
      <c r="AM1332" s="91"/>
    </row>
    <row r="1333" spans="1:39" ht="20.25" hidden="1" customHeight="1">
      <c r="A1333" s="91"/>
      <c r="B1333" s="93" t="s">
        <v>4214</v>
      </c>
      <c r="C1333" s="91" t="s">
        <v>36</v>
      </c>
      <c r="D1333" s="94" t="s">
        <v>3668</v>
      </c>
      <c r="E1333" s="94" t="s">
        <v>4238</v>
      </c>
      <c r="F1333" s="95" t="s">
        <v>4239</v>
      </c>
      <c r="G1333" s="96">
        <v>35940</v>
      </c>
      <c r="H1333" s="97">
        <v>22289</v>
      </c>
      <c r="I1333" s="94" t="s">
        <v>4240</v>
      </c>
      <c r="J1333" s="94" t="s">
        <v>4241</v>
      </c>
      <c r="K1333" s="95">
        <v>987040139</v>
      </c>
      <c r="L1333" s="91" t="s">
        <v>60</v>
      </c>
      <c r="M1333" s="98">
        <f ca="1">(TODAY()-H1333)/365</f>
        <v>64.967123287671228</v>
      </c>
      <c r="N1333" s="99">
        <f>(G1333-H1333)/365</f>
        <v>37.4</v>
      </c>
      <c r="O1333" s="98">
        <f ca="1">(TODAY()-G1333)/365</f>
        <v>27.567123287671233</v>
      </c>
      <c r="P1333" s="91" t="s">
        <v>43</v>
      </c>
      <c r="Q1333" s="91">
        <v>0</v>
      </c>
      <c r="R1333" s="91">
        <v>0</v>
      </c>
      <c r="S1333" s="91">
        <v>0</v>
      </c>
      <c r="T1333" s="91"/>
      <c r="U1333" s="91"/>
      <c r="V1333" s="91"/>
      <c r="W1333" s="91"/>
      <c r="X1333" s="91"/>
      <c r="Y1333" s="91"/>
      <c r="Z1333" s="91"/>
      <c r="AA1333" s="91"/>
      <c r="AB1333" s="91"/>
      <c r="AC1333" s="91"/>
      <c r="AD1333" s="91"/>
      <c r="AE1333" s="91"/>
      <c r="AF1333" s="91"/>
      <c r="AG1333" s="91"/>
      <c r="AH1333" s="91"/>
      <c r="AI1333" s="91"/>
      <c r="AJ1333" s="91"/>
      <c r="AK1333" s="91"/>
      <c r="AL1333" s="91"/>
      <c r="AM1333" s="91"/>
    </row>
    <row r="1334" spans="1:39" ht="20.25" hidden="1" customHeight="1">
      <c r="A1334" s="91"/>
      <c r="B1334" s="93" t="s">
        <v>4214</v>
      </c>
      <c r="C1334" s="91" t="s">
        <v>36</v>
      </c>
      <c r="D1334" s="94" t="s">
        <v>4242</v>
      </c>
      <c r="E1334" s="94" t="s">
        <v>2638</v>
      </c>
      <c r="F1334" s="95" t="s">
        <v>4243</v>
      </c>
      <c r="G1334" s="96">
        <v>37733</v>
      </c>
      <c r="H1334" s="97">
        <v>23196</v>
      </c>
      <c r="I1334" s="94" t="s">
        <v>4244</v>
      </c>
      <c r="J1334" s="94" t="s">
        <v>4245</v>
      </c>
      <c r="K1334" s="95">
        <v>949435335</v>
      </c>
      <c r="L1334" s="91" t="s">
        <v>42</v>
      </c>
      <c r="M1334" s="98">
        <f ca="1">(TODAY()-H1334)/365</f>
        <v>62.482191780821921</v>
      </c>
      <c r="N1334" s="99">
        <f>(G1334-H1334)/365</f>
        <v>39.827397260273976</v>
      </c>
      <c r="O1334" s="98">
        <f ca="1">(TODAY()-G1334)/365</f>
        <v>22.654794520547945</v>
      </c>
      <c r="P1334" s="91" t="s">
        <v>43</v>
      </c>
      <c r="Q1334" s="91">
        <v>0</v>
      </c>
      <c r="R1334" s="91">
        <v>0</v>
      </c>
      <c r="S1334" s="91">
        <v>0</v>
      </c>
      <c r="T1334" s="91"/>
      <c r="U1334" s="91"/>
      <c r="V1334" s="91"/>
      <c r="W1334" s="91"/>
      <c r="X1334" s="91"/>
      <c r="Y1334" s="91"/>
      <c r="Z1334" s="91"/>
      <c r="AA1334" s="91"/>
      <c r="AB1334" s="91"/>
      <c r="AC1334" s="91"/>
      <c r="AD1334" s="91"/>
      <c r="AE1334" s="91"/>
      <c r="AF1334" s="91"/>
      <c r="AG1334" s="91"/>
      <c r="AH1334" s="91"/>
      <c r="AI1334" s="91"/>
      <c r="AJ1334" s="91"/>
      <c r="AK1334" s="91"/>
      <c r="AL1334" s="91"/>
      <c r="AM1334" s="91"/>
    </row>
    <row r="1335" spans="1:39" ht="20.25" hidden="1" customHeight="1">
      <c r="A1335" s="91"/>
      <c r="B1335" s="93" t="s">
        <v>4214</v>
      </c>
      <c r="C1335" s="91" t="s">
        <v>36</v>
      </c>
      <c r="D1335" s="94" t="s">
        <v>4246</v>
      </c>
      <c r="E1335" s="94" t="s">
        <v>4247</v>
      </c>
      <c r="F1335" s="95" t="s">
        <v>4248</v>
      </c>
      <c r="G1335" s="96">
        <v>28276</v>
      </c>
      <c r="H1335" s="97">
        <v>13692</v>
      </c>
      <c r="I1335" s="94" t="s">
        <v>4249</v>
      </c>
      <c r="J1335" s="94" t="s">
        <v>4250</v>
      </c>
      <c r="K1335" s="95">
        <v>962386848</v>
      </c>
      <c r="L1335" s="91" t="s">
        <v>151</v>
      </c>
      <c r="M1335" s="98">
        <f ca="1">(TODAY()-H1335)/365</f>
        <v>88.520547945205479</v>
      </c>
      <c r="N1335" s="99">
        <f>(G1335-H1335)/365</f>
        <v>39.956164383561642</v>
      </c>
      <c r="O1335" s="98">
        <f ca="1">(TODAY()-G1335)/365</f>
        <v>48.564383561643837</v>
      </c>
      <c r="P1335" s="91" t="s">
        <v>43</v>
      </c>
      <c r="Q1335" s="91">
        <v>0</v>
      </c>
      <c r="R1335" s="91">
        <v>0</v>
      </c>
      <c r="S1335" s="91">
        <v>1</v>
      </c>
      <c r="T1335" s="91"/>
      <c r="U1335" s="91"/>
      <c r="V1335" s="91"/>
      <c r="W1335" s="91"/>
      <c r="X1335" s="91"/>
      <c r="Y1335" s="91"/>
      <c r="Z1335" s="91"/>
      <c r="AA1335" s="91"/>
      <c r="AB1335" s="91"/>
      <c r="AC1335" s="91"/>
      <c r="AD1335" s="91"/>
      <c r="AE1335" s="91"/>
      <c r="AF1335" s="91"/>
      <c r="AG1335" s="91"/>
      <c r="AH1335" s="91"/>
      <c r="AI1335" s="91"/>
      <c r="AJ1335" s="91"/>
      <c r="AK1335" s="91"/>
      <c r="AL1335" s="91"/>
      <c r="AM1335" s="91"/>
    </row>
    <row r="1336" spans="1:39" ht="20.25" hidden="1" customHeight="1">
      <c r="A1336" s="91"/>
      <c r="B1336" s="93" t="s">
        <v>4214</v>
      </c>
      <c r="C1336" s="91" t="s">
        <v>36</v>
      </c>
      <c r="D1336" s="94" t="s">
        <v>4251</v>
      </c>
      <c r="E1336" s="94" t="s">
        <v>4252</v>
      </c>
      <c r="F1336" s="95" t="s">
        <v>4253</v>
      </c>
      <c r="G1336" s="96">
        <v>40298</v>
      </c>
      <c r="H1336" s="97">
        <v>25190</v>
      </c>
      <c r="I1336" s="94" t="s">
        <v>4254</v>
      </c>
      <c r="J1336" s="94" t="s">
        <v>4219</v>
      </c>
      <c r="K1336" s="95">
        <v>999802982</v>
      </c>
      <c r="L1336" s="91" t="s">
        <v>72</v>
      </c>
      <c r="M1336" s="98">
        <f ca="1">(TODAY()-H1336)/365</f>
        <v>57.019178082191779</v>
      </c>
      <c r="N1336" s="99">
        <f>(G1336-H1336)/365</f>
        <v>41.391780821917806</v>
      </c>
      <c r="O1336" s="98">
        <f ca="1">(TODAY()-G1336)/365</f>
        <v>15.627397260273973</v>
      </c>
      <c r="P1336" s="91" t="s">
        <v>43</v>
      </c>
      <c r="Q1336" s="91">
        <v>1</v>
      </c>
      <c r="R1336" s="91">
        <v>1</v>
      </c>
      <c r="S1336" s="91">
        <v>0</v>
      </c>
      <c r="T1336" s="91"/>
      <c r="U1336" s="91"/>
      <c r="V1336" s="91"/>
      <c r="W1336" s="91"/>
      <c r="X1336" s="91"/>
      <c r="Y1336" s="91"/>
      <c r="Z1336" s="91"/>
      <c r="AA1336" s="91"/>
      <c r="AB1336" s="91"/>
      <c r="AC1336" s="91"/>
      <c r="AD1336" s="91"/>
      <c r="AE1336" s="91"/>
      <c r="AF1336" s="91"/>
      <c r="AG1336" s="91"/>
      <c r="AH1336" s="91"/>
      <c r="AI1336" s="91"/>
      <c r="AJ1336" s="91"/>
      <c r="AK1336" s="91"/>
      <c r="AL1336" s="91"/>
      <c r="AM1336" s="91"/>
    </row>
    <row r="1337" spans="1:39" ht="20.25" hidden="1" customHeight="1">
      <c r="A1337" s="91"/>
      <c r="B1337" s="93" t="s">
        <v>4214</v>
      </c>
      <c r="C1337" s="91" t="s">
        <v>36</v>
      </c>
      <c r="D1337" s="94" t="s">
        <v>4255</v>
      </c>
      <c r="E1337" s="94" t="s">
        <v>4256</v>
      </c>
      <c r="F1337" s="95" t="s">
        <v>4257</v>
      </c>
      <c r="G1337" s="96">
        <v>36012</v>
      </c>
      <c r="H1337" s="97">
        <v>19143</v>
      </c>
      <c r="I1337" s="94" t="s">
        <v>4258</v>
      </c>
      <c r="J1337" s="94" t="s">
        <v>4259</v>
      </c>
      <c r="K1337" s="95">
        <v>986899894</v>
      </c>
      <c r="L1337" s="91" t="s">
        <v>60</v>
      </c>
      <c r="M1337" s="98">
        <f ca="1">(TODAY()-H1337)/365</f>
        <v>73.586301369863008</v>
      </c>
      <c r="N1337" s="99">
        <f>(G1337-H1337)/365</f>
        <v>46.216438356164382</v>
      </c>
      <c r="O1337" s="98">
        <f ca="1">(TODAY()-G1337)/365</f>
        <v>27.36986301369863</v>
      </c>
      <c r="P1337" s="91" t="s">
        <v>43</v>
      </c>
      <c r="Q1337" s="91">
        <v>0</v>
      </c>
      <c r="R1337" s="91">
        <v>0</v>
      </c>
      <c r="S1337" s="91">
        <v>0</v>
      </c>
      <c r="T1337" s="91"/>
      <c r="U1337" s="91"/>
      <c r="V1337" s="91"/>
      <c r="W1337" s="91"/>
      <c r="X1337" s="91"/>
      <c r="Y1337" s="91"/>
      <c r="Z1337" s="91"/>
      <c r="AA1337" s="91"/>
      <c r="AB1337" s="91"/>
      <c r="AC1337" s="91"/>
      <c r="AD1337" s="91"/>
      <c r="AE1337" s="91"/>
      <c r="AF1337" s="91"/>
      <c r="AG1337" s="91"/>
      <c r="AH1337" s="91"/>
      <c r="AI1337" s="91"/>
      <c r="AJ1337" s="91"/>
      <c r="AK1337" s="91"/>
      <c r="AL1337" s="91"/>
      <c r="AM1337" s="91"/>
    </row>
    <row r="1338" spans="1:39" ht="20.25" hidden="1" customHeight="1">
      <c r="A1338" s="91"/>
      <c r="B1338" s="93" t="s">
        <v>4214</v>
      </c>
      <c r="C1338" s="91" t="s">
        <v>36</v>
      </c>
      <c r="D1338" s="94" t="s">
        <v>217</v>
      </c>
      <c r="E1338" s="94" t="s">
        <v>4260</v>
      </c>
      <c r="F1338" s="95" t="s">
        <v>4261</v>
      </c>
      <c r="G1338" s="96">
        <v>35219</v>
      </c>
      <c r="H1338" s="97">
        <v>18161</v>
      </c>
      <c r="I1338" s="94" t="s">
        <v>58</v>
      </c>
      <c r="J1338" s="94" t="s">
        <v>4262</v>
      </c>
      <c r="K1338" s="95">
        <v>984175059</v>
      </c>
      <c r="L1338" s="91" t="s">
        <v>60</v>
      </c>
      <c r="M1338" s="98">
        <f ca="1">(TODAY()-H1338)/365</f>
        <v>76.276712328767118</v>
      </c>
      <c r="N1338" s="99">
        <f>(G1338-H1338)/365</f>
        <v>46.734246575342468</v>
      </c>
      <c r="O1338" s="98">
        <f ca="1">(TODAY()-G1338)/365</f>
        <v>29.542465753424658</v>
      </c>
      <c r="P1338" s="91" t="s">
        <v>43</v>
      </c>
      <c r="Q1338" s="91">
        <v>0</v>
      </c>
      <c r="R1338" s="91">
        <v>0</v>
      </c>
      <c r="S1338" s="91">
        <v>0</v>
      </c>
      <c r="T1338" s="91"/>
      <c r="U1338" s="91"/>
      <c r="V1338" s="91"/>
      <c r="W1338" s="91"/>
      <c r="X1338" s="91"/>
      <c r="Y1338" s="91"/>
      <c r="Z1338" s="91"/>
      <c r="AA1338" s="91"/>
      <c r="AB1338" s="91"/>
      <c r="AC1338" s="91"/>
      <c r="AD1338" s="91"/>
      <c r="AE1338" s="91"/>
      <c r="AF1338" s="91"/>
      <c r="AG1338" s="91"/>
      <c r="AH1338" s="91"/>
      <c r="AI1338" s="91"/>
      <c r="AJ1338" s="91"/>
      <c r="AK1338" s="91"/>
      <c r="AL1338" s="91"/>
      <c r="AM1338" s="91"/>
    </row>
    <row r="1339" spans="1:39" ht="20.25" hidden="1" customHeight="1">
      <c r="A1339" s="91"/>
      <c r="B1339" s="93" t="s">
        <v>4214</v>
      </c>
      <c r="C1339" s="91" t="s">
        <v>36</v>
      </c>
      <c r="D1339" s="94" t="s">
        <v>4263</v>
      </c>
      <c r="E1339" s="94" t="s">
        <v>4264</v>
      </c>
      <c r="F1339" s="95" t="s">
        <v>4265</v>
      </c>
      <c r="G1339" s="96">
        <v>44626</v>
      </c>
      <c r="H1339" s="97">
        <v>26560</v>
      </c>
      <c r="I1339" s="94" t="s">
        <v>4266</v>
      </c>
      <c r="J1339" s="94" t="s">
        <v>4267</v>
      </c>
      <c r="K1339" s="95">
        <v>942400776</v>
      </c>
      <c r="L1339" s="91" t="s">
        <v>60</v>
      </c>
      <c r="M1339" s="98">
        <f ca="1">(TODAY()-H1339)/365</f>
        <v>53.265753424657532</v>
      </c>
      <c r="N1339" s="99">
        <f>(G1339-H1339)/365</f>
        <v>49.495890410958907</v>
      </c>
      <c r="O1339" s="98">
        <f ca="1">(TODAY()-G1339)/365</f>
        <v>3.7698630136986302</v>
      </c>
      <c r="P1339" s="91" t="s">
        <v>43</v>
      </c>
      <c r="Q1339" s="91">
        <v>0</v>
      </c>
      <c r="R1339" s="91">
        <v>0</v>
      </c>
      <c r="S1339" s="91">
        <v>0</v>
      </c>
      <c r="T1339" s="91"/>
      <c r="U1339" s="91"/>
      <c r="V1339" s="91"/>
      <c r="W1339" s="91"/>
      <c r="X1339" s="91"/>
      <c r="Y1339" s="91"/>
      <c r="Z1339" s="91"/>
      <c r="AA1339" s="91"/>
      <c r="AB1339" s="91"/>
      <c r="AC1339" s="91"/>
      <c r="AD1339" s="91"/>
      <c r="AE1339" s="91"/>
      <c r="AF1339" s="91"/>
      <c r="AG1339" s="91"/>
      <c r="AH1339" s="91"/>
      <c r="AI1339" s="91"/>
      <c r="AJ1339" s="91"/>
      <c r="AK1339" s="91"/>
      <c r="AL1339" s="91"/>
      <c r="AM1339" s="91"/>
    </row>
    <row r="1340" spans="1:39" ht="20.25" hidden="1" customHeight="1">
      <c r="A1340" s="91"/>
      <c r="B1340" s="93" t="s">
        <v>4214</v>
      </c>
      <c r="C1340" s="91" t="s">
        <v>36</v>
      </c>
      <c r="D1340" s="94" t="s">
        <v>4268</v>
      </c>
      <c r="E1340" s="94" t="s">
        <v>4269</v>
      </c>
      <c r="F1340" s="95" t="s">
        <v>4270</v>
      </c>
      <c r="G1340" s="96">
        <v>39372</v>
      </c>
      <c r="H1340" s="97">
        <v>20803</v>
      </c>
      <c r="I1340" s="94" t="s">
        <v>4271</v>
      </c>
      <c r="J1340" s="94" t="s">
        <v>4272</v>
      </c>
      <c r="K1340" s="95">
        <v>942260600</v>
      </c>
      <c r="L1340" s="91" t="s">
        <v>60</v>
      </c>
      <c r="M1340" s="98">
        <f ca="1">(TODAY()-H1340)/365</f>
        <v>69.038356164383558</v>
      </c>
      <c r="N1340" s="99">
        <f>(G1340-H1340)/365</f>
        <v>50.873972602739727</v>
      </c>
      <c r="O1340" s="98">
        <f ca="1">(TODAY()-G1340)/365</f>
        <v>18.164383561643834</v>
      </c>
      <c r="P1340" s="91" t="s">
        <v>43</v>
      </c>
      <c r="Q1340" s="91">
        <v>0</v>
      </c>
      <c r="R1340" s="91">
        <v>0</v>
      </c>
      <c r="S1340" s="91">
        <v>0</v>
      </c>
      <c r="T1340" s="91"/>
      <c r="U1340" s="91"/>
      <c r="V1340" s="91"/>
      <c r="W1340" s="91"/>
      <c r="X1340" s="91"/>
      <c r="Y1340" s="91"/>
      <c r="Z1340" s="91"/>
      <c r="AA1340" s="91"/>
      <c r="AB1340" s="91"/>
      <c r="AC1340" s="91"/>
      <c r="AD1340" s="91"/>
      <c r="AE1340" s="91"/>
      <c r="AF1340" s="91"/>
      <c r="AG1340" s="91"/>
      <c r="AH1340" s="91"/>
      <c r="AI1340" s="91"/>
      <c r="AJ1340" s="91"/>
      <c r="AK1340" s="91"/>
      <c r="AL1340" s="91"/>
      <c r="AM1340" s="91"/>
    </row>
    <row r="1341" spans="1:39" ht="20.25" hidden="1" customHeight="1">
      <c r="A1341" s="91"/>
      <c r="B1341" s="93" t="s">
        <v>4214</v>
      </c>
      <c r="C1341" s="91" t="s">
        <v>36</v>
      </c>
      <c r="D1341" s="94" t="s">
        <v>4273</v>
      </c>
      <c r="E1341" s="94" t="s">
        <v>4274</v>
      </c>
      <c r="F1341" s="95" t="s">
        <v>4275</v>
      </c>
      <c r="G1341" s="96">
        <v>38139</v>
      </c>
      <c r="H1341" s="97">
        <v>18462</v>
      </c>
      <c r="I1341" s="94" t="s">
        <v>4276</v>
      </c>
      <c r="J1341" s="94" t="s">
        <v>4277</v>
      </c>
      <c r="K1341" s="95">
        <v>962181362</v>
      </c>
      <c r="L1341" s="91" t="s">
        <v>54</v>
      </c>
      <c r="M1341" s="98">
        <f ca="1">(TODAY()-H1341)/365</f>
        <v>75.452054794520549</v>
      </c>
      <c r="N1341" s="99">
        <f>(G1341-H1341)/365</f>
        <v>53.909589041095892</v>
      </c>
      <c r="O1341" s="98">
        <f ca="1">(TODAY()-G1341)/365</f>
        <v>21.542465753424658</v>
      </c>
      <c r="P1341" s="91" t="s">
        <v>43</v>
      </c>
      <c r="Q1341" s="91">
        <v>0</v>
      </c>
      <c r="R1341" s="91">
        <v>0</v>
      </c>
      <c r="S1341" s="91">
        <v>0</v>
      </c>
      <c r="T1341" s="91"/>
      <c r="U1341" s="91"/>
      <c r="V1341" s="91"/>
      <c r="W1341" s="91"/>
      <c r="X1341" s="91"/>
      <c r="Y1341" s="91"/>
      <c r="Z1341" s="91"/>
      <c r="AA1341" s="91"/>
      <c r="AB1341" s="91"/>
      <c r="AC1341" s="91"/>
      <c r="AD1341" s="91"/>
      <c r="AE1341" s="91"/>
      <c r="AF1341" s="91"/>
      <c r="AG1341" s="91"/>
      <c r="AH1341" s="91"/>
      <c r="AI1341" s="91"/>
      <c r="AJ1341" s="91"/>
      <c r="AK1341" s="91"/>
      <c r="AL1341" s="91"/>
      <c r="AM1341" s="91"/>
    </row>
    <row r="1342" spans="1:39" ht="20.25" hidden="1" customHeight="1">
      <c r="A1342" s="91"/>
      <c r="B1342" s="93" t="s">
        <v>4214</v>
      </c>
      <c r="C1342" s="91" t="s">
        <v>36</v>
      </c>
      <c r="D1342" s="94" t="s">
        <v>4278</v>
      </c>
      <c r="E1342" s="94" t="s">
        <v>4279</v>
      </c>
      <c r="F1342" s="95" t="s">
        <v>4280</v>
      </c>
      <c r="G1342" s="96">
        <v>44301</v>
      </c>
      <c r="H1342" s="97">
        <v>22696</v>
      </c>
      <c r="I1342" s="94" t="s">
        <v>4281</v>
      </c>
      <c r="J1342" s="94" t="s">
        <v>4282</v>
      </c>
      <c r="K1342" s="95">
        <v>999030136</v>
      </c>
      <c r="L1342" s="91" t="s">
        <v>49</v>
      </c>
      <c r="M1342" s="98">
        <f ca="1">(TODAY()-H1342)/365</f>
        <v>63.852054794520548</v>
      </c>
      <c r="N1342" s="99">
        <f>(G1342-H1342)/365</f>
        <v>59.19178082191781</v>
      </c>
      <c r="O1342" s="98">
        <f ca="1">(TODAY()-G1342)/365</f>
        <v>4.6602739726027398</v>
      </c>
      <c r="P1342" s="91" t="s">
        <v>43</v>
      </c>
      <c r="Q1342" s="91">
        <v>1</v>
      </c>
      <c r="R1342" s="91">
        <v>1</v>
      </c>
      <c r="S1342" s="91">
        <v>0</v>
      </c>
      <c r="T1342" s="91"/>
      <c r="U1342" s="91"/>
      <c r="V1342" s="91"/>
      <c r="W1342" s="91"/>
      <c r="X1342" s="91"/>
      <c r="Y1342" s="91"/>
      <c r="Z1342" s="91"/>
      <c r="AA1342" s="91"/>
      <c r="AB1342" s="91"/>
      <c r="AC1342" s="91"/>
      <c r="AD1342" s="91"/>
      <c r="AE1342" s="91"/>
      <c r="AF1342" s="91"/>
      <c r="AG1342" s="91"/>
      <c r="AH1342" s="91"/>
      <c r="AI1342" s="91"/>
      <c r="AJ1342" s="91"/>
      <c r="AK1342" s="91"/>
      <c r="AL1342" s="91"/>
      <c r="AM1342" s="91"/>
    </row>
    <row r="1343" spans="1:39" ht="20.25" hidden="1" customHeight="1">
      <c r="A1343" s="91"/>
      <c r="B1343" s="93" t="s">
        <v>4214</v>
      </c>
      <c r="C1343" s="91" t="s">
        <v>36</v>
      </c>
      <c r="D1343" s="94" t="s">
        <v>4283</v>
      </c>
      <c r="E1343" s="94" t="s">
        <v>4284</v>
      </c>
      <c r="F1343" s="95" t="s">
        <v>4285</v>
      </c>
      <c r="G1343" s="96">
        <v>45355</v>
      </c>
      <c r="H1343" s="97">
        <v>22757</v>
      </c>
      <c r="I1343" s="94" t="s">
        <v>4286</v>
      </c>
      <c r="J1343" s="94" t="s">
        <v>4287</v>
      </c>
      <c r="K1343" s="95">
        <v>994890998</v>
      </c>
      <c r="L1343" s="91" t="s">
        <v>167</v>
      </c>
      <c r="M1343" s="98">
        <f ca="1">(TODAY()-H1343)/365</f>
        <v>63.684931506849317</v>
      </c>
      <c r="N1343" s="99">
        <f>(G1343-H1343)/365</f>
        <v>61.912328767123284</v>
      </c>
      <c r="O1343" s="98">
        <f ca="1">(TODAY()-G1343)/365</f>
        <v>1.7726027397260273</v>
      </c>
      <c r="P1343" s="91" t="s">
        <v>43</v>
      </c>
      <c r="Q1343" s="91">
        <v>0</v>
      </c>
      <c r="R1343" s="91">
        <v>0</v>
      </c>
      <c r="S1343" s="91">
        <v>0</v>
      </c>
      <c r="T1343" s="91"/>
      <c r="U1343" s="91"/>
      <c r="V1343" s="91"/>
      <c r="W1343" s="91"/>
      <c r="X1343" s="91"/>
      <c r="Y1343" s="91"/>
      <c r="Z1343" s="91"/>
      <c r="AA1343" s="91"/>
      <c r="AB1343" s="91"/>
      <c r="AC1343" s="91"/>
      <c r="AD1343" s="91"/>
      <c r="AE1343" s="91"/>
      <c r="AF1343" s="91"/>
      <c r="AG1343" s="91"/>
      <c r="AH1343" s="91"/>
      <c r="AI1343" s="91"/>
      <c r="AJ1343" s="91"/>
      <c r="AK1343" s="91"/>
      <c r="AL1343" s="91"/>
      <c r="AM1343" s="91"/>
    </row>
    <row r="1344" spans="1:39" ht="20.25" hidden="1" customHeight="1">
      <c r="A1344" s="91"/>
      <c r="B1344" s="93" t="s">
        <v>4214</v>
      </c>
      <c r="C1344" s="91" t="s">
        <v>36</v>
      </c>
      <c r="D1344" s="94" t="s">
        <v>4288</v>
      </c>
      <c r="E1344" s="94" t="s">
        <v>4289</v>
      </c>
      <c r="F1344" s="95" t="s">
        <v>4290</v>
      </c>
      <c r="G1344" s="96">
        <v>44657</v>
      </c>
      <c r="H1344" s="97">
        <v>20719</v>
      </c>
      <c r="I1344" s="94" t="s">
        <v>4291</v>
      </c>
      <c r="J1344" s="94" t="s">
        <v>4292</v>
      </c>
      <c r="K1344" s="95">
        <v>958730403</v>
      </c>
      <c r="L1344" s="91" t="s">
        <v>60</v>
      </c>
      <c r="M1344" s="98">
        <f ca="1">(TODAY()-H1344)/365</f>
        <v>69.268493150684932</v>
      </c>
      <c r="N1344" s="99">
        <f>(G1344-H1344)/365</f>
        <v>65.583561643835623</v>
      </c>
      <c r="O1344" s="98">
        <f ca="1">(TODAY()-G1344)/365</f>
        <v>3.6849315068493151</v>
      </c>
      <c r="P1344" s="91" t="s">
        <v>43</v>
      </c>
      <c r="Q1344" s="91">
        <v>0</v>
      </c>
      <c r="R1344" s="91">
        <v>0</v>
      </c>
      <c r="S1344" s="91">
        <v>0</v>
      </c>
      <c r="T1344" s="91"/>
      <c r="U1344" s="91"/>
      <c r="V1344" s="91"/>
      <c r="W1344" s="91"/>
      <c r="X1344" s="91"/>
      <c r="Y1344" s="91"/>
      <c r="Z1344" s="91"/>
      <c r="AA1344" s="91"/>
      <c r="AB1344" s="91"/>
      <c r="AC1344" s="91"/>
      <c r="AD1344" s="91"/>
      <c r="AE1344" s="91"/>
      <c r="AF1344" s="91"/>
      <c r="AG1344" s="91"/>
      <c r="AH1344" s="91"/>
      <c r="AI1344" s="91"/>
      <c r="AJ1344" s="91"/>
      <c r="AK1344" s="91"/>
      <c r="AL1344" s="91"/>
      <c r="AM1344" s="91"/>
    </row>
    <row r="1345" spans="1:39" ht="20.25" hidden="1" customHeight="1">
      <c r="A1345" s="91"/>
      <c r="B1345" s="93" t="s">
        <v>4214</v>
      </c>
      <c r="C1345" s="91" t="s">
        <v>36</v>
      </c>
      <c r="D1345" s="94" t="s">
        <v>4293</v>
      </c>
      <c r="E1345" s="94" t="s">
        <v>4294</v>
      </c>
      <c r="F1345" s="95" t="s">
        <v>4295</v>
      </c>
      <c r="G1345" s="96">
        <v>39617</v>
      </c>
      <c r="H1345" s="97">
        <v>15266</v>
      </c>
      <c r="I1345" s="94" t="s">
        <v>4296</v>
      </c>
      <c r="J1345" s="94" t="s">
        <v>4297</v>
      </c>
      <c r="K1345" s="95">
        <v>973489544</v>
      </c>
      <c r="L1345" s="91" t="s">
        <v>60</v>
      </c>
      <c r="M1345" s="98">
        <f ca="1">(TODAY()-H1345)/365</f>
        <v>84.208219178082189</v>
      </c>
      <c r="N1345" s="99">
        <f>(G1345-H1345)/365</f>
        <v>66.715068493150682</v>
      </c>
      <c r="O1345" s="98">
        <f ca="1">(TODAY()-G1345)/365</f>
        <v>17.493150684931507</v>
      </c>
      <c r="P1345" s="91" t="s">
        <v>43</v>
      </c>
      <c r="Q1345" s="91">
        <v>0</v>
      </c>
      <c r="R1345" s="91">
        <v>0</v>
      </c>
      <c r="S1345" s="91">
        <v>0</v>
      </c>
      <c r="T1345" s="91"/>
      <c r="U1345" s="91"/>
      <c r="V1345" s="91"/>
      <c r="W1345" s="91"/>
      <c r="X1345" s="91"/>
      <c r="Y1345" s="91"/>
      <c r="Z1345" s="91"/>
      <c r="AA1345" s="91"/>
      <c r="AB1345" s="91"/>
      <c r="AC1345" s="91"/>
      <c r="AD1345" s="91"/>
      <c r="AE1345" s="91"/>
      <c r="AF1345" s="91"/>
      <c r="AG1345" s="91"/>
      <c r="AH1345" s="91"/>
      <c r="AI1345" s="91"/>
      <c r="AJ1345" s="91"/>
      <c r="AK1345" s="91"/>
      <c r="AL1345" s="91"/>
      <c r="AM1345" s="91"/>
    </row>
    <row r="1346" spans="1:39" ht="20.25" hidden="1" customHeight="1">
      <c r="A1346" s="91"/>
      <c r="B1346" s="93" t="s">
        <v>4214</v>
      </c>
      <c r="C1346" s="91" t="s">
        <v>36</v>
      </c>
      <c r="D1346" s="94" t="s">
        <v>4298</v>
      </c>
      <c r="E1346" s="94" t="s">
        <v>4299</v>
      </c>
      <c r="F1346" s="95" t="s">
        <v>4300</v>
      </c>
      <c r="G1346" s="96">
        <v>40255</v>
      </c>
      <c r="H1346" s="97">
        <v>15849</v>
      </c>
      <c r="I1346" s="94" t="s">
        <v>4301</v>
      </c>
      <c r="J1346" s="94" t="s">
        <v>4302</v>
      </c>
      <c r="K1346" s="95">
        <v>990752530</v>
      </c>
      <c r="L1346" s="91" t="s">
        <v>60</v>
      </c>
      <c r="M1346" s="98">
        <f ca="1">(TODAY()-H1346)/365</f>
        <v>82.610958904109594</v>
      </c>
      <c r="N1346" s="99">
        <f>(G1346-H1346)/365</f>
        <v>66.865753424657541</v>
      </c>
      <c r="O1346" s="98">
        <f ca="1">(TODAY()-G1346)/365</f>
        <v>15.745205479452055</v>
      </c>
      <c r="P1346" s="91" t="s">
        <v>43</v>
      </c>
      <c r="Q1346" s="91">
        <v>0</v>
      </c>
      <c r="R1346" s="91">
        <v>0</v>
      </c>
      <c r="S1346" s="91">
        <v>0</v>
      </c>
      <c r="T1346" s="91"/>
      <c r="U1346" s="91"/>
      <c r="V1346" s="91"/>
      <c r="W1346" s="91"/>
      <c r="X1346" s="91"/>
      <c r="Y1346" s="91"/>
      <c r="Z1346" s="91"/>
      <c r="AA1346" s="91"/>
      <c r="AB1346" s="91"/>
      <c r="AC1346" s="91"/>
      <c r="AD1346" s="91"/>
      <c r="AE1346" s="91"/>
      <c r="AF1346" s="91"/>
      <c r="AG1346" s="91"/>
      <c r="AH1346" s="91"/>
      <c r="AI1346" s="91"/>
      <c r="AJ1346" s="91"/>
      <c r="AK1346" s="91"/>
      <c r="AL1346" s="91"/>
      <c r="AM1346" s="91"/>
    </row>
    <row r="1347" spans="1:39" ht="20.25" hidden="1" customHeight="1">
      <c r="A1347" s="91"/>
      <c r="B1347" s="93" t="s">
        <v>4303</v>
      </c>
      <c r="C1347" s="91" t="s">
        <v>36</v>
      </c>
      <c r="D1347" s="107" t="s">
        <v>459</v>
      </c>
      <c r="E1347" s="107" t="s">
        <v>4304</v>
      </c>
      <c r="F1347" s="91">
        <v>65773619</v>
      </c>
      <c r="G1347" s="96">
        <v>25921</v>
      </c>
      <c r="H1347" s="97">
        <v>17992</v>
      </c>
      <c r="I1347" s="100" t="s">
        <v>4305</v>
      </c>
      <c r="J1347" s="100" t="s">
        <v>58</v>
      </c>
      <c r="K1347" s="91" t="s">
        <v>58</v>
      </c>
      <c r="L1347" s="91" t="s">
        <v>66</v>
      </c>
      <c r="M1347" s="98">
        <f ca="1">(TODAY()-H1347)/365</f>
        <v>76.739726027397253</v>
      </c>
      <c r="N1347" s="99">
        <f>(G1347-H1347)/365</f>
        <v>21.723287671232878</v>
      </c>
      <c r="O1347" s="98">
        <f ca="1">(TODAY()-G1347)/365</f>
        <v>55.016438356164386</v>
      </c>
      <c r="P1347" s="91" t="s">
        <v>43</v>
      </c>
      <c r="Q1347" s="91">
        <v>0</v>
      </c>
      <c r="R1347" s="91">
        <v>0</v>
      </c>
      <c r="S1347" s="91">
        <v>0</v>
      </c>
      <c r="T1347" s="91"/>
      <c r="U1347" s="91"/>
      <c r="V1347" s="91"/>
      <c r="W1347" s="91"/>
      <c r="X1347" s="91"/>
      <c r="Y1347" s="91"/>
      <c r="Z1347" s="91"/>
      <c r="AA1347" s="91"/>
      <c r="AB1347" s="91"/>
      <c r="AC1347" s="91"/>
      <c r="AD1347" s="91"/>
      <c r="AE1347" s="91"/>
      <c r="AF1347" s="91"/>
      <c r="AG1347" s="91"/>
      <c r="AH1347" s="91"/>
      <c r="AI1347" s="91"/>
      <c r="AJ1347" s="91"/>
      <c r="AK1347" s="91"/>
      <c r="AL1347" s="91"/>
      <c r="AM1347" s="91"/>
    </row>
    <row r="1348" spans="1:39" ht="20.25" hidden="1" customHeight="1">
      <c r="A1348" s="91"/>
      <c r="B1348" s="93" t="s">
        <v>4303</v>
      </c>
      <c r="C1348" s="91" t="s">
        <v>36</v>
      </c>
      <c r="D1348" s="107" t="s">
        <v>2455</v>
      </c>
      <c r="E1348" s="107" t="s">
        <v>4306</v>
      </c>
      <c r="F1348" s="91" t="s">
        <v>4307</v>
      </c>
      <c r="G1348" s="96">
        <v>31819</v>
      </c>
      <c r="H1348" s="97">
        <v>19869</v>
      </c>
      <c r="I1348" s="100" t="s">
        <v>4308</v>
      </c>
      <c r="J1348" s="100" t="s">
        <v>58</v>
      </c>
      <c r="K1348" s="91" t="s">
        <v>58</v>
      </c>
      <c r="L1348" s="91" t="s">
        <v>42</v>
      </c>
      <c r="M1348" s="98">
        <f ca="1">(TODAY()-H1348)/365</f>
        <v>71.597260273972609</v>
      </c>
      <c r="N1348" s="99">
        <f>(G1348-H1348)/365</f>
        <v>32.739726027397261</v>
      </c>
      <c r="O1348" s="98">
        <f ca="1">(TODAY()-G1348)/365</f>
        <v>38.857534246575341</v>
      </c>
      <c r="P1348" s="91" t="s">
        <v>43</v>
      </c>
      <c r="Q1348" s="91">
        <v>0</v>
      </c>
      <c r="R1348" s="91">
        <v>0</v>
      </c>
      <c r="S1348" s="91">
        <v>0</v>
      </c>
      <c r="T1348" s="91"/>
      <c r="U1348" s="91"/>
      <c r="V1348" s="91"/>
      <c r="W1348" s="91"/>
      <c r="X1348" s="91"/>
      <c r="Y1348" s="91"/>
      <c r="Z1348" s="91"/>
      <c r="AA1348" s="91"/>
      <c r="AB1348" s="91"/>
      <c r="AC1348" s="91"/>
      <c r="AD1348" s="91"/>
      <c r="AE1348" s="91"/>
      <c r="AF1348" s="91"/>
      <c r="AG1348" s="91"/>
      <c r="AH1348" s="91"/>
      <c r="AI1348" s="91"/>
      <c r="AJ1348" s="91"/>
      <c r="AK1348" s="91"/>
      <c r="AL1348" s="91"/>
      <c r="AM1348" s="91"/>
    </row>
    <row r="1349" spans="1:39" ht="20.25" hidden="1" customHeight="1">
      <c r="A1349" s="91"/>
      <c r="B1349" s="93" t="s">
        <v>4303</v>
      </c>
      <c r="C1349" s="91" t="s">
        <v>36</v>
      </c>
      <c r="D1349" s="107" t="s">
        <v>346</v>
      </c>
      <c r="E1349" s="107" t="s">
        <v>4309</v>
      </c>
      <c r="F1349" s="91">
        <v>86550326</v>
      </c>
      <c r="G1349" s="96">
        <v>33539</v>
      </c>
      <c r="H1349" s="97">
        <v>21211</v>
      </c>
      <c r="I1349" s="100" t="s">
        <v>4310</v>
      </c>
      <c r="J1349" s="100" t="s">
        <v>58</v>
      </c>
      <c r="K1349" s="91" t="s">
        <v>58</v>
      </c>
      <c r="L1349" s="91" t="s">
        <v>60</v>
      </c>
      <c r="M1349" s="98">
        <f ca="1">(TODAY()-H1349)/365</f>
        <v>67.920547945205485</v>
      </c>
      <c r="N1349" s="99">
        <f>(G1349-H1349)/365</f>
        <v>33.775342465753425</v>
      </c>
      <c r="O1349" s="98">
        <f ca="1">(TODAY()-G1349)/365</f>
        <v>34.145205479452052</v>
      </c>
      <c r="P1349" s="91" t="s">
        <v>43</v>
      </c>
      <c r="Q1349" s="91">
        <v>0</v>
      </c>
      <c r="R1349" s="91">
        <v>0</v>
      </c>
      <c r="S1349" s="91">
        <v>0</v>
      </c>
      <c r="T1349" s="91"/>
      <c r="U1349" s="91"/>
      <c r="V1349" s="91"/>
      <c r="W1349" s="91"/>
      <c r="X1349" s="91"/>
      <c r="Y1349" s="91"/>
      <c r="Z1349" s="91"/>
      <c r="AA1349" s="91"/>
      <c r="AB1349" s="91"/>
      <c r="AC1349" s="91"/>
      <c r="AD1349" s="91"/>
      <c r="AE1349" s="91"/>
      <c r="AF1349" s="91"/>
      <c r="AG1349" s="91"/>
      <c r="AH1349" s="91"/>
      <c r="AI1349" s="91"/>
      <c r="AJ1349" s="91"/>
      <c r="AK1349" s="91"/>
      <c r="AL1349" s="91"/>
      <c r="AM1349" s="91"/>
    </row>
    <row r="1350" spans="1:39" ht="20.25" hidden="1" customHeight="1">
      <c r="A1350" s="91"/>
      <c r="B1350" s="93" t="s">
        <v>4303</v>
      </c>
      <c r="C1350" s="91" t="s">
        <v>36</v>
      </c>
      <c r="D1350" s="107" t="s">
        <v>4311</v>
      </c>
      <c r="E1350" s="107" t="s">
        <v>4312</v>
      </c>
      <c r="F1350" s="91" t="s">
        <v>4313</v>
      </c>
      <c r="G1350" s="96">
        <v>39933</v>
      </c>
      <c r="H1350" s="97">
        <v>19102</v>
      </c>
      <c r="I1350" s="100" t="s">
        <v>4314</v>
      </c>
      <c r="J1350" s="100" t="s">
        <v>58</v>
      </c>
      <c r="K1350" s="91" t="s">
        <v>58</v>
      </c>
      <c r="L1350" s="91" t="s">
        <v>72</v>
      </c>
      <c r="M1350" s="98">
        <f ca="1">(TODAY()-H1350)/365</f>
        <v>73.698630136986296</v>
      </c>
      <c r="N1350" s="99">
        <f>(G1350-H1350)/365</f>
        <v>57.07123287671233</v>
      </c>
      <c r="O1350" s="98">
        <f ca="1">(TODAY()-G1350)/365</f>
        <v>16.627397260273973</v>
      </c>
      <c r="P1350" s="91" t="s">
        <v>43</v>
      </c>
      <c r="Q1350" s="91">
        <v>0</v>
      </c>
      <c r="R1350" s="91">
        <v>0</v>
      </c>
      <c r="S1350" s="91">
        <v>0</v>
      </c>
      <c r="T1350" s="91"/>
      <c r="U1350" s="91"/>
      <c r="V1350" s="91"/>
      <c r="W1350" s="91"/>
      <c r="X1350" s="91"/>
      <c r="Y1350" s="91"/>
      <c r="Z1350" s="91"/>
      <c r="AA1350" s="91"/>
      <c r="AB1350" s="91"/>
      <c r="AC1350" s="91"/>
      <c r="AD1350" s="91"/>
      <c r="AE1350" s="91"/>
      <c r="AF1350" s="91"/>
      <c r="AG1350" s="91"/>
      <c r="AH1350" s="91"/>
      <c r="AI1350" s="91"/>
      <c r="AJ1350" s="91"/>
      <c r="AK1350" s="91"/>
      <c r="AL1350" s="91"/>
      <c r="AM1350" s="91"/>
    </row>
    <row r="1351" spans="1:39" ht="20.25" hidden="1" customHeight="1">
      <c r="A1351" s="91"/>
      <c r="B1351" s="93" t="s">
        <v>4303</v>
      </c>
      <c r="C1351" s="91" t="s">
        <v>36</v>
      </c>
      <c r="D1351" s="107" t="s">
        <v>4315</v>
      </c>
      <c r="E1351" s="107" t="s">
        <v>4316</v>
      </c>
      <c r="F1351" s="91" t="s">
        <v>4317</v>
      </c>
      <c r="G1351" s="96">
        <v>42775</v>
      </c>
      <c r="H1351" s="97">
        <v>20644</v>
      </c>
      <c r="I1351" s="100" t="s">
        <v>4318</v>
      </c>
      <c r="J1351" s="100" t="s">
        <v>58</v>
      </c>
      <c r="K1351" s="91" t="s">
        <v>58</v>
      </c>
      <c r="L1351" s="91" t="s">
        <v>49</v>
      </c>
      <c r="M1351" s="98">
        <f ca="1">(TODAY()-H1351)/365</f>
        <v>69.473972602739721</v>
      </c>
      <c r="N1351" s="99">
        <f>(G1351-H1351)/365</f>
        <v>60.632876712328766</v>
      </c>
      <c r="O1351" s="98">
        <f ca="1">(TODAY()-G1351)/365</f>
        <v>8.8410958904109584</v>
      </c>
      <c r="P1351" s="91" t="s">
        <v>43</v>
      </c>
      <c r="Q1351" s="91">
        <v>0</v>
      </c>
      <c r="R1351" s="91">
        <v>0</v>
      </c>
      <c r="S1351" s="91">
        <v>0</v>
      </c>
      <c r="T1351" s="91"/>
      <c r="U1351" s="91"/>
      <c r="V1351" s="91"/>
      <c r="W1351" s="91"/>
      <c r="X1351" s="91"/>
      <c r="Y1351" s="91"/>
      <c r="Z1351" s="91"/>
      <c r="AA1351" s="91"/>
      <c r="AB1351" s="91"/>
      <c r="AC1351" s="91"/>
      <c r="AD1351" s="91"/>
      <c r="AE1351" s="91"/>
      <c r="AF1351" s="91"/>
      <c r="AG1351" s="91"/>
      <c r="AH1351" s="91"/>
      <c r="AI1351" s="91"/>
      <c r="AJ1351" s="91"/>
      <c r="AK1351" s="91"/>
      <c r="AL1351" s="91"/>
      <c r="AM1351" s="91"/>
    </row>
    <row r="1352" spans="1:39" ht="20.25" hidden="1" customHeight="1">
      <c r="A1352" s="91"/>
      <c r="B1352" s="93" t="s">
        <v>4303</v>
      </c>
      <c r="C1352" s="91" t="s">
        <v>36</v>
      </c>
      <c r="D1352" s="107" t="s">
        <v>2500</v>
      </c>
      <c r="E1352" s="107" t="s">
        <v>4319</v>
      </c>
      <c r="F1352" s="91" t="s">
        <v>4320</v>
      </c>
      <c r="G1352" s="96">
        <v>41583</v>
      </c>
      <c r="H1352" s="97">
        <v>19052</v>
      </c>
      <c r="I1352" s="100" t="s">
        <v>4321</v>
      </c>
      <c r="J1352" s="100" t="s">
        <v>58</v>
      </c>
      <c r="K1352" s="91" t="s">
        <v>58</v>
      </c>
      <c r="L1352" s="91" t="s">
        <v>54</v>
      </c>
      <c r="M1352" s="98">
        <f ca="1">(TODAY()-H1352)/365</f>
        <v>73.835616438356169</v>
      </c>
      <c r="N1352" s="99">
        <f>(G1352-H1352)/365</f>
        <v>61.728767123287675</v>
      </c>
      <c r="O1352" s="98">
        <f ca="1">(TODAY()-G1352)/365</f>
        <v>12.106849315068493</v>
      </c>
      <c r="P1352" s="91" t="s">
        <v>43</v>
      </c>
      <c r="Q1352" s="91">
        <v>0</v>
      </c>
      <c r="R1352" s="91">
        <v>0</v>
      </c>
      <c r="S1352" s="91">
        <v>0</v>
      </c>
      <c r="T1352" s="91"/>
      <c r="U1352" s="91"/>
      <c r="V1352" s="91"/>
      <c r="W1352" s="91"/>
      <c r="X1352" s="91"/>
      <c r="Y1352" s="91"/>
      <c r="Z1352" s="91"/>
      <c r="AA1352" s="91"/>
      <c r="AB1352" s="91"/>
      <c r="AC1352" s="91"/>
      <c r="AD1352" s="91"/>
      <c r="AE1352" s="91"/>
      <c r="AF1352" s="91"/>
      <c r="AG1352" s="91"/>
      <c r="AH1352" s="91"/>
      <c r="AI1352" s="91"/>
      <c r="AJ1352" s="91"/>
      <c r="AK1352" s="91"/>
      <c r="AL1352" s="91"/>
      <c r="AM1352" s="91"/>
    </row>
    <row r="1353" spans="1:39" ht="20.25" hidden="1" customHeight="1">
      <c r="A1353" s="91"/>
      <c r="B1353" s="93" t="s">
        <v>4303</v>
      </c>
      <c r="C1353" s="91" t="s">
        <v>36</v>
      </c>
      <c r="D1353" s="107" t="s">
        <v>4322</v>
      </c>
      <c r="E1353" s="107" t="s">
        <v>4323</v>
      </c>
      <c r="F1353" s="91">
        <v>54243650</v>
      </c>
      <c r="G1353" s="96">
        <v>43126</v>
      </c>
      <c r="H1353" s="97">
        <v>17992</v>
      </c>
      <c r="I1353" s="100" t="s">
        <v>58</v>
      </c>
      <c r="J1353" s="100" t="s">
        <v>58</v>
      </c>
      <c r="K1353" s="91" t="s">
        <v>58</v>
      </c>
      <c r="L1353" s="91" t="s">
        <v>60</v>
      </c>
      <c r="M1353" s="98">
        <f ca="1">(TODAY()-H1353)/365</f>
        <v>76.739726027397253</v>
      </c>
      <c r="N1353" s="99">
        <f>(G1353-H1353)/365</f>
        <v>68.860273972602741</v>
      </c>
      <c r="O1353" s="98">
        <f ca="1">(TODAY()-G1353)/365</f>
        <v>7.8794520547945206</v>
      </c>
      <c r="P1353" s="91" t="s">
        <v>43</v>
      </c>
      <c r="Q1353" s="91">
        <v>0</v>
      </c>
      <c r="R1353" s="91">
        <v>0</v>
      </c>
      <c r="S1353" s="91">
        <v>0</v>
      </c>
      <c r="T1353" s="91"/>
      <c r="U1353" s="91"/>
      <c r="V1353" s="91"/>
      <c r="W1353" s="91"/>
      <c r="X1353" s="91"/>
      <c r="Y1353" s="91"/>
      <c r="Z1353" s="91"/>
      <c r="AA1353" s="91"/>
      <c r="AB1353" s="91"/>
      <c r="AC1353" s="91"/>
      <c r="AD1353" s="91"/>
      <c r="AE1353" s="91"/>
      <c r="AF1353" s="91"/>
      <c r="AG1353" s="91"/>
      <c r="AH1353" s="91"/>
      <c r="AI1353" s="91"/>
      <c r="AJ1353" s="91"/>
      <c r="AK1353" s="91"/>
      <c r="AL1353" s="91"/>
      <c r="AM1353" s="91"/>
    </row>
    <row r="1354" spans="1:39" ht="20.25" hidden="1" customHeight="1">
      <c r="A1354" s="91"/>
      <c r="B1354" s="93" t="s">
        <v>4303</v>
      </c>
      <c r="C1354" s="91" t="s">
        <v>36</v>
      </c>
      <c r="D1354" s="107" t="s">
        <v>346</v>
      </c>
      <c r="E1354" s="107" t="s">
        <v>4324</v>
      </c>
      <c r="F1354" s="91">
        <v>108809795</v>
      </c>
      <c r="G1354" s="96">
        <v>45108</v>
      </c>
      <c r="H1354" s="97">
        <v>18222</v>
      </c>
      <c r="I1354" s="100" t="s">
        <v>4325</v>
      </c>
      <c r="J1354" s="100" t="s">
        <v>58</v>
      </c>
      <c r="K1354" s="91" t="s">
        <v>58</v>
      </c>
      <c r="L1354" s="91" t="s">
        <v>197</v>
      </c>
      <c r="M1354" s="98">
        <f ca="1">(TODAY()-H1354)/365</f>
        <v>76.109589041095887</v>
      </c>
      <c r="N1354" s="99">
        <f>(G1354-H1354)/365</f>
        <v>73.660273972602738</v>
      </c>
      <c r="O1354" s="98">
        <f ca="1">(TODAY()-G1354)/365</f>
        <v>2.4493150684931506</v>
      </c>
      <c r="P1354" s="91" t="s">
        <v>43</v>
      </c>
      <c r="Q1354" s="91">
        <v>0</v>
      </c>
      <c r="R1354" s="91">
        <v>0</v>
      </c>
      <c r="S1354" s="91">
        <v>0</v>
      </c>
      <c r="T1354" s="91"/>
      <c r="U1354" s="91"/>
      <c r="V1354" s="91"/>
      <c r="W1354" s="91"/>
      <c r="X1354" s="91"/>
      <c r="Y1354" s="91"/>
      <c r="Z1354" s="91"/>
      <c r="AA1354" s="91"/>
      <c r="AB1354" s="91"/>
      <c r="AC1354" s="91"/>
      <c r="AD1354" s="91"/>
      <c r="AE1354" s="91"/>
      <c r="AF1354" s="91"/>
      <c r="AG1354" s="91"/>
      <c r="AH1354" s="91"/>
      <c r="AI1354" s="91"/>
      <c r="AJ1354" s="91"/>
      <c r="AK1354" s="91"/>
      <c r="AL1354" s="91"/>
      <c r="AM1354" s="91"/>
    </row>
    <row r="1355" spans="1:39" ht="20.25" customHeight="1">
      <c r="A1355" s="91"/>
      <c r="B1355" s="93" t="s">
        <v>3374</v>
      </c>
      <c r="C1355" s="91" t="s">
        <v>73</v>
      </c>
      <c r="D1355" s="107" t="s">
        <v>3435</v>
      </c>
      <c r="E1355" s="107" t="s">
        <v>3436</v>
      </c>
      <c r="F1355" s="91" t="s">
        <v>3437</v>
      </c>
      <c r="G1355" s="96">
        <v>45619</v>
      </c>
      <c r="H1355" s="97">
        <v>35046</v>
      </c>
      <c r="I1355" s="100" t="s">
        <v>3438</v>
      </c>
      <c r="J1355" s="94" t="s">
        <v>58</v>
      </c>
      <c r="K1355" s="95" t="s">
        <v>58</v>
      </c>
      <c r="L1355" s="91" t="s">
        <v>60</v>
      </c>
      <c r="M1355" s="98">
        <f ca="1">(TODAY()-H1355)/365</f>
        <v>30.016438356164382</v>
      </c>
      <c r="N1355" s="99">
        <f>(G1355-H1355)/365</f>
        <v>28.967123287671232</v>
      </c>
      <c r="O1355" s="98">
        <f ca="1">(TODAY()-G1355)/365</f>
        <v>1.0493150684931507</v>
      </c>
      <c r="P1355" s="91" t="s">
        <v>43</v>
      </c>
      <c r="Q1355" s="91"/>
      <c r="R1355" s="91"/>
      <c r="S1355" s="91"/>
      <c r="T1355" s="91"/>
      <c r="U1355" s="91"/>
      <c r="V1355" s="91"/>
      <c r="W1355" s="91"/>
      <c r="X1355" s="91"/>
      <c r="Y1355" s="91"/>
      <c r="Z1355" s="91"/>
      <c r="AA1355" s="91"/>
      <c r="AB1355" s="91"/>
      <c r="AC1355" s="91"/>
      <c r="AD1355" s="91"/>
      <c r="AE1355" s="91"/>
      <c r="AF1355" s="91"/>
      <c r="AG1355" s="91"/>
      <c r="AH1355" s="91"/>
      <c r="AI1355" s="91"/>
      <c r="AJ1355" s="91"/>
      <c r="AK1355" s="91"/>
      <c r="AL1355" s="91"/>
      <c r="AM1355" s="91"/>
    </row>
    <row r="1356" spans="1:39" ht="20.25" hidden="1" customHeight="1">
      <c r="A1356" s="91"/>
      <c r="B1356" s="93" t="s">
        <v>4326</v>
      </c>
      <c r="C1356" s="91" t="s">
        <v>36</v>
      </c>
      <c r="D1356" s="107" t="s">
        <v>4330</v>
      </c>
      <c r="E1356" s="107" t="s">
        <v>4331</v>
      </c>
      <c r="F1356" s="91" t="s">
        <v>4332</v>
      </c>
      <c r="G1356" s="96">
        <v>37442</v>
      </c>
      <c r="H1356" s="96">
        <v>27613</v>
      </c>
      <c r="I1356" s="94" t="s">
        <v>4333</v>
      </c>
      <c r="J1356" s="94" t="s">
        <v>4334</v>
      </c>
      <c r="K1356" s="92">
        <v>954949064</v>
      </c>
      <c r="L1356" s="91" t="s">
        <v>60</v>
      </c>
      <c r="M1356" s="98">
        <f ca="1">(TODAY()-H1356)/365</f>
        <v>50.38082191780822</v>
      </c>
      <c r="N1356" s="99">
        <f>(G1356-H1356)/365</f>
        <v>26.92876712328767</v>
      </c>
      <c r="O1356" s="98">
        <f ca="1">(TODAY()-G1356)/365</f>
        <v>23.452054794520549</v>
      </c>
      <c r="P1356" s="91" t="s">
        <v>43</v>
      </c>
      <c r="Q1356" s="91">
        <v>0</v>
      </c>
      <c r="R1356" s="91">
        <v>0</v>
      </c>
      <c r="S1356" s="91">
        <v>0</v>
      </c>
      <c r="T1356" s="91"/>
      <c r="U1356" s="91"/>
      <c r="V1356" s="91"/>
      <c r="W1356" s="91"/>
      <c r="X1356" s="91"/>
      <c r="Y1356" s="91"/>
      <c r="Z1356" s="91"/>
      <c r="AA1356" s="91"/>
      <c r="AB1356" s="91"/>
      <c r="AC1356" s="91"/>
      <c r="AD1356" s="91"/>
      <c r="AE1356" s="91"/>
      <c r="AF1356" s="91"/>
      <c r="AG1356" s="91"/>
      <c r="AH1356" s="91"/>
      <c r="AI1356" s="91"/>
      <c r="AJ1356" s="91"/>
      <c r="AK1356" s="91"/>
      <c r="AL1356" s="91"/>
      <c r="AM1356" s="91"/>
    </row>
    <row r="1357" spans="1:39" ht="20.25" hidden="1" customHeight="1">
      <c r="A1357" s="91"/>
      <c r="B1357" s="93" t="s">
        <v>4326</v>
      </c>
      <c r="C1357" s="91" t="s">
        <v>36</v>
      </c>
      <c r="D1357" s="107" t="s">
        <v>4335</v>
      </c>
      <c r="E1357" s="107" t="s">
        <v>4336</v>
      </c>
      <c r="F1357" s="91" t="s">
        <v>4337</v>
      </c>
      <c r="G1357" s="96">
        <v>40273</v>
      </c>
      <c r="H1357" s="96">
        <v>18744</v>
      </c>
      <c r="I1357" s="94" t="s">
        <v>4338</v>
      </c>
      <c r="J1357" s="94" t="s">
        <v>4339</v>
      </c>
      <c r="K1357" s="92">
        <v>972418477</v>
      </c>
      <c r="L1357" s="91" t="s">
        <v>60</v>
      </c>
      <c r="M1357" s="98">
        <f ca="1">(TODAY()-H1357)/365</f>
        <v>74.679452054794524</v>
      </c>
      <c r="N1357" s="99">
        <f>(G1357-H1357)/365</f>
        <v>58.983561643835614</v>
      </c>
      <c r="O1357" s="98">
        <f ca="1">(TODAY()-G1357)/365</f>
        <v>15.695890410958905</v>
      </c>
      <c r="P1357" s="91" t="s">
        <v>43</v>
      </c>
      <c r="Q1357" s="91">
        <v>0</v>
      </c>
      <c r="R1357" s="91">
        <v>0</v>
      </c>
      <c r="S1357" s="91">
        <v>0</v>
      </c>
      <c r="T1357" s="91"/>
      <c r="U1357" s="91"/>
      <c r="V1357" s="91"/>
      <c r="W1357" s="91"/>
      <c r="X1357" s="91"/>
      <c r="Y1357" s="91"/>
      <c r="Z1357" s="91"/>
      <c r="AA1357" s="91"/>
      <c r="AB1357" s="91"/>
      <c r="AC1357" s="91"/>
      <c r="AD1357" s="91"/>
      <c r="AE1357" s="91"/>
      <c r="AF1357" s="91"/>
      <c r="AG1357" s="91"/>
      <c r="AH1357" s="91"/>
      <c r="AI1357" s="91"/>
      <c r="AJ1357" s="91"/>
      <c r="AK1357" s="91"/>
      <c r="AL1357" s="91"/>
      <c r="AM1357" s="91"/>
    </row>
    <row r="1358" spans="1:39" ht="20.25" hidden="1" customHeight="1">
      <c r="A1358" s="91"/>
      <c r="B1358" s="93" t="s">
        <v>4326</v>
      </c>
      <c r="C1358" s="91" t="s">
        <v>36</v>
      </c>
      <c r="D1358" s="107" t="s">
        <v>4340</v>
      </c>
      <c r="E1358" s="107" t="s">
        <v>4341</v>
      </c>
      <c r="F1358" s="91" t="s">
        <v>4342</v>
      </c>
      <c r="G1358" s="96">
        <v>28978</v>
      </c>
      <c r="H1358" s="96">
        <v>16361</v>
      </c>
      <c r="I1358" s="94" t="s">
        <v>4343</v>
      </c>
      <c r="J1358" s="94" t="s">
        <v>4344</v>
      </c>
      <c r="K1358" s="92">
        <v>966134997</v>
      </c>
      <c r="L1358" s="91" t="s">
        <v>60</v>
      </c>
      <c r="M1358" s="98">
        <f ca="1">(TODAY()-H1358)/365</f>
        <v>81.208219178082189</v>
      </c>
      <c r="N1358" s="99">
        <f>(G1358-H1358)/365</f>
        <v>34.56712328767123</v>
      </c>
      <c r="O1358" s="98">
        <f ca="1">(TODAY()-G1358)/365</f>
        <v>46.641095890410959</v>
      </c>
      <c r="P1358" s="91" t="s">
        <v>43</v>
      </c>
      <c r="Q1358" s="91">
        <v>0</v>
      </c>
      <c r="R1358" s="91">
        <v>0</v>
      </c>
      <c r="S1358" s="91">
        <v>0</v>
      </c>
      <c r="T1358" s="91"/>
      <c r="U1358" s="91"/>
      <c r="V1358" s="91"/>
      <c r="W1358" s="91"/>
      <c r="X1358" s="91"/>
      <c r="Y1358" s="91"/>
      <c r="Z1358" s="91"/>
      <c r="AA1358" s="91"/>
      <c r="AB1358" s="91"/>
      <c r="AC1358" s="91"/>
      <c r="AD1358" s="91"/>
      <c r="AE1358" s="91"/>
      <c r="AF1358" s="91"/>
      <c r="AG1358" s="91"/>
      <c r="AH1358" s="91"/>
      <c r="AI1358" s="91"/>
      <c r="AJ1358" s="91"/>
      <c r="AK1358" s="91"/>
      <c r="AL1358" s="91"/>
      <c r="AM1358" s="91"/>
    </row>
    <row r="1359" spans="1:39" ht="20.25" hidden="1" customHeight="1">
      <c r="A1359" s="91"/>
      <c r="B1359" s="93" t="s">
        <v>4326</v>
      </c>
      <c r="C1359" s="91" t="s">
        <v>36</v>
      </c>
      <c r="D1359" s="107" t="s">
        <v>4345</v>
      </c>
      <c r="E1359" s="107" t="s">
        <v>4346</v>
      </c>
      <c r="F1359" s="91" t="s">
        <v>4347</v>
      </c>
      <c r="G1359" s="96">
        <v>33344</v>
      </c>
      <c r="H1359" s="96">
        <v>21595</v>
      </c>
      <c r="I1359" s="94" t="s">
        <v>4348</v>
      </c>
      <c r="J1359" s="94" t="s">
        <v>4349</v>
      </c>
      <c r="K1359" s="92">
        <v>993314085</v>
      </c>
      <c r="L1359" s="91" t="s">
        <v>60</v>
      </c>
      <c r="M1359" s="98">
        <f ca="1">(TODAY()-H1359)/365</f>
        <v>66.868493150684927</v>
      </c>
      <c r="N1359" s="99">
        <f>(G1359-H1359)/365</f>
        <v>32.18904109589041</v>
      </c>
      <c r="O1359" s="98">
        <f ca="1">(TODAY()-G1359)/365</f>
        <v>34.679452054794524</v>
      </c>
      <c r="P1359" s="91" t="s">
        <v>43</v>
      </c>
      <c r="Q1359" s="91">
        <v>0</v>
      </c>
      <c r="R1359" s="91">
        <v>0</v>
      </c>
      <c r="S1359" s="91">
        <v>0</v>
      </c>
      <c r="T1359" s="91"/>
      <c r="U1359" s="91"/>
      <c r="V1359" s="91"/>
      <c r="W1359" s="91"/>
      <c r="X1359" s="91"/>
      <c r="Y1359" s="91"/>
      <c r="Z1359" s="91"/>
      <c r="AA1359" s="91"/>
      <c r="AB1359" s="91"/>
      <c r="AC1359" s="91"/>
      <c r="AD1359" s="91"/>
      <c r="AE1359" s="91"/>
      <c r="AF1359" s="91"/>
      <c r="AG1359" s="91"/>
      <c r="AH1359" s="91"/>
      <c r="AI1359" s="91"/>
      <c r="AJ1359" s="91"/>
      <c r="AK1359" s="91"/>
      <c r="AL1359" s="91"/>
      <c r="AM1359" s="91"/>
    </row>
    <row r="1360" spans="1:39" ht="20.25" hidden="1" customHeight="1">
      <c r="A1360" s="91"/>
      <c r="B1360" s="93" t="s">
        <v>4326</v>
      </c>
      <c r="C1360" s="91" t="s">
        <v>36</v>
      </c>
      <c r="D1360" s="107" t="s">
        <v>4350</v>
      </c>
      <c r="E1360" s="107" t="s">
        <v>4351</v>
      </c>
      <c r="F1360" s="91" t="s">
        <v>4352</v>
      </c>
      <c r="G1360" s="96">
        <v>32646</v>
      </c>
      <c r="H1360" s="96">
        <v>17274</v>
      </c>
      <c r="I1360" s="94" t="s">
        <v>4353</v>
      </c>
      <c r="J1360" s="94" t="s">
        <v>4354</v>
      </c>
      <c r="K1360" s="92">
        <v>976527149</v>
      </c>
      <c r="L1360" s="91" t="s">
        <v>42</v>
      </c>
      <c r="M1360" s="98">
        <f ca="1">(TODAY()-H1360)/365</f>
        <v>78.706849315068496</v>
      </c>
      <c r="N1360" s="99">
        <f>(G1360-H1360)/365</f>
        <v>42.115068493150687</v>
      </c>
      <c r="O1360" s="98">
        <f ca="1">(TODAY()-G1360)/365</f>
        <v>36.591780821917808</v>
      </c>
      <c r="P1360" s="91" t="s">
        <v>43</v>
      </c>
      <c r="Q1360" s="91">
        <v>1</v>
      </c>
      <c r="R1360" s="91">
        <v>0</v>
      </c>
      <c r="S1360" s="91">
        <v>0</v>
      </c>
      <c r="T1360" s="91"/>
      <c r="U1360" s="91"/>
      <c r="V1360" s="91"/>
      <c r="W1360" s="91"/>
      <c r="X1360" s="91"/>
      <c r="Y1360" s="91"/>
      <c r="Z1360" s="91"/>
      <c r="AA1360" s="91"/>
      <c r="AB1360" s="91"/>
      <c r="AC1360" s="91"/>
      <c r="AD1360" s="91"/>
      <c r="AE1360" s="91"/>
      <c r="AF1360" s="91"/>
      <c r="AG1360" s="91"/>
      <c r="AH1360" s="91"/>
      <c r="AI1360" s="91"/>
      <c r="AJ1360" s="91"/>
      <c r="AK1360" s="91"/>
      <c r="AL1360" s="91"/>
      <c r="AM1360" s="91"/>
    </row>
    <row r="1361" spans="1:39" ht="20.25" hidden="1" customHeight="1">
      <c r="A1361" s="91"/>
      <c r="B1361" s="93" t="s">
        <v>4326</v>
      </c>
      <c r="C1361" s="91" t="s">
        <v>36</v>
      </c>
      <c r="D1361" s="107" t="s">
        <v>4355</v>
      </c>
      <c r="E1361" s="107" t="s">
        <v>4356</v>
      </c>
      <c r="F1361" s="91" t="s">
        <v>4357</v>
      </c>
      <c r="G1361" s="96">
        <v>40242</v>
      </c>
      <c r="H1361" s="96">
        <v>22917</v>
      </c>
      <c r="I1361" s="94" t="s">
        <v>4358</v>
      </c>
      <c r="J1361" s="94" t="s">
        <v>4359</v>
      </c>
      <c r="K1361" s="92">
        <v>979981619</v>
      </c>
      <c r="L1361" s="91" t="s">
        <v>60</v>
      </c>
      <c r="M1361" s="98">
        <f ca="1">(TODAY()-H1361)/365</f>
        <v>63.246575342465754</v>
      </c>
      <c r="N1361" s="99">
        <f>(G1361-H1361)/365</f>
        <v>47.465753424657535</v>
      </c>
      <c r="O1361" s="98">
        <f ca="1">(TODAY()-G1361)/365</f>
        <v>15.780821917808218</v>
      </c>
      <c r="P1361" s="91" t="s">
        <v>43</v>
      </c>
      <c r="Q1361" s="91">
        <v>0</v>
      </c>
      <c r="R1361" s="91">
        <v>0</v>
      </c>
      <c r="S1361" s="91">
        <v>0</v>
      </c>
      <c r="T1361" s="91"/>
      <c r="U1361" s="91"/>
      <c r="V1361" s="91"/>
      <c r="W1361" s="91"/>
      <c r="X1361" s="91"/>
      <c r="Y1361" s="91"/>
      <c r="Z1361" s="91"/>
      <c r="AA1361" s="91"/>
      <c r="AB1361" s="91"/>
      <c r="AC1361" s="91"/>
      <c r="AD1361" s="91"/>
      <c r="AE1361" s="91"/>
      <c r="AF1361" s="91"/>
      <c r="AG1361" s="91"/>
      <c r="AH1361" s="91"/>
      <c r="AI1361" s="91"/>
      <c r="AJ1361" s="91"/>
      <c r="AK1361" s="91"/>
      <c r="AL1361" s="91"/>
      <c r="AM1361" s="91"/>
    </row>
    <row r="1362" spans="1:39" ht="20.25" customHeight="1">
      <c r="A1362" s="91"/>
      <c r="B1362" s="93" t="s">
        <v>9861</v>
      </c>
      <c r="C1362" s="91" t="s">
        <v>73</v>
      </c>
      <c r="D1362" s="106" t="s">
        <v>10014</v>
      </c>
      <c r="E1362" s="106" t="s">
        <v>10015</v>
      </c>
      <c r="F1362" s="92" t="s">
        <v>10016</v>
      </c>
      <c r="G1362" s="103">
        <v>44669</v>
      </c>
      <c r="H1362" s="103">
        <v>38366</v>
      </c>
      <c r="I1362" s="94" t="s">
        <v>10017</v>
      </c>
      <c r="J1362" s="100" t="s">
        <v>58</v>
      </c>
      <c r="K1362" s="95" t="s">
        <v>58</v>
      </c>
      <c r="L1362" s="91"/>
      <c r="M1362" s="98">
        <f ca="1">(TODAY()-H1362)/365</f>
        <v>20.920547945205481</v>
      </c>
      <c r="N1362" s="99">
        <f>(G1362-H1362)/365</f>
        <v>17.268493150684932</v>
      </c>
      <c r="O1362" s="98">
        <f ca="1">(TODAY()-G1362)/365</f>
        <v>3.6520547945205482</v>
      </c>
      <c r="P1362" s="91" t="s">
        <v>272</v>
      </c>
      <c r="Q1362" s="91"/>
      <c r="R1362" s="91"/>
      <c r="S1362" s="91"/>
      <c r="T1362" s="91"/>
      <c r="U1362" s="91"/>
      <c r="V1362" s="91"/>
      <c r="W1362" s="91"/>
      <c r="X1362" s="91"/>
      <c r="Y1362" s="91"/>
      <c r="Z1362" s="91"/>
      <c r="AA1362" s="91"/>
      <c r="AB1362" s="91"/>
      <c r="AC1362" s="91"/>
      <c r="AD1362" s="91"/>
      <c r="AE1362" s="91"/>
      <c r="AF1362" s="91"/>
      <c r="AG1362" s="91"/>
      <c r="AH1362" s="91"/>
      <c r="AI1362" s="91"/>
      <c r="AJ1362" s="91"/>
      <c r="AK1362" s="91"/>
      <c r="AL1362" s="91"/>
      <c r="AM1362" s="91"/>
    </row>
    <row r="1363" spans="1:39" ht="20.25" customHeight="1">
      <c r="A1363" s="91"/>
      <c r="B1363" s="93" t="s">
        <v>4702</v>
      </c>
      <c r="C1363" s="91" t="s">
        <v>73</v>
      </c>
      <c r="D1363" s="107" t="s">
        <v>4721</v>
      </c>
      <c r="E1363" s="107" t="s">
        <v>4722</v>
      </c>
      <c r="F1363" s="91" t="s">
        <v>4723</v>
      </c>
      <c r="G1363" s="96" t="s">
        <v>58</v>
      </c>
      <c r="H1363" s="96" t="s">
        <v>58</v>
      </c>
      <c r="I1363" s="94" t="s">
        <v>58</v>
      </c>
      <c r="J1363" s="94" t="s">
        <v>58</v>
      </c>
      <c r="K1363" s="95" t="s">
        <v>58</v>
      </c>
      <c r="L1363" s="91" t="s">
        <v>60</v>
      </c>
      <c r="M1363" s="98">
        <v>0</v>
      </c>
      <c r="N1363" s="95"/>
      <c r="O1363" s="98" t="e">
        <f ca="1">(TODAY()-G1363)/365</f>
        <v>#VALUE!</v>
      </c>
      <c r="P1363" s="91" t="s">
        <v>43</v>
      </c>
      <c r="Q1363" s="91">
        <v>1</v>
      </c>
      <c r="R1363" s="91">
        <v>0</v>
      </c>
      <c r="S1363" s="91">
        <v>0</v>
      </c>
      <c r="T1363" s="91"/>
      <c r="U1363" s="91"/>
      <c r="V1363" s="91"/>
      <c r="W1363" s="91"/>
      <c r="X1363" s="91"/>
      <c r="Y1363" s="91"/>
      <c r="Z1363" s="91"/>
      <c r="AA1363" s="91"/>
      <c r="AB1363" s="91"/>
      <c r="AC1363" s="91"/>
      <c r="AD1363" s="91"/>
      <c r="AE1363" s="91"/>
      <c r="AF1363" s="91"/>
      <c r="AG1363" s="91"/>
      <c r="AH1363" s="91"/>
      <c r="AI1363" s="91"/>
      <c r="AJ1363" s="91"/>
      <c r="AK1363" s="91"/>
      <c r="AL1363" s="91"/>
      <c r="AM1363" s="91"/>
    </row>
    <row r="1364" spans="1:39" ht="20.25" customHeight="1">
      <c r="A1364" s="91"/>
      <c r="B1364" s="93" t="s">
        <v>11748</v>
      </c>
      <c r="C1364" s="91" t="s">
        <v>73</v>
      </c>
      <c r="D1364" s="107" t="s">
        <v>2837</v>
      </c>
      <c r="E1364" s="107" t="s">
        <v>2838</v>
      </c>
      <c r="F1364" s="91" t="s">
        <v>2839</v>
      </c>
      <c r="G1364" s="96">
        <v>39886</v>
      </c>
      <c r="H1364" s="97">
        <v>21381</v>
      </c>
      <c r="I1364" s="94" t="s">
        <v>58</v>
      </c>
      <c r="J1364" s="94" t="s">
        <v>58</v>
      </c>
      <c r="K1364" s="95" t="s">
        <v>58</v>
      </c>
      <c r="L1364" s="91" t="s">
        <v>60</v>
      </c>
      <c r="M1364" s="98">
        <f ca="1">(TODAY()-H1364)/365</f>
        <v>67.454794520547949</v>
      </c>
      <c r="N1364" s="99">
        <f>(G1364-H1364)/365</f>
        <v>50.698630136986303</v>
      </c>
      <c r="O1364" s="98">
        <f ca="1">(TODAY()-G1364)/365</f>
        <v>16.756164383561643</v>
      </c>
      <c r="P1364" s="91" t="s">
        <v>43</v>
      </c>
      <c r="Q1364" s="91">
        <v>0</v>
      </c>
      <c r="R1364" s="91">
        <v>0</v>
      </c>
      <c r="S1364" s="91">
        <v>0</v>
      </c>
      <c r="T1364" s="91"/>
      <c r="U1364" s="91"/>
      <c r="V1364" s="91"/>
      <c r="W1364" s="91"/>
      <c r="X1364" s="91"/>
      <c r="Y1364" s="91"/>
      <c r="Z1364" s="91"/>
      <c r="AA1364" s="91"/>
      <c r="AB1364" s="91"/>
      <c r="AC1364" s="91"/>
      <c r="AD1364" s="91"/>
      <c r="AE1364" s="91"/>
      <c r="AF1364" s="91"/>
      <c r="AG1364" s="91"/>
      <c r="AH1364" s="91"/>
      <c r="AI1364" s="91"/>
      <c r="AJ1364" s="91"/>
      <c r="AK1364" s="91"/>
      <c r="AL1364" s="91"/>
      <c r="AM1364" s="91"/>
    </row>
    <row r="1365" spans="1:39" ht="20.25" hidden="1" customHeight="1">
      <c r="A1365" s="91"/>
      <c r="B1365" s="93" t="s">
        <v>4367</v>
      </c>
      <c r="C1365" s="91" t="s">
        <v>36</v>
      </c>
      <c r="D1365" s="107" t="s">
        <v>357</v>
      </c>
      <c r="E1365" s="107" t="s">
        <v>4372</v>
      </c>
      <c r="F1365" s="91" t="s">
        <v>4373</v>
      </c>
      <c r="G1365" s="96">
        <v>35555</v>
      </c>
      <c r="H1365" s="97">
        <v>22827</v>
      </c>
      <c r="I1365" s="100" t="s">
        <v>4374</v>
      </c>
      <c r="J1365" s="100" t="s">
        <v>4375</v>
      </c>
      <c r="K1365" s="91">
        <v>964250563</v>
      </c>
      <c r="L1365" s="91" t="s">
        <v>54</v>
      </c>
      <c r="M1365" s="98">
        <f ca="1">(TODAY()-H1365)/365</f>
        <v>63.493150684931507</v>
      </c>
      <c r="N1365" s="99">
        <f>(G1365-H1365)/365</f>
        <v>34.871232876712327</v>
      </c>
      <c r="O1365" s="98">
        <f ca="1">(TODAY()-G1365)/365</f>
        <v>28.621917808219177</v>
      </c>
      <c r="P1365" s="91" t="s">
        <v>43</v>
      </c>
      <c r="Q1365" s="91">
        <v>0</v>
      </c>
      <c r="R1365" s="91">
        <v>0</v>
      </c>
      <c r="S1365" s="91">
        <v>0</v>
      </c>
      <c r="T1365" s="91"/>
      <c r="U1365" s="91"/>
      <c r="V1365" s="91"/>
      <c r="W1365" s="91"/>
      <c r="X1365" s="91"/>
      <c r="Y1365" s="91"/>
      <c r="Z1365" s="91"/>
      <c r="AA1365" s="91"/>
      <c r="AB1365" s="91"/>
      <c r="AC1365" s="91"/>
      <c r="AD1365" s="91"/>
      <c r="AE1365" s="91"/>
      <c r="AF1365" s="91"/>
      <c r="AG1365" s="91"/>
      <c r="AH1365" s="91"/>
      <c r="AI1365" s="91"/>
      <c r="AJ1365" s="91"/>
      <c r="AK1365" s="91"/>
      <c r="AL1365" s="91"/>
      <c r="AM1365" s="91"/>
    </row>
    <row r="1366" spans="1:39" ht="20.25" hidden="1" customHeight="1">
      <c r="A1366" s="91"/>
      <c r="B1366" s="93" t="s">
        <v>4367</v>
      </c>
      <c r="C1366" s="91" t="s">
        <v>36</v>
      </c>
      <c r="D1366" s="107" t="s">
        <v>4315</v>
      </c>
      <c r="E1366" s="107" t="s">
        <v>4376</v>
      </c>
      <c r="F1366" s="91" t="s">
        <v>4377</v>
      </c>
      <c r="G1366" s="96">
        <v>35555</v>
      </c>
      <c r="H1366" s="97">
        <v>22291</v>
      </c>
      <c r="I1366" s="100" t="s">
        <v>4378</v>
      </c>
      <c r="J1366" s="100" t="s">
        <v>4379</v>
      </c>
      <c r="K1366" s="91">
        <v>976413184</v>
      </c>
      <c r="L1366" s="91" t="s">
        <v>60</v>
      </c>
      <c r="M1366" s="98">
        <f ca="1">(TODAY()-H1366)/365</f>
        <v>64.961643835616442</v>
      </c>
      <c r="N1366" s="99">
        <f>(G1366-H1366)/365</f>
        <v>36.339726027397262</v>
      </c>
      <c r="O1366" s="98">
        <f ca="1">(TODAY()-G1366)/365</f>
        <v>28.621917808219177</v>
      </c>
      <c r="P1366" s="91" t="s">
        <v>43</v>
      </c>
      <c r="Q1366" s="91">
        <v>0</v>
      </c>
      <c r="R1366" s="91">
        <v>0</v>
      </c>
      <c r="S1366" s="91">
        <v>0</v>
      </c>
      <c r="T1366" s="91"/>
      <c r="U1366" s="91"/>
      <c r="V1366" s="91"/>
      <c r="W1366" s="91"/>
      <c r="X1366" s="91"/>
      <c r="Y1366" s="91"/>
      <c r="Z1366" s="91"/>
      <c r="AA1366" s="91"/>
      <c r="AB1366" s="91"/>
      <c r="AC1366" s="91"/>
      <c r="AD1366" s="91"/>
      <c r="AE1366" s="91"/>
      <c r="AF1366" s="91"/>
      <c r="AG1366" s="91"/>
      <c r="AH1366" s="91"/>
      <c r="AI1366" s="91"/>
      <c r="AJ1366" s="91"/>
      <c r="AK1366" s="91"/>
      <c r="AL1366" s="91"/>
      <c r="AM1366" s="91"/>
    </row>
    <row r="1367" spans="1:39" ht="20.25" hidden="1" customHeight="1">
      <c r="A1367" s="91"/>
      <c r="B1367" s="93" t="s">
        <v>4367</v>
      </c>
      <c r="C1367" s="91" t="s">
        <v>36</v>
      </c>
      <c r="D1367" s="107" t="s">
        <v>486</v>
      </c>
      <c r="E1367" s="107" t="s">
        <v>4380</v>
      </c>
      <c r="F1367" s="91" t="s">
        <v>4381</v>
      </c>
      <c r="G1367" s="96">
        <v>36461</v>
      </c>
      <c r="H1367" s="97">
        <v>20949</v>
      </c>
      <c r="I1367" s="100" t="s">
        <v>4382</v>
      </c>
      <c r="J1367" s="100" t="s">
        <v>4383</v>
      </c>
      <c r="K1367" s="91">
        <v>974318583</v>
      </c>
      <c r="L1367" s="91" t="s">
        <v>60</v>
      </c>
      <c r="M1367" s="98">
        <f ca="1">(TODAY()-H1367)/365</f>
        <v>68.638356164383566</v>
      </c>
      <c r="N1367" s="99">
        <f>(G1367-H1367)/365</f>
        <v>42.4986301369863</v>
      </c>
      <c r="O1367" s="98">
        <f ca="1">(TODAY()-G1367)/365</f>
        <v>26.139726027397259</v>
      </c>
      <c r="P1367" s="91" t="s">
        <v>43</v>
      </c>
      <c r="Q1367" s="91">
        <v>0</v>
      </c>
      <c r="R1367" s="91">
        <v>0</v>
      </c>
      <c r="S1367" s="91">
        <v>0</v>
      </c>
      <c r="T1367" s="91"/>
      <c r="U1367" s="91"/>
      <c r="V1367" s="91"/>
      <c r="W1367" s="91"/>
      <c r="X1367" s="91"/>
      <c r="Y1367" s="91"/>
      <c r="Z1367" s="91"/>
      <c r="AA1367" s="91"/>
      <c r="AB1367" s="91"/>
      <c r="AC1367" s="91"/>
      <c r="AD1367" s="91"/>
      <c r="AE1367" s="91"/>
      <c r="AF1367" s="91"/>
      <c r="AG1367" s="91"/>
      <c r="AH1367" s="91"/>
      <c r="AI1367" s="91"/>
      <c r="AJ1367" s="91"/>
      <c r="AK1367" s="91"/>
      <c r="AL1367" s="91"/>
      <c r="AM1367" s="91"/>
    </row>
    <row r="1368" spans="1:39" ht="20.25" customHeight="1">
      <c r="A1368" s="91"/>
      <c r="B1368" s="93" t="s">
        <v>4783</v>
      </c>
      <c r="C1368" s="91" t="s">
        <v>73</v>
      </c>
      <c r="D1368" s="94" t="s">
        <v>4848</v>
      </c>
      <c r="E1368" s="94" t="s">
        <v>4849</v>
      </c>
      <c r="F1368" s="95" t="s">
        <v>4850</v>
      </c>
      <c r="G1368" s="96">
        <v>43236</v>
      </c>
      <c r="H1368" s="97">
        <v>23315</v>
      </c>
      <c r="I1368" s="94" t="s">
        <v>4851</v>
      </c>
      <c r="J1368" s="94" t="s">
        <v>58</v>
      </c>
      <c r="K1368" s="95" t="s">
        <v>58</v>
      </c>
      <c r="L1368" s="91" t="s">
        <v>60</v>
      </c>
      <c r="M1368" s="98">
        <f ca="1">(TODAY()-H1368)/365</f>
        <v>62.156164383561645</v>
      </c>
      <c r="N1368" s="99">
        <f>(G1368-H1368)/365</f>
        <v>54.578082191780823</v>
      </c>
      <c r="O1368" s="98">
        <f ca="1">(TODAY()-G1368)/365</f>
        <v>7.5780821917808217</v>
      </c>
      <c r="P1368" s="91" t="s">
        <v>43</v>
      </c>
      <c r="Q1368" s="91">
        <v>0</v>
      </c>
      <c r="R1368" s="91">
        <v>0</v>
      </c>
      <c r="S1368" s="91">
        <v>0</v>
      </c>
      <c r="T1368" s="91"/>
      <c r="U1368" s="91"/>
      <c r="V1368" s="91"/>
      <c r="W1368" s="91"/>
      <c r="X1368" s="91"/>
      <c r="Y1368" s="91"/>
      <c r="Z1368" s="91"/>
      <c r="AA1368" s="91"/>
      <c r="AB1368" s="91"/>
      <c r="AC1368" s="91"/>
      <c r="AD1368" s="91"/>
      <c r="AE1368" s="91"/>
      <c r="AF1368" s="91"/>
      <c r="AG1368" s="91"/>
      <c r="AH1368" s="91"/>
      <c r="AI1368" s="91"/>
      <c r="AJ1368" s="91"/>
      <c r="AK1368" s="91"/>
      <c r="AL1368" s="91"/>
      <c r="AM1368" s="91"/>
    </row>
    <row r="1369" spans="1:39" ht="20.25" hidden="1" customHeight="1">
      <c r="A1369" s="91"/>
      <c r="B1369" s="93" t="s">
        <v>4367</v>
      </c>
      <c r="C1369" s="91" t="s">
        <v>36</v>
      </c>
      <c r="D1369" s="107" t="s">
        <v>4387</v>
      </c>
      <c r="E1369" s="107" t="s">
        <v>4388</v>
      </c>
      <c r="F1369" s="91" t="s">
        <v>4389</v>
      </c>
      <c r="G1369" s="96">
        <v>36727</v>
      </c>
      <c r="H1369" s="97">
        <v>20888</v>
      </c>
      <c r="I1369" s="100" t="s">
        <v>4390</v>
      </c>
      <c r="J1369" s="100" t="s">
        <v>4391</v>
      </c>
      <c r="K1369" s="91">
        <v>987297152</v>
      </c>
      <c r="L1369" s="91" t="s">
        <v>60</v>
      </c>
      <c r="M1369" s="98">
        <f ca="1">(TODAY()-H1369)/365</f>
        <v>68.805479452054797</v>
      </c>
      <c r="N1369" s="99">
        <f>(G1369-H1369)/365</f>
        <v>43.394520547945206</v>
      </c>
      <c r="O1369" s="98">
        <f ca="1">(TODAY()-G1369)/365</f>
        <v>25.410958904109588</v>
      </c>
      <c r="P1369" s="91" t="s">
        <v>43</v>
      </c>
      <c r="Q1369" s="91">
        <v>0</v>
      </c>
      <c r="R1369" s="91">
        <v>0</v>
      </c>
      <c r="S1369" s="91">
        <v>0</v>
      </c>
      <c r="T1369" s="91"/>
      <c r="U1369" s="91"/>
      <c r="V1369" s="91"/>
      <c r="W1369" s="91"/>
      <c r="X1369" s="91"/>
      <c r="Y1369" s="91"/>
      <c r="Z1369" s="91"/>
      <c r="AA1369" s="91"/>
      <c r="AB1369" s="91"/>
      <c r="AC1369" s="91"/>
      <c r="AD1369" s="91"/>
      <c r="AE1369" s="91"/>
      <c r="AF1369" s="91"/>
      <c r="AG1369" s="91"/>
      <c r="AH1369" s="91"/>
      <c r="AI1369" s="91"/>
      <c r="AJ1369" s="91"/>
      <c r="AK1369" s="91"/>
      <c r="AL1369" s="91"/>
      <c r="AM1369" s="91"/>
    </row>
    <row r="1370" spans="1:39" ht="20.25" hidden="1" customHeight="1">
      <c r="A1370" s="91"/>
      <c r="B1370" s="93" t="s">
        <v>4367</v>
      </c>
      <c r="C1370" s="91" t="s">
        <v>36</v>
      </c>
      <c r="D1370" s="107" t="s">
        <v>4392</v>
      </c>
      <c r="E1370" s="107" t="s">
        <v>4393</v>
      </c>
      <c r="F1370" s="91" t="s">
        <v>4394</v>
      </c>
      <c r="G1370" s="96">
        <v>38881</v>
      </c>
      <c r="H1370" s="97">
        <v>21437</v>
      </c>
      <c r="I1370" s="94" t="s">
        <v>58</v>
      </c>
      <c r="J1370" s="100" t="s">
        <v>4395</v>
      </c>
      <c r="K1370" s="91">
        <v>9822415034</v>
      </c>
      <c r="L1370" s="91" t="s">
        <v>60</v>
      </c>
      <c r="M1370" s="98">
        <f ca="1">(TODAY()-H1370)/365</f>
        <v>67.301369863013704</v>
      </c>
      <c r="N1370" s="99">
        <f>(G1370-H1370)/365</f>
        <v>47.791780821917811</v>
      </c>
      <c r="O1370" s="98">
        <f ca="1">(TODAY()-G1370)/365</f>
        <v>19.509589041095889</v>
      </c>
      <c r="P1370" s="91" t="s">
        <v>43</v>
      </c>
      <c r="Q1370" s="91">
        <v>0</v>
      </c>
      <c r="R1370" s="91">
        <v>0</v>
      </c>
      <c r="S1370" s="91">
        <v>0</v>
      </c>
      <c r="T1370" s="91"/>
      <c r="U1370" s="91"/>
      <c r="V1370" s="91"/>
      <c r="W1370" s="91"/>
      <c r="X1370" s="91"/>
      <c r="Y1370" s="91"/>
      <c r="Z1370" s="91"/>
      <c r="AA1370" s="91"/>
      <c r="AB1370" s="91"/>
      <c r="AC1370" s="91"/>
      <c r="AD1370" s="91"/>
      <c r="AE1370" s="91"/>
      <c r="AF1370" s="91"/>
      <c r="AG1370" s="91"/>
      <c r="AH1370" s="91"/>
      <c r="AI1370" s="91"/>
      <c r="AJ1370" s="91"/>
      <c r="AK1370" s="91"/>
      <c r="AL1370" s="91"/>
      <c r="AM1370" s="91"/>
    </row>
    <row r="1371" spans="1:39" ht="20.25" hidden="1" customHeight="1">
      <c r="A1371" s="91"/>
      <c r="B1371" s="93" t="s">
        <v>4396</v>
      </c>
      <c r="C1371" s="91" t="s">
        <v>36</v>
      </c>
      <c r="D1371" s="106" t="s">
        <v>1271</v>
      </c>
      <c r="E1371" s="106" t="s">
        <v>4397</v>
      </c>
      <c r="F1371" s="92" t="s">
        <v>4398</v>
      </c>
      <c r="G1371" s="96">
        <v>42862</v>
      </c>
      <c r="H1371" s="97" t="s">
        <v>58</v>
      </c>
      <c r="I1371" s="100" t="s">
        <v>58</v>
      </c>
      <c r="J1371" s="100" t="s">
        <v>58</v>
      </c>
      <c r="K1371" s="92" t="s">
        <v>4399</v>
      </c>
      <c r="L1371" s="91" t="s">
        <v>60</v>
      </c>
      <c r="M1371" s="98">
        <v>0</v>
      </c>
      <c r="N1371" s="91"/>
      <c r="O1371" s="98">
        <f ca="1">(TODAY()-G1371)/365</f>
        <v>8.6027397260273979</v>
      </c>
      <c r="P1371" s="91" t="s">
        <v>43</v>
      </c>
      <c r="Q1371" s="91">
        <v>0</v>
      </c>
      <c r="R1371" s="91">
        <v>0</v>
      </c>
      <c r="S1371" s="91">
        <v>0</v>
      </c>
      <c r="T1371" s="91"/>
      <c r="U1371" s="91"/>
      <c r="V1371" s="91"/>
      <c r="W1371" s="91"/>
      <c r="X1371" s="91"/>
      <c r="Y1371" s="91"/>
      <c r="Z1371" s="91"/>
      <c r="AA1371" s="91"/>
      <c r="AB1371" s="91"/>
      <c r="AC1371" s="91"/>
      <c r="AD1371" s="91"/>
      <c r="AE1371" s="91"/>
      <c r="AF1371" s="91"/>
      <c r="AG1371" s="91"/>
      <c r="AH1371" s="91"/>
      <c r="AI1371" s="91"/>
      <c r="AJ1371" s="91"/>
      <c r="AK1371" s="91"/>
      <c r="AL1371" s="91"/>
      <c r="AM1371" s="91"/>
    </row>
    <row r="1372" spans="1:39" ht="20.25" hidden="1" customHeight="1">
      <c r="A1372" s="91"/>
      <c r="B1372" s="93" t="s">
        <v>4396</v>
      </c>
      <c r="C1372" s="91" t="s">
        <v>36</v>
      </c>
      <c r="D1372" s="106" t="s">
        <v>416</v>
      </c>
      <c r="E1372" s="106" t="s">
        <v>4400</v>
      </c>
      <c r="F1372" s="92" t="s">
        <v>4401</v>
      </c>
      <c r="G1372" s="96">
        <v>41640</v>
      </c>
      <c r="H1372" s="97" t="s">
        <v>58</v>
      </c>
      <c r="I1372" s="100" t="s">
        <v>58</v>
      </c>
      <c r="J1372" s="100" t="s">
        <v>58</v>
      </c>
      <c r="K1372" s="92" t="s">
        <v>4402</v>
      </c>
      <c r="L1372" s="91" t="s">
        <v>66</v>
      </c>
      <c r="M1372" s="98">
        <v>0</v>
      </c>
      <c r="N1372" s="91"/>
      <c r="O1372" s="98">
        <f ca="1">(TODAY()-G1372)/365</f>
        <v>11.950684931506849</v>
      </c>
      <c r="P1372" s="91" t="s">
        <v>43</v>
      </c>
      <c r="Q1372" s="91">
        <v>0</v>
      </c>
      <c r="R1372" s="91">
        <v>0</v>
      </c>
      <c r="S1372" s="91">
        <v>0</v>
      </c>
      <c r="T1372" s="91"/>
      <c r="U1372" s="91"/>
      <c r="V1372" s="91"/>
      <c r="W1372" s="91"/>
      <c r="X1372" s="91"/>
      <c r="Y1372" s="91"/>
      <c r="Z1372" s="91"/>
      <c r="AA1372" s="91"/>
      <c r="AB1372" s="91"/>
      <c r="AC1372" s="91"/>
      <c r="AD1372" s="91"/>
      <c r="AE1372" s="91"/>
      <c r="AF1372" s="91"/>
      <c r="AG1372" s="91"/>
      <c r="AH1372" s="91"/>
      <c r="AI1372" s="91"/>
      <c r="AJ1372" s="91"/>
      <c r="AK1372" s="91"/>
      <c r="AL1372" s="91"/>
      <c r="AM1372" s="91"/>
    </row>
    <row r="1373" spans="1:39" ht="20.25" hidden="1" customHeight="1">
      <c r="A1373" s="91"/>
      <c r="B1373" s="93" t="s">
        <v>4396</v>
      </c>
      <c r="C1373" s="91" t="s">
        <v>36</v>
      </c>
      <c r="D1373" s="106" t="s">
        <v>840</v>
      </c>
      <c r="E1373" s="106" t="s">
        <v>4403</v>
      </c>
      <c r="F1373" s="92" t="s">
        <v>4404</v>
      </c>
      <c r="G1373" s="96">
        <v>36809</v>
      </c>
      <c r="H1373" s="97" t="s">
        <v>58</v>
      </c>
      <c r="I1373" s="100" t="s">
        <v>58</v>
      </c>
      <c r="J1373" s="100" t="s">
        <v>58</v>
      </c>
      <c r="K1373" s="92" t="s">
        <v>4405</v>
      </c>
      <c r="L1373" s="91" t="s">
        <v>60</v>
      </c>
      <c r="M1373" s="98">
        <v>0</v>
      </c>
      <c r="N1373" s="91"/>
      <c r="O1373" s="98">
        <f ca="1">(TODAY()-G1373)/365</f>
        <v>25.186301369863013</v>
      </c>
      <c r="P1373" s="91" t="s">
        <v>43</v>
      </c>
      <c r="Q1373" s="91">
        <v>0</v>
      </c>
      <c r="R1373" s="91">
        <v>0</v>
      </c>
      <c r="S1373" s="91">
        <v>0</v>
      </c>
      <c r="T1373" s="91"/>
      <c r="U1373" s="91"/>
      <c r="V1373" s="91"/>
      <c r="W1373" s="91"/>
      <c r="X1373" s="91"/>
      <c r="Y1373" s="91"/>
      <c r="Z1373" s="91"/>
      <c r="AA1373" s="91"/>
      <c r="AB1373" s="91"/>
      <c r="AC1373" s="91"/>
      <c r="AD1373" s="91"/>
      <c r="AE1373" s="91"/>
      <c r="AF1373" s="91"/>
      <c r="AG1373" s="91"/>
      <c r="AH1373" s="91"/>
      <c r="AI1373" s="91"/>
      <c r="AJ1373" s="91"/>
      <c r="AK1373" s="91"/>
      <c r="AL1373" s="91"/>
      <c r="AM1373" s="91"/>
    </row>
    <row r="1374" spans="1:39" ht="20.25" hidden="1" customHeight="1">
      <c r="A1374" s="91"/>
      <c r="B1374" s="93" t="s">
        <v>4396</v>
      </c>
      <c r="C1374" s="91" t="s">
        <v>36</v>
      </c>
      <c r="D1374" s="106" t="s">
        <v>712</v>
      </c>
      <c r="E1374" s="106" t="s">
        <v>4406</v>
      </c>
      <c r="F1374" s="92" t="s">
        <v>4407</v>
      </c>
      <c r="G1374" s="96">
        <v>31726</v>
      </c>
      <c r="H1374" s="97" t="s">
        <v>58</v>
      </c>
      <c r="I1374" s="100" t="s">
        <v>58</v>
      </c>
      <c r="J1374" s="100" t="s">
        <v>58</v>
      </c>
      <c r="K1374" s="92" t="s">
        <v>4408</v>
      </c>
      <c r="L1374" s="91" t="s">
        <v>151</v>
      </c>
      <c r="M1374" s="98">
        <v>0</v>
      </c>
      <c r="N1374" s="91"/>
      <c r="O1374" s="98">
        <f ca="1">(TODAY()-G1374)/365</f>
        <v>39.112328767123287</v>
      </c>
      <c r="P1374" s="91" t="s">
        <v>43</v>
      </c>
      <c r="Q1374" s="91">
        <v>0</v>
      </c>
      <c r="R1374" s="91">
        <v>0</v>
      </c>
      <c r="S1374" s="91">
        <v>0</v>
      </c>
      <c r="T1374" s="91"/>
      <c r="U1374" s="91"/>
      <c r="V1374" s="91"/>
      <c r="W1374" s="91"/>
      <c r="X1374" s="91"/>
      <c r="Y1374" s="91"/>
      <c r="Z1374" s="91"/>
      <c r="AA1374" s="91"/>
      <c r="AB1374" s="91"/>
      <c r="AC1374" s="91"/>
      <c r="AD1374" s="91"/>
      <c r="AE1374" s="91"/>
      <c r="AF1374" s="91"/>
      <c r="AG1374" s="91"/>
      <c r="AH1374" s="91"/>
      <c r="AI1374" s="91"/>
      <c r="AJ1374" s="91"/>
      <c r="AK1374" s="91"/>
      <c r="AL1374" s="91"/>
      <c r="AM1374" s="91"/>
    </row>
    <row r="1375" spans="1:39" ht="20.25" hidden="1" customHeight="1">
      <c r="A1375" s="91"/>
      <c r="B1375" s="93" t="s">
        <v>4396</v>
      </c>
      <c r="C1375" s="91" t="s">
        <v>36</v>
      </c>
      <c r="D1375" s="106" t="s">
        <v>361</v>
      </c>
      <c r="E1375" s="106" t="s">
        <v>4409</v>
      </c>
      <c r="F1375" s="92" t="s">
        <v>4410</v>
      </c>
      <c r="G1375" s="96">
        <v>28823</v>
      </c>
      <c r="H1375" s="97" t="s">
        <v>58</v>
      </c>
      <c r="I1375" s="100" t="s">
        <v>58</v>
      </c>
      <c r="J1375" s="100" t="s">
        <v>58</v>
      </c>
      <c r="K1375" s="92" t="s">
        <v>4411</v>
      </c>
      <c r="L1375" s="91" t="s">
        <v>60</v>
      </c>
      <c r="M1375" s="98">
        <v>0</v>
      </c>
      <c r="N1375" s="91"/>
      <c r="O1375" s="98">
        <f ca="1">(TODAY()-G1375)/365</f>
        <v>47.065753424657537</v>
      </c>
      <c r="P1375" s="91" t="s">
        <v>43</v>
      </c>
      <c r="Q1375" s="91">
        <v>0</v>
      </c>
      <c r="R1375" s="91">
        <v>0</v>
      </c>
      <c r="S1375" s="91">
        <v>0</v>
      </c>
      <c r="T1375" s="91"/>
      <c r="U1375" s="91"/>
      <c r="V1375" s="91"/>
      <c r="W1375" s="91"/>
      <c r="X1375" s="91"/>
      <c r="Y1375" s="91"/>
      <c r="Z1375" s="91"/>
      <c r="AA1375" s="91"/>
      <c r="AB1375" s="91"/>
      <c r="AC1375" s="91"/>
      <c r="AD1375" s="91"/>
      <c r="AE1375" s="91"/>
      <c r="AF1375" s="91"/>
      <c r="AG1375" s="91"/>
      <c r="AH1375" s="91"/>
      <c r="AI1375" s="91"/>
      <c r="AJ1375" s="91"/>
      <c r="AK1375" s="91"/>
      <c r="AL1375" s="91"/>
      <c r="AM1375" s="91"/>
    </row>
    <row r="1376" spans="1:39" ht="20.25" hidden="1" customHeight="1">
      <c r="A1376" s="91"/>
      <c r="B1376" s="93" t="s">
        <v>4396</v>
      </c>
      <c r="C1376" s="91" t="s">
        <v>36</v>
      </c>
      <c r="D1376" s="106" t="s">
        <v>3304</v>
      </c>
      <c r="E1376" s="106" t="s">
        <v>4403</v>
      </c>
      <c r="F1376" s="92" t="s">
        <v>4412</v>
      </c>
      <c r="G1376" s="96">
        <v>35066</v>
      </c>
      <c r="H1376" s="97" t="s">
        <v>58</v>
      </c>
      <c r="I1376" s="100" t="s">
        <v>58</v>
      </c>
      <c r="J1376" s="100" t="s">
        <v>58</v>
      </c>
      <c r="K1376" s="92" t="s">
        <v>4413</v>
      </c>
      <c r="L1376" s="91" t="s">
        <v>60</v>
      </c>
      <c r="M1376" s="98">
        <v>0</v>
      </c>
      <c r="N1376" s="91"/>
      <c r="O1376" s="98">
        <f ca="1">(TODAY()-G1376)/365</f>
        <v>29.961643835616439</v>
      </c>
      <c r="P1376" s="91" t="s">
        <v>272</v>
      </c>
      <c r="Q1376" s="91">
        <v>0</v>
      </c>
      <c r="R1376" s="91">
        <v>0</v>
      </c>
      <c r="S1376" s="91">
        <v>0</v>
      </c>
      <c r="T1376" s="91"/>
      <c r="U1376" s="91"/>
      <c r="V1376" s="91"/>
      <c r="W1376" s="91"/>
      <c r="X1376" s="91"/>
      <c r="Y1376" s="91"/>
      <c r="Z1376" s="91"/>
      <c r="AA1376" s="91"/>
      <c r="AB1376" s="91"/>
      <c r="AC1376" s="91"/>
      <c r="AD1376" s="91"/>
      <c r="AE1376" s="91"/>
      <c r="AF1376" s="91"/>
      <c r="AG1376" s="91"/>
      <c r="AH1376" s="91"/>
      <c r="AI1376" s="91"/>
      <c r="AJ1376" s="91"/>
      <c r="AK1376" s="91"/>
      <c r="AL1376" s="91"/>
      <c r="AM1376" s="91"/>
    </row>
    <row r="1377" spans="1:39" ht="20.25" hidden="1" customHeight="1">
      <c r="A1377" s="91"/>
      <c r="B1377" s="93" t="s">
        <v>4396</v>
      </c>
      <c r="C1377" s="91" t="s">
        <v>36</v>
      </c>
      <c r="D1377" s="106" t="s">
        <v>346</v>
      </c>
      <c r="E1377" s="106" t="s">
        <v>4414</v>
      </c>
      <c r="F1377" s="92" t="s">
        <v>4415</v>
      </c>
      <c r="G1377" s="96">
        <v>36963</v>
      </c>
      <c r="H1377" s="97" t="s">
        <v>58</v>
      </c>
      <c r="I1377" s="100" t="s">
        <v>58</v>
      </c>
      <c r="J1377" s="100" t="s">
        <v>58</v>
      </c>
      <c r="K1377" s="92" t="s">
        <v>4416</v>
      </c>
      <c r="L1377" s="91" t="s">
        <v>49</v>
      </c>
      <c r="M1377" s="98">
        <v>0</v>
      </c>
      <c r="N1377" s="91"/>
      <c r="O1377" s="98">
        <f ca="1">(TODAY()-G1377)/365</f>
        <v>24.764383561643836</v>
      </c>
      <c r="P1377" s="91" t="s">
        <v>43</v>
      </c>
      <c r="Q1377" s="91">
        <v>0</v>
      </c>
      <c r="R1377" s="91">
        <v>0</v>
      </c>
      <c r="S1377" s="91">
        <v>0</v>
      </c>
      <c r="T1377" s="91"/>
      <c r="U1377" s="91"/>
      <c r="V1377" s="91"/>
      <c r="W1377" s="91"/>
      <c r="X1377" s="91"/>
      <c r="Y1377" s="91"/>
      <c r="Z1377" s="91"/>
      <c r="AA1377" s="91"/>
      <c r="AB1377" s="91"/>
      <c r="AC1377" s="91"/>
      <c r="AD1377" s="91"/>
      <c r="AE1377" s="91"/>
      <c r="AF1377" s="91"/>
      <c r="AG1377" s="91"/>
      <c r="AH1377" s="91"/>
      <c r="AI1377" s="91"/>
      <c r="AJ1377" s="91"/>
      <c r="AK1377" s="91"/>
      <c r="AL1377" s="91"/>
      <c r="AM1377" s="91"/>
    </row>
    <row r="1378" spans="1:39" ht="20.25" hidden="1" customHeight="1">
      <c r="A1378" s="91"/>
      <c r="B1378" s="93" t="s">
        <v>4396</v>
      </c>
      <c r="C1378" s="91" t="s">
        <v>36</v>
      </c>
      <c r="D1378" s="106" t="s">
        <v>1241</v>
      </c>
      <c r="E1378" s="106" t="s">
        <v>4417</v>
      </c>
      <c r="F1378" s="92" t="s">
        <v>4418</v>
      </c>
      <c r="G1378" s="96">
        <v>28823</v>
      </c>
      <c r="H1378" s="97" t="s">
        <v>58</v>
      </c>
      <c r="I1378" s="100" t="s">
        <v>58</v>
      </c>
      <c r="J1378" s="100" t="s">
        <v>58</v>
      </c>
      <c r="K1378" s="92" t="s">
        <v>4419</v>
      </c>
      <c r="L1378" s="91" t="s">
        <v>42</v>
      </c>
      <c r="M1378" s="98">
        <v>0</v>
      </c>
      <c r="N1378" s="91"/>
      <c r="O1378" s="98">
        <f ca="1">(TODAY()-G1378)/365</f>
        <v>47.065753424657537</v>
      </c>
      <c r="P1378" s="91" t="s">
        <v>43</v>
      </c>
      <c r="Q1378" s="91">
        <v>0</v>
      </c>
      <c r="R1378" s="91">
        <v>0</v>
      </c>
      <c r="S1378" s="91">
        <v>0</v>
      </c>
      <c r="T1378" s="91"/>
      <c r="U1378" s="91"/>
      <c r="V1378" s="91"/>
      <c r="W1378" s="91"/>
      <c r="X1378" s="91"/>
      <c r="Y1378" s="91"/>
      <c r="Z1378" s="91"/>
      <c r="AA1378" s="91"/>
      <c r="AB1378" s="91"/>
      <c r="AC1378" s="91"/>
      <c r="AD1378" s="91"/>
      <c r="AE1378" s="91"/>
      <c r="AF1378" s="91"/>
      <c r="AG1378" s="91"/>
      <c r="AH1378" s="91"/>
      <c r="AI1378" s="91"/>
      <c r="AJ1378" s="91"/>
      <c r="AK1378" s="91"/>
      <c r="AL1378" s="91"/>
      <c r="AM1378" s="91"/>
    </row>
    <row r="1379" spans="1:39" ht="20.25" hidden="1" customHeight="1">
      <c r="A1379" s="91"/>
      <c r="B1379" s="93" t="s">
        <v>4396</v>
      </c>
      <c r="C1379" s="91" t="s">
        <v>36</v>
      </c>
      <c r="D1379" s="106" t="s">
        <v>788</v>
      </c>
      <c r="E1379" s="106" t="s">
        <v>4420</v>
      </c>
      <c r="F1379" s="92" t="s">
        <v>4421</v>
      </c>
      <c r="G1379" s="96">
        <v>36339</v>
      </c>
      <c r="H1379" s="97" t="s">
        <v>58</v>
      </c>
      <c r="I1379" s="100" t="s">
        <v>58</v>
      </c>
      <c r="J1379" s="100" t="s">
        <v>58</v>
      </c>
      <c r="K1379" s="92" t="s">
        <v>4422</v>
      </c>
      <c r="L1379" s="91" t="s">
        <v>54</v>
      </c>
      <c r="M1379" s="98">
        <v>0</v>
      </c>
      <c r="N1379" s="91"/>
      <c r="O1379" s="98">
        <f ca="1">(TODAY()-G1379)/365</f>
        <v>26.473972602739725</v>
      </c>
      <c r="P1379" s="91" t="s">
        <v>43</v>
      </c>
      <c r="Q1379" s="91">
        <v>0</v>
      </c>
      <c r="R1379" s="91">
        <v>0</v>
      </c>
      <c r="S1379" s="91">
        <v>0</v>
      </c>
      <c r="T1379" s="91"/>
      <c r="U1379" s="91"/>
      <c r="V1379" s="91"/>
      <c r="W1379" s="91"/>
      <c r="X1379" s="91"/>
      <c r="Y1379" s="91"/>
      <c r="Z1379" s="91"/>
      <c r="AA1379" s="91"/>
      <c r="AB1379" s="91"/>
      <c r="AC1379" s="91"/>
      <c r="AD1379" s="91"/>
      <c r="AE1379" s="91"/>
      <c r="AF1379" s="91"/>
      <c r="AG1379" s="91"/>
      <c r="AH1379" s="91"/>
      <c r="AI1379" s="91"/>
      <c r="AJ1379" s="91"/>
      <c r="AK1379" s="91"/>
      <c r="AL1379" s="91"/>
      <c r="AM1379" s="91"/>
    </row>
    <row r="1380" spans="1:39" ht="20.25" hidden="1" customHeight="1">
      <c r="A1380" s="91"/>
      <c r="B1380" s="93" t="s">
        <v>4396</v>
      </c>
      <c r="C1380" s="91" t="s">
        <v>36</v>
      </c>
      <c r="D1380" s="106" t="s">
        <v>3971</v>
      </c>
      <c r="E1380" s="106" t="s">
        <v>2231</v>
      </c>
      <c r="F1380" s="92" t="s">
        <v>4423</v>
      </c>
      <c r="G1380" s="96">
        <v>43831</v>
      </c>
      <c r="H1380" s="97" t="s">
        <v>58</v>
      </c>
      <c r="I1380" s="100" t="s">
        <v>58</v>
      </c>
      <c r="J1380" s="100" t="s">
        <v>58</v>
      </c>
      <c r="K1380" s="92" t="s">
        <v>4424</v>
      </c>
      <c r="L1380" s="91" t="s">
        <v>60</v>
      </c>
      <c r="M1380" s="98">
        <v>0</v>
      </c>
      <c r="N1380" s="91"/>
      <c r="O1380" s="98">
        <f ca="1">(TODAY()-G1380)/365</f>
        <v>5.9479452054794519</v>
      </c>
      <c r="P1380" s="91" t="s">
        <v>272</v>
      </c>
      <c r="Q1380" s="91">
        <v>0</v>
      </c>
      <c r="R1380" s="91">
        <v>0</v>
      </c>
      <c r="S1380" s="91">
        <v>0</v>
      </c>
      <c r="T1380" s="91"/>
      <c r="U1380" s="91"/>
      <c r="V1380" s="91"/>
      <c r="W1380" s="91"/>
      <c r="X1380" s="91"/>
      <c r="Y1380" s="91"/>
      <c r="Z1380" s="91"/>
      <c r="AA1380" s="91"/>
      <c r="AB1380" s="91"/>
      <c r="AC1380" s="91"/>
      <c r="AD1380" s="91"/>
      <c r="AE1380" s="91"/>
      <c r="AF1380" s="91"/>
      <c r="AG1380" s="91"/>
      <c r="AH1380" s="91"/>
      <c r="AI1380" s="91"/>
      <c r="AJ1380" s="91"/>
      <c r="AK1380" s="91"/>
      <c r="AL1380" s="91"/>
      <c r="AM1380" s="91"/>
    </row>
    <row r="1381" spans="1:39" ht="20.25" hidden="1" customHeight="1">
      <c r="A1381" s="91"/>
      <c r="B1381" s="93" t="s">
        <v>4396</v>
      </c>
      <c r="C1381" s="91" t="s">
        <v>36</v>
      </c>
      <c r="D1381" s="106" t="s">
        <v>4425</v>
      </c>
      <c r="E1381" s="106" t="s">
        <v>4426</v>
      </c>
      <c r="F1381" s="92" t="s">
        <v>4427</v>
      </c>
      <c r="G1381" s="96">
        <v>43891</v>
      </c>
      <c r="H1381" s="97" t="s">
        <v>58</v>
      </c>
      <c r="I1381" s="100" t="s">
        <v>58</v>
      </c>
      <c r="J1381" s="100" t="s">
        <v>58</v>
      </c>
      <c r="K1381" s="92" t="s">
        <v>4428</v>
      </c>
      <c r="L1381" s="91" t="s">
        <v>60</v>
      </c>
      <c r="M1381" s="98">
        <v>0</v>
      </c>
      <c r="N1381" s="91"/>
      <c r="O1381" s="98">
        <f ca="1">(TODAY()-G1381)/365</f>
        <v>5.7835616438356166</v>
      </c>
      <c r="P1381" s="91" t="s">
        <v>272</v>
      </c>
      <c r="Q1381" s="91">
        <v>0</v>
      </c>
      <c r="R1381" s="91">
        <v>0</v>
      </c>
      <c r="S1381" s="91">
        <v>0</v>
      </c>
      <c r="T1381" s="91"/>
      <c r="U1381" s="91"/>
      <c r="V1381" s="91"/>
      <c r="W1381" s="91"/>
      <c r="X1381" s="91"/>
      <c r="Y1381" s="91"/>
      <c r="Z1381" s="91"/>
      <c r="AA1381" s="91"/>
      <c r="AB1381" s="91"/>
      <c r="AC1381" s="91"/>
      <c r="AD1381" s="91"/>
      <c r="AE1381" s="91"/>
      <c r="AF1381" s="91"/>
      <c r="AG1381" s="91"/>
      <c r="AH1381" s="91"/>
      <c r="AI1381" s="91"/>
      <c r="AJ1381" s="91"/>
      <c r="AK1381" s="91"/>
      <c r="AL1381" s="91"/>
      <c r="AM1381" s="91"/>
    </row>
    <row r="1382" spans="1:39" ht="20.25" customHeight="1">
      <c r="A1382" s="91"/>
      <c r="B1382" s="93" t="s">
        <v>1477</v>
      </c>
      <c r="C1382" s="91" t="s">
        <v>73</v>
      </c>
      <c r="D1382" s="94" t="s">
        <v>1578</v>
      </c>
      <c r="E1382" s="94" t="s">
        <v>1579</v>
      </c>
      <c r="F1382" s="95" t="s">
        <v>1580</v>
      </c>
      <c r="G1382" s="96">
        <v>43836</v>
      </c>
      <c r="H1382" s="97">
        <v>33501</v>
      </c>
      <c r="I1382" s="94" t="s">
        <v>1581</v>
      </c>
      <c r="J1382" s="100" t="s">
        <v>58</v>
      </c>
      <c r="K1382" s="91" t="s">
        <v>58</v>
      </c>
      <c r="L1382" s="91" t="s">
        <v>60</v>
      </c>
      <c r="M1382" s="98">
        <f ca="1">(TODAY()-H1382)/365</f>
        <v>34.249315068493154</v>
      </c>
      <c r="N1382" s="99">
        <f>(G1382-H1382)/365</f>
        <v>28.315068493150687</v>
      </c>
      <c r="O1382" s="98">
        <f ca="1">(TODAY()-G1382)/365</f>
        <v>5.934246575342466</v>
      </c>
      <c r="P1382" s="91" t="s">
        <v>43</v>
      </c>
      <c r="Q1382" s="91">
        <v>0</v>
      </c>
      <c r="R1382" s="91">
        <v>0</v>
      </c>
      <c r="S1382" s="91">
        <v>0</v>
      </c>
      <c r="T1382" s="91"/>
      <c r="U1382" s="91"/>
      <c r="V1382" s="91"/>
      <c r="W1382" s="91"/>
      <c r="X1382" s="91"/>
      <c r="Y1382" s="91"/>
      <c r="Z1382" s="91"/>
      <c r="AA1382" s="91"/>
      <c r="AB1382" s="91"/>
      <c r="AC1382" s="91"/>
      <c r="AD1382" s="91"/>
      <c r="AE1382" s="91"/>
      <c r="AF1382" s="91"/>
      <c r="AG1382" s="91"/>
      <c r="AH1382" s="91"/>
      <c r="AI1382" s="91"/>
      <c r="AJ1382" s="91"/>
      <c r="AK1382" s="91"/>
      <c r="AL1382" s="91"/>
      <c r="AM1382" s="91"/>
    </row>
    <row r="1383" spans="1:39" ht="20.25" customHeight="1">
      <c r="A1383" s="91"/>
      <c r="B1383" s="93" t="s">
        <v>1245</v>
      </c>
      <c r="C1383" s="91" t="s">
        <v>73</v>
      </c>
      <c r="D1383" s="107" t="s">
        <v>1450</v>
      </c>
      <c r="E1383" s="107" t="s">
        <v>1451</v>
      </c>
      <c r="F1383" s="91" t="s">
        <v>1452</v>
      </c>
      <c r="G1383" s="96">
        <v>42716</v>
      </c>
      <c r="H1383" s="97">
        <v>21763</v>
      </c>
      <c r="I1383" s="100" t="s">
        <v>1453</v>
      </c>
      <c r="J1383" s="100" t="s">
        <v>1454</v>
      </c>
      <c r="K1383" s="91">
        <v>995770836</v>
      </c>
      <c r="L1383" s="91" t="s">
        <v>60</v>
      </c>
      <c r="M1383" s="98">
        <f ca="1">(TODAY()-H1383)/365</f>
        <v>66.408219178082192</v>
      </c>
      <c r="N1383" s="99">
        <f>(G1383-H1383)/365</f>
        <v>57.405479452054792</v>
      </c>
      <c r="O1383" s="98">
        <f ca="1">(TODAY()-G1383)/365</f>
        <v>9.0027397260273965</v>
      </c>
      <c r="P1383" s="91" t="s">
        <v>43</v>
      </c>
      <c r="Q1383" s="91">
        <v>0</v>
      </c>
      <c r="R1383" s="91">
        <v>0</v>
      </c>
      <c r="S1383" s="91">
        <v>0</v>
      </c>
      <c r="T1383" s="91"/>
      <c r="U1383" s="91"/>
      <c r="V1383" s="91"/>
      <c r="W1383" s="91"/>
      <c r="X1383" s="91"/>
      <c r="Y1383" s="91"/>
      <c r="Z1383" s="91"/>
      <c r="AA1383" s="91"/>
      <c r="AB1383" s="91"/>
      <c r="AC1383" s="91"/>
      <c r="AD1383" s="91"/>
      <c r="AE1383" s="91"/>
      <c r="AF1383" s="91"/>
      <c r="AG1383" s="91"/>
      <c r="AH1383" s="91"/>
      <c r="AI1383" s="91"/>
      <c r="AJ1383" s="91"/>
      <c r="AK1383" s="91"/>
      <c r="AL1383" s="91"/>
      <c r="AM1383" s="91"/>
    </row>
    <row r="1384" spans="1:39" ht="20.25" customHeight="1">
      <c r="A1384" s="91"/>
      <c r="B1384" s="93" t="s">
        <v>7434</v>
      </c>
      <c r="C1384" s="91" t="s">
        <v>73</v>
      </c>
      <c r="D1384" s="94" t="s">
        <v>840</v>
      </c>
      <c r="E1384" s="94" t="s">
        <v>7479</v>
      </c>
      <c r="F1384" s="95" t="s">
        <v>7480</v>
      </c>
      <c r="G1384" s="96">
        <v>43154</v>
      </c>
      <c r="H1384" s="97">
        <v>22314</v>
      </c>
      <c r="I1384" s="100" t="s">
        <v>58</v>
      </c>
      <c r="J1384" s="100" t="s">
        <v>58</v>
      </c>
      <c r="K1384" s="91" t="s">
        <v>58</v>
      </c>
      <c r="L1384" s="91" t="s">
        <v>60</v>
      </c>
      <c r="M1384" s="98">
        <f ca="1">(TODAY()-H1384)/365</f>
        <v>64.898630136986299</v>
      </c>
      <c r="N1384" s="99">
        <f>(G1384-H1384)/365</f>
        <v>57.095890410958901</v>
      </c>
      <c r="O1384" s="98">
        <f ca="1">(TODAY()-G1384)/365</f>
        <v>7.8027397260273972</v>
      </c>
      <c r="P1384" s="91" t="s">
        <v>43</v>
      </c>
      <c r="Q1384" s="91">
        <v>0</v>
      </c>
      <c r="R1384" s="91">
        <v>0</v>
      </c>
      <c r="S1384" s="91">
        <v>0</v>
      </c>
      <c r="T1384" s="91"/>
      <c r="U1384" s="91"/>
      <c r="V1384" s="91"/>
      <c r="W1384" s="91"/>
      <c r="X1384" s="91"/>
      <c r="Y1384" s="91"/>
      <c r="Z1384" s="91"/>
      <c r="AA1384" s="91"/>
      <c r="AB1384" s="91"/>
      <c r="AC1384" s="91"/>
      <c r="AD1384" s="91"/>
      <c r="AE1384" s="91"/>
      <c r="AF1384" s="91"/>
      <c r="AG1384" s="91"/>
      <c r="AH1384" s="91"/>
      <c r="AI1384" s="91"/>
      <c r="AJ1384" s="91"/>
      <c r="AK1384" s="91"/>
      <c r="AL1384" s="91"/>
      <c r="AM1384" s="91"/>
    </row>
    <row r="1385" spans="1:39" ht="20.25" customHeight="1">
      <c r="A1385" s="91"/>
      <c r="B1385" s="93" t="s">
        <v>371</v>
      </c>
      <c r="C1385" s="91" t="s">
        <v>73</v>
      </c>
      <c r="D1385" s="94" t="s">
        <v>396</v>
      </c>
      <c r="E1385" s="94" t="s">
        <v>397</v>
      </c>
      <c r="F1385" s="95" t="s">
        <v>398</v>
      </c>
      <c r="G1385" s="96">
        <v>45636</v>
      </c>
      <c r="H1385" s="97">
        <v>38806</v>
      </c>
      <c r="I1385" s="100" t="s">
        <v>399</v>
      </c>
      <c r="J1385" s="100" t="s">
        <v>58</v>
      </c>
      <c r="K1385" s="91" t="s">
        <v>58</v>
      </c>
      <c r="L1385" s="91" t="s">
        <v>60</v>
      </c>
      <c r="M1385" s="98">
        <f ca="1">(TODAY()-H1385)/365</f>
        <v>19.715068493150685</v>
      </c>
      <c r="N1385" s="99">
        <f>(G1385-H1385)/365</f>
        <v>18.712328767123289</v>
      </c>
      <c r="O1385" s="98">
        <f ca="1">(TODAY()-G1385)/365</f>
        <v>1.0027397260273974</v>
      </c>
      <c r="P1385" s="91" t="s">
        <v>272</v>
      </c>
      <c r="Q1385" s="91">
        <v>0</v>
      </c>
      <c r="R1385" s="91">
        <v>0</v>
      </c>
      <c r="S1385" s="91">
        <v>0</v>
      </c>
      <c r="T1385" s="91"/>
      <c r="U1385" s="91"/>
      <c r="V1385" s="91"/>
      <c r="W1385" s="91"/>
      <c r="X1385" s="91"/>
      <c r="Y1385" s="91"/>
      <c r="Z1385" s="91"/>
      <c r="AA1385" s="91"/>
      <c r="AB1385" s="91"/>
      <c r="AC1385" s="91"/>
      <c r="AD1385" s="91"/>
      <c r="AE1385" s="91"/>
      <c r="AF1385" s="91"/>
      <c r="AG1385" s="91"/>
      <c r="AH1385" s="91"/>
      <c r="AI1385" s="91"/>
      <c r="AJ1385" s="91"/>
      <c r="AK1385" s="91"/>
      <c r="AL1385" s="91"/>
      <c r="AM1385" s="91"/>
    </row>
    <row r="1386" spans="1:39" ht="20.25" customHeight="1">
      <c r="A1386" s="91"/>
      <c r="B1386" s="93" t="s">
        <v>2663</v>
      </c>
      <c r="C1386" s="91" t="s">
        <v>73</v>
      </c>
      <c r="D1386" s="94" t="s">
        <v>1197</v>
      </c>
      <c r="E1386" s="94" t="s">
        <v>2675</v>
      </c>
      <c r="F1386" s="95" t="s">
        <v>2704</v>
      </c>
      <c r="G1386" s="96">
        <v>45366</v>
      </c>
      <c r="H1386" s="97">
        <v>31986</v>
      </c>
      <c r="I1386" s="94" t="s">
        <v>2705</v>
      </c>
      <c r="J1386" s="94" t="s">
        <v>58</v>
      </c>
      <c r="K1386" s="95" t="s">
        <v>58</v>
      </c>
      <c r="L1386" s="91" t="s">
        <v>60</v>
      </c>
      <c r="M1386" s="98">
        <f ca="1">(TODAY()-H1386)/365</f>
        <v>38.4</v>
      </c>
      <c r="N1386" s="99">
        <f>(G1386-H1386)/365</f>
        <v>36.657534246575345</v>
      </c>
      <c r="O1386" s="98">
        <f ca="1">(TODAY()-G1386)/365</f>
        <v>1.7424657534246575</v>
      </c>
      <c r="P1386" s="91" t="s">
        <v>43</v>
      </c>
      <c r="Q1386" s="91">
        <v>0</v>
      </c>
      <c r="R1386" s="91">
        <v>0</v>
      </c>
      <c r="S1386" s="91">
        <v>0</v>
      </c>
      <c r="T1386" s="91"/>
      <c r="U1386" s="91"/>
      <c r="V1386" s="91"/>
      <c r="W1386" s="91"/>
      <c r="X1386" s="91"/>
      <c r="Y1386" s="91"/>
      <c r="Z1386" s="91"/>
      <c r="AA1386" s="91"/>
      <c r="AB1386" s="91"/>
      <c r="AC1386" s="91"/>
      <c r="AD1386" s="91"/>
      <c r="AE1386" s="91"/>
      <c r="AF1386" s="91"/>
      <c r="AG1386" s="91"/>
      <c r="AH1386" s="91"/>
      <c r="AI1386" s="91"/>
      <c r="AJ1386" s="91"/>
      <c r="AK1386" s="91"/>
      <c r="AL1386" s="91"/>
      <c r="AM1386" s="91"/>
    </row>
    <row r="1387" spans="1:39" ht="20.25" customHeight="1">
      <c r="A1387" s="91"/>
      <c r="B1387" s="93" t="s">
        <v>2663</v>
      </c>
      <c r="C1387" s="91" t="s">
        <v>73</v>
      </c>
      <c r="D1387" s="94" t="s">
        <v>455</v>
      </c>
      <c r="E1387" s="94" t="s">
        <v>2675</v>
      </c>
      <c r="F1387" s="95" t="s">
        <v>2676</v>
      </c>
      <c r="G1387" s="96">
        <v>43572</v>
      </c>
      <c r="H1387" s="97">
        <v>36998</v>
      </c>
      <c r="I1387" s="94" t="s">
        <v>2677</v>
      </c>
      <c r="J1387" s="94" t="s">
        <v>58</v>
      </c>
      <c r="K1387" s="95" t="s">
        <v>58</v>
      </c>
      <c r="L1387" s="91" t="s">
        <v>60</v>
      </c>
      <c r="M1387" s="98">
        <f ca="1">(TODAY()-H1387)/365</f>
        <v>24.668493150684931</v>
      </c>
      <c r="N1387" s="99">
        <f>(G1387-H1387)/365</f>
        <v>18.010958904109589</v>
      </c>
      <c r="O1387" s="98">
        <f ca="1">(TODAY()-G1387)/365</f>
        <v>6.6575342465753424</v>
      </c>
      <c r="P1387" s="91" t="s">
        <v>43</v>
      </c>
      <c r="Q1387" s="91">
        <v>0</v>
      </c>
      <c r="R1387" s="91">
        <v>0</v>
      </c>
      <c r="S1387" s="91">
        <v>0</v>
      </c>
      <c r="T1387" s="91"/>
      <c r="U1387" s="91"/>
      <c r="V1387" s="91"/>
      <c r="W1387" s="91"/>
      <c r="X1387" s="91"/>
      <c r="Y1387" s="91"/>
      <c r="Z1387" s="91"/>
      <c r="AA1387" s="91"/>
      <c r="AB1387" s="91"/>
      <c r="AC1387" s="91"/>
      <c r="AD1387" s="91"/>
      <c r="AE1387" s="91"/>
      <c r="AF1387" s="91"/>
      <c r="AG1387" s="91"/>
      <c r="AH1387" s="91"/>
      <c r="AI1387" s="91"/>
      <c r="AJ1387" s="91"/>
      <c r="AK1387" s="91"/>
      <c r="AL1387" s="91"/>
      <c r="AM1387" s="91"/>
    </row>
    <row r="1388" spans="1:39" ht="20.25" customHeight="1">
      <c r="A1388" s="91"/>
      <c r="B1388" s="93" t="s">
        <v>2663</v>
      </c>
      <c r="C1388" s="91" t="s">
        <v>73</v>
      </c>
      <c r="D1388" s="94" t="s">
        <v>2691</v>
      </c>
      <c r="E1388" s="94" t="s">
        <v>2692</v>
      </c>
      <c r="F1388" s="95" t="s">
        <v>2693</v>
      </c>
      <c r="G1388" s="96">
        <v>44986</v>
      </c>
      <c r="H1388" s="97">
        <v>36698</v>
      </c>
      <c r="I1388" s="94" t="s">
        <v>2694</v>
      </c>
      <c r="J1388" s="94" t="s">
        <v>58</v>
      </c>
      <c r="K1388" s="95" t="s">
        <v>58</v>
      </c>
      <c r="L1388" s="91" t="s">
        <v>60</v>
      </c>
      <c r="M1388" s="98">
        <f ca="1">(TODAY()-H1388)/365</f>
        <v>25.490410958904111</v>
      </c>
      <c r="N1388" s="99">
        <f>(G1388-H1388)/365</f>
        <v>22.706849315068492</v>
      </c>
      <c r="O1388" s="98">
        <f ca="1">(TODAY()-G1388)/365</f>
        <v>2.7835616438356166</v>
      </c>
      <c r="P1388" s="91" t="s">
        <v>43</v>
      </c>
      <c r="Q1388" s="91">
        <v>0</v>
      </c>
      <c r="R1388" s="91">
        <v>0</v>
      </c>
      <c r="S1388" s="91">
        <v>0</v>
      </c>
      <c r="T1388" s="91"/>
      <c r="U1388" s="91"/>
      <c r="V1388" s="91"/>
      <c r="W1388" s="91"/>
      <c r="X1388" s="91"/>
      <c r="Y1388" s="91"/>
      <c r="Z1388" s="91"/>
      <c r="AA1388" s="91"/>
      <c r="AB1388" s="91"/>
      <c r="AC1388" s="91"/>
      <c r="AD1388" s="91"/>
      <c r="AE1388" s="91"/>
      <c r="AF1388" s="91"/>
      <c r="AG1388" s="91"/>
      <c r="AH1388" s="91"/>
      <c r="AI1388" s="91"/>
      <c r="AJ1388" s="91"/>
      <c r="AK1388" s="91"/>
      <c r="AL1388" s="91"/>
      <c r="AM1388" s="91"/>
    </row>
    <row r="1389" spans="1:39" ht="20.25" customHeight="1">
      <c r="A1389" s="91"/>
      <c r="B1389" s="93" t="s">
        <v>77</v>
      </c>
      <c r="C1389" s="91" t="s">
        <v>73</v>
      </c>
      <c r="D1389" s="94" t="s">
        <v>100</v>
      </c>
      <c r="E1389" s="94" t="s">
        <v>101</v>
      </c>
      <c r="F1389" s="95" t="s">
        <v>102</v>
      </c>
      <c r="G1389" s="96">
        <v>45119</v>
      </c>
      <c r="H1389" s="97">
        <v>36251</v>
      </c>
      <c r="I1389" s="94" t="s">
        <v>103</v>
      </c>
      <c r="J1389" s="100" t="s">
        <v>58</v>
      </c>
      <c r="K1389" s="91" t="s">
        <v>58</v>
      </c>
      <c r="L1389" s="91" t="s">
        <v>60</v>
      </c>
      <c r="M1389" s="98">
        <f ca="1">(TODAY()-H1389)/365</f>
        <v>26.715068493150685</v>
      </c>
      <c r="N1389" s="99">
        <f>(G1389-H1389)/365</f>
        <v>24.295890410958904</v>
      </c>
      <c r="O1389" s="98">
        <f ca="1">(TODAY()-G1389)/365</f>
        <v>2.419178082191781</v>
      </c>
      <c r="P1389" s="91" t="s">
        <v>43</v>
      </c>
      <c r="Q1389" s="91">
        <v>0</v>
      </c>
      <c r="R1389" s="91">
        <v>0</v>
      </c>
      <c r="S1389" s="91">
        <v>0</v>
      </c>
      <c r="T1389" s="91"/>
      <c r="U1389" s="91"/>
      <c r="V1389" s="91"/>
      <c r="W1389" s="91"/>
      <c r="X1389" s="91"/>
      <c r="Y1389" s="91"/>
      <c r="Z1389" s="91"/>
      <c r="AA1389" s="91"/>
      <c r="AB1389" s="91"/>
      <c r="AC1389" s="91"/>
      <c r="AD1389" s="91"/>
      <c r="AE1389" s="91"/>
      <c r="AF1389" s="91"/>
      <c r="AG1389" s="91"/>
      <c r="AH1389" s="91"/>
      <c r="AI1389" s="91"/>
      <c r="AJ1389" s="91"/>
      <c r="AK1389" s="91"/>
      <c r="AL1389" s="91"/>
      <c r="AM1389" s="91"/>
    </row>
    <row r="1390" spans="1:39" ht="20.25" hidden="1" customHeight="1">
      <c r="A1390" s="91"/>
      <c r="B1390" s="93" t="s">
        <v>4396</v>
      </c>
      <c r="C1390" s="91" t="s">
        <v>36</v>
      </c>
      <c r="D1390" s="107" t="s">
        <v>2727</v>
      </c>
      <c r="E1390" s="107" t="s">
        <v>4455</v>
      </c>
      <c r="F1390" s="91" t="s">
        <v>58</v>
      </c>
      <c r="G1390" s="97" t="s">
        <v>58</v>
      </c>
      <c r="H1390" s="97" t="s">
        <v>58</v>
      </c>
      <c r="I1390" s="100" t="s">
        <v>58</v>
      </c>
      <c r="J1390" s="100" t="s">
        <v>58</v>
      </c>
      <c r="K1390" s="91" t="s">
        <v>58</v>
      </c>
      <c r="L1390" s="91" t="s">
        <v>72</v>
      </c>
      <c r="M1390" s="98">
        <v>0</v>
      </c>
      <c r="N1390" s="91"/>
      <c r="O1390" s="98" t="e">
        <f ca="1">(TODAY()-G1390)/365</f>
        <v>#VALUE!</v>
      </c>
      <c r="P1390" s="91" t="s">
        <v>43</v>
      </c>
      <c r="Q1390" s="91">
        <v>0</v>
      </c>
      <c r="R1390" s="91">
        <v>0</v>
      </c>
      <c r="S1390" s="91">
        <v>0</v>
      </c>
      <c r="T1390" s="91"/>
      <c r="U1390" s="91"/>
      <c r="V1390" s="91"/>
      <c r="W1390" s="91"/>
      <c r="X1390" s="91"/>
      <c r="Y1390" s="91"/>
      <c r="Z1390" s="91"/>
      <c r="AA1390" s="91"/>
      <c r="AB1390" s="91"/>
      <c r="AC1390" s="91"/>
      <c r="AD1390" s="91"/>
      <c r="AE1390" s="91"/>
      <c r="AF1390" s="91"/>
      <c r="AG1390" s="91"/>
      <c r="AH1390" s="91"/>
      <c r="AI1390" s="91"/>
      <c r="AJ1390" s="91"/>
      <c r="AK1390" s="91"/>
      <c r="AL1390" s="91"/>
      <c r="AM1390" s="91"/>
    </row>
    <row r="1391" spans="1:39" ht="20.25" hidden="1" customHeight="1">
      <c r="A1391" s="91"/>
      <c r="B1391" s="93" t="s">
        <v>4396</v>
      </c>
      <c r="C1391" s="91" t="s">
        <v>36</v>
      </c>
      <c r="D1391" s="107" t="s">
        <v>2727</v>
      </c>
      <c r="E1391" s="107" t="s">
        <v>4456</v>
      </c>
      <c r="F1391" s="91" t="s">
        <v>58</v>
      </c>
      <c r="G1391" s="97" t="s">
        <v>58</v>
      </c>
      <c r="H1391" s="97" t="s">
        <v>58</v>
      </c>
      <c r="I1391" s="100" t="s">
        <v>58</v>
      </c>
      <c r="J1391" s="100" t="s">
        <v>58</v>
      </c>
      <c r="K1391" s="91" t="s">
        <v>58</v>
      </c>
      <c r="L1391" s="91" t="s">
        <v>197</v>
      </c>
      <c r="M1391" s="98">
        <v>0</v>
      </c>
      <c r="N1391" s="91"/>
      <c r="O1391" s="98" t="e">
        <f ca="1">(TODAY()-G1391)/365</f>
        <v>#VALUE!</v>
      </c>
      <c r="P1391" s="91" t="s">
        <v>43</v>
      </c>
      <c r="Q1391" s="91">
        <v>0</v>
      </c>
      <c r="R1391" s="91">
        <v>0</v>
      </c>
      <c r="S1391" s="91">
        <v>0</v>
      </c>
      <c r="T1391" s="91"/>
      <c r="U1391" s="91"/>
      <c r="V1391" s="91"/>
      <c r="W1391" s="91"/>
      <c r="X1391" s="91"/>
      <c r="Y1391" s="91"/>
      <c r="Z1391" s="91"/>
      <c r="AA1391" s="91"/>
      <c r="AB1391" s="91"/>
      <c r="AC1391" s="91"/>
      <c r="AD1391" s="91"/>
      <c r="AE1391" s="91"/>
      <c r="AF1391" s="91"/>
      <c r="AG1391" s="91"/>
      <c r="AH1391" s="91"/>
      <c r="AI1391" s="91"/>
      <c r="AJ1391" s="91"/>
      <c r="AK1391" s="91"/>
      <c r="AL1391" s="91"/>
      <c r="AM1391" s="91"/>
    </row>
    <row r="1392" spans="1:39" ht="20.25" hidden="1" customHeight="1">
      <c r="A1392" s="91"/>
      <c r="B1392" s="93" t="s">
        <v>4457</v>
      </c>
      <c r="C1392" s="91" t="s">
        <v>36</v>
      </c>
      <c r="D1392" s="106" t="s">
        <v>4458</v>
      </c>
      <c r="E1392" s="106" t="s">
        <v>4459</v>
      </c>
      <c r="F1392" s="92" t="s">
        <v>4460</v>
      </c>
      <c r="G1392" s="103">
        <v>37543</v>
      </c>
      <c r="H1392" s="103">
        <v>23397</v>
      </c>
      <c r="I1392" s="94" t="s">
        <v>4461</v>
      </c>
      <c r="J1392" s="94" t="s">
        <v>4462</v>
      </c>
      <c r="K1392" s="92">
        <v>995168671</v>
      </c>
      <c r="L1392" s="91" t="s">
        <v>60</v>
      </c>
      <c r="M1392" s="98">
        <f ca="1">(TODAY()-H1392)/365</f>
        <v>61.93150684931507</v>
      </c>
      <c r="N1392" s="99">
        <f>(G1392-H1392)/365</f>
        <v>38.756164383561647</v>
      </c>
      <c r="O1392" s="98">
        <f ca="1">(TODAY()-G1392)/365</f>
        <v>23.175342465753424</v>
      </c>
      <c r="P1392" s="91" t="s">
        <v>43</v>
      </c>
      <c r="Q1392" s="91"/>
      <c r="R1392" s="91"/>
      <c r="S1392" s="91"/>
      <c r="T1392" s="91"/>
      <c r="U1392" s="91"/>
      <c r="V1392" s="91"/>
      <c r="W1392" s="91"/>
      <c r="X1392" s="91"/>
      <c r="Y1392" s="91"/>
      <c r="Z1392" s="91"/>
      <c r="AA1392" s="91"/>
      <c r="AB1392" s="91"/>
      <c r="AC1392" s="91"/>
      <c r="AD1392" s="91"/>
      <c r="AE1392" s="91"/>
      <c r="AF1392" s="91"/>
      <c r="AG1392" s="91"/>
      <c r="AH1392" s="91"/>
      <c r="AI1392" s="91"/>
      <c r="AJ1392" s="91"/>
      <c r="AK1392" s="91"/>
      <c r="AL1392" s="91"/>
      <c r="AM1392" s="91"/>
    </row>
    <row r="1393" spans="1:39" ht="20.25" hidden="1" customHeight="1">
      <c r="A1393" s="91"/>
      <c r="B1393" s="93" t="s">
        <v>4457</v>
      </c>
      <c r="C1393" s="91" t="s">
        <v>36</v>
      </c>
      <c r="D1393" s="106" t="s">
        <v>4463</v>
      </c>
      <c r="E1393" s="106" t="s">
        <v>4464</v>
      </c>
      <c r="F1393" s="92" t="s">
        <v>4465</v>
      </c>
      <c r="G1393" s="103">
        <v>37408</v>
      </c>
      <c r="H1393" s="103">
        <v>17879</v>
      </c>
      <c r="I1393" s="94" t="s">
        <v>4466</v>
      </c>
      <c r="J1393" s="94" t="s">
        <v>4467</v>
      </c>
      <c r="K1393" s="92">
        <v>992385593</v>
      </c>
      <c r="L1393" s="91" t="s">
        <v>60</v>
      </c>
      <c r="M1393" s="98">
        <f ca="1">(TODAY()-H1393)/365</f>
        <v>77.049315068493144</v>
      </c>
      <c r="N1393" s="99">
        <f>(G1393-H1393)/365</f>
        <v>53.504109589041093</v>
      </c>
      <c r="O1393" s="98">
        <f ca="1">(TODAY()-G1393)/365</f>
        <v>23.545205479452054</v>
      </c>
      <c r="P1393" s="91" t="s">
        <v>43</v>
      </c>
      <c r="Q1393" s="91"/>
      <c r="R1393" s="91"/>
      <c r="S1393" s="91"/>
      <c r="T1393" s="91"/>
      <c r="U1393" s="91"/>
      <c r="V1393" s="91"/>
      <c r="W1393" s="91"/>
      <c r="X1393" s="91"/>
      <c r="Y1393" s="91"/>
      <c r="Z1393" s="91"/>
      <c r="AA1393" s="91"/>
      <c r="AB1393" s="91"/>
      <c r="AC1393" s="91"/>
      <c r="AD1393" s="91"/>
      <c r="AE1393" s="91"/>
      <c r="AF1393" s="91"/>
      <c r="AG1393" s="91"/>
      <c r="AH1393" s="91"/>
      <c r="AI1393" s="91"/>
      <c r="AJ1393" s="91"/>
      <c r="AK1393" s="91"/>
      <c r="AL1393" s="91"/>
      <c r="AM1393" s="91"/>
    </row>
    <row r="1394" spans="1:39" ht="20.25" hidden="1" customHeight="1">
      <c r="A1394" s="91"/>
      <c r="B1394" s="93" t="s">
        <v>4457</v>
      </c>
      <c r="C1394" s="91" t="s">
        <v>36</v>
      </c>
      <c r="D1394" s="106" t="s">
        <v>4468</v>
      </c>
      <c r="E1394" s="106" t="s">
        <v>4469</v>
      </c>
      <c r="F1394" s="92" t="s">
        <v>4470</v>
      </c>
      <c r="G1394" s="103">
        <v>24344</v>
      </c>
      <c r="H1394" s="103">
        <v>14861</v>
      </c>
      <c r="I1394" s="94" t="s">
        <v>4471</v>
      </c>
      <c r="J1394" s="94" t="s">
        <v>4472</v>
      </c>
      <c r="K1394" s="92">
        <v>998185398</v>
      </c>
      <c r="L1394" s="91" t="s">
        <v>60</v>
      </c>
      <c r="M1394" s="98">
        <f ca="1">(TODAY()-H1394)/365</f>
        <v>85.317808219178076</v>
      </c>
      <c r="N1394" s="99">
        <f>(G1394-H1394)/365</f>
        <v>25.980821917808218</v>
      </c>
      <c r="O1394" s="98">
        <f ca="1">(TODAY()-G1394)/365</f>
        <v>59.336986301369862</v>
      </c>
      <c r="P1394" s="91" t="s">
        <v>43</v>
      </c>
      <c r="Q1394" s="91"/>
      <c r="R1394" s="91"/>
      <c r="S1394" s="91"/>
      <c r="T1394" s="91"/>
      <c r="U1394" s="91"/>
      <c r="V1394" s="91"/>
      <c r="W1394" s="91"/>
      <c r="X1394" s="91"/>
      <c r="Y1394" s="91"/>
      <c r="Z1394" s="91"/>
      <c r="AA1394" s="91"/>
      <c r="AB1394" s="91"/>
      <c r="AC1394" s="91"/>
      <c r="AD1394" s="91"/>
      <c r="AE1394" s="91"/>
      <c r="AF1394" s="91"/>
      <c r="AG1394" s="91"/>
      <c r="AH1394" s="91"/>
      <c r="AI1394" s="91"/>
      <c r="AJ1394" s="91"/>
      <c r="AK1394" s="91"/>
      <c r="AL1394" s="91"/>
      <c r="AM1394" s="91"/>
    </row>
    <row r="1395" spans="1:39" ht="20.25" hidden="1" customHeight="1">
      <c r="A1395" s="91"/>
      <c r="B1395" s="93" t="s">
        <v>4457</v>
      </c>
      <c r="C1395" s="91" t="s">
        <v>36</v>
      </c>
      <c r="D1395" s="106" t="s">
        <v>4473</v>
      </c>
      <c r="E1395" s="106" t="s">
        <v>4474</v>
      </c>
      <c r="F1395" s="92" t="s">
        <v>4475</v>
      </c>
      <c r="G1395" s="103">
        <v>31111</v>
      </c>
      <c r="H1395" s="103">
        <v>23880</v>
      </c>
      <c r="I1395" s="94" t="s">
        <v>4476</v>
      </c>
      <c r="J1395" s="94" t="s">
        <v>4477</v>
      </c>
      <c r="K1395" s="92">
        <v>994474675</v>
      </c>
      <c r="L1395" s="91" t="s">
        <v>197</v>
      </c>
      <c r="M1395" s="98">
        <f ca="1">(TODAY()-H1395)/365</f>
        <v>60.608219178082194</v>
      </c>
      <c r="N1395" s="99">
        <f>(G1395-H1395)/365</f>
        <v>19.81095890410959</v>
      </c>
      <c r="O1395" s="98">
        <f ca="1">(TODAY()-G1395)/365</f>
        <v>40.797260273972604</v>
      </c>
      <c r="P1395" s="91" t="s">
        <v>272</v>
      </c>
      <c r="Q1395" s="91"/>
      <c r="R1395" s="91"/>
      <c r="S1395" s="91"/>
      <c r="T1395" s="91"/>
      <c r="U1395" s="91"/>
      <c r="V1395" s="91"/>
      <c r="W1395" s="91"/>
      <c r="X1395" s="91"/>
      <c r="Y1395" s="91"/>
      <c r="Z1395" s="91"/>
      <c r="AA1395" s="91"/>
      <c r="AB1395" s="91"/>
      <c r="AC1395" s="91"/>
      <c r="AD1395" s="91"/>
      <c r="AE1395" s="91"/>
      <c r="AF1395" s="91"/>
      <c r="AG1395" s="91"/>
      <c r="AH1395" s="91"/>
      <c r="AI1395" s="91"/>
      <c r="AJ1395" s="91"/>
      <c r="AK1395" s="91"/>
      <c r="AL1395" s="91"/>
      <c r="AM1395" s="91"/>
    </row>
    <row r="1396" spans="1:39" ht="20.25" hidden="1" customHeight="1">
      <c r="A1396" s="91"/>
      <c r="B1396" s="93" t="s">
        <v>4457</v>
      </c>
      <c r="C1396" s="91" t="s">
        <v>36</v>
      </c>
      <c r="D1396" s="106" t="s">
        <v>4478</v>
      </c>
      <c r="E1396" s="106" t="s">
        <v>4479</v>
      </c>
      <c r="F1396" s="92" t="s">
        <v>4480</v>
      </c>
      <c r="G1396" s="103">
        <v>39336</v>
      </c>
      <c r="H1396" s="103">
        <v>20672</v>
      </c>
      <c r="I1396" s="105" t="s">
        <v>4481</v>
      </c>
      <c r="J1396" s="94" t="s">
        <v>4482</v>
      </c>
      <c r="K1396" s="92">
        <v>982931880</v>
      </c>
      <c r="L1396" s="91" t="s">
        <v>60</v>
      </c>
      <c r="M1396" s="98">
        <f ca="1">(TODAY()-H1396)/365</f>
        <v>69.397260273972606</v>
      </c>
      <c r="N1396" s="99">
        <f>(G1396-H1396)/365</f>
        <v>51.134246575342466</v>
      </c>
      <c r="O1396" s="98">
        <f ca="1">(TODAY()-G1396)/365</f>
        <v>18.263013698630136</v>
      </c>
      <c r="P1396" s="91" t="s">
        <v>43</v>
      </c>
      <c r="Q1396" s="91"/>
      <c r="R1396" s="91"/>
      <c r="S1396" s="91"/>
      <c r="T1396" s="91"/>
      <c r="U1396" s="91"/>
      <c r="V1396" s="91"/>
      <c r="W1396" s="91"/>
      <c r="X1396" s="91"/>
      <c r="Y1396" s="91"/>
      <c r="Z1396" s="91"/>
      <c r="AA1396" s="91"/>
      <c r="AB1396" s="91"/>
      <c r="AC1396" s="91"/>
      <c r="AD1396" s="91"/>
      <c r="AE1396" s="91"/>
      <c r="AF1396" s="91"/>
      <c r="AG1396" s="91"/>
      <c r="AH1396" s="91"/>
      <c r="AI1396" s="91"/>
      <c r="AJ1396" s="91"/>
      <c r="AK1396" s="91"/>
      <c r="AL1396" s="91"/>
      <c r="AM1396" s="91"/>
    </row>
    <row r="1397" spans="1:39" ht="20.25" hidden="1" customHeight="1">
      <c r="A1397" s="91"/>
      <c r="B1397" s="93" t="s">
        <v>4457</v>
      </c>
      <c r="C1397" s="91" t="s">
        <v>36</v>
      </c>
      <c r="D1397" s="106" t="s">
        <v>4483</v>
      </c>
      <c r="E1397" s="106" t="s">
        <v>4484</v>
      </c>
      <c r="F1397" s="92" t="s">
        <v>4485</v>
      </c>
      <c r="G1397" s="103">
        <v>19173</v>
      </c>
      <c r="H1397" s="103">
        <v>12332</v>
      </c>
      <c r="I1397" s="94" t="s">
        <v>4486</v>
      </c>
      <c r="J1397" s="94" t="s">
        <v>4487</v>
      </c>
      <c r="K1397" s="92">
        <v>991285328</v>
      </c>
      <c r="L1397" s="91" t="s">
        <v>66</v>
      </c>
      <c r="M1397" s="98">
        <f ca="1">(TODAY()-H1397)/365</f>
        <v>92.246575342465746</v>
      </c>
      <c r="N1397" s="99">
        <f>(G1397-H1397)/365</f>
        <v>18.742465753424657</v>
      </c>
      <c r="O1397" s="98">
        <f ca="1">(TODAY()-G1397)/365</f>
        <v>73.504109589041093</v>
      </c>
      <c r="P1397" s="91" t="s">
        <v>43</v>
      </c>
      <c r="Q1397" s="91"/>
      <c r="R1397" s="91"/>
      <c r="S1397" s="91"/>
      <c r="T1397" s="91"/>
      <c r="U1397" s="91"/>
      <c r="V1397" s="91"/>
      <c r="W1397" s="91"/>
      <c r="X1397" s="91"/>
      <c r="Y1397" s="91"/>
      <c r="Z1397" s="91"/>
      <c r="AA1397" s="91"/>
      <c r="AB1397" s="91"/>
      <c r="AC1397" s="91"/>
      <c r="AD1397" s="91"/>
      <c r="AE1397" s="91"/>
      <c r="AF1397" s="91"/>
      <c r="AG1397" s="91"/>
      <c r="AH1397" s="91"/>
      <c r="AI1397" s="91"/>
      <c r="AJ1397" s="91"/>
      <c r="AK1397" s="91"/>
      <c r="AL1397" s="91"/>
      <c r="AM1397" s="91"/>
    </row>
    <row r="1398" spans="1:39" ht="20.25" hidden="1" customHeight="1">
      <c r="A1398" s="91"/>
      <c r="B1398" s="93" t="s">
        <v>4457</v>
      </c>
      <c r="C1398" s="91" t="s">
        <v>36</v>
      </c>
      <c r="D1398" s="106" t="s">
        <v>4488</v>
      </c>
      <c r="E1398" s="106" t="s">
        <v>4489</v>
      </c>
      <c r="F1398" s="92" t="s">
        <v>4490</v>
      </c>
      <c r="G1398" s="103">
        <v>41751</v>
      </c>
      <c r="H1398" s="103">
        <v>19031</v>
      </c>
      <c r="I1398" s="94" t="s">
        <v>4486</v>
      </c>
      <c r="J1398" s="94" t="s">
        <v>4491</v>
      </c>
      <c r="K1398" s="92">
        <v>998386126</v>
      </c>
      <c r="L1398" s="91" t="s">
        <v>54</v>
      </c>
      <c r="M1398" s="98">
        <f ca="1">(TODAY()-H1398)/365</f>
        <v>73.893150684931513</v>
      </c>
      <c r="N1398" s="99">
        <f>(G1398-H1398)/365</f>
        <v>62.246575342465754</v>
      </c>
      <c r="O1398" s="98">
        <f ca="1">(TODAY()-G1398)/365</f>
        <v>11.646575342465754</v>
      </c>
      <c r="P1398" s="91" t="s">
        <v>43</v>
      </c>
      <c r="Q1398" s="91"/>
      <c r="R1398" s="91"/>
      <c r="S1398" s="91"/>
      <c r="T1398" s="91"/>
      <c r="U1398" s="91"/>
      <c r="V1398" s="91"/>
      <c r="W1398" s="91"/>
      <c r="X1398" s="91"/>
      <c r="Y1398" s="91"/>
      <c r="Z1398" s="91"/>
      <c r="AA1398" s="91"/>
      <c r="AB1398" s="91"/>
      <c r="AC1398" s="91"/>
      <c r="AD1398" s="91"/>
      <c r="AE1398" s="91"/>
      <c r="AF1398" s="91"/>
      <c r="AG1398" s="91"/>
      <c r="AH1398" s="91"/>
      <c r="AI1398" s="91"/>
      <c r="AJ1398" s="91"/>
      <c r="AK1398" s="91"/>
      <c r="AL1398" s="91"/>
      <c r="AM1398" s="91"/>
    </row>
    <row r="1399" spans="1:39" ht="20.25" hidden="1" customHeight="1">
      <c r="A1399" s="91"/>
      <c r="B1399" s="93" t="s">
        <v>4457</v>
      </c>
      <c r="C1399" s="91" t="s">
        <v>36</v>
      </c>
      <c r="D1399" s="106" t="s">
        <v>4492</v>
      </c>
      <c r="E1399" s="106" t="s">
        <v>4493</v>
      </c>
      <c r="F1399" s="92" t="s">
        <v>4494</v>
      </c>
      <c r="G1399" s="103">
        <v>40417</v>
      </c>
      <c r="H1399" s="103">
        <v>19057</v>
      </c>
      <c r="I1399" s="94" t="s">
        <v>4495</v>
      </c>
      <c r="J1399" s="94" t="s">
        <v>4496</v>
      </c>
      <c r="K1399" s="92">
        <v>994388297</v>
      </c>
      <c r="L1399" s="91" t="s">
        <v>42</v>
      </c>
      <c r="M1399" s="98">
        <f ca="1">(TODAY()-H1399)/365</f>
        <v>73.821917808219183</v>
      </c>
      <c r="N1399" s="99">
        <f>(G1399-H1399)/365</f>
        <v>58.520547945205479</v>
      </c>
      <c r="O1399" s="98">
        <f ca="1">(TODAY()-G1399)/365</f>
        <v>15.301369863013699</v>
      </c>
      <c r="P1399" s="91" t="s">
        <v>43</v>
      </c>
      <c r="Q1399" s="91"/>
      <c r="R1399" s="91"/>
      <c r="S1399" s="91"/>
      <c r="T1399" s="91"/>
      <c r="U1399" s="91"/>
      <c r="V1399" s="91"/>
      <c r="W1399" s="91"/>
      <c r="X1399" s="91"/>
      <c r="Y1399" s="91"/>
      <c r="Z1399" s="91"/>
      <c r="AA1399" s="91"/>
      <c r="AB1399" s="91"/>
      <c r="AC1399" s="91"/>
      <c r="AD1399" s="91"/>
      <c r="AE1399" s="91"/>
      <c r="AF1399" s="91"/>
      <c r="AG1399" s="91"/>
      <c r="AH1399" s="91"/>
      <c r="AI1399" s="91"/>
      <c r="AJ1399" s="91"/>
      <c r="AK1399" s="91"/>
      <c r="AL1399" s="91"/>
      <c r="AM1399" s="91"/>
    </row>
    <row r="1400" spans="1:39" ht="20.25" hidden="1" customHeight="1">
      <c r="A1400" s="91"/>
      <c r="B1400" s="93" t="s">
        <v>4457</v>
      </c>
      <c r="C1400" s="91" t="s">
        <v>36</v>
      </c>
      <c r="D1400" s="106" t="s">
        <v>4497</v>
      </c>
      <c r="E1400" s="106" t="s">
        <v>4498</v>
      </c>
      <c r="F1400" s="92" t="s">
        <v>4499</v>
      </c>
      <c r="G1400" s="103">
        <v>40532</v>
      </c>
      <c r="H1400" s="103">
        <v>21781</v>
      </c>
      <c r="I1400" s="94" t="s">
        <v>4500</v>
      </c>
      <c r="J1400" s="94" t="s">
        <v>4501</v>
      </c>
      <c r="K1400" s="92">
        <v>972107295</v>
      </c>
      <c r="L1400" s="91" t="s">
        <v>60</v>
      </c>
      <c r="M1400" s="98">
        <f ca="1">(TODAY()-H1400)/365</f>
        <v>66.358904109589048</v>
      </c>
      <c r="N1400" s="99">
        <f>(G1400-H1400)/365</f>
        <v>51.372602739726027</v>
      </c>
      <c r="O1400" s="98">
        <f ca="1">(TODAY()-G1400)/365</f>
        <v>14.986301369863014</v>
      </c>
      <c r="P1400" s="91" t="s">
        <v>43</v>
      </c>
      <c r="Q1400" s="91"/>
      <c r="R1400" s="91"/>
      <c r="S1400" s="91"/>
      <c r="T1400" s="91"/>
      <c r="U1400" s="91"/>
      <c r="V1400" s="91"/>
      <c r="W1400" s="91"/>
      <c r="X1400" s="91"/>
      <c r="Y1400" s="91"/>
      <c r="Z1400" s="91"/>
      <c r="AA1400" s="91"/>
      <c r="AB1400" s="91"/>
      <c r="AC1400" s="91"/>
      <c r="AD1400" s="91"/>
      <c r="AE1400" s="91"/>
      <c r="AF1400" s="91"/>
      <c r="AG1400" s="91"/>
      <c r="AH1400" s="91"/>
      <c r="AI1400" s="91"/>
      <c r="AJ1400" s="91"/>
      <c r="AK1400" s="91"/>
      <c r="AL1400" s="91"/>
      <c r="AM1400" s="91"/>
    </row>
    <row r="1401" spans="1:39" ht="20.25" hidden="1" customHeight="1">
      <c r="A1401" s="91"/>
      <c r="B1401" s="93" t="s">
        <v>4457</v>
      </c>
      <c r="C1401" s="91" t="s">
        <v>36</v>
      </c>
      <c r="D1401" s="106" t="s">
        <v>4502</v>
      </c>
      <c r="E1401" s="106" t="s">
        <v>4503</v>
      </c>
      <c r="F1401" s="92" t="s">
        <v>4504</v>
      </c>
      <c r="G1401" s="103">
        <v>43227</v>
      </c>
      <c r="H1401" s="103">
        <v>23741</v>
      </c>
      <c r="I1401" s="94" t="s">
        <v>4505</v>
      </c>
      <c r="J1401" s="94" t="s">
        <v>4506</v>
      </c>
      <c r="K1401" s="92">
        <v>982090946</v>
      </c>
      <c r="L1401" s="91" t="s">
        <v>60</v>
      </c>
      <c r="M1401" s="98">
        <f ca="1">(TODAY()-H1401)/365</f>
        <v>60.989041095890414</v>
      </c>
      <c r="N1401" s="99">
        <f>(G1401-H1401)/365</f>
        <v>53.386301369863013</v>
      </c>
      <c r="O1401" s="98">
        <f ca="1">(TODAY()-G1401)/365</f>
        <v>7.602739726027397</v>
      </c>
      <c r="P1401" s="91" t="s">
        <v>43</v>
      </c>
      <c r="Q1401" s="91"/>
      <c r="R1401" s="91"/>
      <c r="S1401" s="91"/>
      <c r="T1401" s="91"/>
      <c r="U1401" s="91"/>
      <c r="V1401" s="91"/>
      <c r="W1401" s="91"/>
      <c r="X1401" s="91"/>
      <c r="Y1401" s="91"/>
      <c r="Z1401" s="91"/>
      <c r="AA1401" s="91"/>
      <c r="AB1401" s="91"/>
      <c r="AC1401" s="91"/>
      <c r="AD1401" s="91"/>
      <c r="AE1401" s="91"/>
      <c r="AF1401" s="91"/>
      <c r="AG1401" s="91"/>
      <c r="AH1401" s="91"/>
      <c r="AI1401" s="91"/>
      <c r="AJ1401" s="91"/>
      <c r="AK1401" s="91"/>
      <c r="AL1401" s="91"/>
      <c r="AM1401" s="91"/>
    </row>
    <row r="1402" spans="1:39" ht="20.25" hidden="1" customHeight="1">
      <c r="A1402" s="91"/>
      <c r="B1402" s="93" t="s">
        <v>4457</v>
      </c>
      <c r="C1402" s="91" t="s">
        <v>36</v>
      </c>
      <c r="D1402" s="106" t="s">
        <v>4507</v>
      </c>
      <c r="E1402" s="106" t="s">
        <v>4508</v>
      </c>
      <c r="F1402" s="92" t="s">
        <v>4509</v>
      </c>
      <c r="G1402" s="103">
        <v>45352</v>
      </c>
      <c r="H1402" s="103">
        <v>24298</v>
      </c>
      <c r="I1402" s="94" t="s">
        <v>4510</v>
      </c>
      <c r="J1402" s="94" t="s">
        <v>4511</v>
      </c>
      <c r="K1402" s="92">
        <v>931949378</v>
      </c>
      <c r="L1402" s="91" t="s">
        <v>167</v>
      </c>
      <c r="M1402" s="98">
        <f ca="1">(TODAY()-H1402)/365</f>
        <v>59.463013698630135</v>
      </c>
      <c r="N1402" s="99">
        <f>(G1402-H1402)/365</f>
        <v>57.682191780821917</v>
      </c>
      <c r="O1402" s="98">
        <f ca="1">(TODAY()-G1402)/365</f>
        <v>1.7808219178082192</v>
      </c>
      <c r="P1402" s="91" t="s">
        <v>43</v>
      </c>
      <c r="Q1402" s="91"/>
      <c r="R1402" s="91"/>
      <c r="S1402" s="91"/>
      <c r="T1402" s="91"/>
      <c r="U1402" s="91"/>
      <c r="V1402" s="91"/>
      <c r="W1402" s="91"/>
      <c r="X1402" s="91"/>
      <c r="Y1402" s="91"/>
      <c r="Z1402" s="91"/>
      <c r="AA1402" s="91"/>
      <c r="AB1402" s="91"/>
      <c r="AC1402" s="91"/>
      <c r="AD1402" s="91"/>
      <c r="AE1402" s="91"/>
      <c r="AF1402" s="91"/>
      <c r="AG1402" s="91"/>
      <c r="AH1402" s="91"/>
      <c r="AI1402" s="91"/>
      <c r="AJ1402" s="91"/>
      <c r="AK1402" s="91"/>
      <c r="AL1402" s="91"/>
      <c r="AM1402" s="91"/>
    </row>
    <row r="1403" spans="1:39" ht="20.25" hidden="1" customHeight="1">
      <c r="A1403" s="91"/>
      <c r="B1403" s="93" t="s">
        <v>4457</v>
      </c>
      <c r="C1403" s="91" t="s">
        <v>36</v>
      </c>
      <c r="D1403" s="106" t="s">
        <v>4512</v>
      </c>
      <c r="E1403" s="106" t="s">
        <v>4513</v>
      </c>
      <c r="F1403" s="92" t="s">
        <v>4514</v>
      </c>
      <c r="G1403" s="103">
        <v>43862</v>
      </c>
      <c r="H1403" s="103">
        <v>36040</v>
      </c>
      <c r="I1403" s="94" t="s">
        <v>4515</v>
      </c>
      <c r="J1403" s="94" t="s">
        <v>4516</v>
      </c>
      <c r="K1403" s="92">
        <v>920016182</v>
      </c>
      <c r="L1403" s="91" t="s">
        <v>60</v>
      </c>
      <c r="M1403" s="98">
        <f ca="1">(TODAY()-H1403)/365</f>
        <v>27.293150684931508</v>
      </c>
      <c r="N1403" s="99">
        <f>(G1403-H1403)/365</f>
        <v>21.43013698630137</v>
      </c>
      <c r="O1403" s="98">
        <f ca="1">(TODAY()-G1403)/365</f>
        <v>5.8630136986301373</v>
      </c>
      <c r="P1403" s="91" t="s">
        <v>43</v>
      </c>
      <c r="Q1403" s="91"/>
      <c r="R1403" s="91"/>
      <c r="S1403" s="91"/>
      <c r="T1403" s="91"/>
      <c r="U1403" s="91"/>
      <c r="V1403" s="91"/>
      <c r="W1403" s="91"/>
      <c r="X1403" s="91"/>
      <c r="Y1403" s="91"/>
      <c r="Z1403" s="91"/>
      <c r="AA1403" s="91"/>
      <c r="AB1403" s="91"/>
      <c r="AC1403" s="91"/>
      <c r="AD1403" s="91"/>
      <c r="AE1403" s="91"/>
      <c r="AF1403" s="91"/>
      <c r="AG1403" s="91"/>
      <c r="AH1403" s="91"/>
      <c r="AI1403" s="91"/>
      <c r="AJ1403" s="91"/>
      <c r="AK1403" s="91"/>
      <c r="AL1403" s="91"/>
      <c r="AM1403" s="91"/>
    </row>
    <row r="1404" spans="1:39" ht="20.25" hidden="1" customHeight="1">
      <c r="A1404" s="91"/>
      <c r="B1404" s="93" t="s">
        <v>4457</v>
      </c>
      <c r="C1404" s="91" t="s">
        <v>36</v>
      </c>
      <c r="D1404" s="106" t="s">
        <v>4517</v>
      </c>
      <c r="E1404" s="106" t="s">
        <v>4518</v>
      </c>
      <c r="F1404" s="92" t="s">
        <v>4519</v>
      </c>
      <c r="G1404" s="103">
        <v>35887</v>
      </c>
      <c r="H1404" s="103">
        <v>17298</v>
      </c>
      <c r="I1404" s="94" t="s">
        <v>4486</v>
      </c>
      <c r="J1404" s="94" t="s">
        <v>4520</v>
      </c>
      <c r="K1404" s="92">
        <v>966781711</v>
      </c>
      <c r="L1404" s="91" t="s">
        <v>60</v>
      </c>
      <c r="M1404" s="98">
        <f ca="1">(TODAY()-H1404)/365</f>
        <v>78.641095890410952</v>
      </c>
      <c r="N1404" s="99">
        <f>(G1404-H1404)/365</f>
        <v>50.92876712328767</v>
      </c>
      <c r="O1404" s="98">
        <f ca="1">(TODAY()-G1404)/365</f>
        <v>27.712328767123289</v>
      </c>
      <c r="P1404" s="91" t="s">
        <v>43</v>
      </c>
      <c r="Q1404" s="91"/>
      <c r="R1404" s="91"/>
      <c r="S1404" s="91"/>
      <c r="T1404" s="91"/>
      <c r="U1404" s="91"/>
      <c r="V1404" s="91"/>
      <c r="W1404" s="91"/>
      <c r="X1404" s="91"/>
      <c r="Y1404" s="91"/>
      <c r="Z1404" s="91"/>
      <c r="AA1404" s="91"/>
      <c r="AB1404" s="91"/>
      <c r="AC1404" s="91"/>
      <c r="AD1404" s="91"/>
      <c r="AE1404" s="91"/>
      <c r="AF1404" s="91"/>
      <c r="AG1404" s="91"/>
      <c r="AH1404" s="91"/>
      <c r="AI1404" s="91"/>
      <c r="AJ1404" s="91"/>
      <c r="AK1404" s="91"/>
      <c r="AL1404" s="91"/>
      <c r="AM1404" s="91"/>
    </row>
    <row r="1405" spans="1:39" ht="20.25" hidden="1" customHeight="1">
      <c r="A1405" s="91"/>
      <c r="B1405" s="93" t="s">
        <v>4457</v>
      </c>
      <c r="C1405" s="91" t="s">
        <v>36</v>
      </c>
      <c r="D1405" s="106" t="s">
        <v>4521</v>
      </c>
      <c r="E1405" s="106" t="s">
        <v>4522</v>
      </c>
      <c r="F1405" s="92" t="s">
        <v>4523</v>
      </c>
      <c r="G1405" s="103">
        <v>40190</v>
      </c>
      <c r="H1405" s="103">
        <v>18570</v>
      </c>
      <c r="I1405" s="94" t="s">
        <v>4486</v>
      </c>
      <c r="J1405" s="94" t="s">
        <v>4520</v>
      </c>
      <c r="K1405" s="92" t="s">
        <v>4524</v>
      </c>
      <c r="L1405" s="91" t="s">
        <v>60</v>
      </c>
      <c r="M1405" s="98">
        <f ca="1">(TODAY()-H1405)/365</f>
        <v>75.156164383561645</v>
      </c>
      <c r="N1405" s="99">
        <f>(G1405-H1405)/365</f>
        <v>59.232876712328768</v>
      </c>
      <c r="O1405" s="98">
        <f ca="1">(TODAY()-G1405)/365</f>
        <v>15.923287671232877</v>
      </c>
      <c r="P1405" s="91" t="s">
        <v>43</v>
      </c>
      <c r="Q1405" s="91"/>
      <c r="R1405" s="91"/>
      <c r="S1405" s="91"/>
      <c r="T1405" s="91"/>
      <c r="U1405" s="91"/>
      <c r="V1405" s="91"/>
      <c r="W1405" s="91"/>
      <c r="X1405" s="91"/>
      <c r="Y1405" s="91"/>
      <c r="Z1405" s="91"/>
      <c r="AA1405" s="91"/>
      <c r="AB1405" s="91"/>
      <c r="AC1405" s="91"/>
      <c r="AD1405" s="91"/>
      <c r="AE1405" s="91"/>
      <c r="AF1405" s="91"/>
      <c r="AG1405" s="91"/>
      <c r="AH1405" s="91"/>
      <c r="AI1405" s="91"/>
      <c r="AJ1405" s="91"/>
      <c r="AK1405" s="91"/>
      <c r="AL1405" s="91"/>
      <c r="AM1405" s="91"/>
    </row>
    <row r="1406" spans="1:39" ht="20.25" hidden="1" customHeight="1">
      <c r="A1406" s="91"/>
      <c r="B1406" s="93" t="s">
        <v>4457</v>
      </c>
      <c r="C1406" s="91" t="s">
        <v>36</v>
      </c>
      <c r="D1406" s="106" t="s">
        <v>4525</v>
      </c>
      <c r="E1406" s="106" t="s">
        <v>4526</v>
      </c>
      <c r="F1406" s="92" t="s">
        <v>4527</v>
      </c>
      <c r="G1406" s="103">
        <v>33316</v>
      </c>
      <c r="H1406" s="103">
        <v>17940</v>
      </c>
      <c r="I1406" s="94" t="s">
        <v>4486</v>
      </c>
      <c r="J1406" s="94" t="s">
        <v>4528</v>
      </c>
      <c r="K1406" s="92">
        <v>982505867</v>
      </c>
      <c r="L1406" s="91" t="s">
        <v>60</v>
      </c>
      <c r="M1406" s="98">
        <f ca="1">(TODAY()-H1406)/365</f>
        <v>76.882191780821913</v>
      </c>
      <c r="N1406" s="99">
        <f>(G1406-H1406)/365</f>
        <v>42.126027397260273</v>
      </c>
      <c r="O1406" s="98">
        <f ca="1">(TODAY()-G1406)/365</f>
        <v>34.756164383561647</v>
      </c>
      <c r="P1406" s="91" t="s">
        <v>43</v>
      </c>
      <c r="Q1406" s="91"/>
      <c r="R1406" s="91"/>
      <c r="S1406" s="91"/>
      <c r="T1406" s="91"/>
      <c r="U1406" s="91"/>
      <c r="V1406" s="91"/>
      <c r="W1406" s="91"/>
      <c r="X1406" s="91"/>
      <c r="Y1406" s="91"/>
      <c r="Z1406" s="91"/>
      <c r="AA1406" s="91"/>
      <c r="AB1406" s="91"/>
      <c r="AC1406" s="91"/>
      <c r="AD1406" s="91"/>
      <c r="AE1406" s="91"/>
      <c r="AF1406" s="91"/>
      <c r="AG1406" s="91"/>
      <c r="AH1406" s="91"/>
      <c r="AI1406" s="91"/>
      <c r="AJ1406" s="91"/>
      <c r="AK1406" s="91"/>
      <c r="AL1406" s="91"/>
      <c r="AM1406" s="91"/>
    </row>
    <row r="1407" spans="1:39" ht="20.25" hidden="1" customHeight="1">
      <c r="A1407" s="91"/>
      <c r="B1407" s="93" t="s">
        <v>4457</v>
      </c>
      <c r="C1407" s="91" t="s">
        <v>36</v>
      </c>
      <c r="D1407" s="106" t="s">
        <v>4529</v>
      </c>
      <c r="E1407" s="106" t="s">
        <v>4530</v>
      </c>
      <c r="F1407" s="92" t="s">
        <v>4531</v>
      </c>
      <c r="G1407" s="103">
        <v>32373</v>
      </c>
      <c r="H1407" s="103">
        <v>14591</v>
      </c>
      <c r="I1407" s="94" t="s">
        <v>4486</v>
      </c>
      <c r="J1407" s="94" t="s">
        <v>4532</v>
      </c>
      <c r="K1407" s="92">
        <v>998142532</v>
      </c>
      <c r="L1407" s="91" t="s">
        <v>60</v>
      </c>
      <c r="M1407" s="98">
        <f ca="1">(TODAY()-H1407)/365</f>
        <v>86.057534246575344</v>
      </c>
      <c r="N1407" s="99">
        <f>(G1407-H1407)/365</f>
        <v>48.717808219178082</v>
      </c>
      <c r="O1407" s="98">
        <f ca="1">(TODAY()-G1407)/365</f>
        <v>37.339726027397262</v>
      </c>
      <c r="P1407" s="91" t="s">
        <v>43</v>
      </c>
      <c r="Q1407" s="91"/>
      <c r="R1407" s="91"/>
      <c r="S1407" s="91"/>
      <c r="T1407" s="91"/>
      <c r="U1407" s="91"/>
      <c r="V1407" s="91"/>
      <c r="W1407" s="91"/>
      <c r="X1407" s="91"/>
      <c r="Y1407" s="91"/>
      <c r="Z1407" s="91"/>
      <c r="AA1407" s="91"/>
      <c r="AB1407" s="91"/>
      <c r="AC1407" s="91"/>
      <c r="AD1407" s="91"/>
      <c r="AE1407" s="91"/>
      <c r="AF1407" s="91"/>
      <c r="AG1407" s="91"/>
      <c r="AH1407" s="91"/>
      <c r="AI1407" s="91"/>
      <c r="AJ1407" s="91"/>
      <c r="AK1407" s="91"/>
      <c r="AL1407" s="91"/>
      <c r="AM1407" s="91"/>
    </row>
    <row r="1408" spans="1:39" ht="20.25" hidden="1" customHeight="1">
      <c r="A1408" s="91"/>
      <c r="B1408" s="93" t="s">
        <v>4457</v>
      </c>
      <c r="C1408" s="91" t="s">
        <v>36</v>
      </c>
      <c r="D1408" s="106" t="s">
        <v>4533</v>
      </c>
      <c r="E1408" s="106" t="s">
        <v>4534</v>
      </c>
      <c r="F1408" s="92" t="s">
        <v>4535</v>
      </c>
      <c r="G1408" s="103">
        <v>45412</v>
      </c>
      <c r="H1408" s="103">
        <v>27801</v>
      </c>
      <c r="I1408" s="94" t="s">
        <v>4536</v>
      </c>
      <c r="J1408" s="94" t="s">
        <v>4537</v>
      </c>
      <c r="K1408" s="92">
        <v>961924748</v>
      </c>
      <c r="L1408" s="91" t="s">
        <v>72</v>
      </c>
      <c r="M1408" s="98">
        <f ca="1">(TODAY()-H1408)/365</f>
        <v>49.865753424657534</v>
      </c>
      <c r="N1408" s="99">
        <f>(G1408-H1408)/365</f>
        <v>48.249315068493154</v>
      </c>
      <c r="O1408" s="98">
        <f ca="1">(TODAY()-G1408)/365</f>
        <v>1.6164383561643836</v>
      </c>
      <c r="P1408" s="91" t="s">
        <v>43</v>
      </c>
      <c r="Q1408" s="91"/>
      <c r="R1408" s="91"/>
      <c r="S1408" s="91"/>
      <c r="T1408" s="91"/>
      <c r="U1408" s="91"/>
      <c r="V1408" s="91"/>
      <c r="W1408" s="91"/>
      <c r="X1408" s="91"/>
      <c r="Y1408" s="91"/>
      <c r="Z1408" s="91"/>
      <c r="AA1408" s="91"/>
      <c r="AB1408" s="91"/>
      <c r="AC1408" s="91"/>
      <c r="AD1408" s="91"/>
      <c r="AE1408" s="91"/>
      <c r="AF1408" s="91"/>
      <c r="AG1408" s="91"/>
      <c r="AH1408" s="91"/>
      <c r="AI1408" s="91"/>
      <c r="AJ1408" s="91"/>
      <c r="AK1408" s="91"/>
      <c r="AL1408" s="91"/>
      <c r="AM1408" s="91"/>
    </row>
    <row r="1409" spans="1:39" ht="20.25" hidden="1" customHeight="1">
      <c r="A1409" s="91"/>
      <c r="B1409" s="93" t="s">
        <v>4457</v>
      </c>
      <c r="C1409" s="91" t="s">
        <v>36</v>
      </c>
      <c r="D1409" s="106" t="s">
        <v>4538</v>
      </c>
      <c r="E1409" s="106" t="s">
        <v>4539</v>
      </c>
      <c r="F1409" s="92" t="s">
        <v>4540</v>
      </c>
      <c r="G1409" s="103">
        <v>42831</v>
      </c>
      <c r="H1409" s="103">
        <v>20047</v>
      </c>
      <c r="I1409" s="94" t="s">
        <v>4541</v>
      </c>
      <c r="J1409" s="94" t="s">
        <v>4542</v>
      </c>
      <c r="K1409" s="92">
        <v>998432864</v>
      </c>
      <c r="L1409" s="91" t="s">
        <v>60</v>
      </c>
      <c r="M1409" s="98">
        <f ca="1">(TODAY()-H1409)/365</f>
        <v>71.109589041095887</v>
      </c>
      <c r="N1409" s="99">
        <f>(G1409-H1409)/365</f>
        <v>62.421917808219177</v>
      </c>
      <c r="O1409" s="98">
        <f ca="1">(TODAY()-G1409)/365</f>
        <v>8.6876712328767116</v>
      </c>
      <c r="P1409" s="91" t="s">
        <v>43</v>
      </c>
      <c r="Q1409" s="91"/>
      <c r="R1409" s="91"/>
      <c r="S1409" s="91"/>
      <c r="T1409" s="91"/>
      <c r="U1409" s="91"/>
      <c r="V1409" s="91"/>
      <c r="W1409" s="91"/>
      <c r="X1409" s="91"/>
      <c r="Y1409" s="91"/>
      <c r="Z1409" s="91"/>
      <c r="AA1409" s="91"/>
      <c r="AB1409" s="91"/>
      <c r="AC1409" s="91"/>
      <c r="AD1409" s="91"/>
      <c r="AE1409" s="91"/>
      <c r="AF1409" s="91"/>
      <c r="AG1409" s="91"/>
      <c r="AH1409" s="91"/>
      <c r="AI1409" s="91"/>
      <c r="AJ1409" s="91"/>
      <c r="AK1409" s="91"/>
      <c r="AL1409" s="91"/>
      <c r="AM1409" s="91"/>
    </row>
    <row r="1410" spans="1:39" ht="20.25" hidden="1" customHeight="1">
      <c r="A1410" s="91"/>
      <c r="B1410" s="93" t="s">
        <v>4457</v>
      </c>
      <c r="C1410" s="91" t="s">
        <v>36</v>
      </c>
      <c r="D1410" s="106" t="s">
        <v>4543</v>
      </c>
      <c r="E1410" s="106" t="s">
        <v>4544</v>
      </c>
      <c r="F1410" s="92" t="s">
        <v>4545</v>
      </c>
      <c r="G1410" s="103">
        <v>23274</v>
      </c>
      <c r="H1410" s="103">
        <v>15943</v>
      </c>
      <c r="I1410" s="105" t="s">
        <v>4546</v>
      </c>
      <c r="J1410" s="94" t="s">
        <v>4547</v>
      </c>
      <c r="K1410" s="92">
        <v>982985997</v>
      </c>
      <c r="L1410" s="91" t="s">
        <v>60</v>
      </c>
      <c r="M1410" s="98">
        <f ca="1">(TODAY()-H1410)/365</f>
        <v>82.353424657534248</v>
      </c>
      <c r="N1410" s="99">
        <f>(G1410-H1410)/365</f>
        <v>20.084931506849315</v>
      </c>
      <c r="O1410" s="98">
        <f ca="1">(TODAY()-G1410)/365</f>
        <v>62.268493150684932</v>
      </c>
      <c r="P1410" s="91" t="s">
        <v>272</v>
      </c>
      <c r="Q1410" s="91"/>
      <c r="R1410" s="91"/>
      <c r="S1410" s="91"/>
      <c r="T1410" s="91"/>
      <c r="U1410" s="91"/>
      <c r="V1410" s="91"/>
      <c r="W1410" s="91"/>
      <c r="X1410" s="91"/>
      <c r="Y1410" s="91"/>
      <c r="Z1410" s="91"/>
      <c r="AA1410" s="91"/>
      <c r="AB1410" s="91"/>
      <c r="AC1410" s="91"/>
      <c r="AD1410" s="91"/>
      <c r="AE1410" s="91"/>
      <c r="AF1410" s="91"/>
      <c r="AG1410" s="91"/>
      <c r="AH1410" s="91"/>
      <c r="AI1410" s="91"/>
      <c r="AJ1410" s="91"/>
      <c r="AK1410" s="91"/>
      <c r="AL1410" s="91"/>
      <c r="AM1410" s="91"/>
    </row>
    <row r="1411" spans="1:39" ht="20.25" hidden="1" customHeight="1">
      <c r="A1411" s="91"/>
      <c r="B1411" s="93" t="s">
        <v>4457</v>
      </c>
      <c r="C1411" s="91" t="s">
        <v>36</v>
      </c>
      <c r="D1411" s="106" t="s">
        <v>4548</v>
      </c>
      <c r="E1411" s="106" t="s">
        <v>4549</v>
      </c>
      <c r="F1411" s="92" t="s">
        <v>4550</v>
      </c>
      <c r="G1411" s="103">
        <v>40100</v>
      </c>
      <c r="H1411" s="103">
        <v>22176</v>
      </c>
      <c r="I1411" s="94" t="s">
        <v>4551</v>
      </c>
      <c r="J1411" s="94" t="s">
        <v>4552</v>
      </c>
      <c r="K1411" s="92">
        <v>995697671</v>
      </c>
      <c r="L1411" s="91" t="s">
        <v>216</v>
      </c>
      <c r="M1411" s="98">
        <f ca="1">(TODAY()-H1411)/365</f>
        <v>65.276712328767118</v>
      </c>
      <c r="N1411" s="99">
        <f>(G1411-H1411)/365</f>
        <v>49.106849315068494</v>
      </c>
      <c r="O1411" s="98">
        <f ca="1">(TODAY()-G1411)/365</f>
        <v>16.169863013698631</v>
      </c>
      <c r="P1411" s="91" t="s">
        <v>43</v>
      </c>
      <c r="Q1411" s="91"/>
      <c r="R1411" s="91"/>
      <c r="S1411" s="91">
        <v>1</v>
      </c>
      <c r="T1411" s="91"/>
      <c r="U1411" s="91"/>
      <c r="V1411" s="91"/>
      <c r="W1411" s="91"/>
      <c r="X1411" s="91"/>
      <c r="Y1411" s="91"/>
      <c r="Z1411" s="91"/>
      <c r="AA1411" s="91"/>
      <c r="AB1411" s="91"/>
      <c r="AC1411" s="91"/>
      <c r="AD1411" s="91"/>
      <c r="AE1411" s="91"/>
      <c r="AF1411" s="91"/>
      <c r="AG1411" s="91"/>
      <c r="AH1411" s="91"/>
      <c r="AI1411" s="91"/>
      <c r="AJ1411" s="91"/>
      <c r="AK1411" s="91"/>
      <c r="AL1411" s="91"/>
      <c r="AM1411" s="91"/>
    </row>
    <row r="1412" spans="1:39" ht="20.25" hidden="1" customHeight="1">
      <c r="A1412" s="91"/>
      <c r="B1412" s="93" t="s">
        <v>4457</v>
      </c>
      <c r="C1412" s="91" t="s">
        <v>36</v>
      </c>
      <c r="D1412" s="106" t="s">
        <v>4553</v>
      </c>
      <c r="E1412" s="106" t="s">
        <v>4554</v>
      </c>
      <c r="F1412" s="92" t="s">
        <v>4555</v>
      </c>
      <c r="G1412" s="103">
        <v>38146</v>
      </c>
      <c r="H1412" s="103">
        <v>23004</v>
      </c>
      <c r="I1412" s="94" t="s">
        <v>4556</v>
      </c>
      <c r="J1412" s="94" t="s">
        <v>4557</v>
      </c>
      <c r="K1412" s="92">
        <v>990714788</v>
      </c>
      <c r="L1412" s="91" t="s">
        <v>60</v>
      </c>
      <c r="M1412" s="98">
        <f ca="1">(TODAY()-H1412)/365</f>
        <v>63.008219178082193</v>
      </c>
      <c r="N1412" s="99">
        <f>(G1412-H1412)/365</f>
        <v>41.484931506849314</v>
      </c>
      <c r="O1412" s="98">
        <f ca="1">(TODAY()-G1412)/365</f>
        <v>21.523287671232875</v>
      </c>
      <c r="P1412" s="91" t="s">
        <v>43</v>
      </c>
      <c r="Q1412" s="91"/>
      <c r="R1412" s="91"/>
      <c r="S1412" s="91"/>
      <c r="T1412" s="91"/>
      <c r="U1412" s="91"/>
      <c r="V1412" s="91"/>
      <c r="W1412" s="91"/>
      <c r="X1412" s="91"/>
      <c r="Y1412" s="91"/>
      <c r="Z1412" s="91"/>
      <c r="AA1412" s="91"/>
      <c r="AB1412" s="91"/>
      <c r="AC1412" s="91"/>
      <c r="AD1412" s="91"/>
      <c r="AE1412" s="91"/>
      <c r="AF1412" s="91"/>
      <c r="AG1412" s="91"/>
      <c r="AH1412" s="91"/>
      <c r="AI1412" s="91"/>
      <c r="AJ1412" s="91"/>
      <c r="AK1412" s="91"/>
      <c r="AL1412" s="91"/>
      <c r="AM1412" s="91"/>
    </row>
    <row r="1413" spans="1:39" ht="20.25" hidden="1" customHeight="1">
      <c r="A1413" s="91"/>
      <c r="B1413" s="93" t="s">
        <v>4457</v>
      </c>
      <c r="C1413" s="91" t="s">
        <v>36</v>
      </c>
      <c r="D1413" s="106" t="s">
        <v>4558</v>
      </c>
      <c r="E1413" s="106" t="s">
        <v>4559</v>
      </c>
      <c r="F1413" s="92" t="s">
        <v>4560</v>
      </c>
      <c r="G1413" s="103">
        <v>31509</v>
      </c>
      <c r="H1413" s="103">
        <v>15831</v>
      </c>
      <c r="I1413" s="94" t="s">
        <v>4486</v>
      </c>
      <c r="J1413" s="94" t="s">
        <v>4561</v>
      </c>
      <c r="K1413" s="92">
        <v>342406549</v>
      </c>
      <c r="L1413" s="91" t="s">
        <v>60</v>
      </c>
      <c r="M1413" s="98">
        <f ca="1">(TODAY()-H1413)/365</f>
        <v>82.660273972602738</v>
      </c>
      <c r="N1413" s="99">
        <f>(G1413-H1413)/365</f>
        <v>42.953424657534249</v>
      </c>
      <c r="O1413" s="98">
        <f ca="1">(TODAY()-G1413)/365</f>
        <v>39.706849315068496</v>
      </c>
      <c r="P1413" s="91" t="s">
        <v>272</v>
      </c>
      <c r="Q1413" s="91"/>
      <c r="R1413" s="91"/>
      <c r="S1413" s="91"/>
      <c r="T1413" s="91"/>
      <c r="U1413" s="91"/>
      <c r="V1413" s="91"/>
      <c r="W1413" s="91"/>
      <c r="X1413" s="91"/>
      <c r="Y1413" s="91"/>
      <c r="Z1413" s="91"/>
      <c r="AA1413" s="91"/>
      <c r="AB1413" s="91"/>
      <c r="AC1413" s="91"/>
      <c r="AD1413" s="91"/>
      <c r="AE1413" s="91"/>
      <c r="AF1413" s="91"/>
      <c r="AG1413" s="91"/>
      <c r="AH1413" s="91"/>
      <c r="AI1413" s="91"/>
      <c r="AJ1413" s="91"/>
      <c r="AK1413" s="91"/>
      <c r="AL1413" s="91"/>
      <c r="AM1413" s="91"/>
    </row>
    <row r="1414" spans="1:39" ht="20.25" hidden="1" customHeight="1">
      <c r="A1414" s="91"/>
      <c r="B1414" s="93" t="s">
        <v>4457</v>
      </c>
      <c r="C1414" s="91" t="s">
        <v>36</v>
      </c>
      <c r="D1414" s="106" t="s">
        <v>4562</v>
      </c>
      <c r="E1414" s="106" t="s">
        <v>4563</v>
      </c>
      <c r="F1414" s="92" t="s">
        <v>4564</v>
      </c>
      <c r="G1414" s="103">
        <v>45546</v>
      </c>
      <c r="H1414" s="103">
        <v>20791</v>
      </c>
      <c r="I1414" s="94" t="s">
        <v>4486</v>
      </c>
      <c r="J1414" s="94" t="s">
        <v>4565</v>
      </c>
      <c r="K1414" s="92" t="s">
        <v>4524</v>
      </c>
      <c r="L1414" s="91" t="s">
        <v>60</v>
      </c>
      <c r="M1414" s="98">
        <f ca="1">(TODAY()-H1414)/365</f>
        <v>69.07123287671233</v>
      </c>
      <c r="N1414" s="99">
        <f>(G1414-H1414)/365</f>
        <v>67.821917808219183</v>
      </c>
      <c r="O1414" s="98">
        <f ca="1">(TODAY()-G1414)/365</f>
        <v>1.2493150684931507</v>
      </c>
      <c r="P1414" s="91" t="s">
        <v>43</v>
      </c>
      <c r="Q1414" s="91"/>
      <c r="R1414" s="91"/>
      <c r="S1414" s="91"/>
      <c r="T1414" s="91"/>
      <c r="U1414" s="91"/>
      <c r="V1414" s="91"/>
      <c r="W1414" s="91"/>
      <c r="X1414" s="91"/>
      <c r="Y1414" s="91"/>
      <c r="Z1414" s="91"/>
      <c r="AA1414" s="91"/>
      <c r="AB1414" s="91"/>
      <c r="AC1414" s="91"/>
      <c r="AD1414" s="91"/>
      <c r="AE1414" s="91"/>
      <c r="AF1414" s="91"/>
      <c r="AG1414" s="91"/>
      <c r="AH1414" s="91"/>
      <c r="AI1414" s="91"/>
      <c r="AJ1414" s="91"/>
      <c r="AK1414" s="91"/>
      <c r="AL1414" s="91"/>
      <c r="AM1414" s="91"/>
    </row>
    <row r="1415" spans="1:39" ht="20.25" hidden="1" customHeight="1">
      <c r="A1415" s="91"/>
      <c r="B1415" s="93" t="s">
        <v>4457</v>
      </c>
      <c r="C1415" s="91" t="s">
        <v>36</v>
      </c>
      <c r="D1415" s="106" t="s">
        <v>4566</v>
      </c>
      <c r="E1415" s="106" t="s">
        <v>4567</v>
      </c>
      <c r="F1415" s="92" t="s">
        <v>4568</v>
      </c>
      <c r="G1415" s="103">
        <v>30011</v>
      </c>
      <c r="H1415" s="103">
        <v>19413</v>
      </c>
      <c r="I1415" s="94" t="s">
        <v>4569</v>
      </c>
      <c r="J1415" s="94" t="s">
        <v>4570</v>
      </c>
      <c r="K1415" s="92">
        <v>995071676</v>
      </c>
      <c r="L1415" s="91" t="s">
        <v>60</v>
      </c>
      <c r="M1415" s="98">
        <f ca="1">(TODAY()-H1415)/365</f>
        <v>72.846575342465755</v>
      </c>
      <c r="N1415" s="99">
        <f>(G1415-H1415)/365</f>
        <v>29.035616438356165</v>
      </c>
      <c r="O1415" s="98">
        <f ca="1">(TODAY()-G1415)/365</f>
        <v>43.81095890410959</v>
      </c>
      <c r="P1415" s="91" t="s">
        <v>43</v>
      </c>
      <c r="Q1415" s="91"/>
      <c r="R1415" s="91"/>
      <c r="S1415" s="91"/>
      <c r="T1415" s="91"/>
      <c r="U1415" s="91"/>
      <c r="V1415" s="91"/>
      <c r="W1415" s="91"/>
      <c r="X1415" s="91"/>
      <c r="Y1415" s="91"/>
      <c r="Z1415" s="91"/>
      <c r="AA1415" s="91"/>
      <c r="AB1415" s="91"/>
      <c r="AC1415" s="91"/>
      <c r="AD1415" s="91"/>
      <c r="AE1415" s="91"/>
      <c r="AF1415" s="91"/>
      <c r="AG1415" s="91"/>
      <c r="AH1415" s="91"/>
      <c r="AI1415" s="91"/>
      <c r="AJ1415" s="91"/>
      <c r="AK1415" s="91"/>
      <c r="AL1415" s="91"/>
      <c r="AM1415" s="91"/>
    </row>
    <row r="1416" spans="1:39" ht="20.25" customHeight="1">
      <c r="A1416" s="91"/>
      <c r="B1416" s="93" t="s">
        <v>371</v>
      </c>
      <c r="C1416" s="91" t="s">
        <v>73</v>
      </c>
      <c r="D1416" s="94" t="s">
        <v>392</v>
      </c>
      <c r="E1416" s="94" t="s">
        <v>393</v>
      </c>
      <c r="F1416" s="95" t="s">
        <v>394</v>
      </c>
      <c r="G1416" s="96">
        <v>45636</v>
      </c>
      <c r="H1416" s="97">
        <v>38889</v>
      </c>
      <c r="I1416" s="100" t="s">
        <v>395</v>
      </c>
      <c r="J1416" s="100" t="s">
        <v>58</v>
      </c>
      <c r="K1416" s="91" t="s">
        <v>58</v>
      </c>
      <c r="L1416" s="91" t="s">
        <v>60</v>
      </c>
      <c r="M1416" s="98">
        <f ca="1">(TODAY()-H1416)/365</f>
        <v>19.487671232876714</v>
      </c>
      <c r="N1416" s="99">
        <f>(G1416-H1416)/365</f>
        <v>18.484931506849314</v>
      </c>
      <c r="O1416" s="98">
        <f ca="1">(TODAY()-G1416)/365</f>
        <v>1.0027397260273974</v>
      </c>
      <c r="P1416" s="91" t="s">
        <v>43</v>
      </c>
      <c r="Q1416" s="91">
        <v>0</v>
      </c>
      <c r="R1416" s="91">
        <v>0</v>
      </c>
      <c r="S1416" s="91">
        <v>0</v>
      </c>
      <c r="T1416" s="91"/>
      <c r="U1416" s="91"/>
      <c r="V1416" s="91"/>
      <c r="W1416" s="91"/>
      <c r="X1416" s="91"/>
      <c r="Y1416" s="91"/>
      <c r="Z1416" s="91"/>
      <c r="AA1416" s="91"/>
      <c r="AB1416" s="91"/>
      <c r="AC1416" s="91"/>
      <c r="AD1416" s="91"/>
      <c r="AE1416" s="91"/>
      <c r="AF1416" s="91"/>
      <c r="AG1416" s="91"/>
      <c r="AH1416" s="91"/>
      <c r="AI1416" s="91"/>
      <c r="AJ1416" s="91"/>
      <c r="AK1416" s="91"/>
      <c r="AL1416" s="91"/>
      <c r="AM1416" s="91"/>
    </row>
    <row r="1417" spans="1:39" ht="20.25" hidden="1" customHeight="1">
      <c r="A1417" s="91"/>
      <c r="B1417" s="93" t="s">
        <v>4457</v>
      </c>
      <c r="C1417" s="91" t="s">
        <v>36</v>
      </c>
      <c r="D1417" s="106" t="s">
        <v>4574</v>
      </c>
      <c r="E1417" s="106" t="s">
        <v>4575</v>
      </c>
      <c r="F1417" s="92" t="s">
        <v>4576</v>
      </c>
      <c r="G1417" s="103">
        <v>37818</v>
      </c>
      <c r="H1417" s="103">
        <v>19683</v>
      </c>
      <c r="I1417" s="94" t="s">
        <v>4577</v>
      </c>
      <c r="J1417" s="94" t="s">
        <v>4578</v>
      </c>
      <c r="K1417" s="92">
        <v>989389982</v>
      </c>
      <c r="L1417" s="91" t="s">
        <v>49</v>
      </c>
      <c r="M1417" s="98">
        <f ca="1">(TODAY()-H1417)/365</f>
        <v>72.106849315068487</v>
      </c>
      <c r="N1417" s="99">
        <f>(G1417-H1417)/365</f>
        <v>49.684931506849317</v>
      </c>
      <c r="O1417" s="98">
        <f ca="1">(TODAY()-G1417)/365</f>
        <v>22.421917808219177</v>
      </c>
      <c r="P1417" s="91" t="s">
        <v>43</v>
      </c>
      <c r="Q1417" s="91"/>
      <c r="R1417" s="91"/>
      <c r="S1417" s="91"/>
      <c r="T1417" s="91"/>
      <c r="U1417" s="91"/>
      <c r="V1417" s="91"/>
      <c r="W1417" s="91"/>
      <c r="X1417" s="91"/>
      <c r="Y1417" s="91"/>
      <c r="Z1417" s="91"/>
      <c r="AA1417" s="91"/>
      <c r="AB1417" s="91"/>
      <c r="AC1417" s="91"/>
      <c r="AD1417" s="91"/>
      <c r="AE1417" s="91"/>
      <c r="AF1417" s="91"/>
      <c r="AG1417" s="91"/>
      <c r="AH1417" s="91"/>
      <c r="AI1417" s="91"/>
      <c r="AJ1417" s="91"/>
      <c r="AK1417" s="91"/>
      <c r="AL1417" s="91"/>
      <c r="AM1417" s="91"/>
    </row>
    <row r="1418" spans="1:39" ht="20.25" customHeight="1">
      <c r="A1418" s="91"/>
      <c r="B1418" s="93" t="s">
        <v>11879</v>
      </c>
      <c r="C1418" s="91" t="s">
        <v>73</v>
      </c>
      <c r="D1418" s="107" t="s">
        <v>6306</v>
      </c>
      <c r="E1418" s="107" t="s">
        <v>6307</v>
      </c>
      <c r="F1418" s="91" t="s">
        <v>6308</v>
      </c>
      <c r="G1418" s="96">
        <v>41711</v>
      </c>
      <c r="H1418" s="97">
        <v>15203</v>
      </c>
      <c r="I1418" s="94" t="s">
        <v>58</v>
      </c>
      <c r="J1418" s="94" t="s">
        <v>58</v>
      </c>
      <c r="K1418" s="95" t="s">
        <v>58</v>
      </c>
      <c r="L1418" s="91" t="s">
        <v>60</v>
      </c>
      <c r="M1418" s="98">
        <f ca="1">(TODAY()-H1418)/365</f>
        <v>84.38082191780822</v>
      </c>
      <c r="N1418" s="99">
        <f>(G1418-H1418)/365</f>
        <v>72.62465753424658</v>
      </c>
      <c r="O1418" s="98">
        <f ca="1">(TODAY()-G1418)/365</f>
        <v>11.756164383561643</v>
      </c>
      <c r="P1418" s="91" t="s">
        <v>43</v>
      </c>
      <c r="Q1418" s="91"/>
      <c r="R1418" s="91"/>
      <c r="S1418" s="91"/>
      <c r="T1418" s="91"/>
      <c r="U1418" s="91"/>
      <c r="V1418" s="91"/>
      <c r="W1418" s="91"/>
      <c r="X1418" s="91"/>
      <c r="Y1418" s="91"/>
      <c r="Z1418" s="91"/>
      <c r="AA1418" s="91"/>
      <c r="AB1418" s="91"/>
      <c r="AC1418" s="91"/>
      <c r="AD1418" s="91"/>
      <c r="AE1418" s="91"/>
      <c r="AF1418" s="91"/>
      <c r="AG1418" s="91"/>
      <c r="AH1418" s="91"/>
      <c r="AI1418" s="91"/>
      <c r="AJ1418" s="91"/>
      <c r="AK1418" s="91"/>
      <c r="AL1418" s="91"/>
      <c r="AM1418" s="91"/>
    </row>
    <row r="1419" spans="1:39" ht="20.25" customHeight="1">
      <c r="A1419" s="91"/>
      <c r="B1419" s="93" t="s">
        <v>77</v>
      </c>
      <c r="C1419" s="91" t="s">
        <v>73</v>
      </c>
      <c r="D1419" s="94" t="s">
        <v>130</v>
      </c>
      <c r="E1419" s="94" t="s">
        <v>131</v>
      </c>
      <c r="F1419" s="95" t="s">
        <v>132</v>
      </c>
      <c r="G1419" s="96">
        <v>32225</v>
      </c>
      <c r="H1419" s="97">
        <v>20460</v>
      </c>
      <c r="I1419" s="94" t="s">
        <v>133</v>
      </c>
      <c r="J1419" s="100" t="s">
        <v>58</v>
      </c>
      <c r="K1419" s="91" t="s">
        <v>58</v>
      </c>
      <c r="L1419" s="91" t="s">
        <v>60</v>
      </c>
      <c r="M1419" s="98">
        <f ca="1">(TODAY()-H1419)/365</f>
        <v>69.978082191780828</v>
      </c>
      <c r="N1419" s="99">
        <f>(G1419-H1419)/365</f>
        <v>32.232876712328768</v>
      </c>
      <c r="O1419" s="98">
        <f ca="1">(TODAY()-G1419)/365</f>
        <v>37.745205479452054</v>
      </c>
      <c r="P1419" s="91" t="s">
        <v>43</v>
      </c>
      <c r="Q1419" s="91">
        <v>0</v>
      </c>
      <c r="R1419" s="91">
        <v>0</v>
      </c>
      <c r="S1419" s="91">
        <v>0</v>
      </c>
      <c r="T1419" s="91"/>
      <c r="U1419" s="91"/>
      <c r="V1419" s="91"/>
      <c r="W1419" s="91"/>
      <c r="X1419" s="91"/>
      <c r="Y1419" s="91"/>
      <c r="Z1419" s="91"/>
      <c r="AA1419" s="91"/>
      <c r="AB1419" s="91"/>
      <c r="AC1419" s="91"/>
      <c r="AD1419" s="91"/>
      <c r="AE1419" s="91"/>
      <c r="AF1419" s="91"/>
      <c r="AG1419" s="91"/>
      <c r="AH1419" s="91"/>
      <c r="AI1419" s="91"/>
      <c r="AJ1419" s="91"/>
      <c r="AK1419" s="91"/>
      <c r="AL1419" s="91"/>
      <c r="AM1419" s="91"/>
    </row>
    <row r="1420" spans="1:39" ht="20.25" hidden="1" customHeight="1">
      <c r="A1420" s="91"/>
      <c r="B1420" s="93" t="s">
        <v>4579</v>
      </c>
      <c r="C1420" s="91" t="s">
        <v>36</v>
      </c>
      <c r="D1420" s="94" t="s">
        <v>2750</v>
      </c>
      <c r="E1420" s="94" t="s">
        <v>4584</v>
      </c>
      <c r="F1420" s="95" t="s">
        <v>4585</v>
      </c>
      <c r="G1420" s="96">
        <v>45292</v>
      </c>
      <c r="H1420" s="97">
        <v>36074</v>
      </c>
      <c r="I1420" s="94" t="s">
        <v>58</v>
      </c>
      <c r="J1420" s="94" t="s">
        <v>58</v>
      </c>
      <c r="K1420" s="91">
        <v>988510194</v>
      </c>
      <c r="L1420" s="91" t="s">
        <v>60</v>
      </c>
      <c r="M1420" s="98">
        <f ca="1">(TODAY()-H1420)/365</f>
        <v>27.2</v>
      </c>
      <c r="N1420" s="99">
        <f>(G1420-H1420)/365</f>
        <v>25.254794520547946</v>
      </c>
      <c r="O1420" s="98">
        <f ca="1">(TODAY()-G1420)/365</f>
        <v>1.9452054794520548</v>
      </c>
      <c r="P1420" s="91" t="s">
        <v>43</v>
      </c>
      <c r="Q1420" s="91">
        <v>0</v>
      </c>
      <c r="R1420" s="91">
        <v>0</v>
      </c>
      <c r="S1420" s="91">
        <v>0</v>
      </c>
      <c r="T1420" s="91"/>
      <c r="U1420" s="91"/>
      <c r="V1420" s="91"/>
      <c r="W1420" s="91"/>
      <c r="X1420" s="91"/>
      <c r="Y1420" s="91"/>
      <c r="Z1420" s="91"/>
      <c r="AA1420" s="91"/>
      <c r="AB1420" s="91"/>
      <c r="AC1420" s="91"/>
      <c r="AD1420" s="91"/>
      <c r="AE1420" s="91"/>
      <c r="AF1420" s="91"/>
      <c r="AG1420" s="91"/>
      <c r="AH1420" s="91"/>
      <c r="AI1420" s="91"/>
      <c r="AJ1420" s="91"/>
      <c r="AK1420" s="91"/>
      <c r="AL1420" s="91"/>
      <c r="AM1420" s="91"/>
    </row>
    <row r="1421" spans="1:39" ht="20.25" hidden="1" customHeight="1">
      <c r="A1421" s="91"/>
      <c r="B1421" s="93" t="s">
        <v>4579</v>
      </c>
      <c r="C1421" s="91" t="s">
        <v>36</v>
      </c>
      <c r="D1421" s="107" t="s">
        <v>4586</v>
      </c>
      <c r="E1421" s="107" t="s">
        <v>4580</v>
      </c>
      <c r="F1421" s="95" t="s">
        <v>4587</v>
      </c>
      <c r="G1421" s="96">
        <v>42370</v>
      </c>
      <c r="H1421" s="97">
        <v>33128</v>
      </c>
      <c r="I1421" s="94" t="s">
        <v>58</v>
      </c>
      <c r="J1421" s="94" t="s">
        <v>58</v>
      </c>
      <c r="K1421" s="91">
        <v>952804788</v>
      </c>
      <c r="L1421" s="91" t="s">
        <v>60</v>
      </c>
      <c r="M1421" s="98">
        <f ca="1">(TODAY()-H1421)/365</f>
        <v>35.271232876712325</v>
      </c>
      <c r="N1421" s="99">
        <f>(G1421-H1421)/365</f>
        <v>25.32054794520548</v>
      </c>
      <c r="O1421" s="98">
        <f ca="1">(TODAY()-G1421)/365</f>
        <v>9.9506849315068493</v>
      </c>
      <c r="P1421" s="91" t="s">
        <v>43</v>
      </c>
      <c r="Q1421" s="91">
        <v>0</v>
      </c>
      <c r="R1421" s="91">
        <v>0</v>
      </c>
      <c r="S1421" s="91">
        <v>0</v>
      </c>
      <c r="T1421" s="91"/>
      <c r="U1421" s="91"/>
      <c r="V1421" s="91"/>
      <c r="W1421" s="91"/>
      <c r="X1421" s="91"/>
      <c r="Y1421" s="91"/>
      <c r="Z1421" s="91"/>
      <c r="AA1421" s="91"/>
      <c r="AB1421" s="91"/>
      <c r="AC1421" s="91"/>
      <c r="AD1421" s="91"/>
      <c r="AE1421" s="91"/>
      <c r="AF1421" s="91"/>
      <c r="AG1421" s="91"/>
      <c r="AH1421" s="91"/>
      <c r="AI1421" s="91"/>
      <c r="AJ1421" s="91"/>
      <c r="AK1421" s="91"/>
      <c r="AL1421" s="91"/>
      <c r="AM1421" s="91"/>
    </row>
    <row r="1422" spans="1:39" ht="20.25" customHeight="1">
      <c r="A1422" s="91"/>
      <c r="B1422" s="93" t="s">
        <v>5484</v>
      </c>
      <c r="C1422" s="91" t="s">
        <v>73</v>
      </c>
      <c r="D1422" s="107" t="s">
        <v>5670</v>
      </c>
      <c r="E1422" s="107" t="s">
        <v>5671</v>
      </c>
      <c r="F1422" s="91" t="s">
        <v>5672</v>
      </c>
      <c r="G1422" s="97" t="s">
        <v>58</v>
      </c>
      <c r="H1422" s="97" t="s">
        <v>58</v>
      </c>
      <c r="I1422" s="100" t="s">
        <v>58</v>
      </c>
      <c r="J1422" s="100" t="s">
        <v>58</v>
      </c>
      <c r="K1422" s="91" t="s">
        <v>58</v>
      </c>
      <c r="L1422" s="91" t="s">
        <v>60</v>
      </c>
      <c r="M1422" s="98">
        <v>0</v>
      </c>
      <c r="N1422" s="91"/>
      <c r="O1422" s="98" t="e">
        <f ca="1">(TODAY()-G1422)/365</f>
        <v>#VALUE!</v>
      </c>
      <c r="P1422" s="91" t="s">
        <v>43</v>
      </c>
      <c r="Q1422" s="91">
        <v>0</v>
      </c>
      <c r="R1422" s="91">
        <v>0</v>
      </c>
      <c r="S1422" s="91">
        <v>0</v>
      </c>
      <c r="T1422" s="91"/>
      <c r="U1422" s="91"/>
      <c r="V1422" s="91"/>
      <c r="W1422" s="91"/>
      <c r="X1422" s="91"/>
      <c r="Y1422" s="91"/>
      <c r="Z1422" s="91"/>
      <c r="AA1422" s="91"/>
      <c r="AB1422" s="91"/>
      <c r="AC1422" s="91"/>
      <c r="AD1422" s="91"/>
      <c r="AE1422" s="91"/>
      <c r="AF1422" s="91"/>
      <c r="AG1422" s="91"/>
      <c r="AH1422" s="91"/>
      <c r="AI1422" s="91"/>
      <c r="AJ1422" s="91"/>
      <c r="AK1422" s="91"/>
      <c r="AL1422" s="91"/>
      <c r="AM1422" s="91"/>
    </row>
    <row r="1423" spans="1:39" ht="20.25" hidden="1" customHeight="1">
      <c r="A1423" s="91"/>
      <c r="B1423" s="93" t="s">
        <v>4579</v>
      </c>
      <c r="C1423" s="91" t="s">
        <v>36</v>
      </c>
      <c r="D1423" s="107" t="s">
        <v>4590</v>
      </c>
      <c r="E1423" s="107" t="s">
        <v>4591</v>
      </c>
      <c r="F1423" s="95" t="s">
        <v>4592</v>
      </c>
      <c r="G1423" s="96">
        <v>23012</v>
      </c>
      <c r="H1423" s="97">
        <v>12310</v>
      </c>
      <c r="I1423" s="94" t="s">
        <v>58</v>
      </c>
      <c r="J1423" s="94" t="s">
        <v>58</v>
      </c>
      <c r="K1423" s="91">
        <v>998133715</v>
      </c>
      <c r="L1423" s="91" t="s">
        <v>60</v>
      </c>
      <c r="M1423" s="98">
        <f ca="1">(TODAY()-H1423)/365</f>
        <v>92.30684931506849</v>
      </c>
      <c r="N1423" s="99">
        <f>(G1423-H1423)/365</f>
        <v>29.32054794520548</v>
      </c>
      <c r="O1423" s="98">
        <f ca="1">(TODAY()-G1423)/365</f>
        <v>62.986301369863014</v>
      </c>
      <c r="P1423" s="91" t="s">
        <v>43</v>
      </c>
      <c r="Q1423" s="91">
        <v>0</v>
      </c>
      <c r="R1423" s="91">
        <v>0</v>
      </c>
      <c r="S1423" s="91">
        <v>0</v>
      </c>
      <c r="T1423" s="91"/>
      <c r="U1423" s="91"/>
      <c r="V1423" s="91"/>
      <c r="W1423" s="91"/>
      <c r="X1423" s="91"/>
      <c r="Y1423" s="91"/>
      <c r="Z1423" s="91"/>
      <c r="AA1423" s="91"/>
      <c r="AB1423" s="91"/>
      <c r="AC1423" s="91"/>
      <c r="AD1423" s="91"/>
      <c r="AE1423" s="91"/>
      <c r="AF1423" s="91"/>
      <c r="AG1423" s="91"/>
      <c r="AH1423" s="91"/>
      <c r="AI1423" s="91"/>
      <c r="AJ1423" s="91"/>
      <c r="AK1423" s="91"/>
      <c r="AL1423" s="91"/>
      <c r="AM1423" s="91"/>
    </row>
    <row r="1424" spans="1:39" ht="20.25" hidden="1" customHeight="1">
      <c r="A1424" s="91"/>
      <c r="B1424" s="93" t="s">
        <v>4579</v>
      </c>
      <c r="C1424" s="91" t="s">
        <v>36</v>
      </c>
      <c r="D1424" s="94" t="s">
        <v>357</v>
      </c>
      <c r="E1424" s="94" t="s">
        <v>4593</v>
      </c>
      <c r="F1424" s="95" t="s">
        <v>4585</v>
      </c>
      <c r="G1424" s="96">
        <v>32143</v>
      </c>
      <c r="H1424" s="97">
        <v>19938</v>
      </c>
      <c r="I1424" s="100" t="s">
        <v>4594</v>
      </c>
      <c r="J1424" s="94" t="s">
        <v>4595</v>
      </c>
      <c r="K1424" s="91">
        <v>988510194</v>
      </c>
      <c r="L1424" s="91" t="s">
        <v>42</v>
      </c>
      <c r="M1424" s="98">
        <f ca="1">(TODAY()-H1424)/365</f>
        <v>71.408219178082192</v>
      </c>
      <c r="N1424" s="99">
        <f>(G1424-H1424)/365</f>
        <v>33.438356164383563</v>
      </c>
      <c r="O1424" s="98">
        <f ca="1">(TODAY()-G1424)/365</f>
        <v>37.969863013698628</v>
      </c>
      <c r="P1424" s="91" t="s">
        <v>43</v>
      </c>
      <c r="Q1424" s="91">
        <v>1</v>
      </c>
      <c r="R1424" s="91">
        <v>0</v>
      </c>
      <c r="S1424" s="91">
        <v>0</v>
      </c>
      <c r="T1424" s="91"/>
      <c r="U1424" s="91"/>
      <c r="V1424" s="91">
        <v>2003</v>
      </c>
      <c r="W1424" s="91"/>
      <c r="X1424" s="91"/>
      <c r="Y1424" s="91"/>
      <c r="Z1424" s="91"/>
      <c r="AA1424" s="91"/>
      <c r="AB1424" s="91"/>
      <c r="AC1424" s="91"/>
      <c r="AD1424" s="91"/>
      <c r="AE1424" s="91"/>
      <c r="AF1424" s="91"/>
      <c r="AG1424" s="91"/>
      <c r="AH1424" s="91"/>
      <c r="AI1424" s="91"/>
      <c r="AJ1424" s="91"/>
      <c r="AK1424" s="91"/>
      <c r="AL1424" s="91"/>
      <c r="AM1424" s="91"/>
    </row>
    <row r="1425" spans="1:39" ht="20.25" hidden="1" customHeight="1">
      <c r="A1425" s="91"/>
      <c r="B1425" s="93" t="s">
        <v>4579</v>
      </c>
      <c r="C1425" s="91" t="s">
        <v>36</v>
      </c>
      <c r="D1425" s="107" t="s">
        <v>1344</v>
      </c>
      <c r="E1425" s="107" t="s">
        <v>4596</v>
      </c>
      <c r="F1425" s="95" t="s">
        <v>4597</v>
      </c>
      <c r="G1425" s="96">
        <v>44927</v>
      </c>
      <c r="H1425" s="97">
        <v>31805</v>
      </c>
      <c r="I1425" s="94" t="s">
        <v>58</v>
      </c>
      <c r="J1425" s="94" t="s">
        <v>58</v>
      </c>
      <c r="K1425" s="91">
        <v>972617482</v>
      </c>
      <c r="L1425" s="91" t="s">
        <v>197</v>
      </c>
      <c r="M1425" s="98">
        <f ca="1">(TODAY()-H1425)/365</f>
        <v>38.895890410958906</v>
      </c>
      <c r="N1425" s="99">
        <f>(G1425-H1425)/365</f>
        <v>35.950684931506849</v>
      </c>
      <c r="O1425" s="98">
        <f ca="1">(TODAY()-G1425)/365</f>
        <v>2.9452054794520546</v>
      </c>
      <c r="P1425" s="91" t="s">
        <v>43</v>
      </c>
      <c r="Q1425" s="91">
        <v>0</v>
      </c>
      <c r="R1425" s="91">
        <v>0</v>
      </c>
      <c r="S1425" s="91">
        <v>0</v>
      </c>
      <c r="T1425" s="91"/>
      <c r="U1425" s="91"/>
      <c r="V1425" s="91"/>
      <c r="W1425" s="91"/>
      <c r="X1425" s="91"/>
      <c r="Y1425" s="91"/>
      <c r="Z1425" s="91"/>
      <c r="AA1425" s="91"/>
      <c r="AB1425" s="91"/>
      <c r="AC1425" s="91"/>
      <c r="AD1425" s="91"/>
      <c r="AE1425" s="91"/>
      <c r="AF1425" s="91"/>
      <c r="AG1425" s="91"/>
      <c r="AH1425" s="91"/>
      <c r="AI1425" s="91"/>
      <c r="AJ1425" s="91"/>
      <c r="AK1425" s="91"/>
      <c r="AL1425" s="91"/>
      <c r="AM1425" s="91"/>
    </row>
    <row r="1426" spans="1:39" ht="20.25" hidden="1" customHeight="1">
      <c r="A1426" s="91"/>
      <c r="B1426" s="93" t="s">
        <v>4579</v>
      </c>
      <c r="C1426" s="91" t="s">
        <v>36</v>
      </c>
      <c r="D1426" s="94" t="s">
        <v>4598</v>
      </c>
      <c r="E1426" s="94" t="s">
        <v>4599</v>
      </c>
      <c r="F1426" s="95" t="s">
        <v>4600</v>
      </c>
      <c r="G1426" s="96">
        <v>32143</v>
      </c>
      <c r="H1426" s="97">
        <v>18998</v>
      </c>
      <c r="I1426" s="94" t="s">
        <v>58</v>
      </c>
      <c r="J1426" s="94" t="s">
        <v>58</v>
      </c>
      <c r="K1426" s="91">
        <v>998860160</v>
      </c>
      <c r="L1426" s="91" t="s">
        <v>54</v>
      </c>
      <c r="M1426" s="98">
        <f ca="1">(TODAY()-H1426)/365</f>
        <v>73.983561643835614</v>
      </c>
      <c r="N1426" s="99">
        <f>(G1426-H1426)/365</f>
        <v>36.013698630136986</v>
      </c>
      <c r="O1426" s="98">
        <f ca="1">(TODAY()-G1426)/365</f>
        <v>37.969863013698628</v>
      </c>
      <c r="P1426" s="91" t="s">
        <v>43</v>
      </c>
      <c r="Q1426" s="91">
        <v>0</v>
      </c>
      <c r="R1426" s="91">
        <v>0</v>
      </c>
      <c r="S1426" s="91">
        <v>0</v>
      </c>
      <c r="T1426" s="91"/>
      <c r="U1426" s="91"/>
      <c r="V1426" s="91"/>
      <c r="W1426" s="91"/>
      <c r="X1426" s="91"/>
      <c r="Y1426" s="91"/>
      <c r="Z1426" s="91"/>
      <c r="AA1426" s="91"/>
      <c r="AB1426" s="91"/>
      <c r="AC1426" s="91"/>
      <c r="AD1426" s="91"/>
      <c r="AE1426" s="91"/>
      <c r="AF1426" s="91"/>
      <c r="AG1426" s="91"/>
      <c r="AH1426" s="91"/>
      <c r="AI1426" s="91"/>
      <c r="AJ1426" s="91"/>
      <c r="AK1426" s="91"/>
      <c r="AL1426" s="91"/>
      <c r="AM1426" s="91"/>
    </row>
    <row r="1427" spans="1:39" ht="20.25" hidden="1" customHeight="1">
      <c r="A1427" s="91"/>
      <c r="B1427" s="93" t="s">
        <v>4579</v>
      </c>
      <c r="C1427" s="91" t="s">
        <v>36</v>
      </c>
      <c r="D1427" s="94" t="s">
        <v>4601</v>
      </c>
      <c r="E1427" s="94" t="s">
        <v>4602</v>
      </c>
      <c r="F1427" s="95" t="s">
        <v>4603</v>
      </c>
      <c r="G1427" s="96">
        <v>37987</v>
      </c>
      <c r="H1427" s="97">
        <v>23789</v>
      </c>
      <c r="I1427" s="94" t="s">
        <v>58</v>
      </c>
      <c r="J1427" s="94" t="s">
        <v>58</v>
      </c>
      <c r="K1427" s="91">
        <v>940418291</v>
      </c>
      <c r="L1427" s="91" t="s">
        <v>60</v>
      </c>
      <c r="M1427" s="98">
        <f ca="1">(TODAY()-H1427)/365</f>
        <v>60.857534246575341</v>
      </c>
      <c r="N1427" s="99">
        <f>(G1427-H1427)/365</f>
        <v>38.898630136986299</v>
      </c>
      <c r="O1427" s="98">
        <f ca="1">(TODAY()-G1427)/365</f>
        <v>21.958904109589042</v>
      </c>
      <c r="P1427" s="91" t="s">
        <v>43</v>
      </c>
      <c r="Q1427" s="91">
        <v>0</v>
      </c>
      <c r="R1427" s="91">
        <v>0</v>
      </c>
      <c r="S1427" s="91">
        <v>0</v>
      </c>
      <c r="T1427" s="91"/>
      <c r="U1427" s="91"/>
      <c r="V1427" s="91"/>
      <c r="W1427" s="91"/>
      <c r="X1427" s="91"/>
      <c r="Y1427" s="91"/>
      <c r="Z1427" s="91"/>
      <c r="AA1427" s="91"/>
      <c r="AB1427" s="91"/>
      <c r="AC1427" s="91"/>
      <c r="AD1427" s="91"/>
      <c r="AE1427" s="91"/>
      <c r="AF1427" s="91"/>
      <c r="AG1427" s="91"/>
      <c r="AH1427" s="91"/>
      <c r="AI1427" s="91"/>
      <c r="AJ1427" s="91"/>
      <c r="AK1427" s="91"/>
      <c r="AL1427" s="91"/>
      <c r="AM1427" s="91"/>
    </row>
    <row r="1428" spans="1:39" ht="20.25" hidden="1" customHeight="1">
      <c r="A1428" s="91"/>
      <c r="B1428" s="93" t="s">
        <v>4579</v>
      </c>
      <c r="C1428" s="91" t="s">
        <v>36</v>
      </c>
      <c r="D1428" s="107" t="s">
        <v>4604</v>
      </c>
      <c r="E1428" s="107" t="s">
        <v>4605</v>
      </c>
      <c r="F1428" s="95" t="s">
        <v>4606</v>
      </c>
      <c r="G1428" s="96">
        <v>44927</v>
      </c>
      <c r="H1428" s="97">
        <v>30470</v>
      </c>
      <c r="I1428" s="94" t="s">
        <v>58</v>
      </c>
      <c r="J1428" s="94" t="s">
        <v>58</v>
      </c>
      <c r="K1428" s="91">
        <v>996393210</v>
      </c>
      <c r="L1428" s="91" t="s">
        <v>72</v>
      </c>
      <c r="M1428" s="98">
        <f ca="1">(TODAY()-H1428)/365</f>
        <v>42.553424657534244</v>
      </c>
      <c r="N1428" s="99">
        <f>(G1428-H1428)/365</f>
        <v>39.608219178082194</v>
      </c>
      <c r="O1428" s="98">
        <f ca="1">(TODAY()-G1428)/365</f>
        <v>2.9452054794520546</v>
      </c>
      <c r="P1428" s="91" t="s">
        <v>43</v>
      </c>
      <c r="Q1428" s="91">
        <v>0</v>
      </c>
      <c r="R1428" s="91">
        <v>0</v>
      </c>
      <c r="S1428" s="91">
        <v>0</v>
      </c>
      <c r="T1428" s="91"/>
      <c r="U1428" s="91"/>
      <c r="V1428" s="91"/>
      <c r="W1428" s="91"/>
      <c r="X1428" s="91"/>
      <c r="Y1428" s="91"/>
      <c r="Z1428" s="91"/>
      <c r="AA1428" s="91"/>
      <c r="AB1428" s="91"/>
      <c r="AC1428" s="91"/>
      <c r="AD1428" s="91"/>
      <c r="AE1428" s="91"/>
      <c r="AF1428" s="91"/>
      <c r="AG1428" s="91"/>
      <c r="AH1428" s="91"/>
      <c r="AI1428" s="91"/>
      <c r="AJ1428" s="91"/>
      <c r="AK1428" s="91"/>
      <c r="AL1428" s="91"/>
      <c r="AM1428" s="91"/>
    </row>
    <row r="1429" spans="1:39" ht="20.25" hidden="1" customHeight="1">
      <c r="A1429" s="91"/>
      <c r="B1429" s="93" t="s">
        <v>4579</v>
      </c>
      <c r="C1429" s="91" t="s">
        <v>36</v>
      </c>
      <c r="D1429" s="107" t="s">
        <v>728</v>
      </c>
      <c r="E1429" s="107" t="s">
        <v>4607</v>
      </c>
      <c r="F1429" s="95" t="s">
        <v>4608</v>
      </c>
      <c r="G1429" s="96">
        <v>36526</v>
      </c>
      <c r="H1429" s="97">
        <v>19759</v>
      </c>
      <c r="I1429" s="94" t="s">
        <v>58</v>
      </c>
      <c r="J1429" s="94" t="s">
        <v>58</v>
      </c>
      <c r="K1429" s="91">
        <v>996312460</v>
      </c>
      <c r="L1429" s="91" t="s">
        <v>49</v>
      </c>
      <c r="M1429" s="98">
        <f ca="1">(TODAY()-H1429)/365</f>
        <v>71.898630136986299</v>
      </c>
      <c r="N1429" s="99">
        <f>(G1429-H1429)/365</f>
        <v>45.936986301369863</v>
      </c>
      <c r="O1429" s="98">
        <f ca="1">(TODAY()-G1429)/365</f>
        <v>25.961643835616439</v>
      </c>
      <c r="P1429" s="91" t="s">
        <v>43</v>
      </c>
      <c r="Q1429" s="91">
        <v>0</v>
      </c>
      <c r="R1429" s="91">
        <v>0</v>
      </c>
      <c r="S1429" s="91">
        <v>0</v>
      </c>
      <c r="T1429" s="91"/>
      <c r="U1429" s="91"/>
      <c r="V1429" s="91"/>
      <c r="W1429" s="91"/>
      <c r="X1429" s="91"/>
      <c r="Y1429" s="91"/>
      <c r="Z1429" s="91"/>
      <c r="AA1429" s="91"/>
      <c r="AB1429" s="91"/>
      <c r="AC1429" s="91"/>
      <c r="AD1429" s="91"/>
      <c r="AE1429" s="91"/>
      <c r="AF1429" s="91"/>
      <c r="AG1429" s="91"/>
      <c r="AH1429" s="91"/>
      <c r="AI1429" s="91"/>
      <c r="AJ1429" s="91"/>
      <c r="AK1429" s="91"/>
      <c r="AL1429" s="91"/>
      <c r="AM1429" s="91"/>
    </row>
    <row r="1430" spans="1:39" ht="20.25" hidden="1" customHeight="1">
      <c r="A1430" s="91"/>
      <c r="B1430" s="93" t="s">
        <v>4579</v>
      </c>
      <c r="C1430" s="91" t="s">
        <v>36</v>
      </c>
      <c r="D1430" s="94" t="s">
        <v>4609</v>
      </c>
      <c r="E1430" s="94" t="s">
        <v>2789</v>
      </c>
      <c r="F1430" s="95" t="s">
        <v>4610</v>
      </c>
      <c r="G1430" s="96">
        <v>44197</v>
      </c>
      <c r="H1430" s="97">
        <v>25903</v>
      </c>
      <c r="I1430" s="94" t="s">
        <v>58</v>
      </c>
      <c r="J1430" s="94" t="s">
        <v>58</v>
      </c>
      <c r="K1430" s="91">
        <v>999788313</v>
      </c>
      <c r="L1430" s="91" t="s">
        <v>60</v>
      </c>
      <c r="M1430" s="98">
        <f ca="1">(TODAY()-H1430)/365</f>
        <v>55.065753424657537</v>
      </c>
      <c r="N1430" s="99">
        <f>(G1430-H1430)/365</f>
        <v>50.12054794520548</v>
      </c>
      <c r="O1430" s="98">
        <f ca="1">(TODAY()-G1430)/365</f>
        <v>4.9452054794520546</v>
      </c>
      <c r="P1430" s="91" t="s">
        <v>43</v>
      </c>
      <c r="Q1430" s="91">
        <v>1</v>
      </c>
      <c r="R1430" s="91">
        <v>0</v>
      </c>
      <c r="S1430" s="91">
        <v>0</v>
      </c>
      <c r="T1430" s="91"/>
      <c r="U1430" s="91"/>
      <c r="V1430" s="91"/>
      <c r="W1430" s="91"/>
      <c r="X1430" s="91"/>
      <c r="Y1430" s="91"/>
      <c r="Z1430" s="91"/>
      <c r="AA1430" s="91"/>
      <c r="AB1430" s="91"/>
      <c r="AC1430" s="91"/>
      <c r="AD1430" s="91"/>
      <c r="AE1430" s="91"/>
      <c r="AF1430" s="91"/>
      <c r="AG1430" s="91"/>
      <c r="AH1430" s="91"/>
      <c r="AI1430" s="91"/>
      <c r="AJ1430" s="91"/>
      <c r="AK1430" s="91"/>
      <c r="AL1430" s="91"/>
      <c r="AM1430" s="91"/>
    </row>
    <row r="1431" spans="1:39" ht="20.25" hidden="1" customHeight="1">
      <c r="A1431" s="91"/>
      <c r="B1431" s="93" t="s">
        <v>4579</v>
      </c>
      <c r="C1431" s="91" t="s">
        <v>36</v>
      </c>
      <c r="D1431" s="107" t="s">
        <v>4611</v>
      </c>
      <c r="E1431" s="107" t="s">
        <v>4612</v>
      </c>
      <c r="F1431" s="95" t="s">
        <v>4613</v>
      </c>
      <c r="G1431" s="96">
        <v>42370</v>
      </c>
      <c r="H1431" s="97">
        <v>16559</v>
      </c>
      <c r="I1431" s="94" t="s">
        <v>58</v>
      </c>
      <c r="J1431" s="94" t="s">
        <v>58</v>
      </c>
      <c r="K1431" s="91">
        <v>956357857</v>
      </c>
      <c r="L1431" s="91" t="s">
        <v>66</v>
      </c>
      <c r="M1431" s="98">
        <f ca="1">(TODAY()-H1431)/365</f>
        <v>80.665753424657538</v>
      </c>
      <c r="N1431" s="99">
        <f>(G1431-H1431)/365</f>
        <v>70.715068493150682</v>
      </c>
      <c r="O1431" s="98">
        <f ca="1">(TODAY()-G1431)/365</f>
        <v>9.9506849315068493</v>
      </c>
      <c r="P1431" s="91" t="s">
        <v>43</v>
      </c>
      <c r="Q1431" s="91">
        <v>0</v>
      </c>
      <c r="R1431" s="91">
        <v>0</v>
      </c>
      <c r="S1431" s="91">
        <v>0</v>
      </c>
      <c r="T1431" s="91"/>
      <c r="U1431" s="91"/>
      <c r="V1431" s="91"/>
      <c r="W1431" s="91"/>
      <c r="X1431" s="91"/>
      <c r="Y1431" s="91"/>
      <c r="Z1431" s="91"/>
      <c r="AA1431" s="91"/>
      <c r="AB1431" s="91"/>
      <c r="AC1431" s="91"/>
      <c r="AD1431" s="91"/>
      <c r="AE1431" s="91"/>
      <c r="AF1431" s="91"/>
      <c r="AG1431" s="91"/>
      <c r="AH1431" s="91"/>
      <c r="AI1431" s="91"/>
      <c r="AJ1431" s="91"/>
      <c r="AK1431" s="91"/>
      <c r="AL1431" s="91"/>
      <c r="AM1431" s="91"/>
    </row>
    <row r="1432" spans="1:39" ht="20.25" hidden="1" customHeight="1">
      <c r="A1432" s="91"/>
      <c r="B1432" s="93" t="s">
        <v>4579</v>
      </c>
      <c r="C1432" s="91" t="s">
        <v>36</v>
      </c>
      <c r="D1432" s="107" t="s">
        <v>4614</v>
      </c>
      <c r="E1432" s="107" t="s">
        <v>693</v>
      </c>
      <c r="F1432" s="95" t="s">
        <v>4615</v>
      </c>
      <c r="G1432" s="96">
        <v>44927</v>
      </c>
      <c r="H1432" s="97">
        <v>18572</v>
      </c>
      <c r="I1432" s="94" t="s">
        <v>58</v>
      </c>
      <c r="J1432" s="94" t="s">
        <v>58</v>
      </c>
      <c r="K1432" s="91">
        <v>986687409</v>
      </c>
      <c r="L1432" s="91" t="s">
        <v>60</v>
      </c>
      <c r="M1432" s="98">
        <f ca="1">(TODAY()-H1432)/365</f>
        <v>75.150684931506845</v>
      </c>
      <c r="N1432" s="99">
        <f>(G1432-H1432)/365</f>
        <v>72.205479452054789</v>
      </c>
      <c r="O1432" s="98">
        <f ca="1">(TODAY()-G1432)/365</f>
        <v>2.9452054794520546</v>
      </c>
      <c r="P1432" s="91" t="s">
        <v>43</v>
      </c>
      <c r="Q1432" s="91">
        <v>0</v>
      </c>
      <c r="R1432" s="91">
        <v>0</v>
      </c>
      <c r="S1432" s="91">
        <v>0</v>
      </c>
      <c r="T1432" s="91"/>
      <c r="U1432" s="91"/>
      <c r="V1432" s="91"/>
      <c r="W1432" s="91"/>
      <c r="X1432" s="91"/>
      <c r="Y1432" s="91"/>
      <c r="Z1432" s="91"/>
      <c r="AA1432" s="91"/>
      <c r="AB1432" s="91"/>
      <c r="AC1432" s="91"/>
      <c r="AD1432" s="91"/>
      <c r="AE1432" s="91"/>
      <c r="AF1432" s="91"/>
      <c r="AG1432" s="91"/>
      <c r="AH1432" s="91"/>
      <c r="AI1432" s="91"/>
      <c r="AJ1432" s="91"/>
      <c r="AK1432" s="91"/>
      <c r="AL1432" s="91"/>
      <c r="AM1432" s="91"/>
    </row>
    <row r="1433" spans="1:39" ht="20.25" customHeight="1">
      <c r="A1433" s="91"/>
      <c r="B1433" s="93" t="s">
        <v>12263</v>
      </c>
      <c r="C1433" s="91" t="s">
        <v>73</v>
      </c>
      <c r="D1433" s="106" t="s">
        <v>447</v>
      </c>
      <c r="E1433" s="106" t="s">
        <v>11208</v>
      </c>
      <c r="F1433" s="92" t="s">
        <v>11209</v>
      </c>
      <c r="G1433" s="103">
        <v>45223</v>
      </c>
      <c r="H1433" s="103">
        <v>35977</v>
      </c>
      <c r="I1433" s="94" t="s">
        <v>58</v>
      </c>
      <c r="J1433" s="100" t="s">
        <v>58</v>
      </c>
      <c r="K1433" s="95" t="s">
        <v>58</v>
      </c>
      <c r="L1433" s="91"/>
      <c r="M1433" s="98">
        <f ca="1">(TODAY()-H1433)/365</f>
        <v>27.465753424657535</v>
      </c>
      <c r="N1433" s="99">
        <f>(G1433-H1433)/365</f>
        <v>25.331506849315069</v>
      </c>
      <c r="O1433" s="98">
        <f ca="1">(TODAY()-G1433)/365</f>
        <v>2.1342465753424658</v>
      </c>
      <c r="P1433" s="91" t="s">
        <v>43</v>
      </c>
      <c r="Q1433" s="91"/>
      <c r="R1433" s="91"/>
      <c r="S1433" s="91"/>
      <c r="T1433" s="91"/>
      <c r="U1433" s="91"/>
      <c r="V1433" s="91"/>
      <c r="W1433" s="91"/>
      <c r="X1433" s="91"/>
      <c r="Y1433" s="91"/>
      <c r="Z1433" s="91"/>
      <c r="AA1433" s="91"/>
      <c r="AB1433" s="91"/>
      <c r="AC1433" s="91"/>
      <c r="AD1433" s="91"/>
      <c r="AE1433" s="91"/>
      <c r="AF1433" s="91"/>
      <c r="AG1433" s="91"/>
      <c r="AH1433" s="91"/>
      <c r="AI1433" s="91"/>
      <c r="AJ1433" s="91"/>
      <c r="AK1433" s="91"/>
      <c r="AL1433" s="91"/>
      <c r="AM1433" s="91"/>
    </row>
    <row r="1434" spans="1:39" ht="20.25" hidden="1" customHeight="1">
      <c r="A1434" s="91"/>
      <c r="B1434" s="93" t="s">
        <v>4618</v>
      </c>
      <c r="C1434" s="91" t="s">
        <v>36</v>
      </c>
      <c r="D1434" s="94" t="s">
        <v>1221</v>
      </c>
      <c r="E1434" s="94" t="s">
        <v>4619</v>
      </c>
      <c r="F1434" s="95" t="s">
        <v>4620</v>
      </c>
      <c r="G1434" s="96">
        <v>38487</v>
      </c>
      <c r="H1434" s="96">
        <v>17683</v>
      </c>
      <c r="I1434" s="94" t="s">
        <v>4621</v>
      </c>
      <c r="J1434" s="94" t="s">
        <v>4622</v>
      </c>
      <c r="K1434" s="95">
        <v>993235456</v>
      </c>
      <c r="L1434" s="91" t="s">
        <v>54</v>
      </c>
      <c r="M1434" s="98">
        <f ca="1">(TODAY()-H1434)/365</f>
        <v>77.586301369863008</v>
      </c>
      <c r="N1434" s="99">
        <f>(G1434-H1434)/365</f>
        <v>56.9972602739726</v>
      </c>
      <c r="O1434" s="98">
        <f ca="1">(TODAY()-G1434)/365</f>
        <v>20.589041095890412</v>
      </c>
      <c r="P1434" s="91" t="s">
        <v>43</v>
      </c>
      <c r="Q1434" s="91">
        <v>0</v>
      </c>
      <c r="R1434" s="91">
        <v>0</v>
      </c>
      <c r="S1434" s="91">
        <v>0</v>
      </c>
      <c r="T1434" s="91"/>
      <c r="U1434" s="91"/>
      <c r="V1434" s="91"/>
      <c r="W1434" s="91"/>
      <c r="X1434" s="91"/>
      <c r="Y1434" s="91"/>
      <c r="Z1434" s="91"/>
      <c r="AA1434" s="91"/>
      <c r="AB1434" s="91"/>
      <c r="AC1434" s="91"/>
      <c r="AD1434" s="91"/>
      <c r="AE1434" s="91"/>
      <c r="AF1434" s="91"/>
      <c r="AG1434" s="91"/>
      <c r="AH1434" s="91"/>
      <c r="AI1434" s="91"/>
      <c r="AJ1434" s="91"/>
      <c r="AK1434" s="91"/>
      <c r="AL1434" s="91"/>
      <c r="AM1434" s="91"/>
    </row>
    <row r="1435" spans="1:39" ht="20.25" hidden="1" customHeight="1">
      <c r="A1435" s="91"/>
      <c r="B1435" s="93" t="s">
        <v>4618</v>
      </c>
      <c r="C1435" s="91" t="s">
        <v>36</v>
      </c>
      <c r="D1435" s="94" t="s">
        <v>4623</v>
      </c>
      <c r="E1435" s="94" t="s">
        <v>4624</v>
      </c>
      <c r="F1435" s="95" t="s">
        <v>4625</v>
      </c>
      <c r="G1435" s="96">
        <v>44639</v>
      </c>
      <c r="H1435" s="96">
        <v>26739</v>
      </c>
      <c r="I1435" s="94" t="s">
        <v>4626</v>
      </c>
      <c r="J1435" s="94" t="s">
        <v>4627</v>
      </c>
      <c r="K1435" s="95">
        <v>963209644</v>
      </c>
      <c r="L1435" s="91" t="s">
        <v>197</v>
      </c>
      <c r="M1435" s="98">
        <f ca="1">(TODAY()-H1435)/365</f>
        <v>52.775342465753425</v>
      </c>
      <c r="N1435" s="99">
        <f>(G1435-H1435)/365</f>
        <v>49.041095890410958</v>
      </c>
      <c r="O1435" s="98">
        <f ca="1">(TODAY()-G1435)/365</f>
        <v>3.7342465753424658</v>
      </c>
      <c r="P1435" s="91" t="s">
        <v>43</v>
      </c>
      <c r="Q1435" s="91">
        <v>0</v>
      </c>
      <c r="R1435" s="91">
        <v>0</v>
      </c>
      <c r="S1435" s="91">
        <v>0</v>
      </c>
      <c r="T1435" s="91"/>
      <c r="U1435" s="91"/>
      <c r="V1435" s="91"/>
      <c r="W1435" s="91"/>
      <c r="X1435" s="91"/>
      <c r="Y1435" s="91"/>
      <c r="Z1435" s="91"/>
      <c r="AA1435" s="91"/>
      <c r="AB1435" s="91"/>
      <c r="AC1435" s="91"/>
      <c r="AD1435" s="91"/>
      <c r="AE1435" s="91"/>
      <c r="AF1435" s="91"/>
      <c r="AG1435" s="91"/>
      <c r="AH1435" s="91"/>
      <c r="AI1435" s="91"/>
      <c r="AJ1435" s="91"/>
      <c r="AK1435" s="91"/>
      <c r="AL1435" s="91"/>
      <c r="AM1435" s="91"/>
    </row>
    <row r="1436" spans="1:39" ht="20.25" hidden="1" customHeight="1">
      <c r="A1436" s="91"/>
      <c r="B1436" s="93" t="s">
        <v>4618</v>
      </c>
      <c r="C1436" s="91" t="s">
        <v>36</v>
      </c>
      <c r="D1436" s="94" t="s">
        <v>4628</v>
      </c>
      <c r="E1436" s="94" t="s">
        <v>4629</v>
      </c>
      <c r="F1436" s="95" t="s">
        <v>4630</v>
      </c>
      <c r="G1436" s="96">
        <v>33333</v>
      </c>
      <c r="H1436" s="96">
        <v>18186</v>
      </c>
      <c r="I1436" s="94" t="s">
        <v>4631</v>
      </c>
      <c r="J1436" s="94" t="s">
        <v>4632</v>
      </c>
      <c r="K1436" s="95">
        <v>990839725</v>
      </c>
      <c r="L1436" s="91" t="s">
        <v>49</v>
      </c>
      <c r="M1436" s="98">
        <f ca="1">(TODAY()-H1436)/365</f>
        <v>76.208219178082189</v>
      </c>
      <c r="N1436" s="99">
        <f>(G1436-H1436)/365</f>
        <v>41.4986301369863</v>
      </c>
      <c r="O1436" s="98">
        <f ca="1">(TODAY()-G1436)/365</f>
        <v>34.709589041095889</v>
      </c>
      <c r="P1436" s="91" t="s">
        <v>43</v>
      </c>
      <c r="Q1436" s="91">
        <v>0</v>
      </c>
      <c r="R1436" s="91">
        <v>0</v>
      </c>
      <c r="S1436" s="91">
        <v>0</v>
      </c>
      <c r="T1436" s="91"/>
      <c r="U1436" s="91"/>
      <c r="V1436" s="91"/>
      <c r="W1436" s="91"/>
      <c r="X1436" s="91"/>
      <c r="Y1436" s="91"/>
      <c r="Z1436" s="91"/>
      <c r="AA1436" s="91"/>
      <c r="AB1436" s="91"/>
      <c r="AC1436" s="91"/>
      <c r="AD1436" s="91"/>
      <c r="AE1436" s="91"/>
      <c r="AF1436" s="91"/>
      <c r="AG1436" s="91"/>
      <c r="AH1436" s="91"/>
      <c r="AI1436" s="91"/>
      <c r="AJ1436" s="91"/>
      <c r="AK1436" s="91"/>
      <c r="AL1436" s="91"/>
      <c r="AM1436" s="91"/>
    </row>
    <row r="1437" spans="1:39" ht="20.25" hidden="1" customHeight="1">
      <c r="A1437" s="91"/>
      <c r="B1437" s="93" t="s">
        <v>4618</v>
      </c>
      <c r="C1437" s="91" t="s">
        <v>36</v>
      </c>
      <c r="D1437" s="94" t="s">
        <v>291</v>
      </c>
      <c r="E1437" s="94" t="s">
        <v>4633</v>
      </c>
      <c r="F1437" s="95" t="s">
        <v>4634</v>
      </c>
      <c r="G1437" s="96">
        <v>34061</v>
      </c>
      <c r="H1437" s="96">
        <v>18087</v>
      </c>
      <c r="I1437" s="100" t="s">
        <v>58</v>
      </c>
      <c r="J1437" s="100" t="s">
        <v>58</v>
      </c>
      <c r="K1437" s="95">
        <v>977474118</v>
      </c>
      <c r="L1437" s="91" t="s">
        <v>60</v>
      </c>
      <c r="M1437" s="98">
        <f ca="1">(TODAY()-H1437)/365</f>
        <v>76.479452054794521</v>
      </c>
      <c r="N1437" s="99">
        <f>(G1437-H1437)/365</f>
        <v>43.764383561643832</v>
      </c>
      <c r="O1437" s="98">
        <f ca="1">(TODAY()-G1437)/365</f>
        <v>32.715068493150682</v>
      </c>
      <c r="P1437" s="91" t="s">
        <v>43</v>
      </c>
      <c r="Q1437" s="91">
        <v>0</v>
      </c>
      <c r="R1437" s="91">
        <v>0</v>
      </c>
      <c r="S1437" s="91">
        <v>0</v>
      </c>
      <c r="T1437" s="91"/>
      <c r="U1437" s="91"/>
      <c r="V1437" s="91"/>
      <c r="W1437" s="91"/>
      <c r="X1437" s="91"/>
      <c r="Y1437" s="91"/>
      <c r="Z1437" s="91"/>
      <c r="AA1437" s="91"/>
      <c r="AB1437" s="91"/>
      <c r="AC1437" s="91"/>
      <c r="AD1437" s="91"/>
      <c r="AE1437" s="91"/>
      <c r="AF1437" s="91"/>
      <c r="AG1437" s="91"/>
      <c r="AH1437" s="91"/>
      <c r="AI1437" s="91"/>
      <c r="AJ1437" s="91"/>
      <c r="AK1437" s="91"/>
      <c r="AL1437" s="91"/>
      <c r="AM1437" s="91"/>
    </row>
    <row r="1438" spans="1:39" ht="20.25" hidden="1" customHeight="1">
      <c r="A1438" s="91"/>
      <c r="B1438" s="93" t="s">
        <v>4618</v>
      </c>
      <c r="C1438" s="91" t="s">
        <v>36</v>
      </c>
      <c r="D1438" s="94" t="s">
        <v>840</v>
      </c>
      <c r="E1438" s="94" t="s">
        <v>4635</v>
      </c>
      <c r="F1438" s="95" t="s">
        <v>4636</v>
      </c>
      <c r="G1438" s="96">
        <v>42650</v>
      </c>
      <c r="H1438" s="96">
        <v>19130</v>
      </c>
      <c r="I1438" s="94" t="s">
        <v>4637</v>
      </c>
      <c r="J1438" s="94" t="s">
        <v>4638</v>
      </c>
      <c r="K1438" s="95">
        <v>998004122</v>
      </c>
      <c r="L1438" s="91" t="s">
        <v>72</v>
      </c>
      <c r="M1438" s="98">
        <f ca="1">(TODAY()-H1438)/365</f>
        <v>73.62191780821918</v>
      </c>
      <c r="N1438" s="99">
        <f>(G1438-H1438)/365</f>
        <v>64.438356164383563</v>
      </c>
      <c r="O1438" s="98">
        <f ca="1">(TODAY()-G1438)/365</f>
        <v>9.1835616438356169</v>
      </c>
      <c r="P1438" s="91" t="s">
        <v>43</v>
      </c>
      <c r="Q1438" s="91">
        <v>0</v>
      </c>
      <c r="R1438" s="91">
        <v>0</v>
      </c>
      <c r="S1438" s="91">
        <v>0</v>
      </c>
      <c r="T1438" s="91"/>
      <c r="U1438" s="91"/>
      <c r="V1438" s="91"/>
      <c r="W1438" s="91"/>
      <c r="X1438" s="91"/>
      <c r="Y1438" s="91"/>
      <c r="Z1438" s="91"/>
      <c r="AA1438" s="91"/>
      <c r="AB1438" s="91"/>
      <c r="AC1438" s="91"/>
      <c r="AD1438" s="91"/>
      <c r="AE1438" s="91"/>
      <c r="AF1438" s="91"/>
      <c r="AG1438" s="91"/>
      <c r="AH1438" s="91"/>
      <c r="AI1438" s="91"/>
      <c r="AJ1438" s="91"/>
      <c r="AK1438" s="91"/>
      <c r="AL1438" s="91"/>
      <c r="AM1438" s="91"/>
    </row>
    <row r="1439" spans="1:39" ht="20.25" hidden="1" customHeight="1">
      <c r="A1439" s="91"/>
      <c r="B1439" s="93" t="s">
        <v>4618</v>
      </c>
      <c r="C1439" s="91" t="s">
        <v>36</v>
      </c>
      <c r="D1439" s="94" t="s">
        <v>650</v>
      </c>
      <c r="E1439" s="94" t="s">
        <v>4639</v>
      </c>
      <c r="F1439" s="95" t="s">
        <v>4640</v>
      </c>
      <c r="G1439" s="96">
        <v>32374</v>
      </c>
      <c r="H1439" s="96">
        <v>20765</v>
      </c>
      <c r="I1439" s="94" t="s">
        <v>4641</v>
      </c>
      <c r="J1439" s="94" t="s">
        <v>4642</v>
      </c>
      <c r="K1439" s="95">
        <v>983967810</v>
      </c>
      <c r="L1439" s="91" t="s">
        <v>66</v>
      </c>
      <c r="M1439" s="98">
        <f ca="1">(TODAY()-H1439)/365</f>
        <v>69.142465753424659</v>
      </c>
      <c r="N1439" s="99">
        <f>(G1439-H1439)/365</f>
        <v>31.805479452054794</v>
      </c>
      <c r="O1439" s="98">
        <f ca="1">(TODAY()-G1439)/365</f>
        <v>37.336986301369862</v>
      </c>
      <c r="P1439" s="91" t="s">
        <v>43</v>
      </c>
      <c r="Q1439" s="91">
        <v>0</v>
      </c>
      <c r="R1439" s="91">
        <v>0</v>
      </c>
      <c r="S1439" s="91">
        <v>0</v>
      </c>
      <c r="T1439" s="91"/>
      <c r="U1439" s="91"/>
      <c r="V1439" s="91"/>
      <c r="W1439" s="91"/>
      <c r="X1439" s="91"/>
      <c r="Y1439" s="91"/>
      <c r="Z1439" s="91"/>
      <c r="AA1439" s="91"/>
      <c r="AB1439" s="91"/>
      <c r="AC1439" s="91"/>
      <c r="AD1439" s="91"/>
      <c r="AE1439" s="91"/>
      <c r="AF1439" s="91"/>
      <c r="AG1439" s="91"/>
      <c r="AH1439" s="91"/>
      <c r="AI1439" s="91"/>
      <c r="AJ1439" s="91"/>
      <c r="AK1439" s="91"/>
      <c r="AL1439" s="91"/>
      <c r="AM1439" s="91"/>
    </row>
    <row r="1440" spans="1:39" ht="20.25" hidden="1" customHeight="1">
      <c r="A1440" s="91"/>
      <c r="B1440" s="93" t="s">
        <v>4618</v>
      </c>
      <c r="C1440" s="91" t="s">
        <v>36</v>
      </c>
      <c r="D1440" s="94" t="s">
        <v>4643</v>
      </c>
      <c r="E1440" s="94" t="s">
        <v>4644</v>
      </c>
      <c r="F1440" s="95" t="s">
        <v>4645</v>
      </c>
      <c r="G1440" s="96">
        <v>33333</v>
      </c>
      <c r="H1440" s="96">
        <v>23797</v>
      </c>
      <c r="I1440" s="94" t="s">
        <v>4646</v>
      </c>
      <c r="J1440" s="94" t="s">
        <v>4647</v>
      </c>
      <c r="K1440" s="95">
        <v>97700300</v>
      </c>
      <c r="L1440" s="91" t="s">
        <v>42</v>
      </c>
      <c r="M1440" s="98">
        <f ca="1">(TODAY()-H1440)/365</f>
        <v>60.835616438356162</v>
      </c>
      <c r="N1440" s="99">
        <f>(G1440-H1440)/365</f>
        <v>26.126027397260273</v>
      </c>
      <c r="O1440" s="98">
        <f ca="1">(TODAY()-G1440)/365</f>
        <v>34.709589041095889</v>
      </c>
      <c r="P1440" s="91" t="s">
        <v>43</v>
      </c>
      <c r="Q1440" s="91">
        <v>0</v>
      </c>
      <c r="R1440" s="91">
        <v>0</v>
      </c>
      <c r="S1440" s="91">
        <v>0</v>
      </c>
      <c r="T1440" s="91"/>
      <c r="U1440" s="91"/>
      <c r="V1440" s="91"/>
      <c r="W1440" s="91"/>
      <c r="X1440" s="91"/>
      <c r="Y1440" s="91"/>
      <c r="Z1440" s="91"/>
      <c r="AA1440" s="91"/>
      <c r="AB1440" s="91"/>
      <c r="AC1440" s="91"/>
      <c r="AD1440" s="91"/>
      <c r="AE1440" s="91"/>
      <c r="AF1440" s="91"/>
      <c r="AG1440" s="91"/>
      <c r="AH1440" s="91"/>
      <c r="AI1440" s="91"/>
      <c r="AJ1440" s="91"/>
      <c r="AK1440" s="91"/>
      <c r="AL1440" s="91"/>
      <c r="AM1440" s="91"/>
    </row>
    <row r="1441" spans="1:39" ht="20.25" hidden="1" customHeight="1">
      <c r="A1441" s="91"/>
      <c r="B1441" s="93" t="s">
        <v>10029</v>
      </c>
      <c r="C1441" s="91" t="s">
        <v>36</v>
      </c>
      <c r="D1441" s="106" t="s">
        <v>291</v>
      </c>
      <c r="E1441" s="106" t="s">
        <v>10030</v>
      </c>
      <c r="F1441" s="92" t="s">
        <v>10031</v>
      </c>
      <c r="G1441" s="103">
        <v>39160</v>
      </c>
      <c r="H1441" s="103">
        <v>24770</v>
      </c>
      <c r="I1441" s="94" t="s">
        <v>10032</v>
      </c>
      <c r="J1441" s="94" t="s">
        <v>10033</v>
      </c>
      <c r="K1441" s="92">
        <v>953135920</v>
      </c>
      <c r="L1441" s="91"/>
      <c r="M1441" s="98">
        <f ca="1">(TODAY()-H1441)/365</f>
        <v>58.169863013698631</v>
      </c>
      <c r="N1441" s="99">
        <f>(G1441-H1441)/365</f>
        <v>39.424657534246577</v>
      </c>
      <c r="O1441" s="98">
        <f ca="1">(TODAY()-G1441)/365</f>
        <v>18.745205479452054</v>
      </c>
      <c r="P1441" s="91" t="s">
        <v>43</v>
      </c>
      <c r="Q1441" s="91"/>
      <c r="R1441" s="91"/>
      <c r="S1441" s="91"/>
      <c r="T1441" s="91"/>
      <c r="U1441" s="91"/>
      <c r="V1441" s="91"/>
      <c r="W1441" s="91"/>
      <c r="X1441" s="91"/>
      <c r="Y1441" s="91"/>
      <c r="Z1441" s="91"/>
      <c r="AA1441" s="91"/>
      <c r="AB1441" s="91"/>
      <c r="AC1441" s="91"/>
      <c r="AD1441" s="91"/>
      <c r="AE1441" s="91"/>
      <c r="AF1441" s="91"/>
      <c r="AG1441" s="91"/>
      <c r="AH1441" s="91"/>
      <c r="AI1441" s="91"/>
      <c r="AJ1441" s="91"/>
      <c r="AK1441" s="91"/>
      <c r="AL1441" s="91"/>
      <c r="AM1441" s="91"/>
    </row>
    <row r="1442" spans="1:39" ht="20.25" hidden="1" customHeight="1">
      <c r="A1442" s="91"/>
      <c r="B1442" s="93" t="s">
        <v>10029</v>
      </c>
      <c r="C1442" s="91" t="s">
        <v>36</v>
      </c>
      <c r="D1442" s="106" t="s">
        <v>6536</v>
      </c>
      <c r="E1442" s="106" t="s">
        <v>10034</v>
      </c>
      <c r="F1442" s="92" t="s">
        <v>10035</v>
      </c>
      <c r="G1442" s="103">
        <v>30125</v>
      </c>
      <c r="H1442" s="103">
        <v>15644</v>
      </c>
      <c r="I1442" s="94" t="s">
        <v>10032</v>
      </c>
      <c r="J1442" s="94" t="s">
        <v>10036</v>
      </c>
      <c r="K1442" s="92">
        <v>977476543</v>
      </c>
      <c r="L1442" s="91"/>
      <c r="M1442" s="98">
        <f ca="1">(TODAY()-H1442)/365</f>
        <v>83.172602739726031</v>
      </c>
      <c r="N1442" s="99">
        <f>(G1442-H1442)/365</f>
        <v>39.673972602739724</v>
      </c>
      <c r="O1442" s="98">
        <f ca="1">(TODAY()-G1442)/365</f>
        <v>43.4986301369863</v>
      </c>
      <c r="P1442" s="91" t="s">
        <v>43</v>
      </c>
      <c r="Q1442" s="91"/>
      <c r="R1442" s="91"/>
      <c r="S1442" s="91"/>
      <c r="T1442" s="91"/>
      <c r="U1442" s="91"/>
      <c r="V1442" s="91"/>
      <c r="W1442" s="91"/>
      <c r="X1442" s="91"/>
      <c r="Y1442" s="91"/>
      <c r="Z1442" s="91"/>
      <c r="AA1442" s="91"/>
      <c r="AB1442" s="91"/>
      <c r="AC1442" s="91"/>
      <c r="AD1442" s="91"/>
      <c r="AE1442" s="91"/>
      <c r="AF1442" s="91"/>
      <c r="AG1442" s="91"/>
      <c r="AH1442" s="91"/>
      <c r="AI1442" s="91"/>
      <c r="AJ1442" s="91"/>
      <c r="AK1442" s="91"/>
      <c r="AL1442" s="91"/>
      <c r="AM1442" s="91"/>
    </row>
    <row r="1443" spans="1:39" ht="20.25" hidden="1" customHeight="1">
      <c r="A1443" s="91"/>
      <c r="B1443" s="93" t="s">
        <v>10029</v>
      </c>
      <c r="C1443" s="91" t="s">
        <v>36</v>
      </c>
      <c r="D1443" s="106" t="s">
        <v>1225</v>
      </c>
      <c r="E1443" s="106" t="s">
        <v>10037</v>
      </c>
      <c r="F1443" s="92" t="s">
        <v>10038</v>
      </c>
      <c r="G1443" s="103">
        <v>31006</v>
      </c>
      <c r="H1443" s="103">
        <v>18910</v>
      </c>
      <c r="I1443" s="94" t="s">
        <v>10032</v>
      </c>
      <c r="J1443" s="94" t="s">
        <v>10039</v>
      </c>
      <c r="K1443" s="95" t="s">
        <v>58</v>
      </c>
      <c r="L1443" s="91"/>
      <c r="M1443" s="98">
        <f ca="1">(TODAY()-H1443)/365</f>
        <v>74.224657534246575</v>
      </c>
      <c r="N1443" s="99">
        <f>(G1443-H1443)/365</f>
        <v>33.139726027397259</v>
      </c>
      <c r="O1443" s="98">
        <f ca="1">(TODAY()-G1443)/365</f>
        <v>41.084931506849315</v>
      </c>
      <c r="P1443" s="91" t="s">
        <v>43</v>
      </c>
      <c r="Q1443" s="91"/>
      <c r="R1443" s="91"/>
      <c r="S1443" s="91"/>
      <c r="T1443" s="91"/>
      <c r="U1443" s="91"/>
      <c r="V1443" s="91"/>
      <c r="W1443" s="91"/>
      <c r="X1443" s="91"/>
      <c r="Y1443" s="91"/>
      <c r="Z1443" s="91"/>
      <c r="AA1443" s="91"/>
      <c r="AB1443" s="91"/>
      <c r="AC1443" s="91"/>
      <c r="AD1443" s="91"/>
      <c r="AE1443" s="91"/>
      <c r="AF1443" s="91"/>
      <c r="AG1443" s="91"/>
      <c r="AH1443" s="91"/>
      <c r="AI1443" s="91"/>
      <c r="AJ1443" s="91"/>
      <c r="AK1443" s="91"/>
      <c r="AL1443" s="91"/>
      <c r="AM1443" s="91"/>
    </row>
    <row r="1444" spans="1:39" ht="20.25" hidden="1" customHeight="1">
      <c r="A1444" s="91"/>
      <c r="B1444" s="93" t="s">
        <v>10029</v>
      </c>
      <c r="C1444" s="91" t="s">
        <v>36</v>
      </c>
      <c r="D1444" s="106" t="s">
        <v>2706</v>
      </c>
      <c r="E1444" s="106" t="s">
        <v>10040</v>
      </c>
      <c r="F1444" s="92" t="s">
        <v>10041</v>
      </c>
      <c r="G1444" s="103">
        <v>30202</v>
      </c>
      <c r="H1444" s="103">
        <v>18532</v>
      </c>
      <c r="I1444" s="94" t="s">
        <v>10032</v>
      </c>
      <c r="J1444" s="94" t="s">
        <v>10042</v>
      </c>
      <c r="K1444" s="92">
        <v>985504697</v>
      </c>
      <c r="L1444" s="91"/>
      <c r="M1444" s="98">
        <f ca="1">(TODAY()-H1444)/365</f>
        <v>75.260273972602747</v>
      </c>
      <c r="N1444" s="99">
        <f>(G1444-H1444)/365</f>
        <v>31.972602739726028</v>
      </c>
      <c r="O1444" s="98">
        <f ca="1">(TODAY()-G1444)/365</f>
        <v>43.287671232876711</v>
      </c>
      <c r="P1444" s="91" t="s">
        <v>43</v>
      </c>
      <c r="Q1444" s="91"/>
      <c r="R1444" s="91"/>
      <c r="S1444" s="91"/>
      <c r="T1444" s="91"/>
      <c r="U1444" s="91"/>
      <c r="V1444" s="91"/>
      <c r="W1444" s="91"/>
      <c r="X1444" s="91"/>
      <c r="Y1444" s="91"/>
      <c r="Z1444" s="91"/>
      <c r="AA1444" s="91"/>
      <c r="AB1444" s="91"/>
      <c r="AC1444" s="91"/>
      <c r="AD1444" s="91"/>
      <c r="AE1444" s="91"/>
      <c r="AF1444" s="91"/>
      <c r="AG1444" s="91"/>
      <c r="AH1444" s="91"/>
      <c r="AI1444" s="91"/>
      <c r="AJ1444" s="91"/>
      <c r="AK1444" s="91"/>
      <c r="AL1444" s="91"/>
      <c r="AM1444" s="91"/>
    </row>
    <row r="1445" spans="1:39" ht="20.25" hidden="1" customHeight="1">
      <c r="A1445" s="91"/>
      <c r="B1445" s="93" t="s">
        <v>10029</v>
      </c>
      <c r="C1445" s="91" t="s">
        <v>36</v>
      </c>
      <c r="D1445" s="106" t="s">
        <v>716</v>
      </c>
      <c r="E1445" s="106" t="s">
        <v>9571</v>
      </c>
      <c r="F1445" s="92" t="s">
        <v>10043</v>
      </c>
      <c r="G1445" s="103">
        <v>38144</v>
      </c>
      <c r="H1445" s="103">
        <v>20225</v>
      </c>
      <c r="I1445" s="94" t="s">
        <v>10032</v>
      </c>
      <c r="J1445" s="94" t="s">
        <v>10044</v>
      </c>
      <c r="K1445" s="92">
        <v>940432286</v>
      </c>
      <c r="L1445" s="91"/>
      <c r="M1445" s="98">
        <f ca="1">(TODAY()-H1445)/365</f>
        <v>70.62191780821918</v>
      </c>
      <c r="N1445" s="99">
        <f>(G1445-H1445)/365</f>
        <v>49.093150684931508</v>
      </c>
      <c r="O1445" s="98">
        <f ca="1">(TODAY()-G1445)/365</f>
        <v>21.528767123287672</v>
      </c>
      <c r="P1445" s="91" t="s">
        <v>43</v>
      </c>
      <c r="Q1445" s="91"/>
      <c r="R1445" s="91"/>
      <c r="S1445" s="91"/>
      <c r="T1445" s="91"/>
      <c r="U1445" s="91"/>
      <c r="V1445" s="91"/>
      <c r="W1445" s="91"/>
      <c r="X1445" s="91"/>
      <c r="Y1445" s="91"/>
      <c r="Z1445" s="91"/>
      <c r="AA1445" s="91"/>
      <c r="AB1445" s="91"/>
      <c r="AC1445" s="91"/>
      <c r="AD1445" s="91"/>
      <c r="AE1445" s="91"/>
      <c r="AF1445" s="91"/>
      <c r="AG1445" s="91"/>
      <c r="AH1445" s="91"/>
      <c r="AI1445" s="91"/>
      <c r="AJ1445" s="91"/>
      <c r="AK1445" s="91"/>
      <c r="AL1445" s="91"/>
      <c r="AM1445" s="91"/>
    </row>
    <row r="1446" spans="1:39" ht="20.25" hidden="1" customHeight="1">
      <c r="A1446" s="91"/>
      <c r="B1446" s="93" t="s">
        <v>10029</v>
      </c>
      <c r="C1446" s="91" t="s">
        <v>36</v>
      </c>
      <c r="D1446" s="106" t="s">
        <v>8049</v>
      </c>
      <c r="E1446" s="106" t="s">
        <v>10045</v>
      </c>
      <c r="F1446" s="92" t="s">
        <v>10046</v>
      </c>
      <c r="G1446" s="103">
        <v>38506</v>
      </c>
      <c r="H1446" s="103">
        <v>19990</v>
      </c>
      <c r="I1446" s="94" t="s">
        <v>10047</v>
      </c>
      <c r="J1446" s="94" t="s">
        <v>10048</v>
      </c>
      <c r="K1446" s="92">
        <v>971288456</v>
      </c>
      <c r="L1446" s="91"/>
      <c r="M1446" s="98">
        <f ca="1">(TODAY()-H1446)/365</f>
        <v>71.265753424657532</v>
      </c>
      <c r="N1446" s="99">
        <f>(G1446-H1446)/365</f>
        <v>50.728767123287675</v>
      </c>
      <c r="O1446" s="98">
        <f ca="1">(TODAY()-G1446)/365</f>
        <v>20.536986301369861</v>
      </c>
      <c r="P1446" s="91" t="s">
        <v>43</v>
      </c>
      <c r="Q1446" s="91"/>
      <c r="R1446" s="91"/>
      <c r="S1446" s="91"/>
      <c r="T1446" s="91"/>
      <c r="U1446" s="91"/>
      <c r="V1446" s="91"/>
      <c r="W1446" s="91"/>
      <c r="X1446" s="91"/>
      <c r="Y1446" s="91"/>
      <c r="Z1446" s="91"/>
      <c r="AA1446" s="91"/>
      <c r="AB1446" s="91"/>
      <c r="AC1446" s="91"/>
      <c r="AD1446" s="91"/>
      <c r="AE1446" s="91"/>
      <c r="AF1446" s="91"/>
      <c r="AG1446" s="91"/>
      <c r="AH1446" s="91"/>
      <c r="AI1446" s="91"/>
      <c r="AJ1446" s="91"/>
      <c r="AK1446" s="91"/>
      <c r="AL1446" s="91"/>
      <c r="AM1446" s="91"/>
    </row>
    <row r="1447" spans="1:39" ht="20.25" hidden="1" customHeight="1">
      <c r="A1447" s="91"/>
      <c r="B1447" s="93" t="s">
        <v>10029</v>
      </c>
      <c r="C1447" s="91" t="s">
        <v>36</v>
      </c>
      <c r="D1447" s="106" t="s">
        <v>10049</v>
      </c>
      <c r="E1447" s="106" t="s">
        <v>10050</v>
      </c>
      <c r="F1447" s="92" t="s">
        <v>10051</v>
      </c>
      <c r="G1447" s="103">
        <v>42180</v>
      </c>
      <c r="H1447" s="103">
        <v>24617</v>
      </c>
      <c r="I1447" s="94" t="s">
        <v>10032</v>
      </c>
      <c r="J1447" s="94" t="s">
        <v>10052</v>
      </c>
      <c r="K1447" s="92">
        <v>983865106</v>
      </c>
      <c r="L1447" s="91"/>
      <c r="M1447" s="98">
        <f ca="1">(TODAY()-H1447)/365</f>
        <v>58.589041095890408</v>
      </c>
      <c r="N1447" s="99">
        <f>(G1447-H1447)/365</f>
        <v>48.11780821917808</v>
      </c>
      <c r="O1447" s="98">
        <f ca="1">(TODAY()-G1447)/365</f>
        <v>10.471232876712328</v>
      </c>
      <c r="P1447" s="91" t="s">
        <v>272</v>
      </c>
      <c r="Q1447" s="91"/>
      <c r="R1447" s="91"/>
      <c r="S1447" s="91"/>
      <c r="T1447" s="91"/>
      <c r="U1447" s="91"/>
      <c r="V1447" s="91"/>
      <c r="W1447" s="91"/>
      <c r="X1447" s="91"/>
      <c r="Y1447" s="91"/>
      <c r="Z1447" s="91"/>
      <c r="AA1447" s="91"/>
      <c r="AB1447" s="91"/>
      <c r="AC1447" s="91"/>
      <c r="AD1447" s="91"/>
      <c r="AE1447" s="91"/>
      <c r="AF1447" s="91"/>
      <c r="AG1447" s="91"/>
      <c r="AH1447" s="91"/>
      <c r="AI1447" s="91"/>
      <c r="AJ1447" s="91"/>
      <c r="AK1447" s="91"/>
      <c r="AL1447" s="91"/>
      <c r="AM1447" s="91"/>
    </row>
    <row r="1448" spans="1:39" ht="20.25" hidden="1" customHeight="1">
      <c r="A1448" s="91"/>
      <c r="B1448" s="93" t="s">
        <v>10029</v>
      </c>
      <c r="C1448" s="91" t="s">
        <v>36</v>
      </c>
      <c r="D1448" s="106" t="s">
        <v>10053</v>
      </c>
      <c r="E1448" s="106" t="s">
        <v>10054</v>
      </c>
      <c r="F1448" s="92" t="s">
        <v>10055</v>
      </c>
      <c r="G1448" s="103">
        <v>41907</v>
      </c>
      <c r="H1448" s="103">
        <v>24240</v>
      </c>
      <c r="I1448" s="94" t="s">
        <v>10032</v>
      </c>
      <c r="J1448" s="94" t="s">
        <v>10056</v>
      </c>
      <c r="K1448" s="92">
        <v>979777020</v>
      </c>
      <c r="L1448" s="91"/>
      <c r="M1448" s="98">
        <f ca="1">(TODAY()-H1448)/365</f>
        <v>59.62191780821918</v>
      </c>
      <c r="N1448" s="99">
        <f>(G1448-H1448)/365</f>
        <v>48.402739726027399</v>
      </c>
      <c r="O1448" s="98">
        <f ca="1">(TODAY()-G1448)/365</f>
        <v>11.219178082191782</v>
      </c>
      <c r="P1448" s="91" t="s">
        <v>43</v>
      </c>
      <c r="Q1448" s="91"/>
      <c r="R1448" s="91"/>
      <c r="S1448" s="91"/>
      <c r="T1448" s="91"/>
      <c r="U1448" s="91"/>
      <c r="V1448" s="91"/>
      <c r="W1448" s="91"/>
      <c r="X1448" s="91"/>
      <c r="Y1448" s="91"/>
      <c r="Z1448" s="91"/>
      <c r="AA1448" s="91"/>
      <c r="AB1448" s="91"/>
      <c r="AC1448" s="91"/>
      <c r="AD1448" s="91"/>
      <c r="AE1448" s="91"/>
      <c r="AF1448" s="91"/>
      <c r="AG1448" s="91"/>
      <c r="AH1448" s="91"/>
      <c r="AI1448" s="91"/>
      <c r="AJ1448" s="91"/>
      <c r="AK1448" s="91"/>
      <c r="AL1448" s="91"/>
      <c r="AM1448" s="91"/>
    </row>
    <row r="1449" spans="1:39" ht="20.25" customHeight="1">
      <c r="A1449" s="91"/>
      <c r="B1449" s="93" t="s">
        <v>9779</v>
      </c>
      <c r="C1449" s="91" t="s">
        <v>73</v>
      </c>
      <c r="D1449" s="107" t="s">
        <v>9858</v>
      </c>
      <c r="E1449" s="107" t="s">
        <v>9859</v>
      </c>
      <c r="F1449" s="91" t="s">
        <v>9860</v>
      </c>
      <c r="G1449" s="103">
        <v>45467</v>
      </c>
      <c r="H1449" s="103">
        <v>26755</v>
      </c>
      <c r="I1449" s="100" t="s">
        <v>58</v>
      </c>
      <c r="J1449" s="100" t="s">
        <v>58</v>
      </c>
      <c r="K1449" s="95" t="s">
        <v>58</v>
      </c>
      <c r="L1449" s="91"/>
      <c r="M1449" s="98">
        <f ca="1">(TODAY()-H1449)/365</f>
        <v>52.731506849315068</v>
      </c>
      <c r="N1449" s="99">
        <f>(G1449-H1449)/365</f>
        <v>51.265753424657532</v>
      </c>
      <c r="O1449" s="98">
        <f ca="1">(TODAY()-G1449)/365</f>
        <v>1.4657534246575343</v>
      </c>
      <c r="P1449" s="91" t="s">
        <v>272</v>
      </c>
      <c r="Q1449" s="91"/>
      <c r="R1449" s="91"/>
      <c r="S1449" s="91"/>
      <c r="T1449" s="91"/>
      <c r="U1449" s="91"/>
      <c r="V1449" s="91"/>
      <c r="W1449" s="91"/>
      <c r="X1449" s="91"/>
      <c r="Y1449" s="91"/>
      <c r="Z1449" s="91"/>
      <c r="AA1449" s="91"/>
      <c r="AB1449" s="91"/>
      <c r="AC1449" s="91"/>
      <c r="AD1449" s="91"/>
      <c r="AE1449" s="91"/>
      <c r="AF1449" s="91"/>
      <c r="AG1449" s="91"/>
      <c r="AH1449" s="91"/>
      <c r="AI1449" s="91"/>
      <c r="AJ1449" s="91"/>
      <c r="AK1449" s="91"/>
      <c r="AL1449" s="91"/>
      <c r="AM1449" s="91"/>
    </row>
    <row r="1450" spans="1:39" ht="20.25" customHeight="1">
      <c r="A1450" s="91"/>
      <c r="B1450" s="93" t="s">
        <v>5365</v>
      </c>
      <c r="C1450" s="91" t="s">
        <v>73</v>
      </c>
      <c r="D1450" s="94" t="s">
        <v>5426</v>
      </c>
      <c r="E1450" s="94" t="s">
        <v>5427</v>
      </c>
      <c r="F1450" s="95" t="s">
        <v>5428</v>
      </c>
      <c r="G1450" s="96">
        <v>41219</v>
      </c>
      <c r="H1450" s="97">
        <v>23150</v>
      </c>
      <c r="I1450" s="100" t="s">
        <v>58</v>
      </c>
      <c r="J1450" s="100" t="s">
        <v>58</v>
      </c>
      <c r="K1450" s="91" t="s">
        <v>58</v>
      </c>
      <c r="L1450" s="91" t="s">
        <v>60</v>
      </c>
      <c r="M1450" s="98">
        <f ca="1">(TODAY()-H1450)/365</f>
        <v>62.608219178082194</v>
      </c>
      <c r="N1450" s="99">
        <f>(G1450-H1450)/365</f>
        <v>49.504109589041093</v>
      </c>
      <c r="O1450" s="98">
        <f ca="1">(TODAY()-G1450)/365</f>
        <v>13.104109589041096</v>
      </c>
      <c r="P1450" s="91" t="s">
        <v>43</v>
      </c>
      <c r="Q1450" s="91">
        <v>0</v>
      </c>
      <c r="R1450" s="91">
        <v>0</v>
      </c>
      <c r="S1450" s="91">
        <v>0</v>
      </c>
      <c r="T1450" s="91"/>
      <c r="U1450" s="91"/>
      <c r="V1450" s="91"/>
      <c r="W1450" s="91"/>
      <c r="X1450" s="91"/>
      <c r="Y1450" s="91"/>
      <c r="Z1450" s="91"/>
      <c r="AA1450" s="91"/>
      <c r="AB1450" s="91"/>
      <c r="AC1450" s="91"/>
      <c r="AD1450" s="91"/>
      <c r="AE1450" s="91"/>
      <c r="AF1450" s="91"/>
      <c r="AG1450" s="91"/>
      <c r="AH1450" s="91"/>
      <c r="AI1450" s="91"/>
      <c r="AJ1450" s="91"/>
      <c r="AK1450" s="91"/>
      <c r="AL1450" s="91"/>
      <c r="AM1450" s="91"/>
    </row>
    <row r="1451" spans="1:39" ht="20.25" hidden="1" customHeight="1">
      <c r="A1451" s="91"/>
      <c r="B1451" s="93" t="s">
        <v>4648</v>
      </c>
      <c r="C1451" s="91" t="s">
        <v>36</v>
      </c>
      <c r="D1451" s="94" t="s">
        <v>4649</v>
      </c>
      <c r="E1451" s="94" t="s">
        <v>4650</v>
      </c>
      <c r="F1451" s="95" t="s">
        <v>4651</v>
      </c>
      <c r="G1451" s="96">
        <v>33725</v>
      </c>
      <c r="H1451" s="97">
        <v>19252</v>
      </c>
      <c r="I1451" s="94" t="s">
        <v>4652</v>
      </c>
      <c r="J1451" s="100" t="s">
        <v>4653</v>
      </c>
      <c r="K1451" s="91" t="s">
        <v>4654</v>
      </c>
      <c r="L1451" s="91" t="s">
        <v>54</v>
      </c>
      <c r="M1451" s="98">
        <f ca="1">(TODAY()-H1451)/365</f>
        <v>73.287671232876718</v>
      </c>
      <c r="N1451" s="99">
        <f>(G1451-H1451)/365</f>
        <v>39.652054794520545</v>
      </c>
      <c r="O1451" s="98">
        <f ca="1">(TODAY()-G1451)/365</f>
        <v>33.635616438356166</v>
      </c>
      <c r="P1451" s="91" t="s">
        <v>43</v>
      </c>
      <c r="Q1451" s="91">
        <v>0</v>
      </c>
      <c r="R1451" s="91">
        <v>0</v>
      </c>
      <c r="S1451" s="91">
        <v>0</v>
      </c>
      <c r="T1451" s="91"/>
      <c r="U1451" s="91"/>
      <c r="V1451" s="91"/>
      <c r="W1451" s="91"/>
      <c r="X1451" s="91"/>
      <c r="Y1451" s="91"/>
      <c r="Z1451" s="91"/>
      <c r="AA1451" s="91"/>
      <c r="AB1451" s="91"/>
      <c r="AC1451" s="91"/>
      <c r="AD1451" s="91"/>
      <c r="AE1451" s="91"/>
      <c r="AF1451" s="91"/>
      <c r="AG1451" s="91"/>
      <c r="AH1451" s="91"/>
      <c r="AI1451" s="91"/>
      <c r="AJ1451" s="91"/>
      <c r="AK1451" s="91"/>
      <c r="AL1451" s="91"/>
      <c r="AM1451" s="91"/>
    </row>
    <row r="1452" spans="1:39" ht="20.25" customHeight="1">
      <c r="A1452" s="91"/>
      <c r="B1452" s="93" t="s">
        <v>4896</v>
      </c>
      <c r="C1452" s="91" t="s">
        <v>73</v>
      </c>
      <c r="D1452" s="107" t="s">
        <v>4944</v>
      </c>
      <c r="E1452" s="107" t="s">
        <v>4945</v>
      </c>
      <c r="F1452" s="91" t="s">
        <v>4946</v>
      </c>
      <c r="G1452" s="96">
        <v>45195</v>
      </c>
      <c r="H1452" s="97">
        <v>38721</v>
      </c>
      <c r="I1452" s="94" t="s">
        <v>58</v>
      </c>
      <c r="J1452" s="94" t="s">
        <v>58</v>
      </c>
      <c r="K1452" s="91">
        <v>954829263</v>
      </c>
      <c r="L1452" s="91" t="s">
        <v>60</v>
      </c>
      <c r="M1452" s="98">
        <f ca="1">(TODAY()-H1452)/365</f>
        <v>19.947945205479453</v>
      </c>
      <c r="N1452" s="99">
        <f>(G1452-H1452)/365</f>
        <v>17.736986301369864</v>
      </c>
      <c r="O1452" s="98">
        <f ca="1">(TODAY()-G1452)/365</f>
        <v>2.2109589041095892</v>
      </c>
      <c r="P1452" s="91" t="s">
        <v>43</v>
      </c>
      <c r="Q1452" s="91">
        <v>0</v>
      </c>
      <c r="R1452" s="91">
        <v>0</v>
      </c>
      <c r="S1452" s="91">
        <v>0</v>
      </c>
      <c r="T1452" s="91"/>
      <c r="U1452" s="91"/>
      <c r="V1452" s="91"/>
      <c r="W1452" s="91"/>
      <c r="X1452" s="91"/>
      <c r="Y1452" s="91"/>
      <c r="Z1452" s="91"/>
      <c r="AA1452" s="91"/>
      <c r="AB1452" s="91"/>
      <c r="AC1452" s="91"/>
      <c r="AD1452" s="91"/>
      <c r="AE1452" s="91"/>
      <c r="AF1452" s="91"/>
      <c r="AG1452" s="91"/>
      <c r="AH1452" s="91"/>
      <c r="AI1452" s="91"/>
      <c r="AJ1452" s="91"/>
      <c r="AK1452" s="91"/>
      <c r="AL1452" s="91"/>
      <c r="AM1452" s="91"/>
    </row>
    <row r="1453" spans="1:39" ht="20.25" customHeight="1">
      <c r="A1453" s="91"/>
      <c r="B1453" s="93" t="s">
        <v>580</v>
      </c>
      <c r="C1453" s="91" t="s">
        <v>73</v>
      </c>
      <c r="D1453" s="94" t="s">
        <v>585</v>
      </c>
      <c r="E1453" s="94" t="s">
        <v>586</v>
      </c>
      <c r="F1453" s="95" t="s">
        <v>587</v>
      </c>
      <c r="G1453" s="96">
        <v>45034</v>
      </c>
      <c r="H1453" s="96" t="s">
        <v>58</v>
      </c>
      <c r="I1453" s="108" t="s">
        <v>12310</v>
      </c>
      <c r="J1453" s="100" t="s">
        <v>58</v>
      </c>
      <c r="K1453" s="91" t="s">
        <v>58</v>
      </c>
      <c r="L1453" s="91" t="s">
        <v>60</v>
      </c>
      <c r="M1453" s="98">
        <v>0</v>
      </c>
      <c r="N1453" s="109"/>
      <c r="O1453" s="98">
        <f ca="1">(TODAY()-G1453)/365</f>
        <v>2.6520547945205482</v>
      </c>
      <c r="P1453" s="91" t="s">
        <v>43</v>
      </c>
      <c r="Q1453" s="91">
        <v>0</v>
      </c>
      <c r="R1453" s="91">
        <v>0</v>
      </c>
      <c r="S1453" s="91">
        <v>0</v>
      </c>
      <c r="T1453" s="91"/>
      <c r="U1453" s="91"/>
      <c r="V1453" s="91"/>
      <c r="W1453" s="91"/>
      <c r="X1453" s="91"/>
      <c r="Y1453" s="91"/>
      <c r="Z1453" s="91"/>
      <c r="AA1453" s="91"/>
      <c r="AB1453" s="91"/>
      <c r="AC1453" s="91"/>
      <c r="AD1453" s="91"/>
      <c r="AE1453" s="91"/>
      <c r="AF1453" s="91"/>
      <c r="AG1453" s="91"/>
      <c r="AH1453" s="91"/>
      <c r="AI1453" s="91"/>
      <c r="AJ1453" s="91"/>
      <c r="AK1453" s="91"/>
      <c r="AL1453" s="91"/>
      <c r="AM1453" s="91"/>
    </row>
    <row r="1454" spans="1:39" ht="20.25" hidden="1" customHeight="1">
      <c r="A1454" s="91"/>
      <c r="B1454" s="93" t="s">
        <v>4648</v>
      </c>
      <c r="C1454" s="91" t="s">
        <v>36</v>
      </c>
      <c r="D1454" s="94" t="s">
        <v>2477</v>
      </c>
      <c r="E1454" s="94" t="s">
        <v>4662</v>
      </c>
      <c r="F1454" s="95" t="s">
        <v>4663</v>
      </c>
      <c r="G1454" s="96">
        <v>39934</v>
      </c>
      <c r="H1454" s="97">
        <v>24292</v>
      </c>
      <c r="I1454" s="94" t="s">
        <v>4664</v>
      </c>
      <c r="J1454" s="100" t="s">
        <v>4665</v>
      </c>
      <c r="K1454" s="91">
        <v>968991416</v>
      </c>
      <c r="L1454" s="91" t="s">
        <v>49</v>
      </c>
      <c r="M1454" s="98">
        <f ca="1">(TODAY()-H1454)/365</f>
        <v>59.479452054794521</v>
      </c>
      <c r="N1454" s="99">
        <f>(G1454-H1454)/365</f>
        <v>42.854794520547948</v>
      </c>
      <c r="O1454" s="98">
        <f ca="1">(TODAY()-G1454)/365</f>
        <v>16.624657534246577</v>
      </c>
      <c r="P1454" s="91" t="s">
        <v>43</v>
      </c>
      <c r="Q1454" s="91">
        <v>0</v>
      </c>
      <c r="R1454" s="91">
        <v>0</v>
      </c>
      <c r="S1454" s="91">
        <v>0</v>
      </c>
      <c r="T1454" s="91"/>
      <c r="U1454" s="91"/>
      <c r="V1454" s="91"/>
      <c r="W1454" s="91"/>
      <c r="X1454" s="91"/>
      <c r="Y1454" s="91"/>
      <c r="Z1454" s="91"/>
      <c r="AA1454" s="91"/>
      <c r="AB1454" s="91"/>
      <c r="AC1454" s="91"/>
      <c r="AD1454" s="91"/>
      <c r="AE1454" s="91"/>
      <c r="AF1454" s="91"/>
      <c r="AG1454" s="91"/>
      <c r="AH1454" s="91"/>
      <c r="AI1454" s="91"/>
      <c r="AJ1454" s="91"/>
      <c r="AK1454" s="91"/>
      <c r="AL1454" s="91"/>
      <c r="AM1454" s="91"/>
    </row>
    <row r="1455" spans="1:39" ht="20.25" hidden="1" customHeight="1">
      <c r="A1455" s="91"/>
      <c r="B1455" s="93" t="s">
        <v>4648</v>
      </c>
      <c r="C1455" s="91" t="s">
        <v>36</v>
      </c>
      <c r="D1455" s="94" t="s">
        <v>346</v>
      </c>
      <c r="E1455" s="94" t="s">
        <v>4666</v>
      </c>
      <c r="F1455" s="95" t="s">
        <v>4667</v>
      </c>
      <c r="G1455" s="96">
        <v>33695</v>
      </c>
      <c r="H1455" s="97">
        <v>17221</v>
      </c>
      <c r="I1455" s="94" t="s">
        <v>58</v>
      </c>
      <c r="J1455" s="100" t="s">
        <v>4668</v>
      </c>
      <c r="K1455" s="91" t="s">
        <v>4669</v>
      </c>
      <c r="L1455" s="91" t="s">
        <v>42</v>
      </c>
      <c r="M1455" s="98">
        <f ca="1">(TODAY()-H1455)/365</f>
        <v>78.852054794520555</v>
      </c>
      <c r="N1455" s="99">
        <f>(G1455-H1455)/365</f>
        <v>45.134246575342466</v>
      </c>
      <c r="O1455" s="98">
        <f ca="1">(TODAY()-G1455)/365</f>
        <v>33.717808219178082</v>
      </c>
      <c r="P1455" s="91" t="s">
        <v>43</v>
      </c>
      <c r="Q1455" s="91">
        <v>0</v>
      </c>
      <c r="R1455" s="91">
        <v>0</v>
      </c>
      <c r="S1455" s="91">
        <v>0</v>
      </c>
      <c r="T1455" s="91"/>
      <c r="U1455" s="91"/>
      <c r="V1455" s="91"/>
      <c r="W1455" s="91"/>
      <c r="X1455" s="91"/>
      <c r="Y1455" s="91"/>
      <c r="Z1455" s="91"/>
      <c r="AA1455" s="91"/>
      <c r="AB1455" s="91"/>
      <c r="AC1455" s="91"/>
      <c r="AD1455" s="91"/>
      <c r="AE1455" s="91"/>
      <c r="AF1455" s="91"/>
      <c r="AG1455" s="91"/>
      <c r="AH1455" s="91"/>
      <c r="AI1455" s="91"/>
      <c r="AJ1455" s="91"/>
      <c r="AK1455" s="91"/>
      <c r="AL1455" s="91"/>
      <c r="AM1455" s="91"/>
    </row>
    <row r="1456" spans="1:39" ht="20.25" customHeight="1">
      <c r="A1456" s="91"/>
      <c r="B1456" s="93" t="s">
        <v>8714</v>
      </c>
      <c r="C1456" s="91" t="s">
        <v>73</v>
      </c>
      <c r="D1456" s="106" t="s">
        <v>8740</v>
      </c>
      <c r="E1456" s="106" t="s">
        <v>8741</v>
      </c>
      <c r="F1456" s="92" t="s">
        <v>8742</v>
      </c>
      <c r="G1456" s="96">
        <v>44927</v>
      </c>
      <c r="H1456" s="97">
        <v>37523</v>
      </c>
      <c r="I1456" s="94" t="s">
        <v>8743</v>
      </c>
      <c r="J1456" s="94" t="s">
        <v>58</v>
      </c>
      <c r="K1456" s="95" t="s">
        <v>58</v>
      </c>
      <c r="L1456" s="91" t="s">
        <v>60</v>
      </c>
      <c r="M1456" s="98">
        <f ca="1">(TODAY()-H1456)/365</f>
        <v>23.230136986301371</v>
      </c>
      <c r="N1456" s="99">
        <f>(G1456-H1456)/365</f>
        <v>20.284931506849315</v>
      </c>
      <c r="O1456" s="98">
        <f ca="1">(TODAY()-G1456)/365</f>
        <v>2.9452054794520546</v>
      </c>
      <c r="P1456" s="91" t="s">
        <v>43</v>
      </c>
      <c r="Q1456" s="91">
        <v>0</v>
      </c>
      <c r="R1456" s="91">
        <v>0</v>
      </c>
      <c r="S1456" s="91">
        <v>0</v>
      </c>
      <c r="T1456" s="91"/>
      <c r="U1456" s="91"/>
      <c r="V1456" s="91"/>
      <c r="W1456" s="91"/>
      <c r="X1456" s="91"/>
      <c r="Y1456" s="91"/>
      <c r="Z1456" s="91"/>
      <c r="AA1456" s="91"/>
      <c r="AB1456" s="91"/>
      <c r="AC1456" s="91"/>
      <c r="AD1456" s="91"/>
      <c r="AE1456" s="91"/>
      <c r="AF1456" s="91"/>
      <c r="AG1456" s="91"/>
      <c r="AH1456" s="91"/>
      <c r="AI1456" s="91"/>
      <c r="AJ1456" s="91"/>
      <c r="AK1456" s="91"/>
      <c r="AL1456" s="91"/>
      <c r="AM1456" s="91"/>
    </row>
    <row r="1457" spans="1:39" ht="20.25" hidden="1" customHeight="1">
      <c r="A1457" s="91"/>
      <c r="B1457" s="93" t="s">
        <v>4648</v>
      </c>
      <c r="C1457" s="91" t="s">
        <v>36</v>
      </c>
      <c r="D1457" s="94" t="s">
        <v>4672</v>
      </c>
      <c r="E1457" s="94" t="s">
        <v>4673</v>
      </c>
      <c r="F1457" s="95" t="s">
        <v>4674</v>
      </c>
      <c r="G1457" s="96">
        <v>38657</v>
      </c>
      <c r="H1457" s="97">
        <v>20250</v>
      </c>
      <c r="I1457" s="94" t="s">
        <v>58</v>
      </c>
      <c r="J1457" s="100" t="s">
        <v>4675</v>
      </c>
      <c r="K1457" s="91">
        <v>979352583</v>
      </c>
      <c r="L1457" s="91" t="s">
        <v>60</v>
      </c>
      <c r="M1457" s="98">
        <f ca="1">(TODAY()-H1457)/365</f>
        <v>70.553424657534251</v>
      </c>
      <c r="N1457" s="99">
        <f>(G1457-H1457)/365</f>
        <v>50.43013698630137</v>
      </c>
      <c r="O1457" s="98">
        <f ca="1">(TODAY()-G1457)/365</f>
        <v>20.123287671232877</v>
      </c>
      <c r="P1457" s="91" t="s">
        <v>43</v>
      </c>
      <c r="Q1457" s="91">
        <v>0</v>
      </c>
      <c r="R1457" s="91">
        <v>0</v>
      </c>
      <c r="S1457" s="91">
        <v>0</v>
      </c>
      <c r="T1457" s="91"/>
      <c r="U1457" s="91"/>
      <c r="V1457" s="91"/>
      <c r="W1457" s="91"/>
      <c r="X1457" s="91"/>
      <c r="Y1457" s="91"/>
      <c r="Z1457" s="91"/>
      <c r="AA1457" s="91"/>
      <c r="AB1457" s="91"/>
      <c r="AC1457" s="91"/>
      <c r="AD1457" s="91"/>
      <c r="AE1457" s="91"/>
      <c r="AF1457" s="91"/>
      <c r="AG1457" s="91"/>
      <c r="AH1457" s="91"/>
      <c r="AI1457" s="91"/>
      <c r="AJ1457" s="91"/>
      <c r="AK1457" s="91"/>
      <c r="AL1457" s="91"/>
      <c r="AM1457" s="91"/>
    </row>
    <row r="1458" spans="1:39" ht="20.25" hidden="1" customHeight="1">
      <c r="A1458" s="91"/>
      <c r="B1458" s="93" t="s">
        <v>4648</v>
      </c>
      <c r="C1458" s="91" t="s">
        <v>36</v>
      </c>
      <c r="D1458" s="94" t="s">
        <v>4676</v>
      </c>
      <c r="E1458" s="94" t="s">
        <v>4677</v>
      </c>
      <c r="F1458" s="95" t="s">
        <v>4678</v>
      </c>
      <c r="G1458" s="96">
        <v>43586</v>
      </c>
      <c r="H1458" s="97">
        <v>23783</v>
      </c>
      <c r="I1458" s="94" t="s">
        <v>58</v>
      </c>
      <c r="J1458" s="100" t="s">
        <v>4679</v>
      </c>
      <c r="K1458" s="91">
        <v>957411869</v>
      </c>
      <c r="L1458" s="91" t="s">
        <v>60</v>
      </c>
      <c r="M1458" s="98">
        <f ca="1">(TODAY()-H1458)/365</f>
        <v>60.873972602739727</v>
      </c>
      <c r="N1458" s="99">
        <f>(G1458-H1458)/365</f>
        <v>54.254794520547946</v>
      </c>
      <c r="O1458" s="98">
        <f ca="1">(TODAY()-G1458)/365</f>
        <v>6.6191780821917812</v>
      </c>
      <c r="P1458" s="91" t="s">
        <v>43</v>
      </c>
      <c r="Q1458" s="91">
        <v>0</v>
      </c>
      <c r="R1458" s="91">
        <v>0</v>
      </c>
      <c r="S1458" s="91">
        <v>0</v>
      </c>
      <c r="T1458" s="91"/>
      <c r="U1458" s="91"/>
      <c r="V1458" s="91"/>
      <c r="W1458" s="91"/>
      <c r="X1458" s="91"/>
      <c r="Y1458" s="91"/>
      <c r="Z1458" s="91"/>
      <c r="AA1458" s="91"/>
      <c r="AB1458" s="91"/>
      <c r="AC1458" s="91"/>
      <c r="AD1458" s="91"/>
      <c r="AE1458" s="91"/>
      <c r="AF1458" s="91"/>
      <c r="AG1458" s="91"/>
      <c r="AH1458" s="91"/>
      <c r="AI1458" s="91"/>
      <c r="AJ1458" s="91"/>
      <c r="AK1458" s="91"/>
      <c r="AL1458" s="91"/>
      <c r="AM1458" s="91"/>
    </row>
    <row r="1459" spans="1:39" ht="20.25" customHeight="1">
      <c r="A1459" s="91"/>
      <c r="B1459" s="93" t="s">
        <v>7270</v>
      </c>
      <c r="C1459" s="91" t="s">
        <v>73</v>
      </c>
      <c r="D1459" s="94" t="s">
        <v>7293</v>
      </c>
      <c r="E1459" s="94" t="s">
        <v>7294</v>
      </c>
      <c r="F1459" s="95" t="s">
        <v>7295</v>
      </c>
      <c r="G1459" s="96">
        <v>24576</v>
      </c>
      <c r="H1459" s="97">
        <v>11058</v>
      </c>
      <c r="I1459" s="100" t="s">
        <v>58</v>
      </c>
      <c r="J1459" s="100" t="s">
        <v>58</v>
      </c>
      <c r="K1459" s="91" t="s">
        <v>58</v>
      </c>
      <c r="L1459" s="91" t="s">
        <v>60</v>
      </c>
      <c r="M1459" s="98">
        <f ca="1">(TODAY()-H1459)/365</f>
        <v>95.736986301369868</v>
      </c>
      <c r="N1459" s="99">
        <f>(G1459-H1459)/365</f>
        <v>37.035616438356165</v>
      </c>
      <c r="O1459" s="98">
        <f ca="1">(TODAY()-G1459)/365</f>
        <v>58.701369863013696</v>
      </c>
      <c r="P1459" s="91" t="s">
        <v>43</v>
      </c>
      <c r="Q1459" s="91">
        <v>0</v>
      </c>
      <c r="R1459" s="91">
        <v>0</v>
      </c>
      <c r="S1459" s="91">
        <v>0</v>
      </c>
      <c r="T1459" s="91"/>
      <c r="U1459" s="91"/>
      <c r="V1459" s="91"/>
      <c r="W1459" s="91"/>
      <c r="X1459" s="91"/>
      <c r="Y1459" s="91"/>
      <c r="Z1459" s="91"/>
      <c r="AA1459" s="91"/>
      <c r="AB1459" s="91"/>
      <c r="AC1459" s="91"/>
      <c r="AD1459" s="91"/>
      <c r="AE1459" s="91"/>
      <c r="AF1459" s="91"/>
      <c r="AG1459" s="91"/>
      <c r="AH1459" s="91"/>
      <c r="AI1459" s="91"/>
      <c r="AJ1459" s="91"/>
      <c r="AK1459" s="91"/>
      <c r="AL1459" s="91"/>
      <c r="AM1459" s="91"/>
    </row>
    <row r="1460" spans="1:39" ht="20.25" hidden="1" customHeight="1">
      <c r="A1460" s="91"/>
      <c r="B1460" s="93" t="s">
        <v>4648</v>
      </c>
      <c r="C1460" s="91" t="s">
        <v>36</v>
      </c>
      <c r="D1460" s="94" t="s">
        <v>686</v>
      </c>
      <c r="E1460" s="94" t="s">
        <v>4682</v>
      </c>
      <c r="F1460" s="95" t="s">
        <v>4683</v>
      </c>
      <c r="G1460" s="96">
        <v>45566</v>
      </c>
      <c r="H1460" s="97">
        <v>23086</v>
      </c>
      <c r="I1460" s="94" t="s">
        <v>4684</v>
      </c>
      <c r="J1460" s="100" t="s">
        <v>4685</v>
      </c>
      <c r="K1460" s="91">
        <v>991415627</v>
      </c>
      <c r="L1460" s="91" t="s">
        <v>60</v>
      </c>
      <c r="M1460" s="98">
        <f ca="1">(TODAY()-H1460)/365</f>
        <v>62.783561643835618</v>
      </c>
      <c r="N1460" s="99">
        <f>(G1460-H1460)/365</f>
        <v>61.589041095890408</v>
      </c>
      <c r="O1460" s="98">
        <f ca="1">(TODAY()-G1460)/365</f>
        <v>1.1945205479452055</v>
      </c>
      <c r="P1460" s="91" t="s">
        <v>43</v>
      </c>
      <c r="Q1460" s="91">
        <v>0</v>
      </c>
      <c r="R1460" s="91">
        <v>0</v>
      </c>
      <c r="S1460" s="91">
        <v>0</v>
      </c>
      <c r="T1460" s="91"/>
      <c r="U1460" s="91"/>
      <c r="V1460" s="91"/>
      <c r="W1460" s="91"/>
      <c r="X1460" s="91"/>
      <c r="Y1460" s="91"/>
      <c r="Z1460" s="91"/>
      <c r="AA1460" s="91"/>
      <c r="AB1460" s="91"/>
      <c r="AC1460" s="91"/>
      <c r="AD1460" s="91"/>
      <c r="AE1460" s="91"/>
      <c r="AF1460" s="91"/>
      <c r="AG1460" s="91"/>
      <c r="AH1460" s="91"/>
      <c r="AI1460" s="91"/>
      <c r="AJ1460" s="91"/>
      <c r="AK1460" s="91"/>
      <c r="AL1460" s="91"/>
      <c r="AM1460" s="91"/>
    </row>
    <row r="1461" spans="1:39" ht="20.25" hidden="1" customHeight="1">
      <c r="A1461" s="91"/>
      <c r="B1461" s="93" t="s">
        <v>4648</v>
      </c>
      <c r="C1461" s="91" t="s">
        <v>36</v>
      </c>
      <c r="D1461" s="94" t="s">
        <v>4686</v>
      </c>
      <c r="E1461" s="94" t="s">
        <v>4687</v>
      </c>
      <c r="F1461" s="95" t="s">
        <v>4688</v>
      </c>
      <c r="G1461" s="96">
        <v>43586</v>
      </c>
      <c r="H1461" s="97">
        <v>20573</v>
      </c>
      <c r="I1461" s="94" t="s">
        <v>58</v>
      </c>
      <c r="J1461" s="100" t="s">
        <v>4689</v>
      </c>
      <c r="K1461" s="91">
        <v>945209912</v>
      </c>
      <c r="L1461" s="91" t="s">
        <v>60</v>
      </c>
      <c r="M1461" s="98">
        <f ca="1">(TODAY()-H1461)/365</f>
        <v>69.668493150684938</v>
      </c>
      <c r="N1461" s="99">
        <f>(G1461-H1461)/365</f>
        <v>63.049315068493151</v>
      </c>
      <c r="O1461" s="98">
        <f ca="1">(TODAY()-G1461)/365</f>
        <v>6.6191780821917812</v>
      </c>
      <c r="P1461" s="91" t="s">
        <v>43</v>
      </c>
      <c r="Q1461" s="91">
        <v>0</v>
      </c>
      <c r="R1461" s="91">
        <v>0</v>
      </c>
      <c r="S1461" s="91">
        <v>0</v>
      </c>
      <c r="T1461" s="91"/>
      <c r="U1461" s="91"/>
      <c r="V1461" s="91"/>
      <c r="W1461" s="91"/>
      <c r="X1461" s="91"/>
      <c r="Y1461" s="91"/>
      <c r="Z1461" s="91"/>
      <c r="AA1461" s="91"/>
      <c r="AB1461" s="91"/>
      <c r="AC1461" s="91"/>
      <c r="AD1461" s="91"/>
      <c r="AE1461" s="91"/>
      <c r="AF1461" s="91"/>
      <c r="AG1461" s="91"/>
      <c r="AH1461" s="91"/>
      <c r="AI1461" s="91"/>
      <c r="AJ1461" s="91"/>
      <c r="AK1461" s="91"/>
      <c r="AL1461" s="91"/>
      <c r="AM1461" s="91"/>
    </row>
    <row r="1462" spans="1:39" ht="20.25" hidden="1" customHeight="1">
      <c r="A1462" s="91"/>
      <c r="B1462" s="93" t="s">
        <v>4648</v>
      </c>
      <c r="C1462" s="91" t="s">
        <v>36</v>
      </c>
      <c r="D1462" s="94" t="s">
        <v>4690</v>
      </c>
      <c r="E1462" s="94" t="s">
        <v>4666</v>
      </c>
      <c r="F1462" s="95" t="s">
        <v>4691</v>
      </c>
      <c r="G1462" s="96">
        <v>45017</v>
      </c>
      <c r="H1462" s="97">
        <v>21920</v>
      </c>
      <c r="I1462" s="94" t="s">
        <v>58</v>
      </c>
      <c r="J1462" s="100" t="s">
        <v>4692</v>
      </c>
      <c r="K1462" s="91">
        <v>961711140</v>
      </c>
      <c r="L1462" s="91" t="s">
        <v>197</v>
      </c>
      <c r="M1462" s="98">
        <f ca="1">(TODAY()-H1462)/365</f>
        <v>65.978082191780828</v>
      </c>
      <c r="N1462" s="99">
        <f>(G1462-H1462)/365</f>
        <v>63.279452054794518</v>
      </c>
      <c r="O1462" s="98">
        <f ca="1">(TODAY()-G1462)/365</f>
        <v>2.6986301369863015</v>
      </c>
      <c r="P1462" s="91" t="s">
        <v>43</v>
      </c>
      <c r="Q1462" s="91">
        <v>0</v>
      </c>
      <c r="R1462" s="91">
        <v>0</v>
      </c>
      <c r="S1462" s="91">
        <v>0</v>
      </c>
      <c r="T1462" s="91"/>
      <c r="U1462" s="91"/>
      <c r="V1462" s="91"/>
      <c r="W1462" s="91"/>
      <c r="X1462" s="91"/>
      <c r="Y1462" s="91"/>
      <c r="Z1462" s="91"/>
      <c r="AA1462" s="91"/>
      <c r="AB1462" s="91"/>
      <c r="AC1462" s="91"/>
      <c r="AD1462" s="91"/>
      <c r="AE1462" s="91"/>
      <c r="AF1462" s="91"/>
      <c r="AG1462" s="91"/>
      <c r="AH1462" s="91"/>
      <c r="AI1462" s="91"/>
      <c r="AJ1462" s="91"/>
      <c r="AK1462" s="91"/>
      <c r="AL1462" s="91"/>
      <c r="AM1462" s="91"/>
    </row>
    <row r="1463" spans="1:39" ht="20.25" customHeight="1">
      <c r="A1463" s="91"/>
      <c r="B1463" s="93" t="s">
        <v>3374</v>
      </c>
      <c r="C1463" s="91" t="s">
        <v>73</v>
      </c>
      <c r="D1463" s="107" t="s">
        <v>3548</v>
      </c>
      <c r="E1463" s="107" t="s">
        <v>3549</v>
      </c>
      <c r="F1463" s="91" t="s">
        <v>3550</v>
      </c>
      <c r="G1463" s="96">
        <v>44852</v>
      </c>
      <c r="H1463" s="97">
        <v>36715</v>
      </c>
      <c r="I1463" s="100" t="s">
        <v>3551</v>
      </c>
      <c r="J1463" s="94" t="s">
        <v>58</v>
      </c>
      <c r="K1463" s="95" t="s">
        <v>58</v>
      </c>
      <c r="L1463" s="91" t="s">
        <v>60</v>
      </c>
      <c r="M1463" s="98">
        <f ca="1">(TODAY()-H1463)/365</f>
        <v>25.443835616438356</v>
      </c>
      <c r="N1463" s="99">
        <f>(G1463-H1463)/365</f>
        <v>22.293150684931508</v>
      </c>
      <c r="O1463" s="98">
        <f ca="1">(TODAY()-G1463)/365</f>
        <v>3.1506849315068495</v>
      </c>
      <c r="P1463" s="91" t="s">
        <v>43</v>
      </c>
      <c r="Q1463" s="91"/>
      <c r="R1463" s="91"/>
      <c r="S1463" s="91"/>
      <c r="T1463" s="91"/>
      <c r="U1463" s="91"/>
      <c r="V1463" s="91"/>
      <c r="W1463" s="91"/>
      <c r="X1463" s="91"/>
      <c r="Y1463" s="91"/>
      <c r="Z1463" s="91"/>
      <c r="AA1463" s="91"/>
      <c r="AB1463" s="91"/>
      <c r="AC1463" s="91"/>
      <c r="AD1463" s="91"/>
      <c r="AE1463" s="91"/>
      <c r="AF1463" s="91"/>
      <c r="AG1463" s="91"/>
      <c r="AH1463" s="91"/>
      <c r="AI1463" s="91"/>
      <c r="AJ1463" s="91"/>
      <c r="AK1463" s="91"/>
      <c r="AL1463" s="91"/>
      <c r="AM1463" s="91"/>
    </row>
    <row r="1464" spans="1:39" ht="20.25" hidden="1" customHeight="1">
      <c r="A1464" s="91"/>
      <c r="B1464" s="93" t="s">
        <v>4648</v>
      </c>
      <c r="C1464" s="91" t="s">
        <v>36</v>
      </c>
      <c r="D1464" s="94" t="s">
        <v>716</v>
      </c>
      <c r="E1464" s="94" t="s">
        <v>4696</v>
      </c>
      <c r="F1464" s="95" t="s">
        <v>4697</v>
      </c>
      <c r="G1464" s="96">
        <v>45017</v>
      </c>
      <c r="H1464" s="97">
        <v>20947</v>
      </c>
      <c r="I1464" s="94" t="s">
        <v>58</v>
      </c>
      <c r="J1464" s="100" t="s">
        <v>4698</v>
      </c>
      <c r="K1464" s="91">
        <v>984241653</v>
      </c>
      <c r="L1464" s="91" t="s">
        <v>60</v>
      </c>
      <c r="M1464" s="98">
        <f ca="1">(TODAY()-H1464)/365</f>
        <v>68.643835616438352</v>
      </c>
      <c r="N1464" s="99">
        <f>(G1464-H1464)/365</f>
        <v>65.945205479452056</v>
      </c>
      <c r="O1464" s="98">
        <f ca="1">(TODAY()-G1464)/365</f>
        <v>2.6986301369863015</v>
      </c>
      <c r="P1464" s="91" t="s">
        <v>43</v>
      </c>
      <c r="Q1464" s="91">
        <v>0</v>
      </c>
      <c r="R1464" s="91">
        <v>0</v>
      </c>
      <c r="S1464" s="91">
        <v>0</v>
      </c>
      <c r="T1464" s="91"/>
      <c r="U1464" s="91"/>
      <c r="V1464" s="91"/>
      <c r="W1464" s="91"/>
      <c r="X1464" s="91"/>
      <c r="Y1464" s="91"/>
      <c r="Z1464" s="91"/>
      <c r="AA1464" s="91"/>
      <c r="AB1464" s="91"/>
      <c r="AC1464" s="91"/>
      <c r="AD1464" s="91"/>
      <c r="AE1464" s="91"/>
      <c r="AF1464" s="91"/>
      <c r="AG1464" s="91"/>
      <c r="AH1464" s="91"/>
      <c r="AI1464" s="91"/>
      <c r="AJ1464" s="91"/>
      <c r="AK1464" s="91"/>
      <c r="AL1464" s="91"/>
      <c r="AM1464" s="91"/>
    </row>
    <row r="1465" spans="1:39" ht="20.25" hidden="1" customHeight="1">
      <c r="A1465" s="91"/>
      <c r="B1465" s="93" t="s">
        <v>4648</v>
      </c>
      <c r="C1465" s="91" t="s">
        <v>36</v>
      </c>
      <c r="D1465" s="94" t="s">
        <v>4315</v>
      </c>
      <c r="E1465" s="94" t="s">
        <v>4699</v>
      </c>
      <c r="F1465" s="95" t="s">
        <v>4700</v>
      </c>
      <c r="G1465" s="96">
        <v>45017</v>
      </c>
      <c r="H1465" s="97">
        <v>18534</v>
      </c>
      <c r="I1465" s="94" t="s">
        <v>58</v>
      </c>
      <c r="J1465" s="100" t="s">
        <v>4701</v>
      </c>
      <c r="K1465" s="91">
        <v>931306102</v>
      </c>
      <c r="L1465" s="91" t="s">
        <v>60</v>
      </c>
      <c r="M1465" s="98">
        <f ca="1">(TODAY()-H1465)/365</f>
        <v>75.254794520547946</v>
      </c>
      <c r="N1465" s="99">
        <f>(G1465-H1465)/365</f>
        <v>72.556164383561651</v>
      </c>
      <c r="O1465" s="98">
        <f ca="1">(TODAY()-G1465)/365</f>
        <v>2.6986301369863015</v>
      </c>
      <c r="P1465" s="91" t="s">
        <v>43</v>
      </c>
      <c r="Q1465" s="91">
        <v>0</v>
      </c>
      <c r="R1465" s="91">
        <v>0</v>
      </c>
      <c r="S1465" s="91">
        <v>0</v>
      </c>
      <c r="T1465" s="91"/>
      <c r="U1465" s="91"/>
      <c r="V1465" s="91"/>
      <c r="W1465" s="91"/>
      <c r="X1465" s="91"/>
      <c r="Y1465" s="91"/>
      <c r="Z1465" s="91"/>
      <c r="AA1465" s="91"/>
      <c r="AB1465" s="91"/>
      <c r="AC1465" s="91"/>
      <c r="AD1465" s="91"/>
      <c r="AE1465" s="91"/>
      <c r="AF1465" s="91"/>
      <c r="AG1465" s="91"/>
      <c r="AH1465" s="91"/>
      <c r="AI1465" s="91"/>
      <c r="AJ1465" s="91"/>
      <c r="AK1465" s="91"/>
      <c r="AL1465" s="91"/>
      <c r="AM1465" s="91"/>
    </row>
    <row r="1466" spans="1:39" ht="20.25" customHeight="1">
      <c r="A1466" s="91"/>
      <c r="B1466" s="93" t="s">
        <v>9659</v>
      </c>
      <c r="C1466" s="91" t="s">
        <v>73</v>
      </c>
      <c r="D1466" s="107" t="s">
        <v>6599</v>
      </c>
      <c r="E1466" s="107" t="s">
        <v>9765</v>
      </c>
      <c r="F1466" s="92" t="s">
        <v>9766</v>
      </c>
      <c r="G1466" s="97">
        <v>40603</v>
      </c>
      <c r="H1466" s="103">
        <v>17021</v>
      </c>
      <c r="I1466" s="94" t="s">
        <v>9767</v>
      </c>
      <c r="J1466" s="100" t="s">
        <v>58</v>
      </c>
      <c r="K1466" s="95" t="s">
        <v>58</v>
      </c>
      <c r="L1466" s="91" t="s">
        <v>60</v>
      </c>
      <c r="M1466" s="98">
        <f ca="1">(TODAY()-H1466)/365</f>
        <v>79.400000000000006</v>
      </c>
      <c r="N1466" s="99">
        <f>(G1466-H1466)/365</f>
        <v>64.608219178082194</v>
      </c>
      <c r="O1466" s="98">
        <f ca="1">(TODAY()-G1466)/365</f>
        <v>14.791780821917808</v>
      </c>
      <c r="P1466" s="91" t="s">
        <v>43</v>
      </c>
      <c r="Q1466" s="91">
        <v>0</v>
      </c>
      <c r="R1466" s="91">
        <v>0</v>
      </c>
      <c r="S1466" s="91">
        <v>0</v>
      </c>
      <c r="T1466" s="91"/>
      <c r="U1466" s="91"/>
      <c r="V1466" s="91"/>
      <c r="W1466" s="91"/>
      <c r="X1466" s="91"/>
      <c r="Y1466" s="91"/>
      <c r="Z1466" s="91"/>
      <c r="AA1466" s="91"/>
      <c r="AB1466" s="91"/>
      <c r="AC1466" s="91"/>
      <c r="AD1466" s="91"/>
      <c r="AE1466" s="91"/>
      <c r="AF1466" s="91"/>
      <c r="AG1466" s="91"/>
      <c r="AH1466" s="91"/>
      <c r="AI1466" s="91"/>
      <c r="AJ1466" s="91"/>
      <c r="AK1466" s="91"/>
      <c r="AL1466" s="91"/>
      <c r="AM1466" s="91"/>
    </row>
    <row r="1467" spans="1:39" ht="20.25" hidden="1" customHeight="1">
      <c r="A1467" s="91"/>
      <c r="B1467" s="93" t="s">
        <v>4702</v>
      </c>
      <c r="C1467" s="91" t="s">
        <v>36</v>
      </c>
      <c r="D1467" s="107" t="s">
        <v>3685</v>
      </c>
      <c r="E1467" s="107" t="s">
        <v>3586</v>
      </c>
      <c r="F1467" s="91" t="s">
        <v>4705</v>
      </c>
      <c r="G1467" s="96">
        <v>38473</v>
      </c>
      <c r="H1467" s="97">
        <v>26743</v>
      </c>
      <c r="I1467" s="94" t="s">
        <v>58</v>
      </c>
      <c r="J1467" s="100" t="s">
        <v>4706</v>
      </c>
      <c r="K1467" s="91">
        <v>74476360</v>
      </c>
      <c r="L1467" s="91" t="s">
        <v>60</v>
      </c>
      <c r="M1467" s="98">
        <f ca="1">(TODAY()-H1467)/365</f>
        <v>52.764383561643832</v>
      </c>
      <c r="N1467" s="99">
        <f>(G1467-H1467)/365</f>
        <v>32.136986301369866</v>
      </c>
      <c r="O1467" s="98">
        <f ca="1">(TODAY()-G1467)/365</f>
        <v>20.627397260273973</v>
      </c>
      <c r="P1467" s="91" t="s">
        <v>43</v>
      </c>
      <c r="Q1467" s="91">
        <v>0</v>
      </c>
      <c r="R1467" s="91">
        <v>0</v>
      </c>
      <c r="S1467" s="91">
        <v>0</v>
      </c>
      <c r="T1467" s="91"/>
      <c r="U1467" s="91"/>
      <c r="V1467" s="91"/>
      <c r="W1467" s="91"/>
      <c r="X1467" s="91"/>
      <c r="Y1467" s="91"/>
      <c r="Z1467" s="91"/>
      <c r="AA1467" s="91"/>
      <c r="AB1467" s="91"/>
      <c r="AC1467" s="91"/>
      <c r="AD1467" s="91"/>
      <c r="AE1467" s="91"/>
      <c r="AF1467" s="91"/>
      <c r="AG1467" s="91"/>
      <c r="AH1467" s="91"/>
      <c r="AI1467" s="91"/>
      <c r="AJ1467" s="91"/>
      <c r="AK1467" s="91"/>
      <c r="AL1467" s="91"/>
      <c r="AM1467" s="91"/>
    </row>
    <row r="1468" spans="1:39" ht="20.25" customHeight="1">
      <c r="A1468" s="91"/>
      <c r="B1468" s="93" t="s">
        <v>4702</v>
      </c>
      <c r="C1468" s="91" t="s">
        <v>73</v>
      </c>
      <c r="D1468" s="107" t="s">
        <v>431</v>
      </c>
      <c r="E1468" s="107" t="s">
        <v>4718</v>
      </c>
      <c r="F1468" s="91" t="s">
        <v>58</v>
      </c>
      <c r="G1468" s="96">
        <v>43191</v>
      </c>
      <c r="H1468" s="96" t="s">
        <v>58</v>
      </c>
      <c r="I1468" s="94" t="s">
        <v>58</v>
      </c>
      <c r="J1468" s="94" t="s">
        <v>58</v>
      </c>
      <c r="K1468" s="95" t="s">
        <v>58</v>
      </c>
      <c r="L1468" s="91" t="s">
        <v>60</v>
      </c>
      <c r="M1468" s="98">
        <v>0</v>
      </c>
      <c r="N1468" s="95"/>
      <c r="O1468" s="98">
        <f ca="1">(TODAY()-G1468)/365</f>
        <v>7.7013698630136984</v>
      </c>
      <c r="P1468" s="91" t="s">
        <v>272</v>
      </c>
      <c r="Q1468" s="91">
        <v>0</v>
      </c>
      <c r="R1468" s="91">
        <v>0</v>
      </c>
      <c r="S1468" s="91">
        <v>0</v>
      </c>
      <c r="T1468" s="91"/>
      <c r="U1468" s="91"/>
      <c r="V1468" s="91"/>
      <c r="W1468" s="91"/>
      <c r="X1468" s="91"/>
      <c r="Y1468" s="91"/>
      <c r="Z1468" s="91"/>
      <c r="AA1468" s="91"/>
      <c r="AB1468" s="91"/>
      <c r="AC1468" s="91"/>
      <c r="AD1468" s="91"/>
      <c r="AE1468" s="91"/>
      <c r="AF1468" s="91"/>
      <c r="AG1468" s="91"/>
      <c r="AH1468" s="91"/>
      <c r="AI1468" s="91"/>
      <c r="AJ1468" s="91"/>
      <c r="AK1468" s="91"/>
      <c r="AL1468" s="91"/>
      <c r="AM1468" s="91"/>
    </row>
    <row r="1469" spans="1:39" ht="20.25" hidden="1" customHeight="1">
      <c r="A1469" s="91"/>
      <c r="B1469" s="93" t="s">
        <v>4702</v>
      </c>
      <c r="C1469" s="91" t="s">
        <v>36</v>
      </c>
      <c r="D1469" s="107" t="s">
        <v>4711</v>
      </c>
      <c r="E1469" s="107" t="s">
        <v>4712</v>
      </c>
      <c r="F1469" s="91" t="s">
        <v>4713</v>
      </c>
      <c r="G1469" s="96">
        <v>34759</v>
      </c>
      <c r="H1469" s="97">
        <v>21302</v>
      </c>
      <c r="I1469" s="94" t="s">
        <v>4714</v>
      </c>
      <c r="J1469" s="94" t="s">
        <v>4715</v>
      </c>
      <c r="K1469" s="92">
        <v>933686495</v>
      </c>
      <c r="L1469" s="91" t="s">
        <v>60</v>
      </c>
      <c r="M1469" s="98">
        <f ca="1">(TODAY()-H1469)/365</f>
        <v>67.671232876712324</v>
      </c>
      <c r="N1469" s="99">
        <f>(G1469-H1469)/365</f>
        <v>36.868493150684934</v>
      </c>
      <c r="O1469" s="98">
        <f ca="1">(TODAY()-G1469)/365</f>
        <v>30.802739726027397</v>
      </c>
      <c r="P1469" s="91" t="s">
        <v>43</v>
      </c>
      <c r="Q1469" s="91">
        <v>0</v>
      </c>
      <c r="R1469" s="91">
        <v>0</v>
      </c>
      <c r="S1469" s="91">
        <v>0</v>
      </c>
      <c r="T1469" s="91"/>
      <c r="U1469" s="91"/>
      <c r="V1469" s="91"/>
      <c r="W1469" s="91"/>
      <c r="X1469" s="91"/>
      <c r="Y1469" s="91"/>
      <c r="Z1469" s="91"/>
      <c r="AA1469" s="91"/>
      <c r="AB1469" s="91"/>
      <c r="AC1469" s="91"/>
      <c r="AD1469" s="91"/>
      <c r="AE1469" s="91"/>
      <c r="AF1469" s="91"/>
      <c r="AG1469" s="91"/>
      <c r="AH1469" s="91"/>
      <c r="AI1469" s="91"/>
      <c r="AJ1469" s="91"/>
      <c r="AK1469" s="91"/>
      <c r="AL1469" s="91"/>
      <c r="AM1469" s="91"/>
    </row>
    <row r="1470" spans="1:39" ht="20.25" customHeight="1">
      <c r="A1470" s="91"/>
      <c r="B1470" s="93" t="s">
        <v>7360</v>
      </c>
      <c r="C1470" s="91" t="s">
        <v>73</v>
      </c>
      <c r="D1470" s="107" t="s">
        <v>7361</v>
      </c>
      <c r="E1470" s="107" t="s">
        <v>7362</v>
      </c>
      <c r="F1470" s="91" t="s">
        <v>7363</v>
      </c>
      <c r="G1470" s="96">
        <v>44743</v>
      </c>
      <c r="H1470" s="97">
        <v>37949</v>
      </c>
      <c r="I1470" s="108" t="s">
        <v>12396</v>
      </c>
      <c r="J1470" s="100" t="s">
        <v>58</v>
      </c>
      <c r="K1470" s="91" t="s">
        <v>58</v>
      </c>
      <c r="L1470" s="91" t="s">
        <v>60</v>
      </c>
      <c r="M1470" s="98">
        <f ca="1">(TODAY()-H1470)/365</f>
        <v>22.063013698630137</v>
      </c>
      <c r="N1470" s="99">
        <f>(G1470-H1470)/365</f>
        <v>18.613698630136987</v>
      </c>
      <c r="O1470" s="98">
        <f ca="1">(TODAY()-G1470)/365</f>
        <v>3.4493150684931506</v>
      </c>
      <c r="P1470" s="91" t="s">
        <v>43</v>
      </c>
      <c r="Q1470" s="91">
        <v>0</v>
      </c>
      <c r="R1470" s="91">
        <v>0</v>
      </c>
      <c r="S1470" s="91">
        <v>0</v>
      </c>
      <c r="T1470" s="91"/>
      <c r="U1470" s="91"/>
      <c r="V1470" s="91"/>
      <c r="W1470" s="91"/>
      <c r="X1470" s="91"/>
      <c r="Y1470" s="91"/>
      <c r="Z1470" s="91"/>
      <c r="AA1470" s="91"/>
      <c r="AB1470" s="91"/>
      <c r="AC1470" s="91"/>
      <c r="AD1470" s="91"/>
      <c r="AE1470" s="91"/>
      <c r="AF1470" s="91"/>
      <c r="AG1470" s="91"/>
      <c r="AH1470" s="91"/>
      <c r="AI1470" s="91"/>
      <c r="AJ1470" s="91"/>
      <c r="AK1470" s="91"/>
      <c r="AL1470" s="91"/>
      <c r="AM1470" s="91"/>
    </row>
    <row r="1471" spans="1:39" ht="20.25" customHeight="1">
      <c r="A1471" s="91"/>
      <c r="B1471" s="93" t="s">
        <v>7360</v>
      </c>
      <c r="C1471" s="91" t="s">
        <v>73</v>
      </c>
      <c r="D1471" s="107" t="s">
        <v>5946</v>
      </c>
      <c r="E1471" s="107" t="s">
        <v>7364</v>
      </c>
      <c r="F1471" s="91" t="s">
        <v>7365</v>
      </c>
      <c r="G1471" s="96">
        <v>44743</v>
      </c>
      <c r="H1471" s="97">
        <v>37462</v>
      </c>
      <c r="I1471" s="108" t="s">
        <v>12397</v>
      </c>
      <c r="J1471" s="100" t="s">
        <v>58</v>
      </c>
      <c r="K1471" s="91" t="s">
        <v>58</v>
      </c>
      <c r="L1471" s="91" t="s">
        <v>60</v>
      </c>
      <c r="M1471" s="98">
        <f ca="1">(TODAY()-H1471)/365</f>
        <v>23.397260273972602</v>
      </c>
      <c r="N1471" s="99">
        <f>(G1471-H1471)/365</f>
        <v>19.947945205479453</v>
      </c>
      <c r="O1471" s="98">
        <f ca="1">(TODAY()-G1471)/365</f>
        <v>3.4493150684931506</v>
      </c>
      <c r="P1471" s="91" t="s">
        <v>43</v>
      </c>
      <c r="Q1471" s="91">
        <v>0</v>
      </c>
      <c r="R1471" s="91">
        <v>0</v>
      </c>
      <c r="S1471" s="91">
        <v>0</v>
      </c>
      <c r="T1471" s="91"/>
      <c r="U1471" s="91"/>
      <c r="V1471" s="91"/>
      <c r="W1471" s="91"/>
      <c r="X1471" s="91"/>
      <c r="Y1471" s="91"/>
      <c r="Z1471" s="91"/>
      <c r="AA1471" s="91"/>
      <c r="AB1471" s="91"/>
      <c r="AC1471" s="91"/>
      <c r="AD1471" s="91"/>
      <c r="AE1471" s="91"/>
      <c r="AF1471" s="91"/>
      <c r="AG1471" s="91"/>
      <c r="AH1471" s="91"/>
      <c r="AI1471" s="91"/>
      <c r="AJ1471" s="91"/>
      <c r="AK1471" s="91"/>
      <c r="AL1471" s="91"/>
      <c r="AM1471" s="91"/>
    </row>
    <row r="1472" spans="1:39" ht="20.25" customHeight="1">
      <c r="A1472" s="91"/>
      <c r="B1472" s="93" t="s">
        <v>3110</v>
      </c>
      <c r="C1472" s="91" t="s">
        <v>73</v>
      </c>
      <c r="D1472" s="107" t="s">
        <v>3131</v>
      </c>
      <c r="E1472" s="107" t="s">
        <v>3132</v>
      </c>
      <c r="F1472" s="91" t="s">
        <v>3133</v>
      </c>
      <c r="G1472" s="96">
        <v>42013</v>
      </c>
      <c r="H1472" s="97">
        <v>30423</v>
      </c>
      <c r="I1472" s="100" t="s">
        <v>58</v>
      </c>
      <c r="J1472" s="100" t="s">
        <v>58</v>
      </c>
      <c r="K1472" s="91" t="s">
        <v>58</v>
      </c>
      <c r="L1472" s="91" t="s">
        <v>60</v>
      </c>
      <c r="M1472" s="98">
        <f ca="1">(TODAY()-H1472)/365</f>
        <v>42.682191780821917</v>
      </c>
      <c r="N1472" s="99">
        <f>(G1472-H1472)/365</f>
        <v>31.753424657534246</v>
      </c>
      <c r="O1472" s="98">
        <f ca="1">(TODAY()-G1472)/365</f>
        <v>10.92876712328767</v>
      </c>
      <c r="P1472" s="91" t="s">
        <v>43</v>
      </c>
      <c r="Q1472" s="91">
        <v>0</v>
      </c>
      <c r="R1472" s="91">
        <v>0</v>
      </c>
      <c r="S1472" s="91">
        <v>0</v>
      </c>
      <c r="T1472" s="91"/>
      <c r="U1472" s="91"/>
      <c r="V1472" s="91"/>
      <c r="W1472" s="91"/>
      <c r="X1472" s="91"/>
      <c r="Y1472" s="91"/>
      <c r="Z1472" s="91"/>
      <c r="AA1472" s="91"/>
      <c r="AB1472" s="91"/>
      <c r="AC1472" s="91"/>
      <c r="AD1472" s="91"/>
      <c r="AE1472" s="91"/>
      <c r="AF1472" s="91"/>
      <c r="AG1472" s="91"/>
      <c r="AH1472" s="91"/>
      <c r="AI1472" s="91"/>
      <c r="AJ1472" s="91"/>
      <c r="AK1472" s="91"/>
      <c r="AL1472" s="91"/>
      <c r="AM1472" s="91"/>
    </row>
    <row r="1473" spans="1:39" ht="20.25" customHeight="1">
      <c r="A1473" s="91"/>
      <c r="B1473" s="93" t="s">
        <v>3110</v>
      </c>
      <c r="C1473" s="91" t="s">
        <v>73</v>
      </c>
      <c r="D1473" s="107" t="s">
        <v>3138</v>
      </c>
      <c r="E1473" s="107" t="s">
        <v>3132</v>
      </c>
      <c r="F1473" s="91" t="s">
        <v>3139</v>
      </c>
      <c r="G1473" s="96">
        <v>44478</v>
      </c>
      <c r="H1473" s="97">
        <v>31511</v>
      </c>
      <c r="I1473" s="100" t="s">
        <v>58</v>
      </c>
      <c r="J1473" s="100" t="s">
        <v>58</v>
      </c>
      <c r="K1473" s="91" t="s">
        <v>58</v>
      </c>
      <c r="L1473" s="91" t="s">
        <v>60</v>
      </c>
      <c r="M1473" s="98">
        <f ca="1">(TODAY()-H1473)/365</f>
        <v>39.701369863013696</v>
      </c>
      <c r="N1473" s="99">
        <f>(G1473-H1473)/365</f>
        <v>35.526027397260272</v>
      </c>
      <c r="O1473" s="98">
        <f ca="1">(TODAY()-G1473)/365</f>
        <v>4.1753424657534248</v>
      </c>
      <c r="P1473" s="91" t="s">
        <v>43</v>
      </c>
      <c r="Q1473" s="91">
        <v>0</v>
      </c>
      <c r="R1473" s="91">
        <v>0</v>
      </c>
      <c r="S1473" s="91">
        <v>0</v>
      </c>
      <c r="T1473" s="91"/>
      <c r="U1473" s="91"/>
      <c r="V1473" s="91"/>
      <c r="W1473" s="91"/>
      <c r="X1473" s="91"/>
      <c r="Y1473" s="91"/>
      <c r="Z1473" s="91"/>
      <c r="AA1473" s="91"/>
      <c r="AB1473" s="91"/>
      <c r="AC1473" s="91"/>
      <c r="AD1473" s="91"/>
      <c r="AE1473" s="91"/>
      <c r="AF1473" s="91"/>
      <c r="AG1473" s="91"/>
      <c r="AH1473" s="91"/>
      <c r="AI1473" s="91"/>
      <c r="AJ1473" s="91"/>
      <c r="AK1473" s="91"/>
      <c r="AL1473" s="91"/>
      <c r="AM1473" s="91"/>
    </row>
    <row r="1474" spans="1:39" ht="20.25" hidden="1" customHeight="1">
      <c r="A1474" s="91"/>
      <c r="B1474" s="93" t="s">
        <v>4702</v>
      </c>
      <c r="C1474" s="91" t="s">
        <v>36</v>
      </c>
      <c r="D1474" s="107" t="s">
        <v>4724</v>
      </c>
      <c r="E1474" s="107" t="s">
        <v>4725</v>
      </c>
      <c r="F1474" s="91" t="s">
        <v>4726</v>
      </c>
      <c r="G1474" s="96">
        <v>39904</v>
      </c>
      <c r="H1474" s="97">
        <v>24767</v>
      </c>
      <c r="I1474" s="94" t="s">
        <v>58</v>
      </c>
      <c r="J1474" s="100" t="s">
        <v>4727</v>
      </c>
      <c r="K1474" s="91">
        <v>86297656</v>
      </c>
      <c r="L1474" s="91" t="s">
        <v>54</v>
      </c>
      <c r="M1474" s="98">
        <f ca="1">(TODAY()-H1474)/365</f>
        <v>58.178082191780824</v>
      </c>
      <c r="N1474" s="99">
        <f>(G1474-H1474)/365</f>
        <v>41.471232876712328</v>
      </c>
      <c r="O1474" s="98">
        <f ca="1">(TODAY()-G1474)/365</f>
        <v>16.706849315068492</v>
      </c>
      <c r="P1474" s="91" t="s">
        <v>43</v>
      </c>
      <c r="Q1474" s="91">
        <v>0</v>
      </c>
      <c r="R1474" s="91">
        <v>0</v>
      </c>
      <c r="S1474" s="91">
        <v>0</v>
      </c>
      <c r="T1474" s="91"/>
      <c r="U1474" s="91"/>
      <c r="V1474" s="91"/>
      <c r="W1474" s="91"/>
      <c r="X1474" s="91"/>
      <c r="Y1474" s="91"/>
      <c r="Z1474" s="91"/>
      <c r="AA1474" s="91"/>
      <c r="AB1474" s="91"/>
      <c r="AC1474" s="91"/>
      <c r="AD1474" s="91"/>
      <c r="AE1474" s="91"/>
      <c r="AF1474" s="91"/>
      <c r="AG1474" s="91"/>
      <c r="AH1474" s="91"/>
      <c r="AI1474" s="91"/>
      <c r="AJ1474" s="91"/>
      <c r="AK1474" s="91"/>
      <c r="AL1474" s="91"/>
      <c r="AM1474" s="91"/>
    </row>
    <row r="1475" spans="1:39" ht="20.25" hidden="1" customHeight="1">
      <c r="A1475" s="91"/>
      <c r="B1475" s="93" t="s">
        <v>4702</v>
      </c>
      <c r="C1475" s="91" t="s">
        <v>36</v>
      </c>
      <c r="D1475" s="107" t="s">
        <v>2442</v>
      </c>
      <c r="E1475" s="107" t="s">
        <v>4728</v>
      </c>
      <c r="F1475" s="91" t="s">
        <v>4729</v>
      </c>
      <c r="G1475" s="96">
        <v>35643</v>
      </c>
      <c r="H1475" s="97">
        <v>20481</v>
      </c>
      <c r="I1475" s="94" t="s">
        <v>4730</v>
      </c>
      <c r="J1475" s="94" t="s">
        <v>4731</v>
      </c>
      <c r="K1475" s="92">
        <v>987229640</v>
      </c>
      <c r="L1475" s="91" t="s">
        <v>60</v>
      </c>
      <c r="M1475" s="98">
        <f ca="1">(TODAY()-H1475)/365</f>
        <v>69.920547945205485</v>
      </c>
      <c r="N1475" s="99">
        <f>(G1475-H1475)/365</f>
        <v>41.539726027397258</v>
      </c>
      <c r="O1475" s="98">
        <f ca="1">(TODAY()-G1475)/365</f>
        <v>28.38082191780822</v>
      </c>
      <c r="P1475" s="91" t="s">
        <v>43</v>
      </c>
      <c r="Q1475" s="91">
        <v>0</v>
      </c>
      <c r="R1475" s="91">
        <v>0</v>
      </c>
      <c r="S1475" s="91">
        <v>0</v>
      </c>
      <c r="T1475" s="91"/>
      <c r="U1475" s="91"/>
      <c r="V1475" s="91"/>
      <c r="W1475" s="91"/>
      <c r="X1475" s="91"/>
      <c r="Y1475" s="91"/>
      <c r="Z1475" s="91"/>
      <c r="AA1475" s="91"/>
      <c r="AB1475" s="91"/>
      <c r="AC1475" s="91"/>
      <c r="AD1475" s="91"/>
      <c r="AE1475" s="91"/>
      <c r="AF1475" s="91"/>
      <c r="AG1475" s="91"/>
      <c r="AH1475" s="91"/>
      <c r="AI1475" s="91"/>
      <c r="AJ1475" s="91"/>
      <c r="AK1475" s="91"/>
      <c r="AL1475" s="91"/>
      <c r="AM1475" s="91"/>
    </row>
    <row r="1476" spans="1:39" ht="20.25" hidden="1" customHeight="1">
      <c r="A1476" s="91"/>
      <c r="B1476" s="93" t="s">
        <v>4702</v>
      </c>
      <c r="C1476" s="91" t="s">
        <v>36</v>
      </c>
      <c r="D1476" s="107" t="s">
        <v>675</v>
      </c>
      <c r="E1476" s="107" t="s">
        <v>4732</v>
      </c>
      <c r="F1476" s="91" t="s">
        <v>4733</v>
      </c>
      <c r="G1476" s="96">
        <v>41426</v>
      </c>
      <c r="H1476" s="97">
        <v>25302</v>
      </c>
      <c r="I1476" s="100" t="s">
        <v>4734</v>
      </c>
      <c r="J1476" s="100" t="s">
        <v>4735</v>
      </c>
      <c r="K1476" s="91">
        <v>5843639</v>
      </c>
      <c r="L1476" s="91" t="s">
        <v>151</v>
      </c>
      <c r="M1476" s="98">
        <f ca="1">(TODAY()-H1476)/365</f>
        <v>56.712328767123289</v>
      </c>
      <c r="N1476" s="99">
        <f>(G1476-H1476)/365</f>
        <v>44.175342465753424</v>
      </c>
      <c r="O1476" s="98">
        <f ca="1">(TODAY()-G1476)/365</f>
        <v>12.536986301369863</v>
      </c>
      <c r="P1476" s="91" t="s">
        <v>43</v>
      </c>
      <c r="Q1476" s="91">
        <v>0</v>
      </c>
      <c r="R1476" s="91">
        <v>0</v>
      </c>
      <c r="S1476" s="91">
        <v>1</v>
      </c>
      <c r="T1476" s="91"/>
      <c r="U1476" s="91"/>
      <c r="V1476" s="91"/>
      <c r="W1476" s="91"/>
      <c r="X1476" s="91"/>
      <c r="Y1476" s="91"/>
      <c r="Z1476" s="91"/>
      <c r="AA1476" s="91"/>
      <c r="AB1476" s="91"/>
      <c r="AC1476" s="91"/>
      <c r="AD1476" s="91"/>
      <c r="AE1476" s="91"/>
      <c r="AF1476" s="91"/>
      <c r="AG1476" s="91"/>
      <c r="AH1476" s="91"/>
      <c r="AI1476" s="91"/>
      <c r="AJ1476" s="91"/>
      <c r="AK1476" s="91"/>
      <c r="AL1476" s="91"/>
      <c r="AM1476" s="91"/>
    </row>
    <row r="1477" spans="1:39" ht="20.25" hidden="1" customHeight="1">
      <c r="A1477" s="91"/>
      <c r="B1477" s="93" t="s">
        <v>4702</v>
      </c>
      <c r="C1477" s="91" t="s">
        <v>36</v>
      </c>
      <c r="D1477" s="107" t="s">
        <v>875</v>
      </c>
      <c r="E1477" s="107" t="s">
        <v>4736</v>
      </c>
      <c r="F1477" s="91" t="s">
        <v>4737</v>
      </c>
      <c r="G1477" s="96">
        <v>39569</v>
      </c>
      <c r="H1477" s="97">
        <v>23289</v>
      </c>
      <c r="I1477" s="100" t="s">
        <v>4738</v>
      </c>
      <c r="J1477" s="100" t="s">
        <v>4739</v>
      </c>
      <c r="K1477" s="91">
        <v>99182265</v>
      </c>
      <c r="L1477" s="91" t="s">
        <v>42</v>
      </c>
      <c r="M1477" s="98">
        <f ca="1">(TODAY()-H1477)/365</f>
        <v>62.227397260273975</v>
      </c>
      <c r="N1477" s="99">
        <f>(G1477-H1477)/365</f>
        <v>44.602739726027394</v>
      </c>
      <c r="O1477" s="98">
        <f ca="1">(TODAY()-G1477)/365</f>
        <v>17.624657534246577</v>
      </c>
      <c r="P1477" s="91" t="s">
        <v>43</v>
      </c>
      <c r="Q1477" s="91">
        <v>0</v>
      </c>
      <c r="R1477" s="91">
        <v>0</v>
      </c>
      <c r="S1477" s="91">
        <v>0</v>
      </c>
      <c r="T1477" s="91"/>
      <c r="U1477" s="91"/>
      <c r="V1477" s="91"/>
      <c r="W1477" s="91"/>
      <c r="X1477" s="91"/>
      <c r="Y1477" s="91"/>
      <c r="Z1477" s="91"/>
      <c r="AA1477" s="91"/>
      <c r="AB1477" s="91"/>
      <c r="AC1477" s="91"/>
      <c r="AD1477" s="91"/>
      <c r="AE1477" s="91"/>
      <c r="AF1477" s="91"/>
      <c r="AG1477" s="91"/>
      <c r="AH1477" s="91"/>
      <c r="AI1477" s="91"/>
      <c r="AJ1477" s="91"/>
      <c r="AK1477" s="91"/>
      <c r="AL1477" s="91"/>
      <c r="AM1477" s="91"/>
    </row>
    <row r="1478" spans="1:39" ht="20.25" hidden="1" customHeight="1">
      <c r="A1478" s="91"/>
      <c r="B1478" s="93" t="s">
        <v>4702</v>
      </c>
      <c r="C1478" s="91" t="s">
        <v>36</v>
      </c>
      <c r="D1478" s="107" t="s">
        <v>310</v>
      </c>
      <c r="E1478" s="107" t="s">
        <v>4740</v>
      </c>
      <c r="F1478" s="91" t="s">
        <v>4741</v>
      </c>
      <c r="G1478" s="96">
        <v>41426</v>
      </c>
      <c r="H1478" s="97">
        <v>24668</v>
      </c>
      <c r="I1478" s="94" t="s">
        <v>4742</v>
      </c>
      <c r="J1478" s="94" t="s">
        <v>4743</v>
      </c>
      <c r="K1478" s="92">
        <v>971995635</v>
      </c>
      <c r="L1478" s="91" t="s">
        <v>60</v>
      </c>
      <c r="M1478" s="98">
        <f ca="1">(TODAY()-H1478)/365</f>
        <v>58.449315068493149</v>
      </c>
      <c r="N1478" s="99">
        <f>(G1478-H1478)/365</f>
        <v>45.912328767123284</v>
      </c>
      <c r="O1478" s="98">
        <f ca="1">(TODAY()-G1478)/365</f>
        <v>12.536986301369863</v>
      </c>
      <c r="P1478" s="91" t="s">
        <v>43</v>
      </c>
      <c r="Q1478" s="91">
        <v>0</v>
      </c>
      <c r="R1478" s="91">
        <v>0</v>
      </c>
      <c r="S1478" s="91">
        <v>0</v>
      </c>
      <c r="T1478" s="91"/>
      <c r="U1478" s="91"/>
      <c r="V1478" s="91"/>
      <c r="W1478" s="91"/>
      <c r="X1478" s="91"/>
      <c r="Y1478" s="91"/>
      <c r="Z1478" s="91"/>
      <c r="AA1478" s="91"/>
      <c r="AB1478" s="91"/>
      <c r="AC1478" s="91"/>
      <c r="AD1478" s="91"/>
      <c r="AE1478" s="91"/>
      <c r="AF1478" s="91"/>
      <c r="AG1478" s="91"/>
      <c r="AH1478" s="91"/>
      <c r="AI1478" s="91"/>
      <c r="AJ1478" s="91"/>
      <c r="AK1478" s="91"/>
      <c r="AL1478" s="91"/>
      <c r="AM1478" s="91"/>
    </row>
    <row r="1479" spans="1:39" ht="20.25" hidden="1" customHeight="1">
      <c r="A1479" s="91"/>
      <c r="B1479" s="93" t="s">
        <v>4702</v>
      </c>
      <c r="C1479" s="91" t="s">
        <v>36</v>
      </c>
      <c r="D1479" s="107" t="s">
        <v>4744</v>
      </c>
      <c r="E1479" s="107" t="s">
        <v>4745</v>
      </c>
      <c r="F1479" s="91" t="s">
        <v>4746</v>
      </c>
      <c r="G1479" s="96">
        <v>35125</v>
      </c>
      <c r="H1479" s="97">
        <v>17848</v>
      </c>
      <c r="I1479" s="94" t="s">
        <v>58</v>
      </c>
      <c r="J1479" s="100" t="s">
        <v>4747</v>
      </c>
      <c r="K1479" s="91">
        <v>71501195</v>
      </c>
      <c r="L1479" s="91" t="s">
        <v>72</v>
      </c>
      <c r="M1479" s="98">
        <f ca="1">(TODAY()-H1479)/365</f>
        <v>77.134246575342459</v>
      </c>
      <c r="N1479" s="99">
        <f>(G1479-H1479)/365</f>
        <v>47.334246575342469</v>
      </c>
      <c r="O1479" s="98">
        <f ca="1">(TODAY()-G1479)/365</f>
        <v>29.8</v>
      </c>
      <c r="P1479" s="91" t="s">
        <v>43</v>
      </c>
      <c r="Q1479" s="91">
        <v>0</v>
      </c>
      <c r="R1479" s="91">
        <v>0</v>
      </c>
      <c r="S1479" s="91">
        <v>0</v>
      </c>
      <c r="T1479" s="91"/>
      <c r="U1479" s="91"/>
      <c r="V1479" s="91"/>
      <c r="W1479" s="91"/>
      <c r="X1479" s="91"/>
      <c r="Y1479" s="91"/>
      <c r="Z1479" s="91"/>
      <c r="AA1479" s="91"/>
      <c r="AB1479" s="91"/>
      <c r="AC1479" s="91"/>
      <c r="AD1479" s="91"/>
      <c r="AE1479" s="91"/>
      <c r="AF1479" s="91"/>
      <c r="AG1479" s="91"/>
      <c r="AH1479" s="91"/>
      <c r="AI1479" s="91"/>
      <c r="AJ1479" s="91"/>
      <c r="AK1479" s="91"/>
      <c r="AL1479" s="91"/>
      <c r="AM1479" s="91"/>
    </row>
    <row r="1480" spans="1:39" ht="20.25" hidden="1" customHeight="1">
      <c r="A1480" s="91"/>
      <c r="B1480" s="93" t="s">
        <v>4702</v>
      </c>
      <c r="C1480" s="91" t="s">
        <v>36</v>
      </c>
      <c r="D1480" s="107" t="s">
        <v>875</v>
      </c>
      <c r="E1480" s="107" t="s">
        <v>4748</v>
      </c>
      <c r="F1480" s="91" t="s">
        <v>4749</v>
      </c>
      <c r="G1480" s="96">
        <v>36617</v>
      </c>
      <c r="H1480" s="97">
        <v>19177</v>
      </c>
      <c r="I1480" s="94" t="s">
        <v>58</v>
      </c>
      <c r="J1480" s="94" t="s">
        <v>58</v>
      </c>
      <c r="K1480" s="91">
        <v>73064842</v>
      </c>
      <c r="L1480" s="91" t="s">
        <v>216</v>
      </c>
      <c r="M1480" s="98">
        <f ca="1">(TODAY()-H1480)/365</f>
        <v>73.493150684931507</v>
      </c>
      <c r="N1480" s="99">
        <f>(G1480-H1480)/365</f>
        <v>47.780821917808218</v>
      </c>
      <c r="O1480" s="98">
        <f ca="1">(TODAY()-G1480)/365</f>
        <v>25.712328767123289</v>
      </c>
      <c r="P1480" s="91" t="s">
        <v>43</v>
      </c>
      <c r="Q1480" s="91">
        <v>0</v>
      </c>
      <c r="R1480" s="91">
        <v>0</v>
      </c>
      <c r="S1480" s="91">
        <v>0</v>
      </c>
      <c r="T1480" s="91"/>
      <c r="U1480" s="91"/>
      <c r="V1480" s="91"/>
      <c r="W1480" s="91"/>
      <c r="X1480" s="91"/>
      <c r="Y1480" s="91"/>
      <c r="Z1480" s="91"/>
      <c r="AA1480" s="91"/>
      <c r="AB1480" s="91"/>
      <c r="AC1480" s="91"/>
      <c r="AD1480" s="91"/>
      <c r="AE1480" s="91"/>
      <c r="AF1480" s="91"/>
      <c r="AG1480" s="91"/>
      <c r="AH1480" s="91"/>
      <c r="AI1480" s="91"/>
      <c r="AJ1480" s="91"/>
      <c r="AK1480" s="91"/>
      <c r="AL1480" s="91"/>
      <c r="AM1480" s="91"/>
    </row>
    <row r="1481" spans="1:39" ht="20.25" customHeight="1">
      <c r="A1481" s="91"/>
      <c r="B1481" s="93" t="s">
        <v>8287</v>
      </c>
      <c r="C1481" s="91" t="s">
        <v>73</v>
      </c>
      <c r="D1481" s="94" t="s">
        <v>8293</v>
      </c>
      <c r="E1481" s="94" t="s">
        <v>8294</v>
      </c>
      <c r="F1481" s="95" t="s">
        <v>8295</v>
      </c>
      <c r="G1481" s="96">
        <v>45256</v>
      </c>
      <c r="H1481" s="97">
        <v>38950</v>
      </c>
      <c r="I1481" s="94" t="s">
        <v>8296</v>
      </c>
      <c r="J1481" s="100" t="s">
        <v>58</v>
      </c>
      <c r="K1481" s="91" t="s">
        <v>58</v>
      </c>
      <c r="L1481" s="91" t="s">
        <v>60</v>
      </c>
      <c r="M1481" s="98">
        <f ca="1">(TODAY()-H1481)/365</f>
        <v>19.32054794520548</v>
      </c>
      <c r="N1481" s="99">
        <f>(G1481-H1481)/365</f>
        <v>17.276712328767122</v>
      </c>
      <c r="O1481" s="98">
        <f ca="1">(TODAY()-G1481)/365</f>
        <v>2.043835616438356</v>
      </c>
      <c r="P1481" s="91" t="s">
        <v>43</v>
      </c>
      <c r="Q1481" s="91">
        <v>0</v>
      </c>
      <c r="R1481" s="91">
        <v>0</v>
      </c>
      <c r="S1481" s="91">
        <v>0</v>
      </c>
      <c r="T1481" s="91"/>
      <c r="U1481" s="91"/>
      <c r="V1481" s="91"/>
      <c r="W1481" s="91"/>
      <c r="X1481" s="91"/>
      <c r="Y1481" s="91"/>
      <c r="Z1481" s="91"/>
      <c r="AA1481" s="91"/>
      <c r="AB1481" s="91"/>
      <c r="AC1481" s="91"/>
      <c r="AD1481" s="91"/>
      <c r="AE1481" s="91"/>
      <c r="AF1481" s="91"/>
      <c r="AG1481" s="91"/>
      <c r="AH1481" s="91"/>
      <c r="AI1481" s="91"/>
      <c r="AJ1481" s="91"/>
      <c r="AK1481" s="91"/>
      <c r="AL1481" s="91"/>
      <c r="AM1481" s="91"/>
    </row>
    <row r="1482" spans="1:39" ht="20.25" hidden="1" customHeight="1">
      <c r="A1482" s="91"/>
      <c r="B1482" s="93" t="s">
        <v>4702</v>
      </c>
      <c r="C1482" s="91" t="s">
        <v>36</v>
      </c>
      <c r="D1482" s="107" t="s">
        <v>4649</v>
      </c>
      <c r="E1482" s="107" t="s">
        <v>4753</v>
      </c>
      <c r="F1482" s="91" t="s">
        <v>4754</v>
      </c>
      <c r="G1482" s="96">
        <v>43009</v>
      </c>
      <c r="H1482" s="97">
        <v>23219</v>
      </c>
      <c r="I1482" s="94" t="s">
        <v>58</v>
      </c>
      <c r="J1482" s="100" t="s">
        <v>4755</v>
      </c>
      <c r="K1482" s="91">
        <v>74777607</v>
      </c>
      <c r="L1482" s="91" t="s">
        <v>60</v>
      </c>
      <c r="M1482" s="98">
        <f ca="1">(TODAY()-H1482)/365</f>
        <v>62.419178082191777</v>
      </c>
      <c r="N1482" s="99">
        <f>(G1482-H1482)/365</f>
        <v>54.219178082191782</v>
      </c>
      <c r="O1482" s="98">
        <f ca="1">(TODAY()-G1482)/365</f>
        <v>8.1999999999999993</v>
      </c>
      <c r="P1482" s="91" t="s">
        <v>43</v>
      </c>
      <c r="Q1482" s="91">
        <v>0</v>
      </c>
      <c r="R1482" s="91">
        <v>0</v>
      </c>
      <c r="S1482" s="91">
        <v>0</v>
      </c>
      <c r="T1482" s="91"/>
      <c r="U1482" s="91"/>
      <c r="V1482" s="91"/>
      <c r="W1482" s="91"/>
      <c r="X1482" s="91"/>
      <c r="Y1482" s="91"/>
      <c r="Z1482" s="91"/>
      <c r="AA1482" s="91"/>
      <c r="AB1482" s="91"/>
      <c r="AC1482" s="91"/>
      <c r="AD1482" s="91"/>
      <c r="AE1482" s="91"/>
      <c r="AF1482" s="91"/>
      <c r="AG1482" s="91"/>
      <c r="AH1482" s="91"/>
      <c r="AI1482" s="91"/>
      <c r="AJ1482" s="91"/>
      <c r="AK1482" s="91"/>
      <c r="AL1482" s="91"/>
      <c r="AM1482" s="91"/>
    </row>
    <row r="1483" spans="1:39" ht="20.25" hidden="1" customHeight="1">
      <c r="A1483" s="91"/>
      <c r="B1483" s="93" t="s">
        <v>4702</v>
      </c>
      <c r="C1483" s="91" t="s">
        <v>36</v>
      </c>
      <c r="D1483" s="107" t="s">
        <v>4756</v>
      </c>
      <c r="E1483" s="107" t="s">
        <v>4757</v>
      </c>
      <c r="F1483" s="91" t="s">
        <v>4758</v>
      </c>
      <c r="G1483" s="96">
        <v>37681</v>
      </c>
      <c r="H1483" s="97">
        <v>17529</v>
      </c>
      <c r="I1483" s="100" t="s">
        <v>4759</v>
      </c>
      <c r="J1483" s="100" t="s">
        <v>4760</v>
      </c>
      <c r="K1483" s="91">
        <v>91743608</v>
      </c>
      <c r="L1483" s="91" t="s">
        <v>60</v>
      </c>
      <c r="M1483" s="98">
        <f ca="1">(TODAY()-H1483)/365</f>
        <v>78.008219178082186</v>
      </c>
      <c r="N1483" s="99">
        <f>(G1483-H1483)/365</f>
        <v>55.210958904109589</v>
      </c>
      <c r="O1483" s="98">
        <f ca="1">(TODAY()-G1483)/365</f>
        <v>22.797260273972604</v>
      </c>
      <c r="P1483" s="91" t="s">
        <v>272</v>
      </c>
      <c r="Q1483" s="91">
        <v>0</v>
      </c>
      <c r="R1483" s="91">
        <v>0</v>
      </c>
      <c r="S1483" s="91">
        <v>0</v>
      </c>
      <c r="T1483" s="91"/>
      <c r="U1483" s="91"/>
      <c r="V1483" s="91"/>
      <c r="W1483" s="91"/>
      <c r="X1483" s="91"/>
      <c r="Y1483" s="91"/>
      <c r="Z1483" s="91"/>
      <c r="AA1483" s="91"/>
      <c r="AB1483" s="91"/>
      <c r="AC1483" s="91"/>
      <c r="AD1483" s="91"/>
      <c r="AE1483" s="91"/>
      <c r="AF1483" s="91"/>
      <c r="AG1483" s="91"/>
      <c r="AH1483" s="91"/>
      <c r="AI1483" s="91"/>
      <c r="AJ1483" s="91"/>
      <c r="AK1483" s="91"/>
      <c r="AL1483" s="91"/>
      <c r="AM1483" s="91"/>
    </row>
    <row r="1484" spans="1:39" ht="20.25" hidden="1" customHeight="1">
      <c r="A1484" s="91"/>
      <c r="B1484" s="93" t="s">
        <v>4702</v>
      </c>
      <c r="C1484" s="91" t="s">
        <v>36</v>
      </c>
      <c r="D1484" s="107" t="s">
        <v>4761</v>
      </c>
      <c r="E1484" s="107" t="s">
        <v>4762</v>
      </c>
      <c r="F1484" s="91" t="s">
        <v>4763</v>
      </c>
      <c r="G1484" s="96">
        <v>39022</v>
      </c>
      <c r="H1484" s="97">
        <v>18170</v>
      </c>
      <c r="I1484" s="100" t="s">
        <v>4764</v>
      </c>
      <c r="J1484" s="100" t="s">
        <v>4765</v>
      </c>
      <c r="K1484" s="91">
        <v>92581265</v>
      </c>
      <c r="L1484" s="91" t="s">
        <v>60</v>
      </c>
      <c r="M1484" s="98">
        <f ca="1">(TODAY()-H1484)/365</f>
        <v>76.252054794520546</v>
      </c>
      <c r="N1484" s="99">
        <f>(G1484-H1484)/365</f>
        <v>57.128767123287673</v>
      </c>
      <c r="O1484" s="98">
        <f ca="1">(TODAY()-G1484)/365</f>
        <v>19.123287671232877</v>
      </c>
      <c r="P1484" s="91" t="s">
        <v>43</v>
      </c>
      <c r="Q1484" s="91">
        <v>0</v>
      </c>
      <c r="R1484" s="91">
        <v>0</v>
      </c>
      <c r="S1484" s="91">
        <v>0</v>
      </c>
      <c r="T1484" s="91"/>
      <c r="U1484" s="91"/>
      <c r="V1484" s="91"/>
      <c r="W1484" s="91"/>
      <c r="X1484" s="91"/>
      <c r="Y1484" s="91"/>
      <c r="Z1484" s="91"/>
      <c r="AA1484" s="91"/>
      <c r="AB1484" s="91"/>
      <c r="AC1484" s="91"/>
      <c r="AD1484" s="91"/>
      <c r="AE1484" s="91"/>
      <c r="AF1484" s="91"/>
      <c r="AG1484" s="91"/>
      <c r="AH1484" s="91"/>
      <c r="AI1484" s="91"/>
      <c r="AJ1484" s="91"/>
      <c r="AK1484" s="91"/>
      <c r="AL1484" s="91"/>
      <c r="AM1484" s="91"/>
    </row>
    <row r="1485" spans="1:39" ht="20.25" hidden="1" customHeight="1">
      <c r="A1485" s="91"/>
      <c r="B1485" s="93" t="s">
        <v>4702</v>
      </c>
      <c r="C1485" s="91" t="s">
        <v>36</v>
      </c>
      <c r="D1485" s="107" t="s">
        <v>805</v>
      </c>
      <c r="E1485" s="107" t="s">
        <v>4766</v>
      </c>
      <c r="F1485" s="91" t="s">
        <v>4767</v>
      </c>
      <c r="G1485" s="96">
        <v>35490</v>
      </c>
      <c r="H1485" s="97">
        <v>14553</v>
      </c>
      <c r="I1485" s="100" t="s">
        <v>4768</v>
      </c>
      <c r="J1485" s="100" t="s">
        <v>4769</v>
      </c>
      <c r="K1485" s="91">
        <v>50923050</v>
      </c>
      <c r="L1485" s="91" t="s">
        <v>49</v>
      </c>
      <c r="M1485" s="98">
        <f ca="1">(TODAY()-H1485)/365</f>
        <v>86.161643835616445</v>
      </c>
      <c r="N1485" s="99">
        <f>(G1485-H1485)/365</f>
        <v>57.361643835616441</v>
      </c>
      <c r="O1485" s="98">
        <f ca="1">(TODAY()-G1485)/365</f>
        <v>28.8</v>
      </c>
      <c r="P1485" s="91" t="s">
        <v>43</v>
      </c>
      <c r="Q1485" s="91">
        <v>0</v>
      </c>
      <c r="R1485" s="91">
        <v>0</v>
      </c>
      <c r="S1485" s="91">
        <v>0</v>
      </c>
      <c r="T1485" s="91"/>
      <c r="U1485" s="91"/>
      <c r="V1485" s="91"/>
      <c r="W1485" s="91"/>
      <c r="X1485" s="91"/>
      <c r="Y1485" s="91"/>
      <c r="Z1485" s="91"/>
      <c r="AA1485" s="91"/>
      <c r="AB1485" s="91"/>
      <c r="AC1485" s="91"/>
      <c r="AD1485" s="91"/>
      <c r="AE1485" s="91"/>
      <c r="AF1485" s="91"/>
      <c r="AG1485" s="91"/>
      <c r="AH1485" s="91"/>
      <c r="AI1485" s="91"/>
      <c r="AJ1485" s="91"/>
      <c r="AK1485" s="91"/>
      <c r="AL1485" s="91"/>
      <c r="AM1485" s="91"/>
    </row>
    <row r="1486" spans="1:39" ht="20.25" hidden="1" customHeight="1">
      <c r="A1486" s="91"/>
      <c r="B1486" s="93" t="s">
        <v>4702</v>
      </c>
      <c r="C1486" s="91" t="s">
        <v>36</v>
      </c>
      <c r="D1486" s="107" t="s">
        <v>4628</v>
      </c>
      <c r="E1486" s="107" t="s">
        <v>4770</v>
      </c>
      <c r="F1486" s="91" t="s">
        <v>4771</v>
      </c>
      <c r="G1486" s="96">
        <v>45170</v>
      </c>
      <c r="H1486" s="97">
        <v>22894</v>
      </c>
      <c r="I1486" s="94" t="s">
        <v>58</v>
      </c>
      <c r="J1486" s="94" t="s">
        <v>4772</v>
      </c>
      <c r="K1486" s="92">
        <v>938910296</v>
      </c>
      <c r="L1486" s="91" t="s">
        <v>60</v>
      </c>
      <c r="M1486" s="98">
        <f ca="1">(TODAY()-H1486)/365</f>
        <v>63.30958904109589</v>
      </c>
      <c r="N1486" s="99">
        <f>(G1486-H1486)/365</f>
        <v>61.030136986301372</v>
      </c>
      <c r="O1486" s="98">
        <f ca="1">(TODAY()-G1486)/365</f>
        <v>2.2794520547945205</v>
      </c>
      <c r="P1486" s="91" t="s">
        <v>43</v>
      </c>
      <c r="Q1486" s="91">
        <v>0</v>
      </c>
      <c r="R1486" s="91">
        <v>0</v>
      </c>
      <c r="S1486" s="91">
        <v>0</v>
      </c>
      <c r="T1486" s="91"/>
      <c r="U1486" s="91"/>
      <c r="V1486" s="91"/>
      <c r="W1486" s="91"/>
      <c r="X1486" s="91"/>
      <c r="Y1486" s="91"/>
      <c r="Z1486" s="91"/>
      <c r="AA1486" s="91"/>
      <c r="AB1486" s="91"/>
      <c r="AC1486" s="91"/>
      <c r="AD1486" s="91"/>
      <c r="AE1486" s="91"/>
      <c r="AF1486" s="91"/>
      <c r="AG1486" s="91"/>
      <c r="AH1486" s="91"/>
      <c r="AI1486" s="91"/>
      <c r="AJ1486" s="91"/>
      <c r="AK1486" s="91"/>
      <c r="AL1486" s="91"/>
      <c r="AM1486" s="91"/>
    </row>
    <row r="1487" spans="1:39" ht="20.25" hidden="1" customHeight="1">
      <c r="A1487" s="91"/>
      <c r="B1487" s="93" t="s">
        <v>4702</v>
      </c>
      <c r="C1487" s="91" t="s">
        <v>36</v>
      </c>
      <c r="D1487" s="107" t="s">
        <v>4773</v>
      </c>
      <c r="E1487" s="107" t="s">
        <v>4774</v>
      </c>
      <c r="F1487" s="91" t="s">
        <v>4775</v>
      </c>
      <c r="G1487" s="96">
        <v>43374</v>
      </c>
      <c r="H1487" s="97">
        <v>20293</v>
      </c>
      <c r="I1487" s="94" t="s">
        <v>58</v>
      </c>
      <c r="J1487" s="100" t="s">
        <v>4776</v>
      </c>
      <c r="K1487" s="91">
        <v>63423356</v>
      </c>
      <c r="L1487" s="91" t="s">
        <v>60</v>
      </c>
      <c r="M1487" s="98">
        <f ca="1">(TODAY()-H1487)/365</f>
        <v>70.435616438356163</v>
      </c>
      <c r="N1487" s="99">
        <f>(G1487-H1487)/365</f>
        <v>63.235616438356168</v>
      </c>
      <c r="O1487" s="98">
        <f ca="1">(TODAY()-G1487)/365</f>
        <v>7.2</v>
      </c>
      <c r="P1487" s="91" t="s">
        <v>43</v>
      </c>
      <c r="Q1487" s="91">
        <v>0</v>
      </c>
      <c r="R1487" s="91">
        <v>0</v>
      </c>
      <c r="S1487" s="91">
        <v>0</v>
      </c>
      <c r="T1487" s="91"/>
      <c r="U1487" s="91"/>
      <c r="V1487" s="91"/>
      <c r="W1487" s="91"/>
      <c r="X1487" s="91"/>
      <c r="Y1487" s="91"/>
      <c r="Z1487" s="91"/>
      <c r="AA1487" s="91"/>
      <c r="AB1487" s="91"/>
      <c r="AC1487" s="91"/>
      <c r="AD1487" s="91"/>
      <c r="AE1487" s="91"/>
      <c r="AF1487" s="91"/>
      <c r="AG1487" s="91"/>
      <c r="AH1487" s="91"/>
      <c r="AI1487" s="91"/>
      <c r="AJ1487" s="91"/>
      <c r="AK1487" s="91"/>
      <c r="AL1487" s="91"/>
      <c r="AM1487" s="91"/>
    </row>
    <row r="1488" spans="1:39" ht="20.25" customHeight="1">
      <c r="A1488" s="91"/>
      <c r="B1488" s="93" t="s">
        <v>10137</v>
      </c>
      <c r="C1488" s="91" t="s">
        <v>73</v>
      </c>
      <c r="D1488" s="106" t="s">
        <v>10198</v>
      </c>
      <c r="E1488" s="106" t="s">
        <v>10199</v>
      </c>
      <c r="F1488" s="92">
        <v>19980674</v>
      </c>
      <c r="G1488" s="103">
        <v>44629</v>
      </c>
      <c r="H1488" s="103">
        <v>35956</v>
      </c>
      <c r="I1488" s="108" t="s">
        <v>12588</v>
      </c>
      <c r="J1488" s="100" t="s">
        <v>58</v>
      </c>
      <c r="K1488" s="95" t="s">
        <v>58</v>
      </c>
      <c r="L1488" s="91"/>
      <c r="M1488" s="98">
        <f ca="1">(TODAY()-H1488)/365</f>
        <v>27.523287671232875</v>
      </c>
      <c r="N1488" s="99">
        <f>(G1488-H1488)/365</f>
        <v>23.761643835616439</v>
      </c>
      <c r="O1488" s="98">
        <f ca="1">(TODAY()-G1488)/365</f>
        <v>3.7616438356164386</v>
      </c>
      <c r="P1488" s="91" t="s">
        <v>43</v>
      </c>
      <c r="Q1488" s="91"/>
      <c r="R1488" s="91"/>
      <c r="S1488" s="91"/>
      <c r="T1488" s="91"/>
      <c r="U1488" s="91"/>
      <c r="V1488" s="91"/>
      <c r="W1488" s="91"/>
      <c r="X1488" s="91"/>
      <c r="Y1488" s="91"/>
      <c r="Z1488" s="91"/>
      <c r="AA1488" s="91"/>
      <c r="AB1488" s="91"/>
      <c r="AC1488" s="91"/>
      <c r="AD1488" s="91"/>
      <c r="AE1488" s="91"/>
      <c r="AF1488" s="91"/>
      <c r="AG1488" s="91"/>
      <c r="AH1488" s="91"/>
      <c r="AI1488" s="91"/>
      <c r="AJ1488" s="91"/>
      <c r="AK1488" s="91"/>
      <c r="AL1488" s="91"/>
      <c r="AM1488" s="91"/>
    </row>
    <row r="1489" spans="1:39" ht="20.25" customHeight="1">
      <c r="A1489" s="91"/>
      <c r="B1489" s="93" t="s">
        <v>8714</v>
      </c>
      <c r="C1489" s="91" t="s">
        <v>73</v>
      </c>
      <c r="D1489" s="106" t="s">
        <v>8721</v>
      </c>
      <c r="E1489" s="106" t="s">
        <v>8722</v>
      </c>
      <c r="F1489" s="92" t="s">
        <v>8723</v>
      </c>
      <c r="G1489" s="96">
        <v>44927</v>
      </c>
      <c r="H1489" s="97">
        <v>38055</v>
      </c>
      <c r="I1489" s="94" t="s">
        <v>8724</v>
      </c>
      <c r="J1489" s="94" t="s">
        <v>58</v>
      </c>
      <c r="K1489" s="95" t="s">
        <v>58</v>
      </c>
      <c r="L1489" s="91" t="s">
        <v>60</v>
      </c>
      <c r="M1489" s="98">
        <f ca="1">(TODAY()-H1489)/365</f>
        <v>21.772602739726029</v>
      </c>
      <c r="N1489" s="99">
        <f>(G1489-H1489)/365</f>
        <v>18.827397260273973</v>
      </c>
      <c r="O1489" s="98">
        <f ca="1">(TODAY()-G1489)/365</f>
        <v>2.9452054794520546</v>
      </c>
      <c r="P1489" s="91" t="s">
        <v>43</v>
      </c>
      <c r="Q1489" s="91">
        <v>0</v>
      </c>
      <c r="R1489" s="91">
        <v>0</v>
      </c>
      <c r="S1489" s="91">
        <v>0</v>
      </c>
      <c r="T1489" s="91"/>
      <c r="U1489" s="91"/>
      <c r="V1489" s="91"/>
      <c r="W1489" s="91"/>
      <c r="X1489" s="91"/>
      <c r="Y1489" s="91"/>
      <c r="Z1489" s="91"/>
      <c r="AA1489" s="91"/>
      <c r="AB1489" s="91"/>
      <c r="AC1489" s="91"/>
      <c r="AD1489" s="91"/>
      <c r="AE1489" s="91"/>
      <c r="AF1489" s="91"/>
      <c r="AG1489" s="91"/>
      <c r="AH1489" s="91"/>
      <c r="AI1489" s="91"/>
      <c r="AJ1489" s="91"/>
      <c r="AK1489" s="91"/>
      <c r="AL1489" s="91"/>
      <c r="AM1489" s="91"/>
    </row>
    <row r="1490" spans="1:39" ht="20.25" hidden="1" customHeight="1">
      <c r="A1490" s="91"/>
      <c r="B1490" s="93" t="s">
        <v>4783</v>
      </c>
      <c r="C1490" s="91" t="s">
        <v>36</v>
      </c>
      <c r="D1490" s="94" t="s">
        <v>4784</v>
      </c>
      <c r="E1490" s="94" t="s">
        <v>4785</v>
      </c>
      <c r="F1490" s="95" t="s">
        <v>4786</v>
      </c>
      <c r="G1490" s="96">
        <v>44046</v>
      </c>
      <c r="H1490" s="97">
        <v>37120</v>
      </c>
      <c r="I1490" s="94" t="s">
        <v>4787</v>
      </c>
      <c r="J1490" s="94" t="s">
        <v>4788</v>
      </c>
      <c r="K1490" s="95">
        <v>991517980</v>
      </c>
      <c r="L1490" s="91" t="s">
        <v>121</v>
      </c>
      <c r="M1490" s="98">
        <f ca="1">(TODAY()-H1490)/365</f>
        <v>24.334246575342465</v>
      </c>
      <c r="N1490" s="99">
        <f>(G1490-H1490)/365</f>
        <v>18.975342465753425</v>
      </c>
      <c r="O1490" s="98">
        <f ca="1">(TODAY()-G1490)/365</f>
        <v>5.3589041095890408</v>
      </c>
      <c r="P1490" s="91" t="s">
        <v>43</v>
      </c>
      <c r="Q1490" s="91">
        <v>0</v>
      </c>
      <c r="R1490" s="91">
        <v>0</v>
      </c>
      <c r="S1490" s="91">
        <v>0</v>
      </c>
      <c r="T1490" s="91"/>
      <c r="U1490" s="91"/>
      <c r="V1490" s="91"/>
      <c r="W1490" s="91"/>
      <c r="X1490" s="91"/>
      <c r="Y1490" s="91"/>
      <c r="Z1490" s="91"/>
      <c r="AA1490" s="91"/>
      <c r="AB1490" s="91"/>
      <c r="AC1490" s="91"/>
      <c r="AD1490" s="91"/>
      <c r="AE1490" s="91"/>
      <c r="AF1490" s="91"/>
      <c r="AG1490" s="91"/>
      <c r="AH1490" s="91"/>
      <c r="AI1490" s="91"/>
      <c r="AJ1490" s="91"/>
      <c r="AK1490" s="91"/>
      <c r="AL1490" s="91"/>
      <c r="AM1490" s="91"/>
    </row>
    <row r="1491" spans="1:39" ht="20.25" hidden="1" customHeight="1">
      <c r="A1491" s="91"/>
      <c r="B1491" s="93" t="s">
        <v>4783</v>
      </c>
      <c r="C1491" s="91" t="s">
        <v>36</v>
      </c>
      <c r="D1491" s="94" t="s">
        <v>4789</v>
      </c>
      <c r="E1491" s="94" t="s">
        <v>4790</v>
      </c>
      <c r="F1491" s="95" t="s">
        <v>4791</v>
      </c>
      <c r="G1491" s="96">
        <v>45141</v>
      </c>
      <c r="H1491" s="97">
        <v>38020</v>
      </c>
      <c r="I1491" s="94" t="s">
        <v>4792</v>
      </c>
      <c r="J1491" s="94" t="s">
        <v>4793</v>
      </c>
      <c r="K1491" s="95">
        <v>971011477</v>
      </c>
      <c r="L1491" s="91" t="s">
        <v>60</v>
      </c>
      <c r="M1491" s="98">
        <f ca="1">(TODAY()-H1491)/365</f>
        <v>21.86849315068493</v>
      </c>
      <c r="N1491" s="99">
        <f>(G1491-H1491)/365</f>
        <v>19.509589041095889</v>
      </c>
      <c r="O1491" s="98">
        <f ca="1">(TODAY()-G1491)/365</f>
        <v>2.3589041095890413</v>
      </c>
      <c r="P1491" s="91" t="s">
        <v>272</v>
      </c>
      <c r="Q1491" s="91">
        <v>0</v>
      </c>
      <c r="R1491" s="91">
        <v>0</v>
      </c>
      <c r="S1491" s="91">
        <v>0</v>
      </c>
      <c r="T1491" s="91"/>
      <c r="U1491" s="91"/>
      <c r="V1491" s="91"/>
      <c r="W1491" s="91"/>
      <c r="X1491" s="91"/>
      <c r="Y1491" s="91"/>
      <c r="Z1491" s="91"/>
      <c r="AA1491" s="91"/>
      <c r="AB1491" s="91"/>
      <c r="AC1491" s="91"/>
      <c r="AD1491" s="91"/>
      <c r="AE1491" s="91"/>
      <c r="AF1491" s="91"/>
      <c r="AG1491" s="91"/>
      <c r="AH1491" s="91"/>
      <c r="AI1491" s="91"/>
      <c r="AJ1491" s="91"/>
      <c r="AK1491" s="91"/>
      <c r="AL1491" s="91"/>
      <c r="AM1491" s="91"/>
    </row>
    <row r="1492" spans="1:39" ht="20.25" hidden="1" customHeight="1">
      <c r="A1492" s="91"/>
      <c r="B1492" s="93" t="s">
        <v>4783</v>
      </c>
      <c r="C1492" s="91" t="s">
        <v>36</v>
      </c>
      <c r="D1492" s="94" t="s">
        <v>4794</v>
      </c>
      <c r="E1492" s="94" t="s">
        <v>4795</v>
      </c>
      <c r="F1492" s="95" t="s">
        <v>4796</v>
      </c>
      <c r="G1492" s="96">
        <v>45141</v>
      </c>
      <c r="H1492" s="97">
        <v>36505</v>
      </c>
      <c r="I1492" s="100" t="s">
        <v>58</v>
      </c>
      <c r="J1492" s="94" t="s">
        <v>4797</v>
      </c>
      <c r="K1492" s="95">
        <v>957754145</v>
      </c>
      <c r="L1492" s="91" t="s">
        <v>167</v>
      </c>
      <c r="M1492" s="98">
        <f ca="1">(TODAY()-H1492)/365</f>
        <v>26.019178082191782</v>
      </c>
      <c r="N1492" s="99">
        <f>(G1492-H1492)/365</f>
        <v>23.660273972602738</v>
      </c>
      <c r="O1492" s="98">
        <f ca="1">(TODAY()-G1492)/365</f>
        <v>2.3589041095890413</v>
      </c>
      <c r="P1492" s="91" t="s">
        <v>272</v>
      </c>
      <c r="Q1492" s="91">
        <v>0</v>
      </c>
      <c r="R1492" s="91">
        <v>0</v>
      </c>
      <c r="S1492" s="91">
        <v>0</v>
      </c>
      <c r="T1492" s="91"/>
      <c r="U1492" s="91"/>
      <c r="V1492" s="91"/>
      <c r="W1492" s="91"/>
      <c r="X1492" s="91"/>
      <c r="Y1492" s="91"/>
      <c r="Z1492" s="91"/>
      <c r="AA1492" s="91"/>
      <c r="AB1492" s="91"/>
      <c r="AC1492" s="91"/>
      <c r="AD1492" s="91"/>
      <c r="AE1492" s="91"/>
      <c r="AF1492" s="91"/>
      <c r="AG1492" s="91"/>
      <c r="AH1492" s="91"/>
      <c r="AI1492" s="91"/>
      <c r="AJ1492" s="91"/>
      <c r="AK1492" s="91"/>
      <c r="AL1492" s="91"/>
      <c r="AM1492" s="91"/>
    </row>
    <row r="1493" spans="1:39" ht="20.25" hidden="1" customHeight="1">
      <c r="A1493" s="91"/>
      <c r="B1493" s="93" t="s">
        <v>4783</v>
      </c>
      <c r="C1493" s="91" t="s">
        <v>36</v>
      </c>
      <c r="D1493" s="94" t="s">
        <v>4798</v>
      </c>
      <c r="E1493" s="94" t="s">
        <v>4799</v>
      </c>
      <c r="F1493" s="95" t="s">
        <v>4800</v>
      </c>
      <c r="G1493" s="96">
        <v>45421</v>
      </c>
      <c r="H1493" s="97">
        <v>36731</v>
      </c>
      <c r="I1493" s="94" t="s">
        <v>4801</v>
      </c>
      <c r="J1493" s="94" t="s">
        <v>58</v>
      </c>
      <c r="K1493" s="95">
        <v>921747251</v>
      </c>
      <c r="L1493" s="91" t="s">
        <v>60</v>
      </c>
      <c r="M1493" s="98">
        <f ca="1">(TODAY()-H1493)/365</f>
        <v>25.4</v>
      </c>
      <c r="N1493" s="99">
        <f>(G1493-H1493)/365</f>
        <v>23.80821917808219</v>
      </c>
      <c r="O1493" s="98">
        <f ca="1">(TODAY()-G1493)/365</f>
        <v>1.5917808219178082</v>
      </c>
      <c r="P1493" s="91" t="s">
        <v>43</v>
      </c>
      <c r="Q1493" s="91">
        <v>0</v>
      </c>
      <c r="R1493" s="91">
        <v>0</v>
      </c>
      <c r="S1493" s="91">
        <v>0</v>
      </c>
      <c r="T1493" s="91"/>
      <c r="U1493" s="91"/>
      <c r="V1493" s="91"/>
      <c r="W1493" s="91"/>
      <c r="X1493" s="91"/>
      <c r="Y1493" s="91"/>
      <c r="Z1493" s="91"/>
      <c r="AA1493" s="91"/>
      <c r="AB1493" s="91"/>
      <c r="AC1493" s="91"/>
      <c r="AD1493" s="91"/>
      <c r="AE1493" s="91"/>
      <c r="AF1493" s="91"/>
      <c r="AG1493" s="91"/>
      <c r="AH1493" s="91"/>
      <c r="AI1493" s="91"/>
      <c r="AJ1493" s="91"/>
      <c r="AK1493" s="91"/>
      <c r="AL1493" s="91"/>
      <c r="AM1493" s="91"/>
    </row>
    <row r="1494" spans="1:39" ht="20.25" hidden="1" customHeight="1">
      <c r="A1494" s="91"/>
      <c r="B1494" s="93" t="s">
        <v>4783</v>
      </c>
      <c r="C1494" s="91" t="s">
        <v>36</v>
      </c>
      <c r="D1494" s="94" t="s">
        <v>4802</v>
      </c>
      <c r="E1494" s="94" t="s">
        <v>4803</v>
      </c>
      <c r="F1494" s="95" t="s">
        <v>4804</v>
      </c>
      <c r="G1494" s="96">
        <v>44046</v>
      </c>
      <c r="H1494" s="97">
        <v>34659</v>
      </c>
      <c r="I1494" s="94" t="s">
        <v>4805</v>
      </c>
      <c r="J1494" s="94" t="s">
        <v>4788</v>
      </c>
      <c r="K1494" s="95">
        <v>987439456</v>
      </c>
      <c r="L1494" s="91" t="s">
        <v>197</v>
      </c>
      <c r="M1494" s="98">
        <f ca="1">(TODAY()-H1494)/365</f>
        <v>31.076712328767123</v>
      </c>
      <c r="N1494" s="99">
        <f>(G1494-H1494)/365</f>
        <v>25.717808219178082</v>
      </c>
      <c r="O1494" s="98">
        <f ca="1">(TODAY()-G1494)/365</f>
        <v>5.3589041095890408</v>
      </c>
      <c r="P1494" s="91" t="s">
        <v>272</v>
      </c>
      <c r="Q1494" s="91">
        <v>0</v>
      </c>
      <c r="R1494" s="91">
        <v>0</v>
      </c>
      <c r="S1494" s="91">
        <v>0</v>
      </c>
      <c r="T1494" s="91"/>
      <c r="U1494" s="91"/>
      <c r="V1494" s="91"/>
      <c r="W1494" s="91"/>
      <c r="X1494" s="91"/>
      <c r="Y1494" s="91"/>
      <c r="Z1494" s="91"/>
      <c r="AA1494" s="91"/>
      <c r="AB1494" s="91"/>
      <c r="AC1494" s="91"/>
      <c r="AD1494" s="91"/>
      <c r="AE1494" s="91"/>
      <c r="AF1494" s="91"/>
      <c r="AG1494" s="91"/>
      <c r="AH1494" s="91"/>
      <c r="AI1494" s="91"/>
      <c r="AJ1494" s="91"/>
      <c r="AK1494" s="91"/>
      <c r="AL1494" s="91"/>
      <c r="AM1494" s="91"/>
    </row>
    <row r="1495" spans="1:39" ht="20.25" hidden="1" customHeight="1">
      <c r="A1495" s="91"/>
      <c r="B1495" s="93" t="s">
        <v>4783</v>
      </c>
      <c r="C1495" s="91" t="s">
        <v>36</v>
      </c>
      <c r="D1495" s="94" t="s">
        <v>4806</v>
      </c>
      <c r="E1495" s="94" t="s">
        <v>4807</v>
      </c>
      <c r="F1495" s="95" t="s">
        <v>4808</v>
      </c>
      <c r="G1495" s="96">
        <v>45618</v>
      </c>
      <c r="H1495" s="97">
        <v>35974</v>
      </c>
      <c r="I1495" s="94" t="s">
        <v>4809</v>
      </c>
      <c r="J1495" s="94" t="s">
        <v>4810</v>
      </c>
      <c r="K1495" s="95">
        <v>986819847</v>
      </c>
      <c r="L1495" s="91" t="s">
        <v>60</v>
      </c>
      <c r="M1495" s="98">
        <f ca="1">(TODAY()-H1495)/365</f>
        <v>27.473972602739725</v>
      </c>
      <c r="N1495" s="99">
        <f>(G1495-H1495)/365</f>
        <v>26.421917808219177</v>
      </c>
      <c r="O1495" s="98">
        <f ca="1">(TODAY()-G1495)/365</f>
        <v>1.0520547945205478</v>
      </c>
      <c r="P1495" s="91" t="s">
        <v>43</v>
      </c>
      <c r="Q1495" s="91">
        <v>0</v>
      </c>
      <c r="R1495" s="91">
        <v>0</v>
      </c>
      <c r="S1495" s="91">
        <v>0</v>
      </c>
      <c r="T1495" s="91"/>
      <c r="U1495" s="91"/>
      <c r="V1495" s="91"/>
      <c r="W1495" s="91"/>
      <c r="X1495" s="91"/>
      <c r="Y1495" s="91"/>
      <c r="Z1495" s="91"/>
      <c r="AA1495" s="91"/>
      <c r="AB1495" s="91"/>
      <c r="AC1495" s="91"/>
      <c r="AD1495" s="91"/>
      <c r="AE1495" s="91"/>
      <c r="AF1495" s="91"/>
      <c r="AG1495" s="91"/>
      <c r="AH1495" s="91"/>
      <c r="AI1495" s="91"/>
      <c r="AJ1495" s="91"/>
      <c r="AK1495" s="91"/>
      <c r="AL1495" s="91"/>
      <c r="AM1495" s="91"/>
    </row>
    <row r="1496" spans="1:39" ht="20.25" customHeight="1">
      <c r="A1496" s="91"/>
      <c r="B1496" s="93" t="s">
        <v>371</v>
      </c>
      <c r="C1496" s="91" t="s">
        <v>73</v>
      </c>
      <c r="D1496" s="94" t="s">
        <v>455</v>
      </c>
      <c r="E1496" s="94" t="s">
        <v>456</v>
      </c>
      <c r="F1496" s="95" t="s">
        <v>457</v>
      </c>
      <c r="G1496" s="96">
        <v>45217</v>
      </c>
      <c r="H1496" s="97">
        <v>37167</v>
      </c>
      <c r="I1496" s="100" t="s">
        <v>458</v>
      </c>
      <c r="J1496" s="100" t="s">
        <v>58</v>
      </c>
      <c r="K1496" s="91" t="s">
        <v>58</v>
      </c>
      <c r="L1496" s="91" t="s">
        <v>60</v>
      </c>
      <c r="M1496" s="98">
        <f ca="1">(TODAY()-H1496)/365</f>
        <v>24.205479452054796</v>
      </c>
      <c r="N1496" s="99">
        <f>(G1496-H1496)/365</f>
        <v>22.054794520547944</v>
      </c>
      <c r="O1496" s="98">
        <f ca="1">(TODAY()-G1496)/365</f>
        <v>2.1506849315068495</v>
      </c>
      <c r="P1496" s="91" t="s">
        <v>43</v>
      </c>
      <c r="Q1496" s="91">
        <v>0</v>
      </c>
      <c r="R1496" s="91">
        <v>0</v>
      </c>
      <c r="S1496" s="91">
        <v>0</v>
      </c>
      <c r="T1496" s="91"/>
      <c r="U1496" s="91"/>
      <c r="V1496" s="91"/>
      <c r="W1496" s="91"/>
      <c r="X1496" s="91"/>
      <c r="Y1496" s="91"/>
      <c r="Z1496" s="91"/>
      <c r="AA1496" s="91"/>
      <c r="AB1496" s="91"/>
      <c r="AC1496" s="91"/>
      <c r="AD1496" s="91"/>
      <c r="AE1496" s="91"/>
      <c r="AF1496" s="91"/>
      <c r="AG1496" s="91"/>
      <c r="AH1496" s="91"/>
      <c r="AI1496" s="91"/>
      <c r="AJ1496" s="91"/>
      <c r="AK1496" s="91"/>
      <c r="AL1496" s="91"/>
      <c r="AM1496" s="91"/>
    </row>
    <row r="1497" spans="1:39" ht="20.25" hidden="1" customHeight="1">
      <c r="A1497" s="91"/>
      <c r="B1497" s="93" t="s">
        <v>4783</v>
      </c>
      <c r="C1497" s="91" t="s">
        <v>36</v>
      </c>
      <c r="D1497" s="94" t="s">
        <v>126</v>
      </c>
      <c r="E1497" s="94" t="s">
        <v>4815</v>
      </c>
      <c r="F1497" s="95" t="s">
        <v>4816</v>
      </c>
      <c r="G1497" s="96">
        <v>44031</v>
      </c>
      <c r="H1497" s="97">
        <v>32932</v>
      </c>
      <c r="I1497" s="94" t="s">
        <v>4817</v>
      </c>
      <c r="J1497" s="94" t="s">
        <v>4818</v>
      </c>
      <c r="K1497" s="95">
        <v>944667795</v>
      </c>
      <c r="L1497" s="91" t="s">
        <v>66</v>
      </c>
      <c r="M1497" s="98">
        <f ca="1">(TODAY()-H1497)/365</f>
        <v>35.80821917808219</v>
      </c>
      <c r="N1497" s="99">
        <f>(G1497-H1497)/365</f>
        <v>30.408219178082192</v>
      </c>
      <c r="O1497" s="98">
        <f ca="1">(TODAY()-G1497)/365</f>
        <v>5.4</v>
      </c>
      <c r="P1497" s="91" t="s">
        <v>43</v>
      </c>
      <c r="Q1497" s="91">
        <v>1</v>
      </c>
      <c r="R1497" s="91">
        <v>0</v>
      </c>
      <c r="S1497" s="91">
        <v>0</v>
      </c>
      <c r="T1497" s="91"/>
      <c r="U1497" s="91"/>
      <c r="V1497" s="91"/>
      <c r="W1497" s="91"/>
      <c r="X1497" s="91"/>
      <c r="Y1497" s="91"/>
      <c r="Z1497" s="91"/>
      <c r="AA1497" s="91"/>
      <c r="AB1497" s="91"/>
      <c r="AC1497" s="91"/>
      <c r="AD1497" s="91"/>
      <c r="AE1497" s="91"/>
      <c r="AF1497" s="91"/>
      <c r="AG1497" s="91"/>
      <c r="AH1497" s="91"/>
      <c r="AI1497" s="91"/>
      <c r="AJ1497" s="91"/>
      <c r="AK1497" s="91"/>
      <c r="AL1497" s="91"/>
      <c r="AM1497" s="91"/>
    </row>
    <row r="1498" spans="1:39" ht="20.25" hidden="1" customHeight="1">
      <c r="A1498" s="91"/>
      <c r="B1498" s="93" t="s">
        <v>4783</v>
      </c>
      <c r="C1498" s="91" t="s">
        <v>36</v>
      </c>
      <c r="D1498" s="94" t="s">
        <v>4819</v>
      </c>
      <c r="E1498" s="94" t="s">
        <v>4820</v>
      </c>
      <c r="F1498" s="95" t="s">
        <v>4821</v>
      </c>
      <c r="G1498" s="96">
        <v>44046</v>
      </c>
      <c r="H1498" s="97">
        <v>32608</v>
      </c>
      <c r="I1498" s="94" t="s">
        <v>4822</v>
      </c>
      <c r="J1498" s="94" t="s">
        <v>4823</v>
      </c>
      <c r="K1498" s="95">
        <v>950520334</v>
      </c>
      <c r="L1498" s="91" t="s">
        <v>60</v>
      </c>
      <c r="M1498" s="98">
        <f ca="1">(TODAY()-H1498)/365</f>
        <v>36.695890410958903</v>
      </c>
      <c r="N1498" s="99">
        <f>(G1498-H1498)/365</f>
        <v>31.336986301369862</v>
      </c>
      <c r="O1498" s="98">
        <f ca="1">(TODAY()-G1498)/365</f>
        <v>5.3589041095890408</v>
      </c>
      <c r="P1498" s="91" t="s">
        <v>43</v>
      </c>
      <c r="Q1498" s="91">
        <v>0</v>
      </c>
      <c r="R1498" s="91">
        <v>0</v>
      </c>
      <c r="S1498" s="91">
        <v>0</v>
      </c>
      <c r="T1498" s="91"/>
      <c r="U1498" s="91"/>
      <c r="V1498" s="91"/>
      <c r="W1498" s="91"/>
      <c r="X1498" s="91"/>
      <c r="Y1498" s="91"/>
      <c r="Z1498" s="91"/>
      <c r="AA1498" s="91"/>
      <c r="AB1498" s="91"/>
      <c r="AC1498" s="91"/>
      <c r="AD1498" s="91"/>
      <c r="AE1498" s="91"/>
      <c r="AF1498" s="91"/>
      <c r="AG1498" s="91"/>
      <c r="AH1498" s="91"/>
      <c r="AI1498" s="91"/>
      <c r="AJ1498" s="91"/>
      <c r="AK1498" s="91"/>
      <c r="AL1498" s="91"/>
      <c r="AM1498" s="91"/>
    </row>
    <row r="1499" spans="1:39" ht="20.25" hidden="1" customHeight="1">
      <c r="A1499" s="91"/>
      <c r="B1499" s="93" t="s">
        <v>4783</v>
      </c>
      <c r="C1499" s="91" t="s">
        <v>36</v>
      </c>
      <c r="D1499" s="94" t="s">
        <v>4824</v>
      </c>
      <c r="E1499" s="94" t="s">
        <v>4825</v>
      </c>
      <c r="F1499" s="95" t="s">
        <v>4826</v>
      </c>
      <c r="G1499" s="96">
        <v>40919</v>
      </c>
      <c r="H1499" s="97">
        <v>27867</v>
      </c>
      <c r="I1499" s="94" t="s">
        <v>4827</v>
      </c>
      <c r="J1499" s="94" t="s">
        <v>4828</v>
      </c>
      <c r="K1499" s="95">
        <v>990833852</v>
      </c>
      <c r="L1499" s="91" t="s">
        <v>42</v>
      </c>
      <c r="M1499" s="98">
        <f ca="1">(TODAY()-H1499)/365</f>
        <v>49.684931506849317</v>
      </c>
      <c r="N1499" s="99">
        <f>(G1499-H1499)/365</f>
        <v>35.758904109589039</v>
      </c>
      <c r="O1499" s="98">
        <f ca="1">(TODAY()-G1499)/365</f>
        <v>13.926027397260274</v>
      </c>
      <c r="P1499" s="91" t="s">
        <v>43</v>
      </c>
      <c r="Q1499" s="91">
        <v>0</v>
      </c>
      <c r="R1499" s="91">
        <v>0</v>
      </c>
      <c r="S1499" s="91">
        <v>0</v>
      </c>
      <c r="T1499" s="91"/>
      <c r="U1499" s="91"/>
      <c r="V1499" s="91"/>
      <c r="W1499" s="91"/>
      <c r="X1499" s="91"/>
      <c r="Y1499" s="91"/>
      <c r="Z1499" s="91"/>
      <c r="AA1499" s="91"/>
      <c r="AB1499" s="91"/>
      <c r="AC1499" s="91"/>
      <c r="AD1499" s="91"/>
      <c r="AE1499" s="91"/>
      <c r="AF1499" s="91"/>
      <c r="AG1499" s="91"/>
      <c r="AH1499" s="91"/>
      <c r="AI1499" s="91"/>
      <c r="AJ1499" s="91"/>
      <c r="AK1499" s="91"/>
      <c r="AL1499" s="91"/>
      <c r="AM1499" s="91"/>
    </row>
    <row r="1500" spans="1:39" ht="20.25" customHeight="1">
      <c r="A1500" s="91"/>
      <c r="B1500" s="93" t="s">
        <v>8287</v>
      </c>
      <c r="C1500" s="91" t="s">
        <v>73</v>
      </c>
      <c r="D1500" s="94" t="s">
        <v>1225</v>
      </c>
      <c r="E1500" s="94" t="s">
        <v>8362</v>
      </c>
      <c r="F1500" s="95" t="s">
        <v>8363</v>
      </c>
      <c r="G1500" s="96">
        <v>45256</v>
      </c>
      <c r="H1500" s="97">
        <v>23050</v>
      </c>
      <c r="I1500" s="94" t="s">
        <v>8364</v>
      </c>
      <c r="J1500" s="100" t="s">
        <v>58</v>
      </c>
      <c r="K1500" s="91" t="s">
        <v>58</v>
      </c>
      <c r="L1500" s="91" t="s">
        <v>60</v>
      </c>
      <c r="M1500" s="98">
        <f ca="1">(TODAY()-H1500)/365</f>
        <v>62.88219178082192</v>
      </c>
      <c r="N1500" s="99">
        <f>(G1500-H1500)/365</f>
        <v>60.838356164383562</v>
      </c>
      <c r="O1500" s="98">
        <f ca="1">(TODAY()-G1500)/365</f>
        <v>2.043835616438356</v>
      </c>
      <c r="P1500" s="91" t="s">
        <v>43</v>
      </c>
      <c r="Q1500" s="91">
        <v>0</v>
      </c>
      <c r="R1500" s="91">
        <v>0</v>
      </c>
      <c r="S1500" s="91">
        <v>0</v>
      </c>
      <c r="T1500" s="91"/>
      <c r="U1500" s="91"/>
      <c r="V1500" s="91"/>
      <c r="W1500" s="91"/>
      <c r="X1500" s="91"/>
      <c r="Y1500" s="91"/>
      <c r="Z1500" s="91"/>
      <c r="AA1500" s="91"/>
      <c r="AB1500" s="91"/>
      <c r="AC1500" s="91"/>
      <c r="AD1500" s="91"/>
      <c r="AE1500" s="91"/>
      <c r="AF1500" s="91"/>
      <c r="AG1500" s="91"/>
      <c r="AH1500" s="91"/>
      <c r="AI1500" s="91"/>
      <c r="AJ1500" s="91"/>
      <c r="AK1500" s="91"/>
      <c r="AL1500" s="91"/>
      <c r="AM1500" s="91"/>
    </row>
    <row r="1501" spans="1:39" ht="20.25" hidden="1" customHeight="1">
      <c r="A1501" s="91"/>
      <c r="B1501" s="93" t="s">
        <v>4783</v>
      </c>
      <c r="C1501" s="91" t="s">
        <v>36</v>
      </c>
      <c r="D1501" s="94" t="s">
        <v>4833</v>
      </c>
      <c r="E1501" s="94" t="s">
        <v>4834</v>
      </c>
      <c r="F1501" s="95" t="s">
        <v>4835</v>
      </c>
      <c r="G1501" s="96">
        <v>45547</v>
      </c>
      <c r="H1501" s="97">
        <v>29476</v>
      </c>
      <c r="I1501" s="94" t="s">
        <v>4836</v>
      </c>
      <c r="J1501" s="94" t="s">
        <v>4837</v>
      </c>
      <c r="K1501" s="95">
        <v>933931857</v>
      </c>
      <c r="L1501" s="91" t="s">
        <v>60</v>
      </c>
      <c r="M1501" s="98">
        <f ca="1">(TODAY()-H1501)/365</f>
        <v>45.276712328767125</v>
      </c>
      <c r="N1501" s="99">
        <f>(G1501-H1501)/365</f>
        <v>44.030136986301372</v>
      </c>
      <c r="O1501" s="98">
        <f ca="1">(TODAY()-G1501)/365</f>
        <v>1.2465753424657535</v>
      </c>
      <c r="P1501" s="91" t="s">
        <v>43</v>
      </c>
      <c r="Q1501" s="91">
        <v>0</v>
      </c>
      <c r="R1501" s="91">
        <v>0</v>
      </c>
      <c r="S1501" s="91">
        <v>0</v>
      </c>
      <c r="T1501" s="91"/>
      <c r="U1501" s="91"/>
      <c r="V1501" s="91"/>
      <c r="W1501" s="91"/>
      <c r="X1501" s="91"/>
      <c r="Y1501" s="91"/>
      <c r="Z1501" s="91"/>
      <c r="AA1501" s="91"/>
      <c r="AB1501" s="91"/>
      <c r="AC1501" s="91"/>
      <c r="AD1501" s="91"/>
      <c r="AE1501" s="91"/>
      <c r="AF1501" s="91"/>
      <c r="AG1501" s="91"/>
      <c r="AH1501" s="91"/>
      <c r="AI1501" s="91"/>
      <c r="AJ1501" s="91"/>
      <c r="AK1501" s="91"/>
      <c r="AL1501" s="91"/>
      <c r="AM1501" s="91"/>
    </row>
    <row r="1502" spans="1:39" ht="20.25" hidden="1" customHeight="1">
      <c r="A1502" s="91"/>
      <c r="B1502" s="93" t="s">
        <v>4783</v>
      </c>
      <c r="C1502" s="91" t="s">
        <v>36</v>
      </c>
      <c r="D1502" s="94" t="s">
        <v>4838</v>
      </c>
      <c r="E1502" s="94" t="s">
        <v>4839</v>
      </c>
      <c r="F1502" s="95" t="s">
        <v>4840</v>
      </c>
      <c r="G1502" s="96">
        <v>44841</v>
      </c>
      <c r="H1502" s="97">
        <v>27189</v>
      </c>
      <c r="I1502" s="94" t="s">
        <v>4841</v>
      </c>
      <c r="J1502" s="94" t="s">
        <v>4842</v>
      </c>
      <c r="K1502" s="95">
        <v>999358955</v>
      </c>
      <c r="L1502" s="91" t="s">
        <v>60</v>
      </c>
      <c r="M1502" s="98">
        <f ca="1">(TODAY()-H1502)/365</f>
        <v>51.542465753424658</v>
      </c>
      <c r="N1502" s="99">
        <f>(G1502-H1502)/365</f>
        <v>48.361643835616441</v>
      </c>
      <c r="O1502" s="98">
        <f ca="1">(TODAY()-G1502)/365</f>
        <v>3.1808219178082191</v>
      </c>
      <c r="P1502" s="91" t="s">
        <v>43</v>
      </c>
      <c r="Q1502" s="91">
        <v>0</v>
      </c>
      <c r="R1502" s="91">
        <v>0</v>
      </c>
      <c r="S1502" s="91">
        <v>0</v>
      </c>
      <c r="T1502" s="91"/>
      <c r="U1502" s="91"/>
      <c r="V1502" s="91"/>
      <c r="W1502" s="91"/>
      <c r="X1502" s="91"/>
      <c r="Y1502" s="91"/>
      <c r="Z1502" s="91"/>
      <c r="AA1502" s="91"/>
      <c r="AB1502" s="91"/>
      <c r="AC1502" s="91"/>
      <c r="AD1502" s="91"/>
      <c r="AE1502" s="91"/>
      <c r="AF1502" s="91"/>
      <c r="AG1502" s="91"/>
      <c r="AH1502" s="91"/>
      <c r="AI1502" s="91"/>
      <c r="AJ1502" s="91"/>
      <c r="AK1502" s="91"/>
      <c r="AL1502" s="91"/>
      <c r="AM1502" s="91"/>
    </row>
    <row r="1503" spans="1:39" ht="20.25" hidden="1" customHeight="1">
      <c r="A1503" s="91"/>
      <c r="B1503" s="93" t="s">
        <v>4783</v>
      </c>
      <c r="C1503" s="91" t="s">
        <v>36</v>
      </c>
      <c r="D1503" s="94" t="s">
        <v>4843</v>
      </c>
      <c r="E1503" s="94" t="s">
        <v>4844</v>
      </c>
      <c r="F1503" s="95" t="s">
        <v>4845</v>
      </c>
      <c r="G1503" s="96">
        <v>44046</v>
      </c>
      <c r="H1503" s="97">
        <v>25700</v>
      </c>
      <c r="I1503" s="94" t="s">
        <v>4846</v>
      </c>
      <c r="J1503" s="94" t="s">
        <v>4847</v>
      </c>
      <c r="K1503" s="95">
        <v>977313922</v>
      </c>
      <c r="L1503" s="91" t="s">
        <v>54</v>
      </c>
      <c r="M1503" s="98">
        <f ca="1">(TODAY()-H1503)/365</f>
        <v>55.62191780821918</v>
      </c>
      <c r="N1503" s="99">
        <f>(G1503-H1503)/365</f>
        <v>50.263013698630139</v>
      </c>
      <c r="O1503" s="98">
        <f ca="1">(TODAY()-G1503)/365</f>
        <v>5.3589041095890408</v>
      </c>
      <c r="P1503" s="91" t="s">
        <v>272</v>
      </c>
      <c r="Q1503" s="91">
        <v>0</v>
      </c>
      <c r="R1503" s="91">
        <v>0</v>
      </c>
      <c r="S1503" s="91">
        <v>0</v>
      </c>
      <c r="T1503" s="91"/>
      <c r="U1503" s="91"/>
      <c r="V1503" s="91"/>
      <c r="W1503" s="91"/>
      <c r="X1503" s="91"/>
      <c r="Y1503" s="91"/>
      <c r="Z1503" s="91"/>
      <c r="AA1503" s="91"/>
      <c r="AB1503" s="91"/>
      <c r="AC1503" s="91"/>
      <c r="AD1503" s="91"/>
      <c r="AE1503" s="91"/>
      <c r="AF1503" s="91"/>
      <c r="AG1503" s="91"/>
      <c r="AH1503" s="91"/>
      <c r="AI1503" s="91"/>
      <c r="AJ1503" s="91"/>
      <c r="AK1503" s="91"/>
      <c r="AL1503" s="91"/>
      <c r="AM1503" s="91"/>
    </row>
    <row r="1504" spans="1:39" ht="20.25" customHeight="1">
      <c r="A1504" s="91"/>
      <c r="B1504" s="93" t="s">
        <v>637</v>
      </c>
      <c r="C1504" s="91" t="s">
        <v>73</v>
      </c>
      <c r="D1504" s="94" t="s">
        <v>142</v>
      </c>
      <c r="E1504" s="94" t="s">
        <v>736</v>
      </c>
      <c r="F1504" s="95" t="s">
        <v>737</v>
      </c>
      <c r="G1504" s="96" t="s">
        <v>58</v>
      </c>
      <c r="H1504" s="97">
        <v>34197</v>
      </c>
      <c r="I1504" s="94" t="s">
        <v>58</v>
      </c>
      <c r="J1504" s="94" t="s">
        <v>58</v>
      </c>
      <c r="K1504" s="95" t="s">
        <v>58</v>
      </c>
      <c r="L1504" s="91" t="s">
        <v>60</v>
      </c>
      <c r="M1504" s="98">
        <f ca="1">(TODAY()-H1504)/365</f>
        <v>32.342465753424655</v>
      </c>
      <c r="N1504" s="95" t="s">
        <v>58</v>
      </c>
      <c r="O1504" s="98" t="e">
        <f ca="1">(TODAY()-G1504)/365</f>
        <v>#VALUE!</v>
      </c>
      <c r="P1504" s="91" t="s">
        <v>272</v>
      </c>
      <c r="Q1504" s="91">
        <v>0</v>
      </c>
      <c r="R1504" s="91">
        <v>0</v>
      </c>
      <c r="S1504" s="91">
        <v>0</v>
      </c>
      <c r="T1504" s="91"/>
      <c r="U1504" s="91"/>
      <c r="V1504" s="91"/>
      <c r="W1504" s="91"/>
      <c r="X1504" s="91"/>
      <c r="Y1504" s="91"/>
      <c r="Z1504" s="91"/>
      <c r="AA1504" s="91"/>
      <c r="AB1504" s="91"/>
      <c r="AC1504" s="91"/>
      <c r="AD1504" s="91"/>
      <c r="AE1504" s="91"/>
      <c r="AF1504" s="91"/>
      <c r="AG1504" s="91"/>
      <c r="AH1504" s="91"/>
      <c r="AI1504" s="91"/>
      <c r="AJ1504" s="91"/>
      <c r="AK1504" s="91"/>
      <c r="AL1504" s="91"/>
      <c r="AM1504" s="91"/>
    </row>
    <row r="1505" spans="1:39" ht="20.25" hidden="1" customHeight="1">
      <c r="A1505" s="91"/>
      <c r="B1505" s="93" t="s">
        <v>4783</v>
      </c>
      <c r="C1505" s="91" t="s">
        <v>36</v>
      </c>
      <c r="D1505" s="94" t="s">
        <v>633</v>
      </c>
      <c r="E1505" s="94" t="s">
        <v>4852</v>
      </c>
      <c r="F1505" s="95" t="s">
        <v>4853</v>
      </c>
      <c r="G1505" s="96">
        <v>44776</v>
      </c>
      <c r="H1505" s="97">
        <v>23180</v>
      </c>
      <c r="I1505" s="105" t="s">
        <v>4854</v>
      </c>
      <c r="J1505" s="94" t="s">
        <v>4855</v>
      </c>
      <c r="K1505" s="95">
        <v>9262252405</v>
      </c>
      <c r="L1505" s="91" t="s">
        <v>72</v>
      </c>
      <c r="M1505" s="98">
        <f ca="1">(TODAY()-H1505)/365</f>
        <v>62.526027397260272</v>
      </c>
      <c r="N1505" s="99">
        <f>(G1505-H1505)/365</f>
        <v>59.167123287671231</v>
      </c>
      <c r="O1505" s="98">
        <f ca="1">(TODAY()-G1505)/365</f>
        <v>3.3589041095890413</v>
      </c>
      <c r="P1505" s="91" t="s">
        <v>43</v>
      </c>
      <c r="Q1505" s="91">
        <v>0</v>
      </c>
      <c r="R1505" s="91">
        <v>0</v>
      </c>
      <c r="S1505" s="91">
        <v>0</v>
      </c>
      <c r="T1505" s="91"/>
      <c r="U1505" s="91"/>
      <c r="V1505" s="91"/>
      <c r="W1505" s="91"/>
      <c r="X1505" s="91"/>
      <c r="Y1505" s="91"/>
      <c r="Z1505" s="91"/>
      <c r="AA1505" s="91"/>
      <c r="AB1505" s="91"/>
      <c r="AC1505" s="91"/>
      <c r="AD1505" s="91"/>
      <c r="AE1505" s="91"/>
      <c r="AF1505" s="91"/>
      <c r="AG1505" s="91"/>
      <c r="AH1505" s="91"/>
      <c r="AI1505" s="91"/>
      <c r="AJ1505" s="91"/>
      <c r="AK1505" s="91"/>
      <c r="AL1505" s="91"/>
      <c r="AM1505" s="91"/>
    </row>
    <row r="1506" spans="1:39" ht="20.25" hidden="1" customHeight="1">
      <c r="A1506" s="91"/>
      <c r="B1506" s="93" t="s">
        <v>4783</v>
      </c>
      <c r="C1506" s="91" t="s">
        <v>36</v>
      </c>
      <c r="D1506" s="94" t="s">
        <v>4856</v>
      </c>
      <c r="E1506" s="94" t="s">
        <v>4857</v>
      </c>
      <c r="F1506" s="95" t="s">
        <v>4858</v>
      </c>
      <c r="G1506" s="96">
        <v>44046</v>
      </c>
      <c r="H1506" s="97">
        <v>22022</v>
      </c>
      <c r="I1506" s="94" t="s">
        <v>4859</v>
      </c>
      <c r="J1506" s="94" t="s">
        <v>4860</v>
      </c>
      <c r="K1506" s="95">
        <v>976878274</v>
      </c>
      <c r="L1506" s="91" t="s">
        <v>60</v>
      </c>
      <c r="M1506" s="98">
        <f ca="1">(TODAY()-H1506)/365</f>
        <v>65.698630136986296</v>
      </c>
      <c r="N1506" s="99">
        <f>(G1506-H1506)/365</f>
        <v>60.339726027397262</v>
      </c>
      <c r="O1506" s="98">
        <f ca="1">(TODAY()-G1506)/365</f>
        <v>5.3589041095890408</v>
      </c>
      <c r="P1506" s="91" t="s">
        <v>272</v>
      </c>
      <c r="Q1506" s="91">
        <v>0</v>
      </c>
      <c r="R1506" s="91">
        <v>0</v>
      </c>
      <c r="S1506" s="91">
        <v>0</v>
      </c>
      <c r="T1506" s="91"/>
      <c r="U1506" s="91"/>
      <c r="V1506" s="91"/>
      <c r="W1506" s="91"/>
      <c r="X1506" s="91"/>
      <c r="Y1506" s="91"/>
      <c r="Z1506" s="91"/>
      <c r="AA1506" s="91"/>
      <c r="AB1506" s="91"/>
      <c r="AC1506" s="91"/>
      <c r="AD1506" s="91"/>
      <c r="AE1506" s="91"/>
      <c r="AF1506" s="91"/>
      <c r="AG1506" s="91"/>
      <c r="AH1506" s="91"/>
      <c r="AI1506" s="91"/>
      <c r="AJ1506" s="91"/>
      <c r="AK1506" s="91"/>
      <c r="AL1506" s="91"/>
      <c r="AM1506" s="91"/>
    </row>
    <row r="1507" spans="1:39" ht="20.25" hidden="1" customHeight="1">
      <c r="A1507" s="91"/>
      <c r="B1507" s="93" t="s">
        <v>4783</v>
      </c>
      <c r="C1507" s="91" t="s">
        <v>36</v>
      </c>
      <c r="D1507" s="94" t="s">
        <v>4861</v>
      </c>
      <c r="E1507" s="94" t="s">
        <v>4862</v>
      </c>
      <c r="F1507" s="95" t="s">
        <v>4863</v>
      </c>
      <c r="G1507" s="96">
        <v>44412</v>
      </c>
      <c r="H1507" s="97">
        <v>21951</v>
      </c>
      <c r="I1507" s="94" t="s">
        <v>4864</v>
      </c>
      <c r="J1507" s="94" t="s">
        <v>4865</v>
      </c>
      <c r="K1507" s="95">
        <v>954787717</v>
      </c>
      <c r="L1507" s="91" t="s">
        <v>60</v>
      </c>
      <c r="M1507" s="98">
        <f ca="1">(TODAY()-H1507)/365</f>
        <v>65.893150684931513</v>
      </c>
      <c r="N1507" s="99">
        <f>(G1507-H1507)/365</f>
        <v>61.536986301369865</v>
      </c>
      <c r="O1507" s="98">
        <f ca="1">(TODAY()-G1507)/365</f>
        <v>4.3561643835616435</v>
      </c>
      <c r="P1507" s="91" t="s">
        <v>43</v>
      </c>
      <c r="Q1507" s="91">
        <v>0</v>
      </c>
      <c r="R1507" s="91">
        <v>0</v>
      </c>
      <c r="S1507" s="91">
        <v>0</v>
      </c>
      <c r="T1507" s="91"/>
      <c r="U1507" s="91"/>
      <c r="V1507" s="91"/>
      <c r="W1507" s="91"/>
      <c r="X1507" s="91"/>
      <c r="Y1507" s="91"/>
      <c r="Z1507" s="91"/>
      <c r="AA1507" s="91"/>
      <c r="AB1507" s="91"/>
      <c r="AC1507" s="91"/>
      <c r="AD1507" s="91"/>
      <c r="AE1507" s="91"/>
      <c r="AF1507" s="91"/>
      <c r="AG1507" s="91"/>
      <c r="AH1507" s="91"/>
      <c r="AI1507" s="91"/>
      <c r="AJ1507" s="91"/>
      <c r="AK1507" s="91"/>
      <c r="AL1507" s="91"/>
      <c r="AM1507" s="91"/>
    </row>
    <row r="1508" spans="1:39" ht="20.25" hidden="1" customHeight="1">
      <c r="A1508" s="91"/>
      <c r="B1508" s="93" t="s">
        <v>4783</v>
      </c>
      <c r="C1508" s="91" t="s">
        <v>36</v>
      </c>
      <c r="D1508" s="94" t="s">
        <v>4866</v>
      </c>
      <c r="E1508" s="94" t="s">
        <v>4867</v>
      </c>
      <c r="F1508" s="95" t="s">
        <v>4868</v>
      </c>
      <c r="G1508" s="96">
        <v>43028</v>
      </c>
      <c r="H1508" s="97">
        <v>20073</v>
      </c>
      <c r="I1508" s="100" t="s">
        <v>58</v>
      </c>
      <c r="J1508" s="94" t="s">
        <v>4847</v>
      </c>
      <c r="K1508" s="95">
        <v>921934011</v>
      </c>
      <c r="L1508" s="91" t="s">
        <v>60</v>
      </c>
      <c r="M1508" s="98">
        <f ca="1">(TODAY()-H1508)/365</f>
        <v>71.038356164383558</v>
      </c>
      <c r="N1508" s="99">
        <f>(G1508-H1508)/365</f>
        <v>62.890410958904113</v>
      </c>
      <c r="O1508" s="98">
        <f ca="1">(TODAY()-G1508)/365</f>
        <v>8.1479452054794521</v>
      </c>
      <c r="P1508" s="91" t="s">
        <v>43</v>
      </c>
      <c r="Q1508" s="91">
        <v>0</v>
      </c>
      <c r="R1508" s="91">
        <v>0</v>
      </c>
      <c r="S1508" s="91">
        <v>0</v>
      </c>
      <c r="T1508" s="91"/>
      <c r="U1508" s="91"/>
      <c r="V1508" s="91"/>
      <c r="W1508" s="91"/>
      <c r="X1508" s="91"/>
      <c r="Y1508" s="91"/>
      <c r="Z1508" s="91"/>
      <c r="AA1508" s="91"/>
      <c r="AB1508" s="91"/>
      <c r="AC1508" s="91"/>
      <c r="AD1508" s="91"/>
      <c r="AE1508" s="91"/>
      <c r="AF1508" s="91"/>
      <c r="AG1508" s="91"/>
      <c r="AH1508" s="91"/>
      <c r="AI1508" s="91"/>
      <c r="AJ1508" s="91"/>
      <c r="AK1508" s="91"/>
      <c r="AL1508" s="91"/>
      <c r="AM1508" s="91"/>
    </row>
    <row r="1509" spans="1:39" ht="20.25" hidden="1" customHeight="1">
      <c r="A1509" s="91"/>
      <c r="B1509" s="93" t="s">
        <v>4783</v>
      </c>
      <c r="C1509" s="91" t="s">
        <v>36</v>
      </c>
      <c r="D1509" s="94" t="s">
        <v>4869</v>
      </c>
      <c r="E1509" s="94" t="s">
        <v>4870</v>
      </c>
      <c r="F1509" s="95" t="s">
        <v>4871</v>
      </c>
      <c r="G1509" s="96">
        <v>44046</v>
      </c>
      <c r="H1509" s="97" t="s">
        <v>58</v>
      </c>
      <c r="I1509" s="94" t="s">
        <v>4872</v>
      </c>
      <c r="J1509" s="94" t="s">
        <v>4873</v>
      </c>
      <c r="K1509" s="95">
        <v>986689919</v>
      </c>
      <c r="L1509" s="91" t="s">
        <v>60</v>
      </c>
      <c r="M1509" s="98">
        <v>0</v>
      </c>
      <c r="N1509" s="95"/>
      <c r="O1509" s="98">
        <f ca="1">(TODAY()-G1509)/365</f>
        <v>5.3589041095890408</v>
      </c>
      <c r="P1509" s="91" t="s">
        <v>43</v>
      </c>
      <c r="Q1509" s="91">
        <v>0</v>
      </c>
      <c r="R1509" s="91">
        <v>0</v>
      </c>
      <c r="S1509" s="91">
        <v>0</v>
      </c>
      <c r="T1509" s="91"/>
      <c r="U1509" s="91"/>
      <c r="V1509" s="91"/>
      <c r="W1509" s="91"/>
      <c r="X1509" s="91"/>
      <c r="Y1509" s="91"/>
      <c r="Z1509" s="91"/>
      <c r="AA1509" s="91"/>
      <c r="AB1509" s="91"/>
      <c r="AC1509" s="91"/>
      <c r="AD1509" s="91"/>
      <c r="AE1509" s="91"/>
      <c r="AF1509" s="91"/>
      <c r="AG1509" s="91"/>
      <c r="AH1509" s="91"/>
      <c r="AI1509" s="91"/>
      <c r="AJ1509" s="91"/>
      <c r="AK1509" s="91"/>
      <c r="AL1509" s="91"/>
      <c r="AM1509" s="91"/>
    </row>
    <row r="1510" spans="1:39" ht="20.25" hidden="1" customHeight="1">
      <c r="A1510" s="91"/>
      <c r="B1510" s="93" t="s">
        <v>4783</v>
      </c>
      <c r="C1510" s="91" t="s">
        <v>36</v>
      </c>
      <c r="D1510" s="94" t="s">
        <v>4874</v>
      </c>
      <c r="E1510" s="94" t="s">
        <v>4875</v>
      </c>
      <c r="F1510" s="95" t="s">
        <v>4876</v>
      </c>
      <c r="G1510" s="96">
        <v>45159</v>
      </c>
      <c r="H1510" s="103" t="s">
        <v>58</v>
      </c>
      <c r="I1510" s="94" t="s">
        <v>4877</v>
      </c>
      <c r="J1510" s="94" t="s">
        <v>4878</v>
      </c>
      <c r="K1510" s="95">
        <v>947636227</v>
      </c>
      <c r="L1510" s="91" t="s">
        <v>60</v>
      </c>
      <c r="M1510" s="98">
        <v>0</v>
      </c>
      <c r="N1510" s="95"/>
      <c r="O1510" s="98">
        <f ca="1">(TODAY()-G1510)/365</f>
        <v>2.3095890410958906</v>
      </c>
      <c r="P1510" s="91" t="s">
        <v>272</v>
      </c>
      <c r="Q1510" s="91">
        <v>0</v>
      </c>
      <c r="R1510" s="91">
        <v>0</v>
      </c>
      <c r="S1510" s="91">
        <v>0</v>
      </c>
      <c r="T1510" s="91"/>
      <c r="U1510" s="91"/>
      <c r="V1510" s="91"/>
      <c r="W1510" s="91"/>
      <c r="X1510" s="91"/>
      <c r="Y1510" s="91"/>
      <c r="Z1510" s="91"/>
      <c r="AA1510" s="91"/>
      <c r="AB1510" s="91"/>
      <c r="AC1510" s="91"/>
      <c r="AD1510" s="91"/>
      <c r="AE1510" s="91"/>
      <c r="AF1510" s="91"/>
      <c r="AG1510" s="91"/>
      <c r="AH1510" s="91"/>
      <c r="AI1510" s="91"/>
      <c r="AJ1510" s="91"/>
      <c r="AK1510" s="91"/>
      <c r="AL1510" s="91"/>
      <c r="AM1510" s="91"/>
    </row>
    <row r="1511" spans="1:39" ht="20.25" hidden="1" customHeight="1">
      <c r="A1511" s="91"/>
      <c r="B1511" s="93" t="s">
        <v>4783</v>
      </c>
      <c r="C1511" s="91" t="s">
        <v>36</v>
      </c>
      <c r="D1511" s="94" t="s">
        <v>4879</v>
      </c>
      <c r="E1511" s="94" t="s">
        <v>4880</v>
      </c>
      <c r="F1511" s="95" t="s">
        <v>4881</v>
      </c>
      <c r="G1511" s="96">
        <v>45141</v>
      </c>
      <c r="H1511" s="97">
        <v>20554</v>
      </c>
      <c r="I1511" s="100" t="s">
        <v>58</v>
      </c>
      <c r="J1511" s="94" t="s">
        <v>4882</v>
      </c>
      <c r="K1511" s="95">
        <v>975681012</v>
      </c>
      <c r="L1511" s="91" t="s">
        <v>60</v>
      </c>
      <c r="M1511" s="98">
        <f ca="1">(TODAY()-H1511)/365</f>
        <v>69.720547945205482</v>
      </c>
      <c r="N1511" s="99">
        <f>(G1511-H1511)/365</f>
        <v>67.361643835616434</v>
      </c>
      <c r="O1511" s="98">
        <f ca="1">(TODAY()-G1511)/365</f>
        <v>2.3589041095890413</v>
      </c>
      <c r="P1511" s="91" t="s">
        <v>43</v>
      </c>
      <c r="Q1511" s="91">
        <v>0</v>
      </c>
      <c r="R1511" s="91">
        <v>0</v>
      </c>
      <c r="S1511" s="91">
        <v>0</v>
      </c>
      <c r="T1511" s="91"/>
      <c r="U1511" s="91"/>
      <c r="V1511" s="91"/>
      <c r="W1511" s="91"/>
      <c r="X1511" s="91"/>
      <c r="Y1511" s="91"/>
      <c r="Z1511" s="91"/>
      <c r="AA1511" s="91"/>
      <c r="AB1511" s="91"/>
      <c r="AC1511" s="91"/>
      <c r="AD1511" s="91"/>
      <c r="AE1511" s="91"/>
      <c r="AF1511" s="91"/>
      <c r="AG1511" s="91"/>
      <c r="AH1511" s="91"/>
      <c r="AI1511" s="91"/>
      <c r="AJ1511" s="91"/>
      <c r="AK1511" s="91"/>
      <c r="AL1511" s="91"/>
      <c r="AM1511" s="91"/>
    </row>
    <row r="1512" spans="1:39" ht="20.25" hidden="1" customHeight="1">
      <c r="A1512" s="91"/>
      <c r="B1512" s="93" t="s">
        <v>4783</v>
      </c>
      <c r="C1512" s="91" t="s">
        <v>36</v>
      </c>
      <c r="D1512" s="94" t="s">
        <v>4883</v>
      </c>
      <c r="E1512" s="94" t="s">
        <v>4884</v>
      </c>
      <c r="F1512" s="95" t="s">
        <v>4885</v>
      </c>
      <c r="G1512" s="96">
        <v>44046</v>
      </c>
      <c r="H1512" s="97">
        <v>36091</v>
      </c>
      <c r="I1512" s="94" t="s">
        <v>4886</v>
      </c>
      <c r="J1512" s="94" t="s">
        <v>4887</v>
      </c>
      <c r="K1512" s="95">
        <v>973840839</v>
      </c>
      <c r="L1512" s="91" t="s">
        <v>49</v>
      </c>
      <c r="M1512" s="98">
        <f ca="1">(TODAY()-H1512)/365</f>
        <v>27.153424657534245</v>
      </c>
      <c r="N1512" s="99">
        <f>(G1512-H1512)/365</f>
        <v>21.794520547945204</v>
      </c>
      <c r="O1512" s="98">
        <f ca="1">(TODAY()-G1512)/365</f>
        <v>5.3589041095890408</v>
      </c>
      <c r="P1512" s="91" t="s">
        <v>43</v>
      </c>
      <c r="Q1512" s="91">
        <v>0</v>
      </c>
      <c r="R1512" s="91">
        <v>0</v>
      </c>
      <c r="S1512" s="91">
        <v>0</v>
      </c>
      <c r="T1512" s="91"/>
      <c r="U1512" s="91"/>
      <c r="V1512" s="91"/>
      <c r="W1512" s="91"/>
      <c r="X1512" s="91"/>
      <c r="Y1512" s="91"/>
      <c r="Z1512" s="91"/>
      <c r="AA1512" s="91"/>
      <c r="AB1512" s="91"/>
      <c r="AC1512" s="91"/>
      <c r="AD1512" s="91"/>
      <c r="AE1512" s="91"/>
      <c r="AF1512" s="91"/>
      <c r="AG1512" s="91"/>
      <c r="AH1512" s="91"/>
      <c r="AI1512" s="91"/>
      <c r="AJ1512" s="91"/>
      <c r="AK1512" s="91"/>
      <c r="AL1512" s="91"/>
      <c r="AM1512" s="91"/>
    </row>
    <row r="1513" spans="1:39" ht="20.25" hidden="1" customHeight="1">
      <c r="A1513" s="91"/>
      <c r="B1513" s="93" t="s">
        <v>4783</v>
      </c>
      <c r="C1513" s="91" t="s">
        <v>36</v>
      </c>
      <c r="D1513" s="94" t="s">
        <v>4888</v>
      </c>
      <c r="E1513" s="94" t="s">
        <v>1516</v>
      </c>
      <c r="F1513" s="95" t="s">
        <v>4889</v>
      </c>
      <c r="G1513" s="97" t="s">
        <v>58</v>
      </c>
      <c r="H1513" s="97">
        <v>36913</v>
      </c>
      <c r="I1513" s="94" t="s">
        <v>4890</v>
      </c>
      <c r="J1513" s="94" t="s">
        <v>4891</v>
      </c>
      <c r="K1513" s="95">
        <v>954952726</v>
      </c>
      <c r="L1513" s="91" t="s">
        <v>60</v>
      </c>
      <c r="M1513" s="98">
        <f ca="1">(TODAY()-H1513)/365</f>
        <v>24.901369863013699</v>
      </c>
      <c r="N1513" s="95" t="s">
        <v>58</v>
      </c>
      <c r="O1513" s="98" t="e">
        <f ca="1">(TODAY()-G1513)/365</f>
        <v>#VALUE!</v>
      </c>
      <c r="P1513" s="91" t="s">
        <v>43</v>
      </c>
      <c r="Q1513" s="91">
        <v>0</v>
      </c>
      <c r="R1513" s="91">
        <v>0</v>
      </c>
      <c r="S1513" s="91">
        <v>0</v>
      </c>
      <c r="T1513" s="91"/>
      <c r="U1513" s="91"/>
      <c r="V1513" s="91"/>
      <c r="W1513" s="91"/>
      <c r="X1513" s="91"/>
      <c r="Y1513" s="91"/>
      <c r="Z1513" s="91"/>
      <c r="AA1513" s="91"/>
      <c r="AB1513" s="91"/>
      <c r="AC1513" s="91"/>
      <c r="AD1513" s="91"/>
      <c r="AE1513" s="91"/>
      <c r="AF1513" s="91"/>
      <c r="AG1513" s="91"/>
      <c r="AH1513" s="91"/>
      <c r="AI1513" s="91"/>
      <c r="AJ1513" s="91"/>
      <c r="AK1513" s="91"/>
      <c r="AL1513" s="91"/>
      <c r="AM1513" s="91"/>
    </row>
    <row r="1514" spans="1:39" ht="20.25" hidden="1" customHeight="1">
      <c r="A1514" s="91"/>
      <c r="B1514" s="93" t="s">
        <v>4783</v>
      </c>
      <c r="C1514" s="91" t="s">
        <v>36</v>
      </c>
      <c r="D1514" s="94" t="s">
        <v>4892</v>
      </c>
      <c r="E1514" s="94" t="s">
        <v>4893</v>
      </c>
      <c r="F1514" s="95" t="s">
        <v>4894</v>
      </c>
      <c r="G1514" s="97" t="s">
        <v>58</v>
      </c>
      <c r="H1514" s="97">
        <v>36824</v>
      </c>
      <c r="I1514" s="94" t="s">
        <v>4895</v>
      </c>
      <c r="J1514" s="94" t="s">
        <v>58</v>
      </c>
      <c r="K1514" s="95">
        <v>950381865</v>
      </c>
      <c r="L1514" s="91" t="s">
        <v>60</v>
      </c>
      <c r="M1514" s="98">
        <f ca="1">(TODAY()-H1514)/365</f>
        <v>25.145205479452056</v>
      </c>
      <c r="N1514" s="95" t="s">
        <v>58</v>
      </c>
      <c r="O1514" s="98" t="e">
        <f ca="1">(TODAY()-G1514)/365</f>
        <v>#VALUE!</v>
      </c>
      <c r="P1514" s="91" t="s">
        <v>43</v>
      </c>
      <c r="Q1514" s="91">
        <v>0</v>
      </c>
      <c r="R1514" s="91">
        <v>0</v>
      </c>
      <c r="S1514" s="91">
        <v>0</v>
      </c>
      <c r="T1514" s="91"/>
      <c r="U1514" s="91"/>
      <c r="V1514" s="91"/>
      <c r="W1514" s="91"/>
      <c r="X1514" s="91"/>
      <c r="Y1514" s="91"/>
      <c r="Z1514" s="91"/>
      <c r="AA1514" s="91"/>
      <c r="AB1514" s="91"/>
      <c r="AC1514" s="91"/>
      <c r="AD1514" s="91"/>
      <c r="AE1514" s="91"/>
      <c r="AF1514" s="91"/>
      <c r="AG1514" s="91"/>
      <c r="AH1514" s="91"/>
      <c r="AI1514" s="91"/>
      <c r="AJ1514" s="91"/>
      <c r="AK1514" s="91"/>
      <c r="AL1514" s="91"/>
      <c r="AM1514" s="91"/>
    </row>
    <row r="1515" spans="1:39" ht="20.25" hidden="1" customHeight="1">
      <c r="A1515" s="91"/>
      <c r="B1515" s="93" t="s">
        <v>4896</v>
      </c>
      <c r="C1515" s="91" t="s">
        <v>36</v>
      </c>
      <c r="D1515" s="107" t="s">
        <v>4897</v>
      </c>
      <c r="E1515" s="107" t="s">
        <v>4898</v>
      </c>
      <c r="F1515" s="91" t="s">
        <v>4899</v>
      </c>
      <c r="G1515" s="96">
        <v>44469</v>
      </c>
      <c r="H1515" s="97">
        <v>40570</v>
      </c>
      <c r="I1515" s="100" t="s">
        <v>4900</v>
      </c>
      <c r="J1515" s="94" t="s">
        <v>58</v>
      </c>
      <c r="K1515" s="95" t="s">
        <v>58</v>
      </c>
      <c r="L1515" s="91" t="s">
        <v>60</v>
      </c>
      <c r="M1515" s="98">
        <f ca="1">(TODAY()-H1515)/365</f>
        <v>14.882191780821918</v>
      </c>
      <c r="N1515" s="99">
        <f>(G1515-H1515)/365</f>
        <v>10.682191780821919</v>
      </c>
      <c r="O1515" s="98">
        <f ca="1">(TODAY()-G1515)/365</f>
        <v>4.2</v>
      </c>
      <c r="P1515" s="91" t="s">
        <v>43</v>
      </c>
      <c r="Q1515" s="91">
        <v>0</v>
      </c>
      <c r="R1515" s="91">
        <v>0</v>
      </c>
      <c r="S1515" s="91">
        <v>0</v>
      </c>
      <c r="T1515" s="91"/>
      <c r="U1515" s="91"/>
      <c r="V1515" s="91"/>
      <c r="W1515" s="91"/>
      <c r="X1515" s="91"/>
      <c r="Y1515" s="91"/>
      <c r="Z1515" s="91"/>
      <c r="AA1515" s="91"/>
      <c r="AB1515" s="91"/>
      <c r="AC1515" s="91"/>
      <c r="AD1515" s="91"/>
      <c r="AE1515" s="91"/>
      <c r="AF1515" s="91"/>
      <c r="AG1515" s="91"/>
      <c r="AH1515" s="91"/>
      <c r="AI1515" s="91"/>
      <c r="AJ1515" s="91"/>
      <c r="AK1515" s="91"/>
      <c r="AL1515" s="91"/>
      <c r="AM1515" s="91"/>
    </row>
    <row r="1516" spans="1:39" ht="20.25" hidden="1" customHeight="1">
      <c r="A1516" s="91"/>
      <c r="B1516" s="93" t="s">
        <v>4896</v>
      </c>
      <c r="C1516" s="91" t="s">
        <v>36</v>
      </c>
      <c r="D1516" s="107" t="s">
        <v>4901</v>
      </c>
      <c r="E1516" s="107" t="s">
        <v>4898</v>
      </c>
      <c r="F1516" s="91" t="s">
        <v>4902</v>
      </c>
      <c r="G1516" s="96">
        <v>44469</v>
      </c>
      <c r="H1516" s="97">
        <v>39383</v>
      </c>
      <c r="I1516" s="100" t="s">
        <v>4903</v>
      </c>
      <c r="J1516" s="94" t="s">
        <v>58</v>
      </c>
      <c r="K1516" s="95" t="s">
        <v>58</v>
      </c>
      <c r="L1516" s="91" t="s">
        <v>60</v>
      </c>
      <c r="M1516" s="98">
        <f ca="1">(TODAY()-H1516)/365</f>
        <v>18.134246575342466</v>
      </c>
      <c r="N1516" s="99">
        <f>(G1516-H1516)/365</f>
        <v>13.934246575342465</v>
      </c>
      <c r="O1516" s="98">
        <f ca="1">(TODAY()-G1516)/365</f>
        <v>4.2</v>
      </c>
      <c r="P1516" s="91" t="s">
        <v>43</v>
      </c>
      <c r="Q1516" s="91">
        <v>0</v>
      </c>
      <c r="R1516" s="91">
        <v>0</v>
      </c>
      <c r="S1516" s="91">
        <v>0</v>
      </c>
      <c r="T1516" s="91"/>
      <c r="U1516" s="91"/>
      <c r="V1516" s="91"/>
      <c r="W1516" s="91"/>
      <c r="X1516" s="91"/>
      <c r="Y1516" s="91"/>
      <c r="Z1516" s="91"/>
      <c r="AA1516" s="91"/>
      <c r="AB1516" s="91"/>
      <c r="AC1516" s="91"/>
      <c r="AD1516" s="91"/>
      <c r="AE1516" s="91"/>
      <c r="AF1516" s="91"/>
      <c r="AG1516" s="91"/>
      <c r="AH1516" s="91"/>
      <c r="AI1516" s="91"/>
      <c r="AJ1516" s="91"/>
      <c r="AK1516" s="91"/>
      <c r="AL1516" s="91"/>
      <c r="AM1516" s="91"/>
    </row>
    <row r="1517" spans="1:39" ht="20.25" hidden="1" customHeight="1">
      <c r="A1517" s="91"/>
      <c r="B1517" s="93" t="s">
        <v>4896</v>
      </c>
      <c r="C1517" s="91" t="s">
        <v>36</v>
      </c>
      <c r="D1517" s="107" t="s">
        <v>4904</v>
      </c>
      <c r="E1517" s="107" t="s">
        <v>4905</v>
      </c>
      <c r="F1517" s="91" t="s">
        <v>4906</v>
      </c>
      <c r="G1517" s="96">
        <v>45594</v>
      </c>
      <c r="H1517" s="97">
        <v>40124</v>
      </c>
      <c r="I1517" s="108" t="s">
        <v>12370</v>
      </c>
      <c r="J1517" s="94" t="s">
        <v>58</v>
      </c>
      <c r="K1517" s="95" t="s">
        <v>58</v>
      </c>
      <c r="L1517" s="91" t="s">
        <v>60</v>
      </c>
      <c r="M1517" s="98">
        <f ca="1">(TODAY()-H1517)/365</f>
        <v>16.104109589041094</v>
      </c>
      <c r="N1517" s="99">
        <f>(G1517-H1517)/365</f>
        <v>14.986301369863014</v>
      </c>
      <c r="O1517" s="98">
        <f ca="1">(TODAY()-G1517)/365</f>
        <v>1.1178082191780823</v>
      </c>
      <c r="P1517" s="91" t="s">
        <v>43</v>
      </c>
      <c r="Q1517" s="91">
        <v>0</v>
      </c>
      <c r="R1517" s="91">
        <v>0</v>
      </c>
      <c r="S1517" s="91">
        <v>0</v>
      </c>
      <c r="T1517" s="91"/>
      <c r="U1517" s="91"/>
      <c r="V1517" s="91"/>
      <c r="W1517" s="91"/>
      <c r="X1517" s="91"/>
      <c r="Y1517" s="91"/>
      <c r="Z1517" s="91"/>
      <c r="AA1517" s="91"/>
      <c r="AB1517" s="91"/>
      <c r="AC1517" s="91"/>
      <c r="AD1517" s="91"/>
      <c r="AE1517" s="91"/>
      <c r="AF1517" s="91"/>
      <c r="AG1517" s="91"/>
      <c r="AH1517" s="91"/>
      <c r="AI1517" s="91"/>
      <c r="AJ1517" s="91"/>
      <c r="AK1517" s="91"/>
      <c r="AL1517" s="91"/>
      <c r="AM1517" s="91"/>
    </row>
    <row r="1518" spans="1:39" ht="20.25" hidden="1" customHeight="1">
      <c r="A1518" s="91"/>
      <c r="B1518" s="93" t="s">
        <v>4896</v>
      </c>
      <c r="C1518" s="91" t="s">
        <v>36</v>
      </c>
      <c r="D1518" s="107" t="s">
        <v>4907</v>
      </c>
      <c r="E1518" s="107" t="s">
        <v>4908</v>
      </c>
      <c r="F1518" s="91" t="s">
        <v>4909</v>
      </c>
      <c r="G1518" s="96">
        <v>45594</v>
      </c>
      <c r="H1518" s="97">
        <v>40000</v>
      </c>
      <c r="I1518" s="100" t="s">
        <v>4910</v>
      </c>
      <c r="J1518" s="94" t="s">
        <v>58</v>
      </c>
      <c r="K1518" s="95" t="s">
        <v>58</v>
      </c>
      <c r="L1518" s="91" t="s">
        <v>60</v>
      </c>
      <c r="M1518" s="98">
        <f ca="1">(TODAY()-H1518)/365</f>
        <v>16.443835616438356</v>
      </c>
      <c r="N1518" s="99">
        <f>(G1518-H1518)/365</f>
        <v>15.326027397260274</v>
      </c>
      <c r="O1518" s="98">
        <f ca="1">(TODAY()-G1518)/365</f>
        <v>1.1178082191780823</v>
      </c>
      <c r="P1518" s="91" t="s">
        <v>43</v>
      </c>
      <c r="Q1518" s="91">
        <v>0</v>
      </c>
      <c r="R1518" s="91">
        <v>0</v>
      </c>
      <c r="S1518" s="91">
        <v>0</v>
      </c>
      <c r="T1518" s="91"/>
      <c r="U1518" s="91"/>
      <c r="V1518" s="91"/>
      <c r="W1518" s="91"/>
      <c r="X1518" s="91"/>
      <c r="Y1518" s="91"/>
      <c r="Z1518" s="91"/>
      <c r="AA1518" s="91"/>
      <c r="AB1518" s="91"/>
      <c r="AC1518" s="91"/>
      <c r="AD1518" s="91"/>
      <c r="AE1518" s="91"/>
      <c r="AF1518" s="91"/>
      <c r="AG1518" s="91"/>
      <c r="AH1518" s="91"/>
      <c r="AI1518" s="91"/>
      <c r="AJ1518" s="91"/>
      <c r="AK1518" s="91"/>
      <c r="AL1518" s="91"/>
      <c r="AM1518" s="91"/>
    </row>
    <row r="1519" spans="1:39" ht="20.25" hidden="1" customHeight="1">
      <c r="A1519" s="91"/>
      <c r="B1519" s="93" t="s">
        <v>4896</v>
      </c>
      <c r="C1519" s="91" t="s">
        <v>36</v>
      </c>
      <c r="D1519" s="107" t="s">
        <v>4911</v>
      </c>
      <c r="E1519" s="107" t="s">
        <v>4912</v>
      </c>
      <c r="F1519" s="91" t="s">
        <v>4913</v>
      </c>
      <c r="G1519" s="96">
        <v>45022</v>
      </c>
      <c r="H1519" s="97">
        <v>39305</v>
      </c>
      <c r="I1519" s="100" t="s">
        <v>4914</v>
      </c>
      <c r="J1519" s="94" t="s">
        <v>58</v>
      </c>
      <c r="K1519" s="95" t="s">
        <v>58</v>
      </c>
      <c r="L1519" s="91" t="s">
        <v>60</v>
      </c>
      <c r="M1519" s="98">
        <f ca="1">(TODAY()-H1519)/365</f>
        <v>18.347945205479451</v>
      </c>
      <c r="N1519" s="99">
        <f>(G1519-H1519)/365</f>
        <v>15.663013698630136</v>
      </c>
      <c r="O1519" s="98">
        <f ca="1">(TODAY()-G1519)/365</f>
        <v>2.6849315068493151</v>
      </c>
      <c r="P1519" s="91" t="s">
        <v>272</v>
      </c>
      <c r="Q1519" s="91">
        <v>0</v>
      </c>
      <c r="R1519" s="91">
        <v>0</v>
      </c>
      <c r="S1519" s="91">
        <v>0</v>
      </c>
      <c r="T1519" s="91"/>
      <c r="U1519" s="91"/>
      <c r="V1519" s="91"/>
      <c r="W1519" s="91"/>
      <c r="X1519" s="91"/>
      <c r="Y1519" s="91"/>
      <c r="Z1519" s="91"/>
      <c r="AA1519" s="91"/>
      <c r="AB1519" s="91"/>
      <c r="AC1519" s="91"/>
      <c r="AD1519" s="91"/>
      <c r="AE1519" s="91"/>
      <c r="AF1519" s="91"/>
      <c r="AG1519" s="91"/>
      <c r="AH1519" s="91"/>
      <c r="AI1519" s="91"/>
      <c r="AJ1519" s="91"/>
      <c r="AK1519" s="91"/>
      <c r="AL1519" s="91"/>
      <c r="AM1519" s="91"/>
    </row>
    <row r="1520" spans="1:39" ht="20.25" hidden="1" customHeight="1">
      <c r="A1520" s="91"/>
      <c r="B1520" s="93" t="s">
        <v>4896</v>
      </c>
      <c r="C1520" s="91" t="s">
        <v>36</v>
      </c>
      <c r="D1520" s="107" t="s">
        <v>4915</v>
      </c>
      <c r="E1520" s="107" t="s">
        <v>4916</v>
      </c>
      <c r="F1520" s="91" t="s">
        <v>4917</v>
      </c>
      <c r="G1520" s="96">
        <v>44449</v>
      </c>
      <c r="H1520" s="97">
        <v>38525</v>
      </c>
      <c r="I1520" s="100" t="s">
        <v>4918</v>
      </c>
      <c r="J1520" s="94" t="s">
        <v>58</v>
      </c>
      <c r="K1520" s="95" t="s">
        <v>58</v>
      </c>
      <c r="L1520" s="91" t="s">
        <v>60</v>
      </c>
      <c r="M1520" s="98">
        <f ca="1">(TODAY()-H1520)/365</f>
        <v>20.484931506849314</v>
      </c>
      <c r="N1520" s="99">
        <f>(G1520-H1520)/365</f>
        <v>16.230136986301371</v>
      </c>
      <c r="O1520" s="98">
        <f ca="1">(TODAY()-G1520)/365</f>
        <v>4.2547945205479456</v>
      </c>
      <c r="P1520" s="91" t="s">
        <v>43</v>
      </c>
      <c r="Q1520" s="91">
        <v>0</v>
      </c>
      <c r="R1520" s="91">
        <v>0</v>
      </c>
      <c r="S1520" s="91">
        <v>0</v>
      </c>
      <c r="T1520" s="91"/>
      <c r="U1520" s="91"/>
      <c r="V1520" s="91"/>
      <c r="W1520" s="91"/>
      <c r="X1520" s="91"/>
      <c r="Y1520" s="91"/>
      <c r="Z1520" s="91"/>
      <c r="AA1520" s="91"/>
      <c r="AB1520" s="91"/>
      <c r="AC1520" s="91"/>
      <c r="AD1520" s="91"/>
      <c r="AE1520" s="91"/>
      <c r="AF1520" s="91"/>
      <c r="AG1520" s="91"/>
      <c r="AH1520" s="91"/>
      <c r="AI1520" s="91"/>
      <c r="AJ1520" s="91"/>
      <c r="AK1520" s="91"/>
      <c r="AL1520" s="91"/>
      <c r="AM1520" s="91"/>
    </row>
    <row r="1521" spans="1:39" ht="20.25" customHeight="1">
      <c r="A1521" s="128"/>
      <c r="B1521" s="93" t="s">
        <v>11273</v>
      </c>
      <c r="C1521" s="91" t="s">
        <v>73</v>
      </c>
      <c r="D1521" s="106" t="s">
        <v>754</v>
      </c>
      <c r="E1521" s="106" t="s">
        <v>11428</v>
      </c>
      <c r="F1521" s="92" t="s">
        <v>11429</v>
      </c>
      <c r="G1521" s="103">
        <v>42506</v>
      </c>
      <c r="H1521" s="103">
        <v>37203</v>
      </c>
      <c r="I1521" s="94" t="s">
        <v>58</v>
      </c>
      <c r="J1521" s="100" t="s">
        <v>58</v>
      </c>
      <c r="K1521" s="95" t="s">
        <v>58</v>
      </c>
      <c r="L1521" s="91"/>
      <c r="M1521" s="98">
        <f ca="1">(TODAY()-H1521)/365</f>
        <v>24.106849315068494</v>
      </c>
      <c r="N1521" s="99">
        <f>(G1521-H1521)/365</f>
        <v>14.528767123287672</v>
      </c>
      <c r="O1521" s="98">
        <f ca="1">(TODAY()-G1521)/365</f>
        <v>9.5780821917808225</v>
      </c>
      <c r="P1521" s="91" t="s">
        <v>272</v>
      </c>
      <c r="Q1521" s="91"/>
      <c r="R1521" s="91"/>
      <c r="S1521" s="91"/>
      <c r="T1521" s="91"/>
      <c r="U1521" s="91"/>
      <c r="V1521" s="91"/>
      <c r="W1521" s="91"/>
      <c r="X1521" s="91"/>
      <c r="Y1521" s="91"/>
      <c r="Z1521" s="91"/>
      <c r="AA1521" s="91"/>
      <c r="AB1521" s="91"/>
      <c r="AC1521" s="91"/>
      <c r="AD1521" s="91"/>
      <c r="AE1521" s="91"/>
      <c r="AF1521" s="91"/>
      <c r="AG1521" s="91"/>
      <c r="AH1521" s="91"/>
      <c r="AI1521" s="91"/>
      <c r="AJ1521" s="91"/>
      <c r="AK1521" s="91"/>
      <c r="AL1521" s="91"/>
      <c r="AM1521" s="91"/>
    </row>
    <row r="1522" spans="1:39" ht="20.25" hidden="1" customHeight="1">
      <c r="A1522" s="91"/>
      <c r="B1522" s="93" t="s">
        <v>4896</v>
      </c>
      <c r="C1522" s="91" t="s">
        <v>36</v>
      </c>
      <c r="D1522" s="107" t="s">
        <v>4922</v>
      </c>
      <c r="E1522" s="107" t="s">
        <v>4923</v>
      </c>
      <c r="F1522" s="91" t="s">
        <v>4924</v>
      </c>
      <c r="G1522" s="96">
        <v>44146</v>
      </c>
      <c r="H1522" s="97">
        <v>38200</v>
      </c>
      <c r="I1522" s="100" t="s">
        <v>4925</v>
      </c>
      <c r="J1522" s="94" t="s">
        <v>58</v>
      </c>
      <c r="K1522" s="95" t="s">
        <v>58</v>
      </c>
      <c r="L1522" s="91" t="s">
        <v>60</v>
      </c>
      <c r="M1522" s="98">
        <f ca="1">(TODAY()-H1522)/365</f>
        <v>21.375342465753423</v>
      </c>
      <c r="N1522" s="99">
        <f>(G1522-H1522)/365</f>
        <v>16.290410958904111</v>
      </c>
      <c r="O1522" s="98">
        <f ca="1">(TODAY()-G1522)/365</f>
        <v>5.0849315068493155</v>
      </c>
      <c r="P1522" s="91" t="s">
        <v>43</v>
      </c>
      <c r="Q1522" s="91">
        <v>0</v>
      </c>
      <c r="R1522" s="91">
        <v>0</v>
      </c>
      <c r="S1522" s="91">
        <v>0</v>
      </c>
      <c r="T1522" s="91"/>
      <c r="U1522" s="91"/>
      <c r="V1522" s="91"/>
      <c r="W1522" s="91"/>
      <c r="X1522" s="91"/>
      <c r="Y1522" s="91"/>
      <c r="Z1522" s="91"/>
      <c r="AA1522" s="91"/>
      <c r="AB1522" s="91"/>
      <c r="AC1522" s="91"/>
      <c r="AD1522" s="91"/>
      <c r="AE1522" s="91"/>
      <c r="AF1522" s="91"/>
      <c r="AG1522" s="91"/>
      <c r="AH1522" s="91"/>
      <c r="AI1522" s="91"/>
      <c r="AJ1522" s="91"/>
      <c r="AK1522" s="91"/>
      <c r="AL1522" s="91"/>
      <c r="AM1522" s="91"/>
    </row>
    <row r="1523" spans="1:39" ht="20.25" customHeight="1">
      <c r="A1523" s="91"/>
      <c r="B1523" s="93" t="s">
        <v>8714</v>
      </c>
      <c r="C1523" s="91" t="s">
        <v>73</v>
      </c>
      <c r="D1523" s="106" t="s">
        <v>8809</v>
      </c>
      <c r="E1523" s="106" t="s">
        <v>8810</v>
      </c>
      <c r="F1523" s="92" t="s">
        <v>8811</v>
      </c>
      <c r="G1523" s="96">
        <v>44681</v>
      </c>
      <c r="H1523" s="97">
        <v>28108</v>
      </c>
      <c r="I1523" s="94" t="s">
        <v>8812</v>
      </c>
      <c r="J1523" s="94" t="s">
        <v>58</v>
      </c>
      <c r="K1523" s="95" t="s">
        <v>58</v>
      </c>
      <c r="L1523" s="91" t="s">
        <v>60</v>
      </c>
      <c r="M1523" s="98">
        <f ca="1">(TODAY()-H1523)/365</f>
        <v>49.024657534246572</v>
      </c>
      <c r="N1523" s="99">
        <f>(G1523-H1523)/365</f>
        <v>45.405479452054792</v>
      </c>
      <c r="O1523" s="98">
        <f ca="1">(TODAY()-G1523)/365</f>
        <v>3.6191780821917807</v>
      </c>
      <c r="P1523" s="91" t="s">
        <v>43</v>
      </c>
      <c r="Q1523" s="91">
        <v>0</v>
      </c>
      <c r="R1523" s="91">
        <v>0</v>
      </c>
      <c r="S1523" s="91">
        <v>0</v>
      </c>
      <c r="T1523" s="91"/>
      <c r="U1523" s="91"/>
      <c r="V1523" s="91"/>
      <c r="W1523" s="91"/>
      <c r="X1523" s="91"/>
      <c r="Y1523" s="91"/>
      <c r="Z1523" s="91"/>
      <c r="AA1523" s="91"/>
      <c r="AB1523" s="91"/>
      <c r="AC1523" s="91"/>
      <c r="AD1523" s="91"/>
      <c r="AE1523" s="91"/>
      <c r="AF1523" s="91"/>
      <c r="AG1523" s="91"/>
      <c r="AH1523" s="91"/>
      <c r="AI1523" s="91"/>
      <c r="AJ1523" s="91"/>
      <c r="AK1523" s="91"/>
      <c r="AL1523" s="91"/>
      <c r="AM1523" s="91"/>
    </row>
    <row r="1524" spans="1:39" ht="20.25" hidden="1" customHeight="1">
      <c r="A1524" s="91"/>
      <c r="B1524" s="93" t="s">
        <v>4896</v>
      </c>
      <c r="C1524" s="91" t="s">
        <v>36</v>
      </c>
      <c r="D1524" s="107" t="s">
        <v>4929</v>
      </c>
      <c r="E1524" s="107" t="s">
        <v>4930</v>
      </c>
      <c r="F1524" s="91" t="s">
        <v>4931</v>
      </c>
      <c r="G1524" s="96">
        <v>44476</v>
      </c>
      <c r="H1524" s="97">
        <v>38418</v>
      </c>
      <c r="I1524" s="100" t="s">
        <v>4932</v>
      </c>
      <c r="J1524" s="94" t="s">
        <v>58</v>
      </c>
      <c r="K1524" s="95" t="s">
        <v>58</v>
      </c>
      <c r="L1524" s="91" t="s">
        <v>60</v>
      </c>
      <c r="M1524" s="98">
        <f ca="1">(TODAY()-H1524)/365</f>
        <v>20.778082191780822</v>
      </c>
      <c r="N1524" s="99">
        <f>(G1524-H1524)/365</f>
        <v>16.597260273972601</v>
      </c>
      <c r="O1524" s="98">
        <f ca="1">(TODAY()-G1524)/365</f>
        <v>4.1808219178082195</v>
      </c>
      <c r="P1524" s="91" t="s">
        <v>272</v>
      </c>
      <c r="Q1524" s="91">
        <v>0</v>
      </c>
      <c r="R1524" s="91">
        <v>0</v>
      </c>
      <c r="S1524" s="91">
        <v>0</v>
      </c>
      <c r="T1524" s="91"/>
      <c r="U1524" s="91"/>
      <c r="V1524" s="91"/>
      <c r="W1524" s="91"/>
      <c r="X1524" s="91"/>
      <c r="Y1524" s="91"/>
      <c r="Z1524" s="91"/>
      <c r="AA1524" s="91"/>
      <c r="AB1524" s="91"/>
      <c r="AC1524" s="91"/>
      <c r="AD1524" s="91"/>
      <c r="AE1524" s="91"/>
      <c r="AF1524" s="91"/>
      <c r="AG1524" s="91"/>
      <c r="AH1524" s="91"/>
      <c r="AI1524" s="91"/>
      <c r="AJ1524" s="91"/>
      <c r="AK1524" s="91"/>
      <c r="AL1524" s="91"/>
      <c r="AM1524" s="91"/>
    </row>
    <row r="1525" spans="1:39" ht="20.25" hidden="1" customHeight="1">
      <c r="A1525" s="91"/>
      <c r="B1525" s="93" t="s">
        <v>4896</v>
      </c>
      <c r="C1525" s="91" t="s">
        <v>36</v>
      </c>
      <c r="D1525" s="107" t="s">
        <v>4933</v>
      </c>
      <c r="E1525" s="107" t="s">
        <v>4934</v>
      </c>
      <c r="F1525" s="91" t="s">
        <v>4935</v>
      </c>
      <c r="G1525" s="96">
        <v>45549</v>
      </c>
      <c r="H1525" s="97">
        <v>39431</v>
      </c>
      <c r="I1525" s="100" t="s">
        <v>4936</v>
      </c>
      <c r="J1525" s="94" t="s">
        <v>58</v>
      </c>
      <c r="K1525" s="95" t="s">
        <v>58</v>
      </c>
      <c r="L1525" s="91" t="s">
        <v>60</v>
      </c>
      <c r="M1525" s="98">
        <f ca="1">(TODAY()-H1525)/365</f>
        <v>18.002739726027396</v>
      </c>
      <c r="N1525" s="99">
        <f>(G1525-H1525)/365</f>
        <v>16.761643835616439</v>
      </c>
      <c r="O1525" s="98">
        <f ca="1">(TODAY()-G1525)/365</f>
        <v>1.2410958904109588</v>
      </c>
      <c r="P1525" s="91" t="s">
        <v>43</v>
      </c>
      <c r="Q1525" s="91">
        <v>0</v>
      </c>
      <c r="R1525" s="91">
        <v>0</v>
      </c>
      <c r="S1525" s="91">
        <v>0</v>
      </c>
      <c r="T1525" s="91"/>
      <c r="U1525" s="91"/>
      <c r="V1525" s="91"/>
      <c r="W1525" s="91"/>
      <c r="X1525" s="91"/>
      <c r="Y1525" s="91"/>
      <c r="Z1525" s="91"/>
      <c r="AA1525" s="91"/>
      <c r="AB1525" s="91"/>
      <c r="AC1525" s="91"/>
      <c r="AD1525" s="91"/>
      <c r="AE1525" s="91"/>
      <c r="AF1525" s="91"/>
      <c r="AG1525" s="91"/>
      <c r="AH1525" s="91"/>
      <c r="AI1525" s="91"/>
      <c r="AJ1525" s="91"/>
      <c r="AK1525" s="91"/>
      <c r="AL1525" s="91"/>
      <c r="AM1525" s="91"/>
    </row>
    <row r="1526" spans="1:39" ht="20.25" hidden="1" customHeight="1">
      <c r="A1526" s="91"/>
      <c r="B1526" s="93" t="s">
        <v>4896</v>
      </c>
      <c r="C1526" s="91" t="s">
        <v>36</v>
      </c>
      <c r="D1526" s="107" t="s">
        <v>4937</v>
      </c>
      <c r="E1526" s="107" t="s">
        <v>4938</v>
      </c>
      <c r="F1526" s="91" t="s">
        <v>4939</v>
      </c>
      <c r="G1526" s="96">
        <v>44531</v>
      </c>
      <c r="H1526" s="97">
        <v>38330</v>
      </c>
      <c r="I1526" s="108" t="s">
        <v>12371</v>
      </c>
      <c r="J1526" s="94" t="s">
        <v>58</v>
      </c>
      <c r="K1526" s="95" t="s">
        <v>58</v>
      </c>
      <c r="L1526" s="91" t="s">
        <v>60</v>
      </c>
      <c r="M1526" s="98">
        <f ca="1">(TODAY()-H1526)/365</f>
        <v>21.019178082191782</v>
      </c>
      <c r="N1526" s="99">
        <f>(G1526-H1526)/365</f>
        <v>16.989041095890411</v>
      </c>
      <c r="O1526" s="98">
        <f ca="1">(TODAY()-G1526)/365</f>
        <v>4.0301369863013701</v>
      </c>
      <c r="P1526" s="91" t="s">
        <v>43</v>
      </c>
      <c r="Q1526" s="91">
        <v>0</v>
      </c>
      <c r="R1526" s="91">
        <v>0</v>
      </c>
      <c r="S1526" s="91">
        <v>0</v>
      </c>
      <c r="T1526" s="91"/>
      <c r="U1526" s="91"/>
      <c r="V1526" s="91"/>
      <c r="W1526" s="91"/>
      <c r="X1526" s="91"/>
      <c r="Y1526" s="91"/>
      <c r="Z1526" s="91"/>
      <c r="AA1526" s="91"/>
      <c r="AB1526" s="91"/>
      <c r="AC1526" s="91"/>
      <c r="AD1526" s="91"/>
      <c r="AE1526" s="91"/>
      <c r="AF1526" s="91"/>
      <c r="AG1526" s="91"/>
      <c r="AH1526" s="91"/>
      <c r="AI1526" s="91"/>
      <c r="AJ1526" s="91"/>
      <c r="AK1526" s="91"/>
      <c r="AL1526" s="91"/>
      <c r="AM1526" s="91"/>
    </row>
    <row r="1527" spans="1:39" ht="20.25" hidden="1" customHeight="1">
      <c r="A1527" s="91"/>
      <c r="B1527" s="93" t="s">
        <v>4896</v>
      </c>
      <c r="C1527" s="91" t="s">
        <v>36</v>
      </c>
      <c r="D1527" s="107" t="s">
        <v>4940</v>
      </c>
      <c r="E1527" s="107" t="s">
        <v>4941</v>
      </c>
      <c r="F1527" s="91" t="s">
        <v>4942</v>
      </c>
      <c r="G1527" s="96">
        <v>44683</v>
      </c>
      <c r="H1527" s="97">
        <v>38376</v>
      </c>
      <c r="I1527" s="100" t="s">
        <v>4943</v>
      </c>
      <c r="J1527" s="94" t="s">
        <v>58</v>
      </c>
      <c r="K1527" s="95" t="s">
        <v>58</v>
      </c>
      <c r="L1527" s="91" t="s">
        <v>121</v>
      </c>
      <c r="M1527" s="98">
        <f ca="1">(TODAY()-H1527)/365</f>
        <v>20.893150684931506</v>
      </c>
      <c r="N1527" s="99">
        <f>(G1527-H1527)/365</f>
        <v>17.279452054794522</v>
      </c>
      <c r="O1527" s="98">
        <f ca="1">(TODAY()-G1527)/365</f>
        <v>3.6136986301369864</v>
      </c>
      <c r="P1527" s="91" t="s">
        <v>43</v>
      </c>
      <c r="Q1527" s="91">
        <v>0</v>
      </c>
      <c r="R1527" s="91">
        <v>0</v>
      </c>
      <c r="S1527" s="91">
        <v>0</v>
      </c>
      <c r="T1527" s="91"/>
      <c r="U1527" s="91"/>
      <c r="V1527" s="91"/>
      <c r="W1527" s="91"/>
      <c r="X1527" s="91"/>
      <c r="Y1527" s="91"/>
      <c r="Z1527" s="91"/>
      <c r="AA1527" s="91"/>
      <c r="AB1527" s="91"/>
      <c r="AC1527" s="91"/>
      <c r="AD1527" s="91"/>
      <c r="AE1527" s="91"/>
      <c r="AF1527" s="91"/>
      <c r="AG1527" s="91"/>
      <c r="AH1527" s="91"/>
      <c r="AI1527" s="91"/>
      <c r="AJ1527" s="91"/>
      <c r="AK1527" s="91"/>
      <c r="AL1527" s="91"/>
      <c r="AM1527" s="91"/>
    </row>
    <row r="1528" spans="1:39" ht="20.25" customHeight="1">
      <c r="A1528" s="91"/>
      <c r="B1528" s="93" t="s">
        <v>260</v>
      </c>
      <c r="C1528" s="91" t="s">
        <v>73</v>
      </c>
      <c r="D1528" s="106" t="s">
        <v>299</v>
      </c>
      <c r="E1528" s="106" t="s">
        <v>300</v>
      </c>
      <c r="F1528" s="92" t="s">
        <v>301</v>
      </c>
      <c r="G1528" s="103">
        <v>44323</v>
      </c>
      <c r="H1528" s="97">
        <v>32038</v>
      </c>
      <c r="I1528" s="100" t="s">
        <v>58</v>
      </c>
      <c r="J1528" s="100" t="s">
        <v>58</v>
      </c>
      <c r="K1528" s="91" t="s">
        <v>58</v>
      </c>
      <c r="L1528" s="91" t="s">
        <v>60</v>
      </c>
      <c r="M1528" s="98">
        <f ca="1">(TODAY()-H1528)/365</f>
        <v>38.257534246575339</v>
      </c>
      <c r="N1528" s="99">
        <f>(G1528-H1528)/365</f>
        <v>33.657534246575345</v>
      </c>
      <c r="O1528" s="98">
        <f ca="1">(TODAY()-G1528)/365</f>
        <v>4.5999999999999996</v>
      </c>
      <c r="P1528" s="91" t="s">
        <v>43</v>
      </c>
      <c r="Q1528" s="91">
        <v>0</v>
      </c>
      <c r="R1528" s="91">
        <v>0</v>
      </c>
      <c r="S1528" s="91">
        <v>0</v>
      </c>
      <c r="T1528" s="91"/>
      <c r="U1528" s="91"/>
      <c r="V1528" s="91"/>
      <c r="W1528" s="91"/>
      <c r="X1528" s="91"/>
      <c r="Y1528" s="91"/>
      <c r="Z1528" s="91"/>
      <c r="AA1528" s="91"/>
      <c r="AB1528" s="91"/>
      <c r="AC1528" s="91"/>
      <c r="AD1528" s="91"/>
      <c r="AE1528" s="91"/>
      <c r="AF1528" s="91"/>
      <c r="AG1528" s="91"/>
      <c r="AH1528" s="91"/>
      <c r="AI1528" s="91"/>
      <c r="AJ1528" s="91"/>
      <c r="AK1528" s="91"/>
      <c r="AL1528" s="91"/>
      <c r="AM1528" s="91"/>
    </row>
    <row r="1529" spans="1:39" ht="20.25" customHeight="1">
      <c r="A1529" s="91"/>
      <c r="B1529" s="93" t="s">
        <v>738</v>
      </c>
      <c r="C1529" s="91" t="s">
        <v>73</v>
      </c>
      <c r="D1529" s="94" t="s">
        <v>142</v>
      </c>
      <c r="E1529" s="94" t="s">
        <v>810</v>
      </c>
      <c r="F1529" s="95" t="s">
        <v>811</v>
      </c>
      <c r="G1529" s="96">
        <v>43900</v>
      </c>
      <c r="H1529" s="97">
        <v>30401</v>
      </c>
      <c r="I1529" s="94" t="s">
        <v>812</v>
      </c>
      <c r="J1529" s="100" t="s">
        <v>58</v>
      </c>
      <c r="K1529" s="91" t="s">
        <v>58</v>
      </c>
      <c r="L1529" s="91" t="s">
        <v>60</v>
      </c>
      <c r="M1529" s="98">
        <f ca="1">(TODAY()-H1529)/365</f>
        <v>42.742465753424661</v>
      </c>
      <c r="N1529" s="99">
        <f>(G1529-H1529)/365</f>
        <v>36.983561643835614</v>
      </c>
      <c r="O1529" s="98">
        <f ca="1">(TODAY()-G1529)/365</f>
        <v>5.7589041095890412</v>
      </c>
      <c r="P1529" s="91" t="s">
        <v>272</v>
      </c>
      <c r="Q1529" s="91">
        <v>0</v>
      </c>
      <c r="R1529" s="91">
        <v>0</v>
      </c>
      <c r="S1529" s="91">
        <v>0</v>
      </c>
      <c r="T1529" s="91"/>
      <c r="U1529" s="91"/>
      <c r="V1529" s="91">
        <v>2020</v>
      </c>
      <c r="W1529" s="91"/>
      <c r="X1529" s="91"/>
      <c r="Y1529" s="91"/>
      <c r="Z1529" s="91"/>
      <c r="AA1529" s="91"/>
      <c r="AB1529" s="91"/>
      <c r="AC1529" s="91"/>
      <c r="AD1529" s="91"/>
      <c r="AE1529" s="91"/>
      <c r="AF1529" s="91"/>
      <c r="AG1529" s="91"/>
      <c r="AH1529" s="91"/>
      <c r="AI1529" s="91"/>
      <c r="AJ1529" s="91"/>
      <c r="AK1529" s="91"/>
      <c r="AL1529" s="91"/>
      <c r="AM1529" s="91"/>
    </row>
    <row r="1530" spans="1:39" ht="20.25" customHeight="1">
      <c r="A1530" s="91"/>
      <c r="B1530" s="93" t="s">
        <v>5023</v>
      </c>
      <c r="C1530" s="91" t="s">
        <v>73</v>
      </c>
      <c r="D1530" s="107" t="s">
        <v>5055</v>
      </c>
      <c r="E1530" s="107" t="s">
        <v>5056</v>
      </c>
      <c r="F1530" s="91" t="s">
        <v>5057</v>
      </c>
      <c r="G1530" s="96">
        <v>41333</v>
      </c>
      <c r="H1530" s="97">
        <v>34901</v>
      </c>
      <c r="I1530" s="100" t="s">
        <v>5058</v>
      </c>
      <c r="J1530" s="94" t="s">
        <v>58</v>
      </c>
      <c r="K1530" s="95" t="s">
        <v>58</v>
      </c>
      <c r="L1530" s="91" t="s">
        <v>60</v>
      </c>
      <c r="M1530" s="98">
        <f ca="1">(TODAY()-H1530)/365</f>
        <v>30.413698630136988</v>
      </c>
      <c r="N1530" s="99">
        <f>(G1530-H1530)/365</f>
        <v>17.621917808219177</v>
      </c>
      <c r="O1530" s="98">
        <f ca="1">(TODAY()-G1530)/365</f>
        <v>12.791780821917808</v>
      </c>
      <c r="P1530" s="91" t="s">
        <v>272</v>
      </c>
      <c r="Q1530" s="91">
        <v>0</v>
      </c>
      <c r="R1530" s="91">
        <v>0</v>
      </c>
      <c r="S1530" s="91">
        <v>0</v>
      </c>
      <c r="T1530" s="91"/>
      <c r="U1530" s="91"/>
      <c r="V1530" s="91"/>
      <c r="W1530" s="91"/>
      <c r="X1530" s="91"/>
      <c r="Y1530" s="91"/>
      <c r="Z1530" s="91"/>
      <c r="AA1530" s="91"/>
      <c r="AB1530" s="91"/>
      <c r="AC1530" s="91"/>
      <c r="AD1530" s="91"/>
      <c r="AE1530" s="91"/>
      <c r="AF1530" s="91"/>
      <c r="AG1530" s="91"/>
      <c r="AH1530" s="91"/>
      <c r="AI1530" s="91"/>
      <c r="AJ1530" s="91"/>
      <c r="AK1530" s="91"/>
      <c r="AL1530" s="91"/>
      <c r="AM1530" s="91"/>
    </row>
    <row r="1531" spans="1:39" ht="20.25" hidden="1" customHeight="1">
      <c r="A1531" s="91"/>
      <c r="B1531" s="93" t="s">
        <v>4896</v>
      </c>
      <c r="C1531" s="91" t="s">
        <v>36</v>
      </c>
      <c r="D1531" s="107" t="s">
        <v>4953</v>
      </c>
      <c r="E1531" s="107" t="s">
        <v>4954</v>
      </c>
      <c r="F1531" s="91" t="s">
        <v>4955</v>
      </c>
      <c r="G1531" s="96">
        <v>45615</v>
      </c>
      <c r="H1531" s="97">
        <v>37762</v>
      </c>
      <c r="I1531" s="100" t="s">
        <v>4956</v>
      </c>
      <c r="J1531" s="94" t="s">
        <v>58</v>
      </c>
      <c r="K1531" s="95" t="s">
        <v>58</v>
      </c>
      <c r="L1531" s="91" t="s">
        <v>60</v>
      </c>
      <c r="M1531" s="98">
        <f ca="1">(TODAY()-H1531)/365</f>
        <v>22.575342465753426</v>
      </c>
      <c r="N1531" s="99">
        <f>(G1531-H1531)/365</f>
        <v>21.515068493150686</v>
      </c>
      <c r="O1531" s="98">
        <f ca="1">(TODAY()-G1531)/365</f>
        <v>1.0602739726027397</v>
      </c>
      <c r="P1531" s="91" t="s">
        <v>272</v>
      </c>
      <c r="Q1531" s="91">
        <v>0</v>
      </c>
      <c r="R1531" s="91">
        <v>0</v>
      </c>
      <c r="S1531" s="91">
        <v>0</v>
      </c>
      <c r="T1531" s="91"/>
      <c r="U1531" s="91"/>
      <c r="V1531" s="91"/>
      <c r="W1531" s="91"/>
      <c r="X1531" s="91"/>
      <c r="Y1531" s="91"/>
      <c r="Z1531" s="91"/>
      <c r="AA1531" s="91"/>
      <c r="AB1531" s="91"/>
      <c r="AC1531" s="91"/>
      <c r="AD1531" s="91"/>
      <c r="AE1531" s="91"/>
      <c r="AF1531" s="91"/>
      <c r="AG1531" s="91"/>
      <c r="AH1531" s="91"/>
      <c r="AI1531" s="91"/>
      <c r="AJ1531" s="91"/>
      <c r="AK1531" s="91"/>
      <c r="AL1531" s="91"/>
      <c r="AM1531" s="91"/>
    </row>
    <row r="1532" spans="1:39" ht="20.25" hidden="1" customHeight="1">
      <c r="A1532" s="91"/>
      <c r="B1532" s="93" t="s">
        <v>4896</v>
      </c>
      <c r="C1532" s="91" t="s">
        <v>36</v>
      </c>
      <c r="D1532" s="107" t="s">
        <v>4957</v>
      </c>
      <c r="E1532" s="107" t="s">
        <v>4958</v>
      </c>
      <c r="F1532" s="91" t="s">
        <v>4959</v>
      </c>
      <c r="G1532" s="96">
        <v>27864</v>
      </c>
      <c r="H1532" s="97">
        <v>19737</v>
      </c>
      <c r="I1532" s="100" t="s">
        <v>4960</v>
      </c>
      <c r="J1532" s="94" t="s">
        <v>58</v>
      </c>
      <c r="K1532" s="95" t="s">
        <v>58</v>
      </c>
      <c r="L1532" s="91" t="s">
        <v>49</v>
      </c>
      <c r="M1532" s="98">
        <f ca="1">(TODAY()-H1532)/365</f>
        <v>71.958904109589042</v>
      </c>
      <c r="N1532" s="99">
        <f>(G1532-H1532)/365</f>
        <v>22.265753424657536</v>
      </c>
      <c r="O1532" s="98">
        <f ca="1">(TODAY()-G1532)/365</f>
        <v>49.69315068493151</v>
      </c>
      <c r="P1532" s="91" t="s">
        <v>43</v>
      </c>
      <c r="Q1532" s="91">
        <v>0</v>
      </c>
      <c r="R1532" s="91">
        <v>0</v>
      </c>
      <c r="S1532" s="91">
        <v>0</v>
      </c>
      <c r="T1532" s="91"/>
      <c r="U1532" s="91"/>
      <c r="V1532" s="91"/>
      <c r="W1532" s="91"/>
      <c r="X1532" s="91"/>
      <c r="Y1532" s="91"/>
      <c r="Z1532" s="91"/>
      <c r="AA1532" s="91"/>
      <c r="AB1532" s="91"/>
      <c r="AC1532" s="91"/>
      <c r="AD1532" s="91"/>
      <c r="AE1532" s="91"/>
      <c r="AF1532" s="91"/>
      <c r="AG1532" s="91"/>
      <c r="AH1532" s="91"/>
      <c r="AI1532" s="91"/>
      <c r="AJ1532" s="91"/>
      <c r="AK1532" s="91"/>
      <c r="AL1532" s="91"/>
      <c r="AM1532" s="91"/>
    </row>
    <row r="1533" spans="1:39" ht="20.25" customHeight="1">
      <c r="A1533" s="91"/>
      <c r="B1533" s="93" t="s">
        <v>2419</v>
      </c>
      <c r="C1533" s="91" t="s">
        <v>73</v>
      </c>
      <c r="D1533" s="94" t="s">
        <v>2436</v>
      </c>
      <c r="E1533" s="94" t="s">
        <v>2437</v>
      </c>
      <c r="F1533" s="95" t="s">
        <v>2438</v>
      </c>
      <c r="G1533" s="96">
        <v>45352</v>
      </c>
      <c r="H1533" s="97">
        <v>38479</v>
      </c>
      <c r="I1533" s="108" t="s">
        <v>12334</v>
      </c>
      <c r="J1533" s="94" t="s">
        <v>58</v>
      </c>
      <c r="K1533" s="95" t="s">
        <v>58</v>
      </c>
      <c r="L1533" s="91" t="s">
        <v>60</v>
      </c>
      <c r="M1533" s="98">
        <f ca="1">(TODAY()-H1533)/365</f>
        <v>20.610958904109587</v>
      </c>
      <c r="N1533" s="99">
        <f>(G1533-H1533)/365</f>
        <v>18.830136986301369</v>
      </c>
      <c r="O1533" s="98">
        <f ca="1">(TODAY()-G1533)/365</f>
        <v>1.7808219178082192</v>
      </c>
      <c r="P1533" s="91" t="s">
        <v>272</v>
      </c>
      <c r="Q1533" s="91">
        <v>0</v>
      </c>
      <c r="R1533" s="91">
        <v>0</v>
      </c>
      <c r="S1533" s="91">
        <v>0</v>
      </c>
      <c r="T1533" s="91"/>
      <c r="U1533" s="91"/>
      <c r="V1533" s="91"/>
      <c r="W1533" s="91"/>
      <c r="X1533" s="91"/>
      <c r="Y1533" s="91"/>
      <c r="Z1533" s="91"/>
      <c r="AA1533" s="91"/>
      <c r="AB1533" s="91"/>
      <c r="AC1533" s="91"/>
      <c r="AD1533" s="91"/>
      <c r="AE1533" s="91"/>
      <c r="AF1533" s="91"/>
      <c r="AG1533" s="91"/>
      <c r="AH1533" s="91"/>
      <c r="AI1533" s="91"/>
      <c r="AJ1533" s="91"/>
      <c r="AK1533" s="91"/>
      <c r="AL1533" s="91"/>
      <c r="AM1533" s="91"/>
    </row>
    <row r="1534" spans="1:39" ht="20.25" hidden="1" customHeight="1">
      <c r="A1534" s="91"/>
      <c r="B1534" s="93" t="s">
        <v>4896</v>
      </c>
      <c r="C1534" s="91" t="s">
        <v>36</v>
      </c>
      <c r="D1534" s="107" t="s">
        <v>4964</v>
      </c>
      <c r="E1534" s="107" t="s">
        <v>4965</v>
      </c>
      <c r="F1534" s="91" t="s">
        <v>4966</v>
      </c>
      <c r="G1534" s="96">
        <v>27133</v>
      </c>
      <c r="H1534" s="97">
        <v>16902</v>
      </c>
      <c r="I1534" s="100" t="s">
        <v>4967</v>
      </c>
      <c r="J1534" s="94" t="s">
        <v>58</v>
      </c>
      <c r="K1534" s="95" t="s">
        <v>58</v>
      </c>
      <c r="L1534" s="91" t="s">
        <v>60</v>
      </c>
      <c r="M1534" s="98">
        <f ca="1">(TODAY()-H1534)/365</f>
        <v>79.726027397260268</v>
      </c>
      <c r="N1534" s="99">
        <f>(G1534-H1534)/365</f>
        <v>28.030136986301368</v>
      </c>
      <c r="O1534" s="98">
        <f ca="1">(TODAY()-G1534)/365</f>
        <v>51.695890410958903</v>
      </c>
      <c r="P1534" s="91" t="s">
        <v>43</v>
      </c>
      <c r="Q1534" s="91">
        <v>0</v>
      </c>
      <c r="R1534" s="91">
        <v>0</v>
      </c>
      <c r="S1534" s="91">
        <v>0</v>
      </c>
      <c r="T1534" s="91"/>
      <c r="U1534" s="91"/>
      <c r="V1534" s="91"/>
      <c r="W1534" s="91"/>
      <c r="X1534" s="91"/>
      <c r="Y1534" s="91"/>
      <c r="Z1534" s="91"/>
      <c r="AA1534" s="91"/>
      <c r="AB1534" s="91"/>
      <c r="AC1534" s="91"/>
      <c r="AD1534" s="91"/>
      <c r="AE1534" s="91"/>
      <c r="AF1534" s="91"/>
      <c r="AG1534" s="91"/>
      <c r="AH1534" s="91"/>
      <c r="AI1534" s="91"/>
      <c r="AJ1534" s="91"/>
      <c r="AK1534" s="91"/>
      <c r="AL1534" s="91"/>
      <c r="AM1534" s="91"/>
    </row>
    <row r="1535" spans="1:39" ht="20.25" hidden="1" customHeight="1">
      <c r="A1535" s="91"/>
      <c r="B1535" s="93" t="s">
        <v>4896</v>
      </c>
      <c r="C1535" s="91" t="s">
        <v>36</v>
      </c>
      <c r="D1535" s="107" t="s">
        <v>447</v>
      </c>
      <c r="E1535" s="107" t="s">
        <v>4968</v>
      </c>
      <c r="F1535" s="91" t="s">
        <v>4969</v>
      </c>
      <c r="G1535" s="96">
        <v>45517</v>
      </c>
      <c r="H1535" s="97">
        <v>35225</v>
      </c>
      <c r="I1535" s="100" t="s">
        <v>4970</v>
      </c>
      <c r="J1535" s="94" t="s">
        <v>58</v>
      </c>
      <c r="K1535" s="95" t="s">
        <v>58</v>
      </c>
      <c r="L1535" s="91" t="s">
        <v>60</v>
      </c>
      <c r="M1535" s="98">
        <f ca="1">(TODAY()-H1535)/365</f>
        <v>29.526027397260275</v>
      </c>
      <c r="N1535" s="99">
        <f>(G1535-H1535)/365</f>
        <v>28.197260273972603</v>
      </c>
      <c r="O1535" s="98">
        <f ca="1">(TODAY()-G1535)/365</f>
        <v>1.3287671232876712</v>
      </c>
      <c r="P1535" s="91" t="s">
        <v>43</v>
      </c>
      <c r="Q1535" s="91">
        <v>0</v>
      </c>
      <c r="R1535" s="91">
        <v>0</v>
      </c>
      <c r="S1535" s="91">
        <v>0</v>
      </c>
      <c r="T1535" s="91"/>
      <c r="U1535" s="91"/>
      <c r="V1535" s="91"/>
      <c r="W1535" s="91"/>
      <c r="X1535" s="91"/>
      <c r="Y1535" s="91"/>
      <c r="Z1535" s="91"/>
      <c r="AA1535" s="91"/>
      <c r="AB1535" s="91"/>
      <c r="AC1535" s="91"/>
      <c r="AD1535" s="91"/>
      <c r="AE1535" s="91"/>
      <c r="AF1535" s="91"/>
      <c r="AG1535" s="91"/>
      <c r="AH1535" s="91"/>
      <c r="AI1535" s="91"/>
      <c r="AJ1535" s="91"/>
      <c r="AK1535" s="91"/>
      <c r="AL1535" s="91"/>
      <c r="AM1535" s="91"/>
    </row>
    <row r="1536" spans="1:39" ht="20.25" hidden="1" customHeight="1">
      <c r="A1536" s="91"/>
      <c r="B1536" s="93" t="s">
        <v>4896</v>
      </c>
      <c r="C1536" s="91" t="s">
        <v>36</v>
      </c>
      <c r="D1536" s="107" t="s">
        <v>4971</v>
      </c>
      <c r="E1536" s="107" t="s">
        <v>4972</v>
      </c>
      <c r="F1536" s="91" t="s">
        <v>4973</v>
      </c>
      <c r="G1536" s="96">
        <v>35207</v>
      </c>
      <c r="H1536" s="97">
        <v>24323</v>
      </c>
      <c r="I1536" s="100" t="s">
        <v>4974</v>
      </c>
      <c r="J1536" s="94" t="s">
        <v>58</v>
      </c>
      <c r="K1536" s="95" t="s">
        <v>58</v>
      </c>
      <c r="L1536" s="91" t="s">
        <v>66</v>
      </c>
      <c r="M1536" s="98">
        <f ca="1">(TODAY()-H1536)/365</f>
        <v>59.394520547945206</v>
      </c>
      <c r="N1536" s="99">
        <f>(G1536-H1536)/365</f>
        <v>29.81917808219178</v>
      </c>
      <c r="O1536" s="98">
        <f ca="1">(TODAY()-G1536)/365</f>
        <v>29.575342465753426</v>
      </c>
      <c r="P1536" s="91" t="s">
        <v>43</v>
      </c>
      <c r="Q1536" s="91">
        <v>0</v>
      </c>
      <c r="R1536" s="91">
        <v>0</v>
      </c>
      <c r="S1536" s="91">
        <v>0</v>
      </c>
      <c r="T1536" s="91"/>
      <c r="U1536" s="91"/>
      <c r="V1536" s="91"/>
      <c r="W1536" s="91"/>
      <c r="X1536" s="91"/>
      <c r="Y1536" s="91"/>
      <c r="Z1536" s="91"/>
      <c r="AA1536" s="91"/>
      <c r="AB1536" s="91"/>
      <c r="AC1536" s="91"/>
      <c r="AD1536" s="91"/>
      <c r="AE1536" s="91"/>
      <c r="AF1536" s="91"/>
      <c r="AG1536" s="91"/>
      <c r="AH1536" s="91"/>
      <c r="AI1536" s="91"/>
      <c r="AJ1536" s="91"/>
      <c r="AK1536" s="91"/>
      <c r="AL1536" s="91"/>
      <c r="AM1536" s="91"/>
    </row>
    <row r="1537" spans="1:39" ht="20.25" customHeight="1">
      <c r="A1537" s="91"/>
      <c r="B1537" s="93" t="s">
        <v>8630</v>
      </c>
      <c r="C1537" s="91" t="s">
        <v>73</v>
      </c>
      <c r="D1537" s="94" t="s">
        <v>8655</v>
      </c>
      <c r="E1537" s="94" t="s">
        <v>8656</v>
      </c>
      <c r="F1537" s="95" t="s">
        <v>8657</v>
      </c>
      <c r="G1537" s="96">
        <v>44991</v>
      </c>
      <c r="H1537" s="97">
        <v>32587</v>
      </c>
      <c r="I1537" s="94" t="s">
        <v>8658</v>
      </c>
      <c r="J1537" s="94" t="s">
        <v>58</v>
      </c>
      <c r="K1537" s="95" t="s">
        <v>58</v>
      </c>
      <c r="L1537" s="91" t="s">
        <v>60</v>
      </c>
      <c r="M1537" s="98">
        <f ca="1">(TODAY()-H1537)/365</f>
        <v>36.753424657534246</v>
      </c>
      <c r="N1537" s="99">
        <f>(G1537-H1537)/365</f>
        <v>33.983561643835614</v>
      </c>
      <c r="O1537" s="98">
        <f ca="1">(TODAY()-G1537)/365</f>
        <v>2.7698630136986302</v>
      </c>
      <c r="P1537" s="91" t="s">
        <v>43</v>
      </c>
      <c r="Q1537" s="91">
        <v>0</v>
      </c>
      <c r="R1537" s="91">
        <v>0</v>
      </c>
      <c r="S1537" s="91">
        <v>0</v>
      </c>
      <c r="T1537" s="91"/>
      <c r="U1537" s="91"/>
      <c r="V1537" s="91"/>
      <c r="W1537" s="91"/>
      <c r="X1537" s="91"/>
      <c r="Y1537" s="91"/>
      <c r="Z1537" s="91"/>
      <c r="AA1537" s="91"/>
      <c r="AB1537" s="91"/>
      <c r="AC1537" s="91"/>
      <c r="AD1537" s="91"/>
      <c r="AE1537" s="91"/>
      <c r="AF1537" s="91"/>
      <c r="AG1537" s="91"/>
      <c r="AH1537" s="91"/>
      <c r="AI1537" s="91"/>
      <c r="AJ1537" s="91"/>
      <c r="AK1537" s="91"/>
      <c r="AL1537" s="91"/>
      <c r="AM1537" s="91"/>
    </row>
    <row r="1538" spans="1:39" ht="20.25" hidden="1" customHeight="1">
      <c r="A1538" s="91"/>
      <c r="B1538" s="93" t="s">
        <v>4896</v>
      </c>
      <c r="C1538" s="91" t="s">
        <v>36</v>
      </c>
      <c r="D1538" s="107" t="s">
        <v>4977</v>
      </c>
      <c r="E1538" s="107" t="s">
        <v>4978</v>
      </c>
      <c r="F1538" s="91" t="s">
        <v>4979</v>
      </c>
      <c r="G1538" s="96">
        <v>34425</v>
      </c>
      <c r="H1538" s="97">
        <v>21483</v>
      </c>
      <c r="I1538" s="100" t="s">
        <v>4980</v>
      </c>
      <c r="J1538" s="94" t="s">
        <v>58</v>
      </c>
      <c r="K1538" s="95" t="s">
        <v>58</v>
      </c>
      <c r="L1538" s="91" t="s">
        <v>42</v>
      </c>
      <c r="M1538" s="98">
        <f ca="1">(TODAY()-H1538)/365</f>
        <v>67.175342465753431</v>
      </c>
      <c r="N1538" s="99">
        <f>(G1538-H1538)/365</f>
        <v>35.457534246575342</v>
      </c>
      <c r="O1538" s="98">
        <f ca="1">(TODAY()-G1538)/365</f>
        <v>31.717808219178082</v>
      </c>
      <c r="P1538" s="91" t="s">
        <v>43</v>
      </c>
      <c r="Q1538" s="91">
        <v>0</v>
      </c>
      <c r="R1538" s="91">
        <v>0</v>
      </c>
      <c r="S1538" s="91">
        <v>0</v>
      </c>
      <c r="T1538" s="91"/>
      <c r="U1538" s="91"/>
      <c r="V1538" s="91"/>
      <c r="W1538" s="91"/>
      <c r="X1538" s="91"/>
      <c r="Y1538" s="91"/>
      <c r="Z1538" s="91"/>
      <c r="AA1538" s="91"/>
      <c r="AB1538" s="91"/>
      <c r="AC1538" s="91"/>
      <c r="AD1538" s="91"/>
      <c r="AE1538" s="91"/>
      <c r="AF1538" s="91"/>
      <c r="AG1538" s="91"/>
      <c r="AH1538" s="91"/>
      <c r="AI1538" s="91"/>
      <c r="AJ1538" s="91"/>
      <c r="AK1538" s="91"/>
      <c r="AL1538" s="91"/>
      <c r="AM1538" s="91"/>
    </row>
    <row r="1539" spans="1:39" ht="20.25" hidden="1" customHeight="1">
      <c r="A1539" s="91"/>
      <c r="B1539" s="93" t="s">
        <v>4896</v>
      </c>
      <c r="C1539" s="91" t="s">
        <v>36</v>
      </c>
      <c r="D1539" s="107" t="s">
        <v>4981</v>
      </c>
      <c r="E1539" s="107" t="s">
        <v>4982</v>
      </c>
      <c r="F1539" s="91" t="s">
        <v>4983</v>
      </c>
      <c r="G1539" s="96">
        <v>37378</v>
      </c>
      <c r="H1539" s="97">
        <v>21682</v>
      </c>
      <c r="I1539" s="100" t="s">
        <v>4984</v>
      </c>
      <c r="J1539" s="94" t="s">
        <v>58</v>
      </c>
      <c r="K1539" s="95" t="s">
        <v>58</v>
      </c>
      <c r="L1539" s="91" t="s">
        <v>72</v>
      </c>
      <c r="M1539" s="98">
        <f ca="1">(TODAY()-H1539)/365</f>
        <v>66.630136986301366</v>
      </c>
      <c r="N1539" s="99">
        <f>(G1539-H1539)/365</f>
        <v>43.0027397260274</v>
      </c>
      <c r="O1539" s="98">
        <f ca="1">(TODAY()-G1539)/365</f>
        <v>23.627397260273973</v>
      </c>
      <c r="P1539" s="91" t="s">
        <v>43</v>
      </c>
      <c r="Q1539" s="91">
        <v>0</v>
      </c>
      <c r="R1539" s="91">
        <v>0</v>
      </c>
      <c r="S1539" s="91">
        <v>0</v>
      </c>
      <c r="T1539" s="91"/>
      <c r="U1539" s="91"/>
      <c r="V1539" s="91"/>
      <c r="W1539" s="91"/>
      <c r="X1539" s="91"/>
      <c r="Y1539" s="91"/>
      <c r="Z1539" s="91"/>
      <c r="AA1539" s="91"/>
      <c r="AB1539" s="91"/>
      <c r="AC1539" s="91"/>
      <c r="AD1539" s="91"/>
      <c r="AE1539" s="91"/>
      <c r="AF1539" s="91"/>
      <c r="AG1539" s="91"/>
      <c r="AH1539" s="91"/>
      <c r="AI1539" s="91"/>
      <c r="AJ1539" s="91"/>
      <c r="AK1539" s="91"/>
      <c r="AL1539" s="91"/>
      <c r="AM1539" s="91"/>
    </row>
    <row r="1540" spans="1:39" ht="20.25" hidden="1" customHeight="1">
      <c r="A1540" s="91"/>
      <c r="B1540" s="93" t="s">
        <v>4896</v>
      </c>
      <c r="C1540" s="91" t="s">
        <v>36</v>
      </c>
      <c r="D1540" s="107" t="s">
        <v>4985</v>
      </c>
      <c r="E1540" s="107" t="s">
        <v>4986</v>
      </c>
      <c r="F1540" s="91" t="s">
        <v>4987</v>
      </c>
      <c r="G1540" s="96">
        <v>44469</v>
      </c>
      <c r="H1540" s="97">
        <v>26859</v>
      </c>
      <c r="I1540" s="100" t="s">
        <v>4988</v>
      </c>
      <c r="J1540" s="94" t="s">
        <v>58</v>
      </c>
      <c r="K1540" s="95" t="s">
        <v>58</v>
      </c>
      <c r="L1540" s="91" t="s">
        <v>216</v>
      </c>
      <c r="M1540" s="98">
        <f ca="1">(TODAY()-H1540)/365</f>
        <v>52.446575342465756</v>
      </c>
      <c r="N1540" s="99">
        <f>(G1540-H1540)/365</f>
        <v>48.246575342465754</v>
      </c>
      <c r="O1540" s="98">
        <f ca="1">(TODAY()-G1540)/365</f>
        <v>4.2</v>
      </c>
      <c r="P1540" s="91" t="s">
        <v>43</v>
      </c>
      <c r="Q1540" s="91">
        <v>0</v>
      </c>
      <c r="R1540" s="91">
        <v>0</v>
      </c>
      <c r="S1540" s="91">
        <v>0</v>
      </c>
      <c r="T1540" s="91"/>
      <c r="U1540" s="91"/>
      <c r="V1540" s="91"/>
      <c r="W1540" s="91"/>
      <c r="X1540" s="91"/>
      <c r="Y1540" s="91"/>
      <c r="Z1540" s="91"/>
      <c r="AA1540" s="91"/>
      <c r="AB1540" s="91"/>
      <c r="AC1540" s="91"/>
      <c r="AD1540" s="91"/>
      <c r="AE1540" s="91"/>
      <c r="AF1540" s="91"/>
      <c r="AG1540" s="91"/>
      <c r="AH1540" s="91"/>
      <c r="AI1540" s="91"/>
      <c r="AJ1540" s="91"/>
      <c r="AK1540" s="91"/>
      <c r="AL1540" s="91"/>
      <c r="AM1540" s="91"/>
    </row>
    <row r="1541" spans="1:39" ht="20.25" hidden="1" customHeight="1">
      <c r="A1541" s="91"/>
      <c r="B1541" s="93" t="s">
        <v>4896</v>
      </c>
      <c r="C1541" s="91" t="s">
        <v>36</v>
      </c>
      <c r="D1541" s="107" t="s">
        <v>4985</v>
      </c>
      <c r="E1541" s="107" t="s">
        <v>4986</v>
      </c>
      <c r="F1541" s="91" t="s">
        <v>4987</v>
      </c>
      <c r="G1541" s="96">
        <v>44469</v>
      </c>
      <c r="H1541" s="97">
        <v>26859</v>
      </c>
      <c r="I1541" s="100" t="s">
        <v>4988</v>
      </c>
      <c r="J1541" s="94" t="s">
        <v>58</v>
      </c>
      <c r="K1541" s="95" t="s">
        <v>58</v>
      </c>
      <c r="L1541" s="91" t="s">
        <v>60</v>
      </c>
      <c r="M1541" s="98">
        <f ca="1">(TODAY()-H1541)/365</f>
        <v>52.446575342465756</v>
      </c>
      <c r="N1541" s="99">
        <f>(G1541-H1541)/365</f>
        <v>48.246575342465754</v>
      </c>
      <c r="O1541" s="98">
        <f ca="1">(TODAY()-G1541)/365</f>
        <v>4.2</v>
      </c>
      <c r="P1541" s="91" t="s">
        <v>43</v>
      </c>
      <c r="Q1541" s="91">
        <v>0</v>
      </c>
      <c r="R1541" s="91">
        <v>0</v>
      </c>
      <c r="S1541" s="91">
        <v>0</v>
      </c>
      <c r="T1541" s="91"/>
      <c r="U1541" s="91"/>
      <c r="V1541" s="91"/>
      <c r="W1541" s="91"/>
      <c r="X1541" s="91"/>
      <c r="Y1541" s="91"/>
      <c r="Z1541" s="91"/>
      <c r="AA1541" s="91"/>
      <c r="AB1541" s="91"/>
      <c r="AC1541" s="91"/>
      <c r="AD1541" s="91"/>
      <c r="AE1541" s="91"/>
      <c r="AF1541" s="91"/>
      <c r="AG1541" s="91"/>
      <c r="AH1541" s="91"/>
      <c r="AI1541" s="91"/>
      <c r="AJ1541" s="91"/>
      <c r="AK1541" s="91"/>
      <c r="AL1541" s="91"/>
      <c r="AM1541" s="91"/>
    </row>
    <row r="1542" spans="1:39" ht="20.25" hidden="1" customHeight="1">
      <c r="A1542" s="91"/>
      <c r="B1542" s="93" t="s">
        <v>4896</v>
      </c>
      <c r="C1542" s="91" t="s">
        <v>36</v>
      </c>
      <c r="D1542" s="107" t="s">
        <v>4989</v>
      </c>
      <c r="E1542" s="107" t="s">
        <v>4990</v>
      </c>
      <c r="F1542" s="91" t="s">
        <v>4991</v>
      </c>
      <c r="G1542" s="96">
        <v>44945</v>
      </c>
      <c r="H1542" s="97">
        <v>27093</v>
      </c>
      <c r="I1542" s="100" t="s">
        <v>4992</v>
      </c>
      <c r="J1542" s="94" t="s">
        <v>58</v>
      </c>
      <c r="K1542" s="95" t="s">
        <v>58</v>
      </c>
      <c r="L1542" s="91" t="s">
        <v>60</v>
      </c>
      <c r="M1542" s="98">
        <f ca="1">(TODAY()-H1542)/365</f>
        <v>51.805479452054797</v>
      </c>
      <c r="N1542" s="99">
        <f>(G1542-H1542)/365</f>
        <v>48.909589041095892</v>
      </c>
      <c r="O1542" s="98">
        <f ca="1">(TODAY()-G1542)/365</f>
        <v>2.8958904109589043</v>
      </c>
      <c r="P1542" s="91" t="s">
        <v>43</v>
      </c>
      <c r="Q1542" s="91">
        <v>0</v>
      </c>
      <c r="R1542" s="91">
        <v>0</v>
      </c>
      <c r="S1542" s="91">
        <v>0</v>
      </c>
      <c r="T1542" s="91"/>
      <c r="U1542" s="91"/>
      <c r="V1542" s="91"/>
      <c r="W1542" s="91"/>
      <c r="X1542" s="91"/>
      <c r="Y1542" s="91"/>
      <c r="Z1542" s="91"/>
      <c r="AA1542" s="91"/>
      <c r="AB1542" s="91"/>
      <c r="AC1542" s="91"/>
      <c r="AD1542" s="91"/>
      <c r="AE1542" s="91"/>
      <c r="AF1542" s="91"/>
      <c r="AG1542" s="91"/>
      <c r="AH1542" s="91"/>
      <c r="AI1542" s="91"/>
      <c r="AJ1542" s="91"/>
      <c r="AK1542" s="91"/>
      <c r="AL1542" s="91"/>
      <c r="AM1542" s="91"/>
    </row>
    <row r="1543" spans="1:39" ht="20.25" hidden="1" customHeight="1">
      <c r="A1543" s="91"/>
      <c r="B1543" s="93" t="s">
        <v>4896</v>
      </c>
      <c r="C1543" s="91" t="s">
        <v>36</v>
      </c>
      <c r="D1543" s="107" t="s">
        <v>4993</v>
      </c>
      <c r="E1543" s="107" t="s">
        <v>4994</v>
      </c>
      <c r="F1543" s="91" t="s">
        <v>4995</v>
      </c>
      <c r="G1543" s="96">
        <v>36987</v>
      </c>
      <c r="H1543" s="97">
        <v>18128</v>
      </c>
      <c r="I1543" s="100" t="s">
        <v>4996</v>
      </c>
      <c r="J1543" s="94" t="s">
        <v>58</v>
      </c>
      <c r="K1543" s="95" t="s">
        <v>58</v>
      </c>
      <c r="L1543" s="91" t="s">
        <v>60</v>
      </c>
      <c r="M1543" s="98">
        <f ca="1">(TODAY()-H1543)/365</f>
        <v>76.367123287671234</v>
      </c>
      <c r="N1543" s="99">
        <f>(G1543-H1543)/365</f>
        <v>51.668493150684931</v>
      </c>
      <c r="O1543" s="98">
        <f ca="1">(TODAY()-G1543)/365</f>
        <v>24.698630136986303</v>
      </c>
      <c r="P1543" s="91" t="s">
        <v>43</v>
      </c>
      <c r="Q1543" s="91">
        <v>0</v>
      </c>
      <c r="R1543" s="91">
        <v>0</v>
      </c>
      <c r="S1543" s="91">
        <v>0</v>
      </c>
      <c r="T1543" s="91"/>
      <c r="U1543" s="91"/>
      <c r="V1543" s="91"/>
      <c r="W1543" s="91"/>
      <c r="X1543" s="91"/>
      <c r="Y1543" s="91"/>
      <c r="Z1543" s="91"/>
      <c r="AA1543" s="91"/>
      <c r="AB1543" s="91"/>
      <c r="AC1543" s="91"/>
      <c r="AD1543" s="91"/>
      <c r="AE1543" s="91"/>
      <c r="AF1543" s="91"/>
      <c r="AG1543" s="91"/>
      <c r="AH1543" s="91"/>
      <c r="AI1543" s="91"/>
      <c r="AJ1543" s="91"/>
      <c r="AK1543" s="91"/>
      <c r="AL1543" s="91"/>
      <c r="AM1543" s="91"/>
    </row>
    <row r="1544" spans="1:39" ht="20.25" hidden="1" customHeight="1">
      <c r="A1544" s="91"/>
      <c r="B1544" s="93" t="s">
        <v>4896</v>
      </c>
      <c r="C1544" s="91" t="s">
        <v>36</v>
      </c>
      <c r="D1544" s="107" t="s">
        <v>4997</v>
      </c>
      <c r="E1544" s="107" t="s">
        <v>4998</v>
      </c>
      <c r="F1544" s="91" t="s">
        <v>4999</v>
      </c>
      <c r="G1544" s="96">
        <v>43164</v>
      </c>
      <c r="H1544" s="97">
        <v>23776</v>
      </c>
      <c r="I1544" s="100" t="s">
        <v>5000</v>
      </c>
      <c r="J1544" s="94" t="s">
        <v>58</v>
      </c>
      <c r="K1544" s="95" t="s">
        <v>58</v>
      </c>
      <c r="L1544" s="91" t="s">
        <v>151</v>
      </c>
      <c r="M1544" s="98">
        <f ca="1">(TODAY()-H1544)/365</f>
        <v>60.893150684931506</v>
      </c>
      <c r="N1544" s="99">
        <f>(G1544-H1544)/365</f>
        <v>53.11780821917808</v>
      </c>
      <c r="O1544" s="98">
        <f ca="1">(TODAY()-G1544)/365</f>
        <v>7.7753424657534245</v>
      </c>
      <c r="P1544" s="91" t="s">
        <v>43</v>
      </c>
      <c r="Q1544" s="91">
        <v>0</v>
      </c>
      <c r="R1544" s="91">
        <v>0</v>
      </c>
      <c r="S1544" s="91">
        <v>0</v>
      </c>
      <c r="T1544" s="91"/>
      <c r="U1544" s="91"/>
      <c r="V1544" s="91"/>
      <c r="W1544" s="91"/>
      <c r="X1544" s="91"/>
      <c r="Y1544" s="91"/>
      <c r="Z1544" s="91"/>
      <c r="AA1544" s="91"/>
      <c r="AB1544" s="91"/>
      <c r="AC1544" s="91"/>
      <c r="AD1544" s="91"/>
      <c r="AE1544" s="91"/>
      <c r="AF1544" s="91"/>
      <c r="AG1544" s="91"/>
      <c r="AH1544" s="91"/>
      <c r="AI1544" s="91"/>
      <c r="AJ1544" s="91"/>
      <c r="AK1544" s="91"/>
      <c r="AL1544" s="91"/>
      <c r="AM1544" s="91"/>
    </row>
    <row r="1545" spans="1:39" ht="20.25" hidden="1" customHeight="1">
      <c r="A1545" s="91"/>
      <c r="B1545" s="93" t="s">
        <v>4896</v>
      </c>
      <c r="C1545" s="91" t="s">
        <v>36</v>
      </c>
      <c r="D1545" s="107" t="s">
        <v>5001</v>
      </c>
      <c r="E1545" s="107" t="s">
        <v>5002</v>
      </c>
      <c r="F1545" s="91" t="s">
        <v>5003</v>
      </c>
      <c r="G1545" s="96">
        <v>40665</v>
      </c>
      <c r="H1545" s="97">
        <v>20322</v>
      </c>
      <c r="I1545" s="100" t="s">
        <v>5004</v>
      </c>
      <c r="J1545" s="94" t="s">
        <v>58</v>
      </c>
      <c r="K1545" s="95" t="s">
        <v>58</v>
      </c>
      <c r="L1545" s="91" t="s">
        <v>197</v>
      </c>
      <c r="M1545" s="98">
        <f ca="1">(TODAY()-H1545)/365</f>
        <v>70.356164383561648</v>
      </c>
      <c r="N1545" s="99">
        <f>(G1545-H1545)/365</f>
        <v>55.734246575342468</v>
      </c>
      <c r="O1545" s="98">
        <f ca="1">(TODAY()-G1545)/365</f>
        <v>14.621917808219179</v>
      </c>
      <c r="P1545" s="91" t="s">
        <v>43</v>
      </c>
      <c r="Q1545" s="91">
        <v>0</v>
      </c>
      <c r="R1545" s="91">
        <v>0</v>
      </c>
      <c r="S1545" s="91">
        <v>0</v>
      </c>
      <c r="T1545" s="91"/>
      <c r="U1545" s="91"/>
      <c r="V1545" s="91"/>
      <c r="W1545" s="91"/>
      <c r="X1545" s="91"/>
      <c r="Y1545" s="91"/>
      <c r="Z1545" s="91"/>
      <c r="AA1545" s="91"/>
      <c r="AB1545" s="91"/>
      <c r="AC1545" s="91"/>
      <c r="AD1545" s="91"/>
      <c r="AE1545" s="91"/>
      <c r="AF1545" s="91"/>
      <c r="AG1545" s="91"/>
      <c r="AH1545" s="91"/>
      <c r="AI1545" s="91"/>
      <c r="AJ1545" s="91"/>
      <c r="AK1545" s="91"/>
      <c r="AL1545" s="91"/>
      <c r="AM1545" s="91"/>
    </row>
    <row r="1546" spans="1:39" ht="20.25" hidden="1" customHeight="1">
      <c r="A1546" s="91"/>
      <c r="B1546" s="93" t="s">
        <v>4896</v>
      </c>
      <c r="C1546" s="91" t="s">
        <v>36</v>
      </c>
      <c r="D1546" s="107" t="s">
        <v>5005</v>
      </c>
      <c r="E1546" s="107" t="s">
        <v>5006</v>
      </c>
      <c r="F1546" s="91" t="s">
        <v>5007</v>
      </c>
      <c r="G1546" s="96">
        <v>45022</v>
      </c>
      <c r="H1546" s="97">
        <v>24516</v>
      </c>
      <c r="I1546" s="100" t="s">
        <v>5008</v>
      </c>
      <c r="J1546" s="94" t="s">
        <v>58</v>
      </c>
      <c r="K1546" s="95" t="s">
        <v>58</v>
      </c>
      <c r="L1546" s="91" t="s">
        <v>60</v>
      </c>
      <c r="M1546" s="98">
        <f ca="1">(TODAY()-H1546)/365</f>
        <v>58.865753424657534</v>
      </c>
      <c r="N1546" s="99">
        <f>(G1546-H1546)/365</f>
        <v>56.180821917808217</v>
      </c>
      <c r="O1546" s="98">
        <f ca="1">(TODAY()-G1546)/365</f>
        <v>2.6849315068493151</v>
      </c>
      <c r="P1546" s="91" t="s">
        <v>43</v>
      </c>
      <c r="Q1546" s="91">
        <v>0</v>
      </c>
      <c r="R1546" s="91">
        <v>0</v>
      </c>
      <c r="S1546" s="91">
        <v>0</v>
      </c>
      <c r="T1546" s="91"/>
      <c r="U1546" s="91"/>
      <c r="V1546" s="91"/>
      <c r="W1546" s="91"/>
      <c r="X1546" s="91"/>
      <c r="Y1546" s="91"/>
      <c r="Z1546" s="91"/>
      <c r="AA1546" s="91"/>
      <c r="AB1546" s="91"/>
      <c r="AC1546" s="91"/>
      <c r="AD1546" s="91"/>
      <c r="AE1546" s="91"/>
      <c r="AF1546" s="91"/>
      <c r="AG1546" s="91"/>
      <c r="AH1546" s="91"/>
      <c r="AI1546" s="91"/>
      <c r="AJ1546" s="91"/>
      <c r="AK1546" s="91"/>
      <c r="AL1546" s="91"/>
      <c r="AM1546" s="91"/>
    </row>
    <row r="1547" spans="1:39" ht="20.25" hidden="1" customHeight="1">
      <c r="A1547" s="91"/>
      <c r="B1547" s="93" t="s">
        <v>4896</v>
      </c>
      <c r="C1547" s="91" t="s">
        <v>36</v>
      </c>
      <c r="D1547" s="107" t="s">
        <v>866</v>
      </c>
      <c r="E1547" s="107" t="s">
        <v>5009</v>
      </c>
      <c r="F1547" s="91" t="s">
        <v>5010</v>
      </c>
      <c r="G1547" s="96">
        <v>43355</v>
      </c>
      <c r="H1547" s="97">
        <v>21358</v>
      </c>
      <c r="I1547" s="100" t="s">
        <v>5011</v>
      </c>
      <c r="J1547" s="94" t="s">
        <v>58</v>
      </c>
      <c r="K1547" s="95" t="s">
        <v>58</v>
      </c>
      <c r="L1547" s="91" t="s">
        <v>60</v>
      </c>
      <c r="M1547" s="98">
        <f ca="1">(TODAY()-H1547)/365</f>
        <v>67.517808219178079</v>
      </c>
      <c r="N1547" s="99">
        <f>(G1547-H1547)/365</f>
        <v>60.265753424657532</v>
      </c>
      <c r="O1547" s="98">
        <f ca="1">(TODAY()-G1547)/365</f>
        <v>7.2520547945205482</v>
      </c>
      <c r="P1547" s="91" t="s">
        <v>43</v>
      </c>
      <c r="Q1547" s="91">
        <v>0</v>
      </c>
      <c r="R1547" s="91">
        <v>0</v>
      </c>
      <c r="S1547" s="91">
        <v>0</v>
      </c>
      <c r="T1547" s="91"/>
      <c r="U1547" s="91"/>
      <c r="V1547" s="91"/>
      <c r="W1547" s="91"/>
      <c r="X1547" s="91"/>
      <c r="Y1547" s="91"/>
      <c r="Z1547" s="91"/>
      <c r="AA1547" s="91"/>
      <c r="AB1547" s="91"/>
      <c r="AC1547" s="91"/>
      <c r="AD1547" s="91"/>
      <c r="AE1547" s="91"/>
      <c r="AF1547" s="91"/>
      <c r="AG1547" s="91"/>
      <c r="AH1547" s="91"/>
      <c r="AI1547" s="91"/>
      <c r="AJ1547" s="91"/>
      <c r="AK1547" s="91"/>
      <c r="AL1547" s="91"/>
      <c r="AM1547" s="91"/>
    </row>
    <row r="1548" spans="1:39" ht="20.25" hidden="1" customHeight="1">
      <c r="A1548" s="91"/>
      <c r="B1548" s="93" t="s">
        <v>4896</v>
      </c>
      <c r="C1548" s="91" t="s">
        <v>36</v>
      </c>
      <c r="D1548" s="107" t="s">
        <v>5012</v>
      </c>
      <c r="E1548" s="107" t="s">
        <v>5013</v>
      </c>
      <c r="F1548" s="91" t="s">
        <v>5014</v>
      </c>
      <c r="G1548" s="96">
        <v>44810</v>
      </c>
      <c r="H1548" s="97">
        <v>22407</v>
      </c>
      <c r="I1548" s="100" t="s">
        <v>5015</v>
      </c>
      <c r="J1548" s="94" t="s">
        <v>58</v>
      </c>
      <c r="K1548" s="95" t="s">
        <v>58</v>
      </c>
      <c r="L1548" s="91" t="s">
        <v>60</v>
      </c>
      <c r="M1548" s="98">
        <f ca="1">(TODAY()-H1548)/365</f>
        <v>64.643835616438352</v>
      </c>
      <c r="N1548" s="99">
        <f>(G1548-H1548)/365</f>
        <v>61.37808219178082</v>
      </c>
      <c r="O1548" s="98">
        <f ca="1">(TODAY()-G1548)/365</f>
        <v>3.2657534246575342</v>
      </c>
      <c r="P1548" s="91" t="s">
        <v>43</v>
      </c>
      <c r="Q1548" s="91">
        <v>0</v>
      </c>
      <c r="R1548" s="91">
        <v>0</v>
      </c>
      <c r="S1548" s="91">
        <v>0</v>
      </c>
      <c r="T1548" s="91"/>
      <c r="U1548" s="91"/>
      <c r="V1548" s="91"/>
      <c r="W1548" s="91"/>
      <c r="X1548" s="91"/>
      <c r="Y1548" s="91"/>
      <c r="Z1548" s="91"/>
      <c r="AA1548" s="91"/>
      <c r="AB1548" s="91"/>
      <c r="AC1548" s="91"/>
      <c r="AD1548" s="91"/>
      <c r="AE1548" s="91"/>
      <c r="AF1548" s="91"/>
      <c r="AG1548" s="91"/>
      <c r="AH1548" s="91"/>
      <c r="AI1548" s="91"/>
      <c r="AJ1548" s="91"/>
      <c r="AK1548" s="91"/>
      <c r="AL1548" s="91"/>
      <c r="AM1548" s="91"/>
    </row>
    <row r="1549" spans="1:39" ht="20.25" hidden="1" customHeight="1">
      <c r="A1549" s="91"/>
      <c r="B1549" s="93" t="s">
        <v>4896</v>
      </c>
      <c r="C1549" s="91" t="s">
        <v>36</v>
      </c>
      <c r="D1549" s="107" t="s">
        <v>5016</v>
      </c>
      <c r="E1549" s="107" t="s">
        <v>5017</v>
      </c>
      <c r="F1549" s="91" t="s">
        <v>5018</v>
      </c>
      <c r="G1549" s="96">
        <v>44385</v>
      </c>
      <c r="H1549" s="97">
        <v>21385</v>
      </c>
      <c r="I1549" s="100" t="s">
        <v>5019</v>
      </c>
      <c r="J1549" s="94" t="s">
        <v>58</v>
      </c>
      <c r="K1549" s="95" t="s">
        <v>58</v>
      </c>
      <c r="L1549" s="91" t="s">
        <v>54</v>
      </c>
      <c r="M1549" s="98">
        <f ca="1">(TODAY()-H1549)/365</f>
        <v>67.443835616438349</v>
      </c>
      <c r="N1549" s="99">
        <f>(G1549-H1549)/365</f>
        <v>63.013698630136986</v>
      </c>
      <c r="O1549" s="98">
        <f ca="1">(TODAY()-G1549)/365</f>
        <v>4.4301369863013695</v>
      </c>
      <c r="P1549" s="91" t="s">
        <v>43</v>
      </c>
      <c r="Q1549" s="91">
        <v>0</v>
      </c>
      <c r="R1549" s="91">
        <v>0</v>
      </c>
      <c r="S1549" s="91">
        <v>0</v>
      </c>
      <c r="T1549" s="91"/>
      <c r="U1549" s="91"/>
      <c r="V1549" s="91"/>
      <c r="W1549" s="91"/>
      <c r="X1549" s="91"/>
      <c r="Y1549" s="91"/>
      <c r="Z1549" s="91"/>
      <c r="AA1549" s="91"/>
      <c r="AB1549" s="91"/>
      <c r="AC1549" s="91"/>
      <c r="AD1549" s="91"/>
      <c r="AE1549" s="91"/>
      <c r="AF1549" s="91"/>
      <c r="AG1549" s="91"/>
      <c r="AH1549" s="91"/>
      <c r="AI1549" s="91"/>
      <c r="AJ1549" s="91"/>
      <c r="AK1549" s="91"/>
      <c r="AL1549" s="91"/>
      <c r="AM1549" s="91"/>
    </row>
    <row r="1550" spans="1:39" ht="20.25" hidden="1" customHeight="1">
      <c r="A1550" s="91"/>
      <c r="B1550" s="93" t="s">
        <v>4896</v>
      </c>
      <c r="C1550" s="91" t="s">
        <v>36</v>
      </c>
      <c r="D1550" s="107" t="s">
        <v>5020</v>
      </c>
      <c r="E1550" s="107" t="s">
        <v>5021</v>
      </c>
      <c r="F1550" s="91" t="s">
        <v>5022</v>
      </c>
      <c r="G1550" s="96">
        <v>40665</v>
      </c>
      <c r="H1550" s="97">
        <v>17391</v>
      </c>
      <c r="I1550" s="108" t="s">
        <v>12372</v>
      </c>
      <c r="J1550" s="94" t="s">
        <v>58</v>
      </c>
      <c r="K1550" s="95" t="s">
        <v>58</v>
      </c>
      <c r="L1550" s="91" t="s">
        <v>60</v>
      </c>
      <c r="M1550" s="98">
        <f ca="1">(TODAY()-H1550)/365</f>
        <v>78.38630136986302</v>
      </c>
      <c r="N1550" s="99">
        <f>(G1550-H1550)/365</f>
        <v>63.764383561643832</v>
      </c>
      <c r="O1550" s="98">
        <f ca="1">(TODAY()-G1550)/365</f>
        <v>14.621917808219179</v>
      </c>
      <c r="P1550" s="91" t="s">
        <v>43</v>
      </c>
      <c r="Q1550" s="91">
        <v>0</v>
      </c>
      <c r="R1550" s="91">
        <v>0</v>
      </c>
      <c r="S1550" s="91">
        <v>0</v>
      </c>
      <c r="T1550" s="91"/>
      <c r="U1550" s="91"/>
      <c r="V1550" s="91"/>
      <c r="W1550" s="91"/>
      <c r="X1550" s="91"/>
      <c r="Y1550" s="91"/>
      <c r="Z1550" s="91"/>
      <c r="AA1550" s="91"/>
      <c r="AB1550" s="91"/>
      <c r="AC1550" s="91"/>
      <c r="AD1550" s="91"/>
      <c r="AE1550" s="91"/>
      <c r="AF1550" s="91"/>
      <c r="AG1550" s="91"/>
      <c r="AH1550" s="91"/>
      <c r="AI1550" s="91"/>
      <c r="AJ1550" s="91"/>
      <c r="AK1550" s="91"/>
      <c r="AL1550" s="91"/>
      <c r="AM1550" s="91"/>
    </row>
    <row r="1551" spans="1:39" ht="20.25" hidden="1" customHeight="1">
      <c r="A1551" s="91"/>
      <c r="B1551" s="93" t="s">
        <v>5023</v>
      </c>
      <c r="C1551" s="91" t="s">
        <v>36</v>
      </c>
      <c r="D1551" s="107" t="s">
        <v>5024</v>
      </c>
      <c r="E1551" s="107" t="s">
        <v>5025</v>
      </c>
      <c r="F1551" s="91" t="s">
        <v>5026</v>
      </c>
      <c r="G1551" s="96" t="s">
        <v>58</v>
      </c>
      <c r="H1551" s="97">
        <v>18116</v>
      </c>
      <c r="I1551" s="100" t="s">
        <v>5027</v>
      </c>
      <c r="J1551" s="100" t="s">
        <v>5028</v>
      </c>
      <c r="K1551" s="91">
        <v>993059352</v>
      </c>
      <c r="L1551" s="91" t="s">
        <v>49</v>
      </c>
      <c r="M1551" s="98">
        <f ca="1">(TODAY()-H1551)/365</f>
        <v>76.400000000000006</v>
      </c>
      <c r="N1551" s="95" t="s">
        <v>58</v>
      </c>
      <c r="O1551" s="98" t="e">
        <f ca="1">(TODAY()-G1551)/365</f>
        <v>#VALUE!</v>
      </c>
      <c r="P1551" s="91" t="s">
        <v>43</v>
      </c>
      <c r="Q1551" s="91">
        <v>0</v>
      </c>
      <c r="R1551" s="91">
        <v>0</v>
      </c>
      <c r="S1551" s="91">
        <v>0</v>
      </c>
      <c r="T1551" s="91"/>
      <c r="U1551" s="91"/>
      <c r="V1551" s="91"/>
      <c r="W1551" s="91"/>
      <c r="X1551" s="91"/>
      <c r="Y1551" s="91"/>
      <c r="Z1551" s="91"/>
      <c r="AA1551" s="91"/>
      <c r="AB1551" s="91"/>
      <c r="AC1551" s="91"/>
      <c r="AD1551" s="91"/>
      <c r="AE1551" s="91"/>
      <c r="AF1551" s="91"/>
      <c r="AG1551" s="91"/>
      <c r="AH1551" s="91"/>
      <c r="AI1551" s="91"/>
      <c r="AJ1551" s="91"/>
      <c r="AK1551" s="91"/>
      <c r="AL1551" s="91"/>
      <c r="AM1551" s="91"/>
    </row>
    <row r="1552" spans="1:39" ht="20.25" hidden="1" customHeight="1">
      <c r="A1552" s="91"/>
      <c r="B1552" s="93" t="s">
        <v>5023</v>
      </c>
      <c r="C1552" s="91" t="s">
        <v>36</v>
      </c>
      <c r="D1552" s="107" t="s">
        <v>5029</v>
      </c>
      <c r="E1552" s="107" t="s">
        <v>5030</v>
      </c>
      <c r="F1552" s="91" t="s">
        <v>5031</v>
      </c>
      <c r="G1552" s="96">
        <v>45590</v>
      </c>
      <c r="H1552" s="97">
        <v>40156</v>
      </c>
      <c r="I1552" s="100" t="s">
        <v>5032</v>
      </c>
      <c r="J1552" s="100" t="s">
        <v>5033</v>
      </c>
      <c r="K1552" s="91">
        <v>937532785</v>
      </c>
      <c r="L1552" s="91" t="s">
        <v>60</v>
      </c>
      <c r="M1552" s="98">
        <f ca="1">(TODAY()-H1552)/365</f>
        <v>16.016438356164382</v>
      </c>
      <c r="N1552" s="99">
        <f>(G1552-H1552)/365</f>
        <v>14.887671232876713</v>
      </c>
      <c r="O1552" s="98">
        <f ca="1">(TODAY()-G1552)/365</f>
        <v>1.1287671232876713</v>
      </c>
      <c r="P1552" s="91" t="s">
        <v>43</v>
      </c>
      <c r="Q1552" s="91">
        <v>0</v>
      </c>
      <c r="R1552" s="91">
        <v>0</v>
      </c>
      <c r="S1552" s="91">
        <v>0</v>
      </c>
      <c r="T1552" s="91"/>
      <c r="U1552" s="91"/>
      <c r="V1552" s="91"/>
      <c r="W1552" s="91"/>
      <c r="X1552" s="91"/>
      <c r="Y1552" s="91"/>
      <c r="Z1552" s="91"/>
      <c r="AA1552" s="91"/>
      <c r="AB1552" s="91"/>
      <c r="AC1552" s="91"/>
      <c r="AD1552" s="91"/>
      <c r="AE1552" s="91"/>
      <c r="AF1552" s="91"/>
      <c r="AG1552" s="91"/>
      <c r="AH1552" s="91"/>
      <c r="AI1552" s="91"/>
      <c r="AJ1552" s="91"/>
      <c r="AK1552" s="91"/>
      <c r="AL1552" s="91"/>
      <c r="AM1552" s="91"/>
    </row>
    <row r="1553" spans="1:39" ht="20.25" customHeight="1">
      <c r="A1553" s="91"/>
      <c r="B1553" s="93" t="s">
        <v>10137</v>
      </c>
      <c r="C1553" s="91" t="s">
        <v>73</v>
      </c>
      <c r="D1553" s="106" t="s">
        <v>10208</v>
      </c>
      <c r="E1553" s="106" t="s">
        <v>10209</v>
      </c>
      <c r="F1553" s="92" t="s">
        <v>10210</v>
      </c>
      <c r="G1553" s="103">
        <v>35524</v>
      </c>
      <c r="H1553" s="103">
        <v>20072</v>
      </c>
      <c r="I1553" s="94" t="s">
        <v>58</v>
      </c>
      <c r="J1553" s="100" t="s">
        <v>58</v>
      </c>
      <c r="K1553" s="95" t="s">
        <v>58</v>
      </c>
      <c r="L1553" s="91"/>
      <c r="M1553" s="98">
        <f ca="1">(TODAY()-H1553)/365</f>
        <v>71.041095890410958</v>
      </c>
      <c r="N1553" s="99">
        <f>(G1553-H1553)/365</f>
        <v>42.334246575342469</v>
      </c>
      <c r="O1553" s="98">
        <f ca="1">(TODAY()-G1553)/365</f>
        <v>28.706849315068492</v>
      </c>
      <c r="P1553" s="91" t="s">
        <v>43</v>
      </c>
      <c r="Q1553" s="91"/>
      <c r="R1553" s="91"/>
      <c r="S1553" s="91"/>
      <c r="T1553" s="91"/>
      <c r="U1553" s="91"/>
      <c r="V1553" s="91"/>
      <c r="W1553" s="91"/>
      <c r="X1553" s="91"/>
      <c r="Y1553" s="91"/>
      <c r="Z1553" s="91"/>
      <c r="AA1553" s="91"/>
      <c r="AB1553" s="91"/>
      <c r="AC1553" s="91"/>
      <c r="AD1553" s="91"/>
      <c r="AE1553" s="91"/>
      <c r="AF1553" s="91"/>
      <c r="AG1553" s="91"/>
      <c r="AH1553" s="91"/>
      <c r="AI1553" s="91"/>
      <c r="AJ1553" s="91"/>
      <c r="AK1553" s="91"/>
      <c r="AL1553" s="91"/>
      <c r="AM1553" s="91"/>
    </row>
    <row r="1554" spans="1:39" ht="20.25" customHeight="1">
      <c r="A1554" s="91"/>
      <c r="B1554" s="93" t="s">
        <v>5484</v>
      </c>
      <c r="C1554" s="91" t="s">
        <v>73</v>
      </c>
      <c r="D1554" s="107" t="s">
        <v>361</v>
      </c>
      <c r="E1554" s="107" t="s">
        <v>5485</v>
      </c>
      <c r="F1554" s="91" t="s">
        <v>5486</v>
      </c>
      <c r="G1554" s="96">
        <v>44197</v>
      </c>
      <c r="H1554" s="97">
        <v>28621</v>
      </c>
      <c r="I1554" s="100" t="s">
        <v>58</v>
      </c>
      <c r="J1554" s="100" t="s">
        <v>58</v>
      </c>
      <c r="K1554" s="91" t="s">
        <v>58</v>
      </c>
      <c r="L1554" s="91" t="s">
        <v>60</v>
      </c>
      <c r="M1554" s="98">
        <f ca="1">(TODAY()-H1554)/365</f>
        <v>47.61917808219178</v>
      </c>
      <c r="N1554" s="99">
        <f>(G1554-H1554)/365</f>
        <v>42.673972602739724</v>
      </c>
      <c r="O1554" s="98">
        <f ca="1">(TODAY()-G1554)/365</f>
        <v>4.9452054794520546</v>
      </c>
      <c r="P1554" s="91" t="s">
        <v>43</v>
      </c>
      <c r="Q1554" s="91">
        <v>0</v>
      </c>
      <c r="R1554" s="91">
        <v>0</v>
      </c>
      <c r="S1554" s="91">
        <v>0</v>
      </c>
      <c r="T1554" s="91"/>
      <c r="U1554" s="91"/>
      <c r="V1554" s="91"/>
      <c r="W1554" s="91"/>
      <c r="X1554" s="91"/>
      <c r="Y1554" s="91"/>
      <c r="Z1554" s="91"/>
      <c r="AA1554" s="91"/>
      <c r="AB1554" s="91"/>
      <c r="AC1554" s="91"/>
      <c r="AD1554" s="91"/>
      <c r="AE1554" s="91"/>
      <c r="AF1554" s="91"/>
      <c r="AG1554" s="91"/>
      <c r="AH1554" s="91"/>
      <c r="AI1554" s="91"/>
      <c r="AJ1554" s="91"/>
      <c r="AK1554" s="91"/>
      <c r="AL1554" s="91"/>
      <c r="AM1554" s="91"/>
    </row>
    <row r="1555" spans="1:39" ht="20.25" hidden="1" customHeight="1">
      <c r="A1555" s="91"/>
      <c r="B1555" s="93" t="s">
        <v>5023</v>
      </c>
      <c r="C1555" s="91" t="s">
        <v>36</v>
      </c>
      <c r="D1555" s="107" t="s">
        <v>5041</v>
      </c>
      <c r="E1555" s="107" t="s">
        <v>5042</v>
      </c>
      <c r="F1555" s="91" t="s">
        <v>5043</v>
      </c>
      <c r="G1555" s="96">
        <v>43199</v>
      </c>
      <c r="H1555" s="97">
        <v>37104</v>
      </c>
      <c r="I1555" s="100" t="s">
        <v>5044</v>
      </c>
      <c r="J1555" s="100" t="s">
        <v>5045</v>
      </c>
      <c r="K1555" s="91">
        <v>945148214</v>
      </c>
      <c r="L1555" s="91" t="s">
        <v>121</v>
      </c>
      <c r="M1555" s="98">
        <f ca="1">(TODAY()-H1555)/365</f>
        <v>24.378082191780823</v>
      </c>
      <c r="N1555" s="99">
        <f>(G1555-H1555)/365</f>
        <v>16.698630136986303</v>
      </c>
      <c r="O1555" s="98">
        <f ca="1">(TODAY()-G1555)/365</f>
        <v>7.6794520547945204</v>
      </c>
      <c r="P1555" s="91" t="s">
        <v>43</v>
      </c>
      <c r="Q1555" s="91">
        <v>0</v>
      </c>
      <c r="R1555" s="91">
        <v>0</v>
      </c>
      <c r="S1555" s="91">
        <v>0</v>
      </c>
      <c r="T1555" s="91"/>
      <c r="U1555" s="91"/>
      <c r="V1555" s="91"/>
      <c r="W1555" s="91"/>
      <c r="X1555" s="91"/>
      <c r="Y1555" s="91"/>
      <c r="Z1555" s="91"/>
      <c r="AA1555" s="91"/>
      <c r="AB1555" s="91"/>
      <c r="AC1555" s="91"/>
      <c r="AD1555" s="91"/>
      <c r="AE1555" s="91"/>
      <c r="AF1555" s="91"/>
      <c r="AG1555" s="91"/>
      <c r="AH1555" s="91"/>
      <c r="AI1555" s="91"/>
      <c r="AJ1555" s="91"/>
      <c r="AK1555" s="91"/>
      <c r="AL1555" s="91"/>
      <c r="AM1555" s="91"/>
    </row>
    <row r="1556" spans="1:39" ht="20.25" hidden="1" customHeight="1">
      <c r="A1556" s="91"/>
      <c r="B1556" s="93" t="s">
        <v>5023</v>
      </c>
      <c r="C1556" s="91" t="s">
        <v>36</v>
      </c>
      <c r="D1556" s="107" t="s">
        <v>5046</v>
      </c>
      <c r="E1556" s="107" t="s">
        <v>5047</v>
      </c>
      <c r="F1556" s="91" t="s">
        <v>5048</v>
      </c>
      <c r="G1556" s="96">
        <v>45394</v>
      </c>
      <c r="H1556" s="97">
        <v>39161</v>
      </c>
      <c r="I1556" s="100" t="s">
        <v>5049</v>
      </c>
      <c r="J1556" s="100" t="s">
        <v>5050</v>
      </c>
      <c r="K1556" s="91">
        <v>963281955</v>
      </c>
      <c r="L1556" s="91" t="s">
        <v>60</v>
      </c>
      <c r="M1556" s="98">
        <f ca="1">(TODAY()-H1556)/365</f>
        <v>18.742465753424657</v>
      </c>
      <c r="N1556" s="99">
        <f>(G1556-H1556)/365</f>
        <v>17.076712328767123</v>
      </c>
      <c r="O1556" s="98">
        <f ca="1">(TODAY()-G1556)/365</f>
        <v>1.6657534246575343</v>
      </c>
      <c r="P1556" s="91" t="s">
        <v>43</v>
      </c>
      <c r="Q1556" s="91">
        <v>0</v>
      </c>
      <c r="R1556" s="91">
        <v>0</v>
      </c>
      <c r="S1556" s="91">
        <v>0</v>
      </c>
      <c r="T1556" s="91"/>
      <c r="U1556" s="91"/>
      <c r="V1556" s="91"/>
      <c r="W1556" s="91"/>
      <c r="X1556" s="91"/>
      <c r="Y1556" s="91"/>
      <c r="Z1556" s="91"/>
      <c r="AA1556" s="91"/>
      <c r="AB1556" s="91"/>
      <c r="AC1556" s="91"/>
      <c r="AD1556" s="91"/>
      <c r="AE1556" s="91"/>
      <c r="AF1556" s="91"/>
      <c r="AG1556" s="91"/>
      <c r="AH1556" s="91"/>
      <c r="AI1556" s="91"/>
      <c r="AJ1556" s="91"/>
      <c r="AK1556" s="91"/>
      <c r="AL1556" s="91"/>
      <c r="AM1556" s="91"/>
    </row>
    <row r="1557" spans="1:39" ht="20.25" customHeight="1">
      <c r="A1557" s="91"/>
      <c r="B1557" s="93" t="s">
        <v>637</v>
      </c>
      <c r="C1557" s="91" t="s">
        <v>73</v>
      </c>
      <c r="D1557" s="94" t="s">
        <v>692</v>
      </c>
      <c r="E1557" s="94" t="s">
        <v>693</v>
      </c>
      <c r="F1557" s="95" t="s">
        <v>58</v>
      </c>
      <c r="G1557" s="96" t="s">
        <v>58</v>
      </c>
      <c r="H1557" s="96" t="s">
        <v>58</v>
      </c>
      <c r="I1557" s="94" t="s">
        <v>58</v>
      </c>
      <c r="J1557" s="94" t="s">
        <v>58</v>
      </c>
      <c r="K1557" s="95" t="s">
        <v>58</v>
      </c>
      <c r="L1557" s="91" t="s">
        <v>60</v>
      </c>
      <c r="M1557" s="98"/>
      <c r="N1557" s="95"/>
      <c r="O1557" s="98" t="e">
        <f ca="1">(TODAY()-G1557)/365</f>
        <v>#VALUE!</v>
      </c>
      <c r="P1557" s="91" t="s">
        <v>272</v>
      </c>
      <c r="Q1557" s="91">
        <v>0</v>
      </c>
      <c r="R1557" s="91">
        <v>0</v>
      </c>
      <c r="S1557" s="91">
        <v>0</v>
      </c>
      <c r="T1557" s="91"/>
      <c r="U1557" s="91"/>
      <c r="V1557" s="91"/>
      <c r="W1557" s="91"/>
      <c r="X1557" s="91"/>
      <c r="Y1557" s="91"/>
      <c r="Z1557" s="91"/>
      <c r="AA1557" s="91"/>
      <c r="AB1557" s="91"/>
      <c r="AC1557" s="91"/>
      <c r="AD1557" s="91"/>
      <c r="AE1557" s="91"/>
      <c r="AF1557" s="91"/>
      <c r="AG1557" s="91"/>
      <c r="AH1557" s="91"/>
      <c r="AI1557" s="91"/>
      <c r="AJ1557" s="91"/>
      <c r="AK1557" s="91"/>
      <c r="AL1557" s="91"/>
      <c r="AM1557" s="91"/>
    </row>
    <row r="1558" spans="1:39" ht="20.25" customHeight="1">
      <c r="A1558" s="91"/>
      <c r="B1558" s="93" t="s">
        <v>1477</v>
      </c>
      <c r="C1558" s="91" t="s">
        <v>73</v>
      </c>
      <c r="D1558" s="94" t="s">
        <v>1634</v>
      </c>
      <c r="E1558" s="94" t="s">
        <v>1635</v>
      </c>
      <c r="F1558" s="95" t="s">
        <v>1636</v>
      </c>
      <c r="G1558" s="96">
        <v>45219</v>
      </c>
      <c r="H1558" s="97">
        <v>24008</v>
      </c>
      <c r="I1558" s="94" t="s">
        <v>1637</v>
      </c>
      <c r="J1558" s="100" t="s">
        <v>58</v>
      </c>
      <c r="K1558" s="91" t="s">
        <v>58</v>
      </c>
      <c r="L1558" s="91" t="s">
        <v>60</v>
      </c>
      <c r="M1558" s="98">
        <f ca="1">(TODAY()-H1558)/365</f>
        <v>60.257534246575339</v>
      </c>
      <c r="N1558" s="99">
        <f>(G1558-H1558)/365</f>
        <v>58.112328767123287</v>
      </c>
      <c r="O1558" s="98">
        <f ca="1">(TODAY()-G1558)/365</f>
        <v>2.1452054794520548</v>
      </c>
      <c r="P1558" s="91" t="s">
        <v>43</v>
      </c>
      <c r="Q1558" s="91">
        <v>0</v>
      </c>
      <c r="R1558" s="91">
        <v>0</v>
      </c>
      <c r="S1558" s="91">
        <v>0</v>
      </c>
      <c r="T1558" s="91"/>
      <c r="U1558" s="91"/>
      <c r="V1558" s="91"/>
      <c r="W1558" s="91"/>
      <c r="X1558" s="91"/>
      <c r="Y1558" s="91"/>
      <c r="Z1558" s="91"/>
      <c r="AA1558" s="91"/>
      <c r="AB1558" s="91"/>
      <c r="AC1558" s="91"/>
      <c r="AD1558" s="91"/>
      <c r="AE1558" s="91"/>
      <c r="AF1558" s="91"/>
      <c r="AG1558" s="91"/>
      <c r="AH1558" s="91"/>
      <c r="AI1558" s="91"/>
      <c r="AJ1558" s="91"/>
      <c r="AK1558" s="91"/>
      <c r="AL1558" s="91"/>
      <c r="AM1558" s="91"/>
    </row>
    <row r="1559" spans="1:39" ht="20.25" hidden="1" customHeight="1">
      <c r="A1559" s="91"/>
      <c r="B1559" s="93" t="s">
        <v>5023</v>
      </c>
      <c r="C1559" s="91" t="s">
        <v>36</v>
      </c>
      <c r="D1559" s="107" t="s">
        <v>5059</v>
      </c>
      <c r="E1559" s="107" t="s">
        <v>5060</v>
      </c>
      <c r="F1559" s="91" t="s">
        <v>5061</v>
      </c>
      <c r="G1559" s="96">
        <v>45175</v>
      </c>
      <c r="H1559" s="97">
        <v>38632</v>
      </c>
      <c r="I1559" s="100" t="s">
        <v>5062</v>
      </c>
      <c r="J1559" s="100" t="s">
        <v>5063</v>
      </c>
      <c r="K1559" s="91">
        <v>982294146</v>
      </c>
      <c r="L1559" s="91" t="s">
        <v>60</v>
      </c>
      <c r="M1559" s="98">
        <f ca="1">(TODAY()-H1559)/365</f>
        <v>20.19178082191781</v>
      </c>
      <c r="N1559" s="99">
        <f>(G1559-H1559)/365</f>
        <v>17.926027397260274</v>
      </c>
      <c r="O1559" s="98">
        <f ca="1">(TODAY()-G1559)/365</f>
        <v>2.2657534246575342</v>
      </c>
      <c r="P1559" s="91" t="s">
        <v>43</v>
      </c>
      <c r="Q1559" s="91">
        <v>0</v>
      </c>
      <c r="R1559" s="91">
        <v>0</v>
      </c>
      <c r="S1559" s="91">
        <v>0</v>
      </c>
      <c r="T1559" s="91"/>
      <c r="U1559" s="91"/>
      <c r="V1559" s="91"/>
      <c r="W1559" s="91"/>
      <c r="X1559" s="91"/>
      <c r="Y1559" s="91"/>
      <c r="Z1559" s="91"/>
      <c r="AA1559" s="91"/>
      <c r="AB1559" s="91"/>
      <c r="AC1559" s="91"/>
      <c r="AD1559" s="91"/>
      <c r="AE1559" s="91"/>
      <c r="AF1559" s="91"/>
      <c r="AG1559" s="91"/>
      <c r="AH1559" s="91"/>
      <c r="AI1559" s="91"/>
      <c r="AJ1559" s="91"/>
      <c r="AK1559" s="91"/>
      <c r="AL1559" s="91"/>
      <c r="AM1559" s="91"/>
    </row>
    <row r="1560" spans="1:39" ht="20.25" customHeight="1">
      <c r="A1560" s="91"/>
      <c r="B1560" s="93" t="s">
        <v>8287</v>
      </c>
      <c r="C1560" s="91" t="s">
        <v>73</v>
      </c>
      <c r="D1560" s="94" t="s">
        <v>3944</v>
      </c>
      <c r="E1560" s="94" t="s">
        <v>8325</v>
      </c>
      <c r="F1560" s="95" t="s">
        <v>8326</v>
      </c>
      <c r="G1560" s="96">
        <v>45256</v>
      </c>
      <c r="H1560" s="97">
        <v>37554</v>
      </c>
      <c r="I1560" s="94" t="s">
        <v>8327</v>
      </c>
      <c r="J1560" s="100" t="s">
        <v>58</v>
      </c>
      <c r="K1560" s="91" t="s">
        <v>58</v>
      </c>
      <c r="L1560" s="91" t="s">
        <v>60</v>
      </c>
      <c r="M1560" s="98">
        <f ca="1">(TODAY()-H1560)/365</f>
        <v>23.145205479452056</v>
      </c>
      <c r="N1560" s="99">
        <f>(G1560-H1560)/365</f>
        <v>21.101369863013698</v>
      </c>
      <c r="O1560" s="98">
        <f ca="1">(TODAY()-G1560)/365</f>
        <v>2.043835616438356</v>
      </c>
      <c r="P1560" s="91" t="s">
        <v>43</v>
      </c>
      <c r="Q1560" s="91">
        <v>0</v>
      </c>
      <c r="R1560" s="91">
        <v>0</v>
      </c>
      <c r="S1560" s="91">
        <v>0</v>
      </c>
      <c r="T1560" s="91"/>
      <c r="U1560" s="91"/>
      <c r="V1560" s="91"/>
      <c r="W1560" s="91"/>
      <c r="X1560" s="91"/>
      <c r="Y1560" s="91"/>
      <c r="Z1560" s="91"/>
      <c r="AA1560" s="91"/>
      <c r="AB1560" s="91"/>
      <c r="AC1560" s="91"/>
      <c r="AD1560" s="91"/>
      <c r="AE1560" s="91"/>
      <c r="AF1560" s="91"/>
      <c r="AG1560" s="91"/>
      <c r="AH1560" s="91"/>
      <c r="AI1560" s="91"/>
      <c r="AJ1560" s="91"/>
      <c r="AK1560" s="91"/>
      <c r="AL1560" s="91"/>
      <c r="AM1560" s="91"/>
    </row>
    <row r="1561" spans="1:39" ht="20.25" hidden="1" customHeight="1">
      <c r="A1561" s="91"/>
      <c r="B1561" s="93" t="s">
        <v>5023</v>
      </c>
      <c r="C1561" s="91" t="s">
        <v>36</v>
      </c>
      <c r="D1561" s="107" t="s">
        <v>5067</v>
      </c>
      <c r="E1561" s="107" t="s">
        <v>5068</v>
      </c>
      <c r="F1561" s="91" t="s">
        <v>5069</v>
      </c>
      <c r="G1561" s="96">
        <v>37564</v>
      </c>
      <c r="H1561" s="97">
        <v>27820</v>
      </c>
      <c r="I1561" s="100" t="s">
        <v>5070</v>
      </c>
      <c r="J1561" s="100" t="s">
        <v>5071</v>
      </c>
      <c r="K1561" s="91">
        <v>967506890</v>
      </c>
      <c r="L1561" s="91" t="s">
        <v>54</v>
      </c>
      <c r="M1561" s="98">
        <f ca="1">(TODAY()-H1561)/365</f>
        <v>49.813698630136983</v>
      </c>
      <c r="N1561" s="99">
        <f>(G1561-H1561)/365</f>
        <v>26.695890410958903</v>
      </c>
      <c r="O1561" s="98">
        <f ca="1">(TODAY()-G1561)/365</f>
        <v>23.117808219178084</v>
      </c>
      <c r="P1561" s="91" t="s">
        <v>43</v>
      </c>
      <c r="Q1561" s="91">
        <v>0</v>
      </c>
      <c r="R1561" s="91">
        <v>0</v>
      </c>
      <c r="S1561" s="91">
        <v>0</v>
      </c>
      <c r="T1561" s="91"/>
      <c r="U1561" s="91"/>
      <c r="V1561" s="91"/>
      <c r="W1561" s="91"/>
      <c r="X1561" s="91"/>
      <c r="Y1561" s="91"/>
      <c r="Z1561" s="91"/>
      <c r="AA1561" s="91"/>
      <c r="AB1561" s="91"/>
      <c r="AC1561" s="91"/>
      <c r="AD1561" s="91"/>
      <c r="AE1561" s="91"/>
      <c r="AF1561" s="91"/>
      <c r="AG1561" s="91"/>
      <c r="AH1561" s="91"/>
      <c r="AI1561" s="91"/>
      <c r="AJ1561" s="91"/>
      <c r="AK1561" s="91"/>
      <c r="AL1561" s="91"/>
      <c r="AM1561" s="91"/>
    </row>
    <row r="1562" spans="1:39" ht="20.25" customHeight="1">
      <c r="A1562" s="91"/>
      <c r="B1562" s="93" t="s">
        <v>11748</v>
      </c>
      <c r="C1562" s="91" t="s">
        <v>73</v>
      </c>
      <c r="D1562" s="107" t="s">
        <v>2845</v>
      </c>
      <c r="E1562" s="107" t="s">
        <v>2846</v>
      </c>
      <c r="F1562" s="91" t="s">
        <v>2847</v>
      </c>
      <c r="G1562" s="96">
        <v>34416</v>
      </c>
      <c r="H1562" s="97">
        <v>14125</v>
      </c>
      <c r="I1562" s="94" t="s">
        <v>58</v>
      </c>
      <c r="J1562" s="94" t="s">
        <v>58</v>
      </c>
      <c r="K1562" s="95" t="s">
        <v>58</v>
      </c>
      <c r="L1562" s="91" t="s">
        <v>60</v>
      </c>
      <c r="M1562" s="98">
        <f ca="1">(TODAY()-H1562)/365</f>
        <v>87.334246575342462</v>
      </c>
      <c r="N1562" s="99">
        <f>(G1562-H1562)/365</f>
        <v>55.591780821917808</v>
      </c>
      <c r="O1562" s="98">
        <f ca="1">(TODAY()-G1562)/365</f>
        <v>31.742465753424657</v>
      </c>
      <c r="P1562" s="91" t="s">
        <v>43</v>
      </c>
      <c r="Q1562" s="91">
        <v>0</v>
      </c>
      <c r="R1562" s="91">
        <v>0</v>
      </c>
      <c r="S1562" s="91">
        <v>0</v>
      </c>
      <c r="T1562" s="91"/>
      <c r="U1562" s="91"/>
      <c r="V1562" s="91"/>
      <c r="W1562" s="91"/>
      <c r="X1562" s="91"/>
      <c r="Y1562" s="91"/>
      <c r="Z1562" s="91"/>
      <c r="AA1562" s="91"/>
      <c r="AB1562" s="91"/>
      <c r="AC1562" s="91"/>
      <c r="AD1562" s="91"/>
      <c r="AE1562" s="91"/>
      <c r="AF1562" s="91"/>
      <c r="AG1562" s="91"/>
      <c r="AH1562" s="91"/>
      <c r="AI1562" s="91"/>
      <c r="AJ1562" s="91"/>
      <c r="AK1562" s="91"/>
      <c r="AL1562" s="91"/>
      <c r="AM1562" s="91"/>
    </row>
    <row r="1563" spans="1:39" ht="20.25" hidden="1" customHeight="1">
      <c r="A1563" s="91"/>
      <c r="B1563" s="93" t="s">
        <v>5023</v>
      </c>
      <c r="C1563" s="91" t="s">
        <v>36</v>
      </c>
      <c r="D1563" s="107" t="s">
        <v>1651</v>
      </c>
      <c r="E1563" s="107" t="s">
        <v>5076</v>
      </c>
      <c r="F1563" s="91" t="s">
        <v>5077</v>
      </c>
      <c r="G1563" s="96">
        <v>40787</v>
      </c>
      <c r="H1563" s="97">
        <v>28908</v>
      </c>
      <c r="I1563" s="100" t="s">
        <v>5078</v>
      </c>
      <c r="J1563" s="100" t="s">
        <v>5079</v>
      </c>
      <c r="K1563" s="91">
        <v>994676025</v>
      </c>
      <c r="L1563" s="91" t="s">
        <v>60</v>
      </c>
      <c r="M1563" s="98">
        <f ca="1">(TODAY()-H1563)/365</f>
        <v>46.832876712328769</v>
      </c>
      <c r="N1563" s="99">
        <f>(G1563-H1563)/365</f>
        <v>32.545205479452058</v>
      </c>
      <c r="O1563" s="98">
        <f ca="1">(TODAY()-G1563)/365</f>
        <v>14.287671232876713</v>
      </c>
      <c r="P1563" s="91" t="s">
        <v>43</v>
      </c>
      <c r="Q1563" s="91">
        <v>0</v>
      </c>
      <c r="R1563" s="91">
        <v>0</v>
      </c>
      <c r="S1563" s="91">
        <v>0</v>
      </c>
      <c r="T1563" s="91"/>
      <c r="U1563" s="91"/>
      <c r="V1563" s="91"/>
      <c r="W1563" s="91"/>
      <c r="X1563" s="91"/>
      <c r="Y1563" s="91"/>
      <c r="Z1563" s="91"/>
      <c r="AA1563" s="91"/>
      <c r="AB1563" s="91"/>
      <c r="AC1563" s="91"/>
      <c r="AD1563" s="91"/>
      <c r="AE1563" s="91"/>
      <c r="AF1563" s="91"/>
      <c r="AG1563" s="91"/>
      <c r="AH1563" s="91"/>
      <c r="AI1563" s="91"/>
      <c r="AJ1563" s="91"/>
      <c r="AK1563" s="91"/>
      <c r="AL1563" s="91"/>
      <c r="AM1563" s="91"/>
    </row>
    <row r="1564" spans="1:39" ht="20.25" customHeight="1">
      <c r="A1564" s="91"/>
      <c r="B1564" s="93" t="s">
        <v>11928</v>
      </c>
      <c r="C1564" s="91" t="s">
        <v>73</v>
      </c>
      <c r="D1564" s="107" t="s">
        <v>3483</v>
      </c>
      <c r="E1564" s="107" t="s">
        <v>7518</v>
      </c>
      <c r="F1564" s="91" t="s">
        <v>7519</v>
      </c>
      <c r="G1564" s="96">
        <v>45528</v>
      </c>
      <c r="H1564" s="97">
        <v>21015</v>
      </c>
      <c r="I1564" s="94" t="s">
        <v>58</v>
      </c>
      <c r="J1564" s="94" t="s">
        <v>58</v>
      </c>
      <c r="K1564" s="95" t="s">
        <v>58</v>
      </c>
      <c r="L1564" s="91" t="s">
        <v>60</v>
      </c>
      <c r="M1564" s="98">
        <f ca="1">(TODAY()-H1564)/365</f>
        <v>68.457534246575349</v>
      </c>
      <c r="N1564" s="99">
        <f>(G1564-H1564)/365</f>
        <v>67.158904109589045</v>
      </c>
      <c r="O1564" s="98">
        <f ca="1">(TODAY()-G1564)/365</f>
        <v>1.2986301369863014</v>
      </c>
      <c r="P1564" s="91" t="s">
        <v>43</v>
      </c>
      <c r="Q1564" s="91">
        <v>0</v>
      </c>
      <c r="R1564" s="91">
        <v>0</v>
      </c>
      <c r="S1564" s="91">
        <v>0</v>
      </c>
      <c r="T1564" s="91"/>
      <c r="U1564" s="91"/>
      <c r="V1564" s="91"/>
      <c r="W1564" s="91"/>
      <c r="X1564" s="91"/>
      <c r="Y1564" s="91"/>
      <c r="Z1564" s="91"/>
      <c r="AA1564" s="91"/>
      <c r="AB1564" s="91"/>
      <c r="AC1564" s="91"/>
      <c r="AD1564" s="91"/>
      <c r="AE1564" s="91"/>
      <c r="AF1564" s="91"/>
      <c r="AG1564" s="91"/>
      <c r="AH1564" s="91"/>
      <c r="AI1564" s="91"/>
      <c r="AJ1564" s="91"/>
      <c r="AK1564" s="91"/>
      <c r="AL1564" s="91"/>
      <c r="AM1564" s="91"/>
    </row>
    <row r="1565" spans="1:39" ht="20.25" hidden="1" customHeight="1">
      <c r="A1565" s="91"/>
      <c r="B1565" s="93" t="s">
        <v>5023</v>
      </c>
      <c r="C1565" s="91" t="s">
        <v>36</v>
      </c>
      <c r="D1565" s="107" t="s">
        <v>930</v>
      </c>
      <c r="E1565" s="107" t="s">
        <v>5084</v>
      </c>
      <c r="F1565" s="91" t="s">
        <v>5085</v>
      </c>
      <c r="G1565" s="96">
        <v>38442</v>
      </c>
      <c r="H1565" s="97">
        <v>26272</v>
      </c>
      <c r="I1565" s="100" t="s">
        <v>5086</v>
      </c>
      <c r="J1565" s="100" t="s">
        <v>5087</v>
      </c>
      <c r="K1565" s="91">
        <v>933567765</v>
      </c>
      <c r="L1565" s="91" t="s">
        <v>60</v>
      </c>
      <c r="M1565" s="98">
        <f ca="1">(TODAY()-H1565)/365</f>
        <v>54.054794520547944</v>
      </c>
      <c r="N1565" s="99">
        <f>(G1565-H1565)/365</f>
        <v>33.342465753424655</v>
      </c>
      <c r="O1565" s="98">
        <f ca="1">(TODAY()-G1565)/365</f>
        <v>20.712328767123289</v>
      </c>
      <c r="P1565" s="91" t="s">
        <v>43</v>
      </c>
      <c r="Q1565" s="91">
        <v>0</v>
      </c>
      <c r="R1565" s="91">
        <v>0</v>
      </c>
      <c r="S1565" s="91">
        <v>0</v>
      </c>
      <c r="T1565" s="91"/>
      <c r="U1565" s="91"/>
      <c r="V1565" s="91"/>
      <c r="W1565" s="91"/>
      <c r="X1565" s="91"/>
      <c r="Y1565" s="91"/>
      <c r="Z1565" s="91"/>
      <c r="AA1565" s="91"/>
      <c r="AB1565" s="91"/>
      <c r="AC1565" s="91"/>
      <c r="AD1565" s="91"/>
      <c r="AE1565" s="91"/>
      <c r="AF1565" s="91"/>
      <c r="AG1565" s="91"/>
      <c r="AH1565" s="91"/>
      <c r="AI1565" s="91"/>
      <c r="AJ1565" s="91"/>
      <c r="AK1565" s="91"/>
      <c r="AL1565" s="91"/>
      <c r="AM1565" s="91"/>
    </row>
    <row r="1566" spans="1:39" ht="20.25" customHeight="1">
      <c r="A1566" s="91"/>
      <c r="B1566" s="93" t="s">
        <v>3992</v>
      </c>
      <c r="C1566" s="91" t="s">
        <v>73</v>
      </c>
      <c r="D1566" s="94" t="s">
        <v>4058</v>
      </c>
      <c r="E1566" s="94" t="s">
        <v>4059</v>
      </c>
      <c r="F1566" s="95" t="s">
        <v>4060</v>
      </c>
      <c r="G1566" s="96">
        <v>45261</v>
      </c>
      <c r="H1566" s="97">
        <v>26268</v>
      </c>
      <c r="I1566" s="94" t="s">
        <v>58</v>
      </c>
      <c r="J1566" s="94" t="s">
        <v>58</v>
      </c>
      <c r="K1566" s="95" t="s">
        <v>58</v>
      </c>
      <c r="L1566" s="91" t="s">
        <v>60</v>
      </c>
      <c r="M1566" s="98">
        <f ca="1">(TODAY()-H1566)/365</f>
        <v>54.065753424657537</v>
      </c>
      <c r="N1566" s="99">
        <f>(G1566-H1566)/365</f>
        <v>52.035616438356165</v>
      </c>
      <c r="O1566" s="98">
        <f ca="1">(TODAY()-G1566)/365</f>
        <v>2.0301369863013701</v>
      </c>
      <c r="P1566" s="91" t="s">
        <v>43</v>
      </c>
      <c r="Q1566" s="91">
        <v>0</v>
      </c>
      <c r="R1566" s="91">
        <v>0</v>
      </c>
      <c r="S1566" s="91">
        <v>0</v>
      </c>
      <c r="T1566" s="91"/>
      <c r="U1566" s="91"/>
      <c r="V1566" s="91"/>
      <c r="W1566" s="91"/>
      <c r="X1566" s="91"/>
      <c r="Y1566" s="91"/>
      <c r="Z1566" s="91"/>
      <c r="AA1566" s="91"/>
      <c r="AB1566" s="91"/>
      <c r="AC1566" s="91"/>
      <c r="AD1566" s="91"/>
      <c r="AE1566" s="91"/>
      <c r="AF1566" s="91"/>
      <c r="AG1566" s="91"/>
      <c r="AH1566" s="91"/>
      <c r="AI1566" s="91"/>
      <c r="AJ1566" s="91"/>
      <c r="AK1566" s="91"/>
      <c r="AL1566" s="91"/>
      <c r="AM1566" s="91"/>
    </row>
    <row r="1567" spans="1:39" ht="20.25" hidden="1" customHeight="1">
      <c r="A1567" s="91"/>
      <c r="B1567" s="93" t="s">
        <v>5023</v>
      </c>
      <c r="C1567" s="91" t="s">
        <v>36</v>
      </c>
      <c r="D1567" s="107" t="s">
        <v>5092</v>
      </c>
      <c r="E1567" s="107" t="s">
        <v>5093</v>
      </c>
      <c r="F1567" s="91" t="s">
        <v>5094</v>
      </c>
      <c r="G1567" s="96">
        <v>39249</v>
      </c>
      <c r="H1567" s="97">
        <v>25092</v>
      </c>
      <c r="I1567" s="100" t="s">
        <v>5095</v>
      </c>
      <c r="J1567" s="100" t="s">
        <v>5096</v>
      </c>
      <c r="K1567" s="91">
        <v>977557286</v>
      </c>
      <c r="L1567" s="91" t="s">
        <v>42</v>
      </c>
      <c r="M1567" s="98">
        <f ca="1">(TODAY()-H1567)/365</f>
        <v>57.287671232876711</v>
      </c>
      <c r="N1567" s="99">
        <f>(G1567-H1567)/365</f>
        <v>38.786301369863011</v>
      </c>
      <c r="O1567" s="98">
        <f ca="1">(TODAY()-G1567)/365</f>
        <v>18.5013698630137</v>
      </c>
      <c r="P1567" s="91" t="s">
        <v>43</v>
      </c>
      <c r="Q1567" s="91">
        <v>0</v>
      </c>
      <c r="R1567" s="91">
        <v>0</v>
      </c>
      <c r="S1567" s="91">
        <v>0</v>
      </c>
      <c r="T1567" s="91"/>
      <c r="U1567" s="91"/>
      <c r="V1567" s="91"/>
      <c r="W1567" s="91"/>
      <c r="X1567" s="91"/>
      <c r="Y1567" s="117"/>
      <c r="Z1567" s="91"/>
      <c r="AA1567" s="91"/>
      <c r="AB1567" s="91"/>
      <c r="AC1567" s="91"/>
      <c r="AD1567" s="91"/>
      <c r="AE1567" s="91"/>
      <c r="AF1567" s="91"/>
      <c r="AG1567" s="91"/>
      <c r="AH1567" s="91"/>
      <c r="AI1567" s="91"/>
      <c r="AJ1567" s="91"/>
      <c r="AK1567" s="91"/>
      <c r="AL1567" s="91"/>
      <c r="AM1567" s="91"/>
    </row>
    <row r="1568" spans="1:39" ht="20.25" hidden="1" customHeight="1">
      <c r="A1568" s="91"/>
      <c r="B1568" s="93" t="s">
        <v>5023</v>
      </c>
      <c r="C1568" s="91" t="s">
        <v>36</v>
      </c>
      <c r="D1568" s="107" t="s">
        <v>5097</v>
      </c>
      <c r="E1568" s="107" t="s">
        <v>5098</v>
      </c>
      <c r="F1568" s="91" t="s">
        <v>5099</v>
      </c>
      <c r="G1568" s="96">
        <v>41031</v>
      </c>
      <c r="H1568" s="97">
        <v>26438</v>
      </c>
      <c r="I1568" s="100" t="s">
        <v>5100</v>
      </c>
      <c r="J1568" s="100" t="s">
        <v>5101</v>
      </c>
      <c r="K1568" s="91">
        <v>952210529</v>
      </c>
      <c r="L1568" s="91" t="s">
        <v>60</v>
      </c>
      <c r="M1568" s="98">
        <f ca="1">(TODAY()-H1568)/365</f>
        <v>53.6</v>
      </c>
      <c r="N1568" s="99">
        <f>(G1568-H1568)/365</f>
        <v>39.980821917808221</v>
      </c>
      <c r="O1568" s="98">
        <f ca="1">(TODAY()-G1568)/365</f>
        <v>13.61917808219178</v>
      </c>
      <c r="P1568" s="91" t="s">
        <v>43</v>
      </c>
      <c r="Q1568" s="91">
        <v>0</v>
      </c>
      <c r="R1568" s="91">
        <v>0</v>
      </c>
      <c r="S1568" s="91">
        <v>0</v>
      </c>
      <c r="T1568" s="91"/>
      <c r="U1568" s="91"/>
      <c r="V1568" s="91"/>
      <c r="W1568" s="91"/>
      <c r="X1568" s="91"/>
      <c r="Y1568" s="91"/>
      <c r="Z1568" s="91"/>
      <c r="AA1568" s="91"/>
      <c r="AB1568" s="91"/>
      <c r="AC1568" s="91"/>
      <c r="AD1568" s="91"/>
      <c r="AE1568" s="91"/>
      <c r="AF1568" s="91"/>
      <c r="AG1568" s="91"/>
      <c r="AH1568" s="91"/>
      <c r="AI1568" s="91"/>
      <c r="AJ1568" s="91"/>
      <c r="AK1568" s="91"/>
      <c r="AL1568" s="91"/>
      <c r="AM1568" s="91"/>
    </row>
    <row r="1569" spans="1:39" ht="20.25" hidden="1" customHeight="1">
      <c r="A1569" s="91"/>
      <c r="B1569" s="93" t="s">
        <v>5023</v>
      </c>
      <c r="C1569" s="91" t="s">
        <v>36</v>
      </c>
      <c r="D1569" s="107" t="s">
        <v>5102</v>
      </c>
      <c r="E1569" s="107" t="s">
        <v>5103</v>
      </c>
      <c r="F1569" s="91" t="s">
        <v>5104</v>
      </c>
      <c r="G1569" s="96">
        <v>36374</v>
      </c>
      <c r="H1569" s="97">
        <v>20235</v>
      </c>
      <c r="I1569" s="100" t="s">
        <v>5105</v>
      </c>
      <c r="J1569" s="100" t="s">
        <v>5106</v>
      </c>
      <c r="K1569" s="91">
        <v>965220142</v>
      </c>
      <c r="L1569" s="91" t="s">
        <v>60</v>
      </c>
      <c r="M1569" s="98">
        <f ca="1">(TODAY()-H1569)/365</f>
        <v>70.594520547945208</v>
      </c>
      <c r="N1569" s="99">
        <f>(G1569-H1569)/365</f>
        <v>44.216438356164382</v>
      </c>
      <c r="O1569" s="98">
        <f ca="1">(TODAY()-G1569)/365</f>
        <v>26.378082191780823</v>
      </c>
      <c r="P1569" s="91" t="s">
        <v>43</v>
      </c>
      <c r="Q1569" s="91">
        <v>0</v>
      </c>
      <c r="R1569" s="91">
        <v>0</v>
      </c>
      <c r="S1569" s="91">
        <v>0</v>
      </c>
      <c r="T1569" s="91"/>
      <c r="U1569" s="91"/>
      <c r="V1569" s="91"/>
      <c r="W1569" s="91"/>
      <c r="X1569" s="91"/>
      <c r="Y1569" s="91"/>
      <c r="Z1569" s="91"/>
      <c r="AA1569" s="91"/>
      <c r="AB1569" s="91"/>
      <c r="AC1569" s="91"/>
      <c r="AD1569" s="91"/>
      <c r="AE1569" s="91"/>
      <c r="AF1569" s="91"/>
      <c r="AG1569" s="91"/>
      <c r="AH1569" s="91"/>
      <c r="AI1569" s="91"/>
      <c r="AJ1569" s="91"/>
      <c r="AK1569" s="91"/>
      <c r="AL1569" s="91"/>
      <c r="AM1569" s="91"/>
    </row>
    <row r="1570" spans="1:39" ht="20.25" hidden="1" customHeight="1">
      <c r="A1570" s="91"/>
      <c r="B1570" s="93" t="s">
        <v>5023</v>
      </c>
      <c r="C1570" s="91" t="s">
        <v>36</v>
      </c>
      <c r="D1570" s="107" t="s">
        <v>5107</v>
      </c>
      <c r="E1570" s="107" t="s">
        <v>5108</v>
      </c>
      <c r="F1570" s="91" t="s">
        <v>5109</v>
      </c>
      <c r="G1570" s="96">
        <v>45140</v>
      </c>
      <c r="H1570" s="97">
        <v>28365</v>
      </c>
      <c r="I1570" s="100" t="s">
        <v>5110</v>
      </c>
      <c r="J1570" s="100" t="s">
        <v>5111</v>
      </c>
      <c r="K1570" s="91">
        <v>976661452</v>
      </c>
      <c r="L1570" s="91" t="s">
        <v>66</v>
      </c>
      <c r="M1570" s="98">
        <f ca="1">(TODAY()-H1570)/365</f>
        <v>48.320547945205476</v>
      </c>
      <c r="N1570" s="99">
        <f>(G1570-H1570)/365</f>
        <v>45.958904109589042</v>
      </c>
      <c r="O1570" s="98">
        <f ca="1">(TODAY()-G1570)/365</f>
        <v>2.3616438356164382</v>
      </c>
      <c r="P1570" s="91" t="s">
        <v>43</v>
      </c>
      <c r="Q1570" s="91">
        <v>0</v>
      </c>
      <c r="R1570" s="91">
        <v>0</v>
      </c>
      <c r="S1570" s="91">
        <v>0</v>
      </c>
      <c r="T1570" s="91"/>
      <c r="U1570" s="91"/>
      <c r="V1570" s="91"/>
      <c r="W1570" s="91"/>
      <c r="X1570" s="91"/>
      <c r="Y1570" s="91"/>
      <c r="Z1570" s="91"/>
      <c r="AA1570" s="91"/>
      <c r="AB1570" s="91"/>
      <c r="AC1570" s="91"/>
      <c r="AD1570" s="91"/>
      <c r="AE1570" s="91"/>
      <c r="AF1570" s="91"/>
      <c r="AG1570" s="91"/>
      <c r="AH1570" s="91"/>
      <c r="AI1570" s="91"/>
      <c r="AJ1570" s="91"/>
      <c r="AK1570" s="91"/>
      <c r="AL1570" s="91"/>
      <c r="AM1570" s="91"/>
    </row>
    <row r="1571" spans="1:39" ht="20.25" hidden="1" customHeight="1">
      <c r="A1571" s="91"/>
      <c r="B1571" s="93" t="s">
        <v>5023</v>
      </c>
      <c r="C1571" s="91" t="s">
        <v>36</v>
      </c>
      <c r="D1571" s="107" t="s">
        <v>5112</v>
      </c>
      <c r="E1571" s="107" t="s">
        <v>5113</v>
      </c>
      <c r="F1571" s="91" t="s">
        <v>5114</v>
      </c>
      <c r="G1571" s="96">
        <v>40609</v>
      </c>
      <c r="H1571" s="97">
        <v>22702</v>
      </c>
      <c r="I1571" s="100" t="s">
        <v>5115</v>
      </c>
      <c r="J1571" s="100" t="s">
        <v>5116</v>
      </c>
      <c r="K1571" s="91">
        <v>982509917</v>
      </c>
      <c r="L1571" s="91" t="s">
        <v>72</v>
      </c>
      <c r="M1571" s="98">
        <f ca="1">(TODAY()-H1571)/365</f>
        <v>63.835616438356162</v>
      </c>
      <c r="N1571" s="99">
        <f>(G1571-H1571)/365</f>
        <v>49.060273972602737</v>
      </c>
      <c r="O1571" s="98">
        <f ca="1">(TODAY()-G1571)/365</f>
        <v>14.775342465753425</v>
      </c>
      <c r="P1571" s="91" t="s">
        <v>43</v>
      </c>
      <c r="Q1571" s="91">
        <v>0</v>
      </c>
      <c r="R1571" s="91">
        <v>0</v>
      </c>
      <c r="S1571" s="91">
        <v>0</v>
      </c>
      <c r="T1571" s="91"/>
      <c r="U1571" s="91"/>
      <c r="V1571" s="91"/>
      <c r="W1571" s="91"/>
      <c r="X1571" s="91"/>
      <c r="Y1571" s="91"/>
      <c r="Z1571" s="91"/>
      <c r="AA1571" s="91"/>
      <c r="AB1571" s="91"/>
      <c r="AC1571" s="91"/>
      <c r="AD1571" s="91"/>
      <c r="AE1571" s="91"/>
      <c r="AF1571" s="91"/>
      <c r="AG1571" s="91"/>
      <c r="AH1571" s="91"/>
      <c r="AI1571" s="91"/>
      <c r="AJ1571" s="91"/>
      <c r="AK1571" s="91"/>
      <c r="AL1571" s="91"/>
      <c r="AM1571" s="91"/>
    </row>
    <row r="1572" spans="1:39" ht="20.25" hidden="1" customHeight="1">
      <c r="A1572" s="91"/>
      <c r="B1572" s="93" t="s">
        <v>5023</v>
      </c>
      <c r="C1572" s="91" t="s">
        <v>36</v>
      </c>
      <c r="D1572" s="107" t="s">
        <v>5117</v>
      </c>
      <c r="E1572" s="107" t="s">
        <v>5118</v>
      </c>
      <c r="F1572" s="91" t="s">
        <v>5119</v>
      </c>
      <c r="G1572" s="96">
        <v>40609</v>
      </c>
      <c r="H1572" s="97">
        <v>21384</v>
      </c>
      <c r="I1572" s="100" t="s">
        <v>5120</v>
      </c>
      <c r="J1572" s="100" t="s">
        <v>5121</v>
      </c>
      <c r="K1572" s="91">
        <v>94144046</v>
      </c>
      <c r="L1572" s="91" t="s">
        <v>60</v>
      </c>
      <c r="M1572" s="98">
        <f ca="1">(TODAY()-H1572)/365</f>
        <v>67.446575342465749</v>
      </c>
      <c r="N1572" s="99">
        <f>(G1572-H1572)/365</f>
        <v>52.671232876712331</v>
      </c>
      <c r="O1572" s="98">
        <f ca="1">(TODAY()-G1572)/365</f>
        <v>14.775342465753425</v>
      </c>
      <c r="P1572" s="91" t="s">
        <v>272</v>
      </c>
      <c r="Q1572" s="91">
        <v>0</v>
      </c>
      <c r="R1572" s="91">
        <v>0</v>
      </c>
      <c r="S1572" s="91">
        <v>0</v>
      </c>
      <c r="T1572" s="91"/>
      <c r="U1572" s="91"/>
      <c r="V1572" s="91"/>
      <c r="W1572" s="91"/>
      <c r="X1572" s="91"/>
      <c r="Y1572" s="91"/>
      <c r="Z1572" s="91"/>
      <c r="AA1572" s="91"/>
      <c r="AB1572" s="91"/>
      <c r="AC1572" s="91"/>
      <c r="AD1572" s="91"/>
      <c r="AE1572" s="91"/>
      <c r="AF1572" s="91"/>
      <c r="AG1572" s="91"/>
      <c r="AH1572" s="91"/>
      <c r="AI1572" s="91"/>
      <c r="AJ1572" s="91"/>
      <c r="AK1572" s="91"/>
      <c r="AL1572" s="91"/>
      <c r="AM1572" s="91"/>
    </row>
    <row r="1573" spans="1:39" ht="20.25" hidden="1" customHeight="1">
      <c r="A1573" s="91"/>
      <c r="B1573" s="93" t="s">
        <v>5023</v>
      </c>
      <c r="C1573" s="91" t="s">
        <v>36</v>
      </c>
      <c r="D1573" s="107" t="s">
        <v>3665</v>
      </c>
      <c r="E1573" s="107" t="s">
        <v>5122</v>
      </c>
      <c r="F1573" s="91" t="s">
        <v>5123</v>
      </c>
      <c r="G1573" s="96">
        <v>40487</v>
      </c>
      <c r="H1573" s="97">
        <v>20225</v>
      </c>
      <c r="I1573" s="100" t="s">
        <v>5124</v>
      </c>
      <c r="J1573" s="100" t="s">
        <v>5125</v>
      </c>
      <c r="K1573" s="91">
        <v>982909735</v>
      </c>
      <c r="L1573" s="91" t="s">
        <v>60</v>
      </c>
      <c r="M1573" s="98">
        <f ca="1">(TODAY()-H1573)/365</f>
        <v>70.62191780821918</v>
      </c>
      <c r="N1573" s="99">
        <f>(G1573-H1573)/365</f>
        <v>55.512328767123286</v>
      </c>
      <c r="O1573" s="98">
        <f ca="1">(TODAY()-G1573)/365</f>
        <v>15.109589041095891</v>
      </c>
      <c r="P1573" s="91" t="s">
        <v>43</v>
      </c>
      <c r="Q1573" s="91">
        <v>0</v>
      </c>
      <c r="R1573" s="91">
        <v>0</v>
      </c>
      <c r="S1573" s="91">
        <v>0</v>
      </c>
      <c r="T1573" s="91"/>
      <c r="U1573" s="91"/>
      <c r="V1573" s="91"/>
      <c r="W1573" s="91"/>
      <c r="X1573" s="91"/>
      <c r="Y1573" s="91"/>
      <c r="Z1573" s="91"/>
      <c r="AA1573" s="91"/>
      <c r="AB1573" s="91"/>
      <c r="AC1573" s="91"/>
      <c r="AD1573" s="91"/>
      <c r="AE1573" s="91"/>
      <c r="AF1573" s="91"/>
      <c r="AG1573" s="91"/>
      <c r="AH1573" s="91"/>
      <c r="AI1573" s="91"/>
      <c r="AJ1573" s="91"/>
      <c r="AK1573" s="91"/>
      <c r="AL1573" s="91"/>
      <c r="AM1573" s="91"/>
    </row>
    <row r="1574" spans="1:39" ht="20.25" hidden="1" customHeight="1">
      <c r="A1574" s="91"/>
      <c r="B1574" s="93" t="s">
        <v>5023</v>
      </c>
      <c r="C1574" s="91" t="s">
        <v>36</v>
      </c>
      <c r="D1574" s="107" t="s">
        <v>1354</v>
      </c>
      <c r="E1574" s="107" t="s">
        <v>5126</v>
      </c>
      <c r="F1574" s="91" t="s">
        <v>5127</v>
      </c>
      <c r="G1574" s="96">
        <v>45607</v>
      </c>
      <c r="H1574" s="97">
        <v>25056</v>
      </c>
      <c r="I1574" s="100" t="s">
        <v>5128</v>
      </c>
      <c r="J1574" s="100" t="s">
        <v>5129</v>
      </c>
      <c r="K1574" s="91">
        <v>987260720</v>
      </c>
      <c r="L1574" s="91" t="s">
        <v>60</v>
      </c>
      <c r="M1574" s="98">
        <f ca="1">(TODAY()-H1574)/365</f>
        <v>57.386301369863013</v>
      </c>
      <c r="N1574" s="99">
        <f>(G1574-H1574)/365</f>
        <v>56.304109589041097</v>
      </c>
      <c r="O1574" s="98">
        <f ca="1">(TODAY()-G1574)/365</f>
        <v>1.0821917808219179</v>
      </c>
      <c r="P1574" s="91" t="s">
        <v>43</v>
      </c>
      <c r="Q1574" s="91">
        <v>0</v>
      </c>
      <c r="R1574" s="91">
        <v>0</v>
      </c>
      <c r="S1574" s="91">
        <v>0</v>
      </c>
      <c r="T1574" s="91"/>
      <c r="U1574" s="91"/>
      <c r="V1574" s="91"/>
      <c r="W1574" s="91"/>
      <c r="X1574" s="91"/>
      <c r="Y1574" s="91"/>
      <c r="Z1574" s="91"/>
      <c r="AA1574" s="91"/>
      <c r="AB1574" s="91"/>
      <c r="AC1574" s="91"/>
      <c r="AD1574" s="91"/>
      <c r="AE1574" s="91"/>
      <c r="AF1574" s="91"/>
      <c r="AG1574" s="91"/>
      <c r="AH1574" s="91"/>
      <c r="AI1574" s="91"/>
      <c r="AJ1574" s="91"/>
      <c r="AK1574" s="91"/>
      <c r="AL1574" s="91"/>
      <c r="AM1574" s="91"/>
    </row>
    <row r="1575" spans="1:39" ht="20.25" customHeight="1">
      <c r="A1575" s="91"/>
      <c r="B1575" s="93" t="s">
        <v>538</v>
      </c>
      <c r="C1575" s="91" t="s">
        <v>73</v>
      </c>
      <c r="D1575" s="94" t="s">
        <v>544</v>
      </c>
      <c r="E1575" s="94" t="s">
        <v>545</v>
      </c>
      <c r="F1575" s="95" t="s">
        <v>546</v>
      </c>
      <c r="G1575" s="96">
        <v>29708</v>
      </c>
      <c r="H1575" s="97">
        <v>21417</v>
      </c>
      <c r="I1575" s="94" t="s">
        <v>547</v>
      </c>
      <c r="J1575" s="100" t="s">
        <v>58</v>
      </c>
      <c r="K1575" s="91" t="s">
        <v>58</v>
      </c>
      <c r="L1575" s="91" t="s">
        <v>60</v>
      </c>
      <c r="M1575" s="98">
        <f ca="1">(TODAY()-H1575)/365</f>
        <v>67.356164383561648</v>
      </c>
      <c r="N1575" s="99">
        <f>(G1575-H1575)/365</f>
        <v>22.715068493150685</v>
      </c>
      <c r="O1575" s="98">
        <f ca="1">(TODAY()-G1575)/365</f>
        <v>44.641095890410959</v>
      </c>
      <c r="P1575" s="91" t="s">
        <v>43</v>
      </c>
      <c r="Q1575" s="91">
        <v>0</v>
      </c>
      <c r="R1575" s="91">
        <v>0</v>
      </c>
      <c r="S1575" s="91">
        <v>0</v>
      </c>
      <c r="T1575" s="91"/>
      <c r="U1575" s="91"/>
      <c r="V1575" s="91"/>
      <c r="W1575" s="91"/>
      <c r="X1575" s="91"/>
      <c r="Y1575" s="91"/>
      <c r="Z1575" s="91"/>
      <c r="AA1575" s="91"/>
      <c r="AB1575" s="91"/>
      <c r="AC1575" s="91"/>
      <c r="AD1575" s="91"/>
      <c r="AE1575" s="91"/>
      <c r="AF1575" s="91"/>
      <c r="AG1575" s="91"/>
      <c r="AH1575" s="91"/>
      <c r="AI1575" s="91"/>
      <c r="AJ1575" s="91"/>
      <c r="AK1575" s="91"/>
      <c r="AL1575" s="91"/>
      <c r="AM1575" s="91"/>
    </row>
    <row r="1576" spans="1:39" ht="20.25" hidden="1" customHeight="1">
      <c r="A1576" s="91"/>
      <c r="B1576" s="93" t="s">
        <v>5023</v>
      </c>
      <c r="C1576" s="91" t="s">
        <v>36</v>
      </c>
      <c r="D1576" s="107" t="s">
        <v>5133</v>
      </c>
      <c r="E1576" s="107" t="s">
        <v>5134</v>
      </c>
      <c r="F1576" s="91" t="s">
        <v>5135</v>
      </c>
      <c r="G1576" s="96">
        <v>43147</v>
      </c>
      <c r="H1576" s="97">
        <v>20687</v>
      </c>
      <c r="I1576" s="100" t="s">
        <v>5136</v>
      </c>
      <c r="J1576" s="100" t="s">
        <v>5137</v>
      </c>
      <c r="K1576" s="91">
        <v>972998295</v>
      </c>
      <c r="L1576" s="91" t="s">
        <v>60</v>
      </c>
      <c r="M1576" s="98">
        <f ca="1">(TODAY()-H1576)/365</f>
        <v>69.356164383561648</v>
      </c>
      <c r="N1576" s="99">
        <f>(G1576-H1576)/365</f>
        <v>61.534246575342465</v>
      </c>
      <c r="O1576" s="98">
        <f ca="1">(TODAY()-G1576)/365</f>
        <v>7.8219178082191778</v>
      </c>
      <c r="P1576" s="91" t="s">
        <v>43</v>
      </c>
      <c r="Q1576" s="91">
        <v>0</v>
      </c>
      <c r="R1576" s="91">
        <v>0</v>
      </c>
      <c r="S1576" s="91">
        <v>0</v>
      </c>
      <c r="T1576" s="91"/>
      <c r="U1576" s="91"/>
      <c r="V1576" s="91"/>
      <c r="W1576" s="91"/>
      <c r="X1576" s="91"/>
      <c r="Y1576" s="91"/>
      <c r="Z1576" s="91"/>
      <c r="AA1576" s="91"/>
      <c r="AB1576" s="91"/>
      <c r="AC1576" s="91"/>
      <c r="AD1576" s="91"/>
      <c r="AE1576" s="91"/>
      <c r="AF1576" s="91"/>
      <c r="AG1576" s="91"/>
      <c r="AH1576" s="91"/>
      <c r="AI1576" s="91"/>
      <c r="AJ1576" s="91"/>
      <c r="AK1576" s="91"/>
      <c r="AL1576" s="91"/>
      <c r="AM1576" s="91"/>
    </row>
    <row r="1577" spans="1:39" ht="20.25" hidden="1" customHeight="1">
      <c r="A1577" s="91"/>
      <c r="B1577" s="93" t="s">
        <v>5023</v>
      </c>
      <c r="C1577" s="91" t="s">
        <v>36</v>
      </c>
      <c r="D1577" s="107" t="s">
        <v>5138</v>
      </c>
      <c r="E1577" s="107" t="s">
        <v>5139</v>
      </c>
      <c r="F1577" s="91" t="s">
        <v>5140</v>
      </c>
      <c r="G1577" s="96">
        <v>44631</v>
      </c>
      <c r="H1577" s="97">
        <v>22056</v>
      </c>
      <c r="I1577" s="100" t="s">
        <v>5141</v>
      </c>
      <c r="J1577" s="100" t="s">
        <v>5142</v>
      </c>
      <c r="K1577" s="91">
        <v>995787447</v>
      </c>
      <c r="L1577" s="91" t="s">
        <v>60</v>
      </c>
      <c r="M1577" s="98">
        <f ca="1">(TODAY()-H1577)/365</f>
        <v>65.605479452054794</v>
      </c>
      <c r="N1577" s="99">
        <f>(G1577-H1577)/365</f>
        <v>61.849315068493148</v>
      </c>
      <c r="O1577" s="98">
        <f ca="1">(TODAY()-G1577)/365</f>
        <v>3.7561643835616438</v>
      </c>
      <c r="P1577" s="91" t="s">
        <v>43</v>
      </c>
      <c r="Q1577" s="91">
        <v>0</v>
      </c>
      <c r="R1577" s="91">
        <v>0</v>
      </c>
      <c r="S1577" s="91">
        <v>0</v>
      </c>
      <c r="T1577" s="91"/>
      <c r="U1577" s="91"/>
      <c r="V1577" s="91"/>
      <c r="W1577" s="91"/>
      <c r="X1577" s="91"/>
      <c r="Y1577" s="91"/>
      <c r="Z1577" s="91"/>
      <c r="AA1577" s="91"/>
      <c r="AB1577" s="91"/>
      <c r="AC1577" s="91"/>
      <c r="AD1577" s="91"/>
      <c r="AE1577" s="91"/>
      <c r="AF1577" s="91"/>
      <c r="AG1577" s="91"/>
      <c r="AH1577" s="91"/>
      <c r="AI1577" s="91"/>
      <c r="AJ1577" s="91"/>
      <c r="AK1577" s="91"/>
      <c r="AL1577" s="91"/>
      <c r="AM1577" s="91"/>
    </row>
    <row r="1578" spans="1:39" ht="20.25" hidden="1" customHeight="1">
      <c r="A1578" s="91"/>
      <c r="B1578" s="93" t="s">
        <v>5143</v>
      </c>
      <c r="C1578" s="91" t="s">
        <v>36</v>
      </c>
      <c r="D1578" s="94" t="s">
        <v>3570</v>
      </c>
      <c r="E1578" s="94" t="s">
        <v>5144</v>
      </c>
      <c r="F1578" s="95" t="s">
        <v>5145</v>
      </c>
      <c r="G1578" s="96">
        <v>43018</v>
      </c>
      <c r="H1578" s="97">
        <v>36046</v>
      </c>
      <c r="I1578" s="94" t="s">
        <v>5146</v>
      </c>
      <c r="J1578" s="94" t="s">
        <v>5147</v>
      </c>
      <c r="K1578" s="95">
        <v>987331618</v>
      </c>
      <c r="L1578" s="91" t="s">
        <v>60</v>
      </c>
      <c r="M1578" s="98">
        <f ca="1">(TODAY()-H1578)/365</f>
        <v>27.276712328767122</v>
      </c>
      <c r="N1578" s="99">
        <f>(G1578-H1578)/365</f>
        <v>19.101369863013698</v>
      </c>
      <c r="O1578" s="98">
        <f ca="1">(TODAY()-G1578)/365</f>
        <v>8.1753424657534239</v>
      </c>
      <c r="P1578" s="91" t="s">
        <v>43</v>
      </c>
      <c r="Q1578" s="91">
        <v>0</v>
      </c>
      <c r="R1578" s="91">
        <v>0</v>
      </c>
      <c r="S1578" s="91">
        <v>0</v>
      </c>
      <c r="T1578" s="91"/>
      <c r="U1578" s="91"/>
      <c r="V1578" s="91"/>
      <c r="W1578" s="91"/>
      <c r="X1578" s="91"/>
      <c r="Y1578" s="91"/>
      <c r="Z1578" s="91"/>
      <c r="AA1578" s="91"/>
      <c r="AB1578" s="91"/>
      <c r="AC1578" s="91"/>
      <c r="AD1578" s="91"/>
      <c r="AE1578" s="91"/>
      <c r="AF1578" s="91"/>
      <c r="AG1578" s="91"/>
      <c r="AH1578" s="91"/>
      <c r="AI1578" s="91"/>
      <c r="AJ1578" s="91"/>
      <c r="AK1578" s="91"/>
      <c r="AL1578" s="91"/>
      <c r="AM1578" s="91"/>
    </row>
    <row r="1579" spans="1:39" ht="20.25" hidden="1" customHeight="1">
      <c r="A1579" s="91"/>
      <c r="B1579" s="93" t="s">
        <v>5143</v>
      </c>
      <c r="C1579" s="91" t="s">
        <v>36</v>
      </c>
      <c r="D1579" s="94" t="s">
        <v>5148</v>
      </c>
      <c r="E1579" s="94" t="s">
        <v>5149</v>
      </c>
      <c r="F1579" s="95" t="s">
        <v>5150</v>
      </c>
      <c r="G1579" s="96">
        <v>43590</v>
      </c>
      <c r="H1579" s="96" t="s">
        <v>58</v>
      </c>
      <c r="I1579" s="94" t="s">
        <v>5151</v>
      </c>
      <c r="J1579" s="94" t="s">
        <v>5152</v>
      </c>
      <c r="K1579" s="95">
        <v>933923260</v>
      </c>
      <c r="L1579" s="91" t="s">
        <v>167</v>
      </c>
      <c r="M1579" s="98">
        <v>0</v>
      </c>
      <c r="N1579" s="95"/>
      <c r="O1579" s="98">
        <f ca="1">(TODAY()-G1579)/365</f>
        <v>6.6082191780821917</v>
      </c>
      <c r="P1579" s="91" t="s">
        <v>43</v>
      </c>
      <c r="Q1579" s="91">
        <v>0</v>
      </c>
      <c r="R1579" s="91">
        <v>0</v>
      </c>
      <c r="S1579" s="91">
        <v>0</v>
      </c>
      <c r="T1579" s="91"/>
      <c r="U1579" s="91"/>
      <c r="V1579" s="91"/>
      <c r="W1579" s="91"/>
      <c r="X1579" s="91"/>
      <c r="Y1579" s="91"/>
      <c r="Z1579" s="91"/>
      <c r="AA1579" s="91"/>
      <c r="AB1579" s="91"/>
      <c r="AC1579" s="91"/>
      <c r="AD1579" s="91"/>
      <c r="AE1579" s="91"/>
      <c r="AF1579" s="91"/>
      <c r="AG1579" s="91"/>
      <c r="AH1579" s="91"/>
      <c r="AI1579" s="91"/>
      <c r="AJ1579" s="91"/>
      <c r="AK1579" s="91"/>
      <c r="AL1579" s="91"/>
      <c r="AM1579" s="91"/>
    </row>
    <row r="1580" spans="1:39" ht="20.25" hidden="1" customHeight="1">
      <c r="A1580" s="91"/>
      <c r="B1580" s="93" t="s">
        <v>5143</v>
      </c>
      <c r="C1580" s="91" t="s">
        <v>36</v>
      </c>
      <c r="D1580" s="94" t="s">
        <v>5153</v>
      </c>
      <c r="E1580" s="94" t="s">
        <v>5154</v>
      </c>
      <c r="F1580" s="95" t="s">
        <v>5155</v>
      </c>
      <c r="G1580" s="96">
        <v>45105</v>
      </c>
      <c r="H1580" s="97">
        <v>35398</v>
      </c>
      <c r="I1580" s="94" t="s">
        <v>5156</v>
      </c>
      <c r="J1580" s="94" t="s">
        <v>5157</v>
      </c>
      <c r="K1580" s="95">
        <v>933616575</v>
      </c>
      <c r="L1580" s="91" t="s">
        <v>60</v>
      </c>
      <c r="M1580" s="98">
        <f ca="1">(TODAY()-H1580)/365</f>
        <v>29.052054794520547</v>
      </c>
      <c r="N1580" s="99">
        <f>(G1580-H1580)/365</f>
        <v>26.594520547945205</v>
      </c>
      <c r="O1580" s="98">
        <f ca="1">(TODAY()-G1580)/365</f>
        <v>2.4575342465753423</v>
      </c>
      <c r="P1580" s="91" t="s">
        <v>43</v>
      </c>
      <c r="Q1580" s="91">
        <v>0</v>
      </c>
      <c r="R1580" s="91">
        <v>0</v>
      </c>
      <c r="S1580" s="91">
        <v>0</v>
      </c>
      <c r="T1580" s="91"/>
      <c r="U1580" s="91"/>
      <c r="V1580" s="91"/>
      <c r="W1580" s="91"/>
      <c r="X1580" s="91"/>
      <c r="Y1580" s="91"/>
      <c r="Z1580" s="91"/>
      <c r="AA1580" s="91"/>
      <c r="AB1580" s="91"/>
      <c r="AC1580" s="91"/>
      <c r="AD1580" s="91"/>
      <c r="AE1580" s="91"/>
      <c r="AF1580" s="91"/>
      <c r="AG1580" s="91"/>
      <c r="AH1580" s="91"/>
      <c r="AI1580" s="91"/>
      <c r="AJ1580" s="91"/>
      <c r="AK1580" s="91"/>
      <c r="AL1580" s="91"/>
      <c r="AM1580" s="91"/>
    </row>
    <row r="1581" spans="1:39" ht="20.25" hidden="1" customHeight="1">
      <c r="A1581" s="91"/>
      <c r="B1581" s="93" t="s">
        <v>5143</v>
      </c>
      <c r="C1581" s="91" t="s">
        <v>36</v>
      </c>
      <c r="D1581" s="94" t="s">
        <v>3665</v>
      </c>
      <c r="E1581" s="94" t="s">
        <v>5158</v>
      </c>
      <c r="F1581" s="95" t="s">
        <v>5159</v>
      </c>
      <c r="G1581" s="96">
        <v>31275</v>
      </c>
      <c r="H1581" s="97">
        <v>20647</v>
      </c>
      <c r="I1581" s="94" t="s">
        <v>58</v>
      </c>
      <c r="J1581" s="94" t="s">
        <v>5160</v>
      </c>
      <c r="K1581" s="95">
        <v>962604331</v>
      </c>
      <c r="L1581" s="91" t="s">
        <v>49</v>
      </c>
      <c r="M1581" s="98">
        <f ca="1">(TODAY()-H1581)/365</f>
        <v>69.465753424657535</v>
      </c>
      <c r="N1581" s="99">
        <f>(G1581-H1581)/365</f>
        <v>29.117808219178084</v>
      </c>
      <c r="O1581" s="98">
        <f ca="1">(TODAY()-G1581)/365</f>
        <v>40.347945205479455</v>
      </c>
      <c r="P1581" s="91" t="s">
        <v>43</v>
      </c>
      <c r="Q1581" s="91">
        <v>0</v>
      </c>
      <c r="R1581" s="91">
        <v>0</v>
      </c>
      <c r="S1581" s="91">
        <v>0</v>
      </c>
      <c r="T1581" s="91"/>
      <c r="U1581" s="91"/>
      <c r="V1581" s="91"/>
      <c r="W1581" s="91"/>
      <c r="X1581" s="91"/>
      <c r="Y1581" s="91"/>
      <c r="Z1581" s="91"/>
      <c r="AA1581" s="91"/>
      <c r="AB1581" s="91"/>
      <c r="AC1581" s="91"/>
      <c r="AD1581" s="91"/>
      <c r="AE1581" s="91"/>
      <c r="AF1581" s="91"/>
      <c r="AG1581" s="91"/>
      <c r="AH1581" s="91"/>
      <c r="AI1581" s="91"/>
      <c r="AJ1581" s="91"/>
      <c r="AK1581" s="91"/>
      <c r="AL1581" s="91"/>
      <c r="AM1581" s="91"/>
    </row>
    <row r="1582" spans="1:39" ht="20.25" hidden="1" customHeight="1">
      <c r="A1582" s="91"/>
      <c r="B1582" s="93" t="s">
        <v>5143</v>
      </c>
      <c r="C1582" s="91" t="s">
        <v>36</v>
      </c>
      <c r="D1582" s="94" t="s">
        <v>5161</v>
      </c>
      <c r="E1582" s="94" t="s">
        <v>5162</v>
      </c>
      <c r="F1582" s="95" t="s">
        <v>5163</v>
      </c>
      <c r="G1582" s="96">
        <v>30564</v>
      </c>
      <c r="H1582" s="97">
        <v>19579</v>
      </c>
      <c r="I1582" s="94" t="s">
        <v>5164</v>
      </c>
      <c r="J1582" s="94" t="s">
        <v>5165</v>
      </c>
      <c r="K1582" s="95">
        <v>967446803</v>
      </c>
      <c r="L1582" s="91" t="s">
        <v>60</v>
      </c>
      <c r="M1582" s="98">
        <f ca="1">(TODAY()-H1582)/365</f>
        <v>72.391780821917806</v>
      </c>
      <c r="N1582" s="99">
        <f>(G1582-H1582)/365</f>
        <v>30.095890410958905</v>
      </c>
      <c r="O1582" s="98">
        <f ca="1">(TODAY()-G1582)/365</f>
        <v>42.295890410958904</v>
      </c>
      <c r="P1582" s="91" t="s">
        <v>43</v>
      </c>
      <c r="Q1582" s="91">
        <v>0</v>
      </c>
      <c r="R1582" s="91">
        <v>0</v>
      </c>
      <c r="S1582" s="91">
        <v>0</v>
      </c>
      <c r="T1582" s="91"/>
      <c r="U1582" s="91"/>
      <c r="V1582" s="91"/>
      <c r="W1582" s="91"/>
      <c r="X1582" s="91"/>
      <c r="Y1582" s="91"/>
      <c r="Z1582" s="91"/>
      <c r="AA1582" s="91"/>
      <c r="AB1582" s="91"/>
      <c r="AC1582" s="91"/>
      <c r="AD1582" s="91"/>
      <c r="AE1582" s="91"/>
      <c r="AF1582" s="91"/>
      <c r="AG1582" s="91"/>
      <c r="AH1582" s="91"/>
      <c r="AI1582" s="91"/>
      <c r="AJ1582" s="91"/>
      <c r="AK1582" s="91"/>
      <c r="AL1582" s="91"/>
      <c r="AM1582" s="91"/>
    </row>
    <row r="1583" spans="1:39" ht="20.25" hidden="1" customHeight="1">
      <c r="A1583" s="91"/>
      <c r="B1583" s="93" t="s">
        <v>5143</v>
      </c>
      <c r="C1583" s="91" t="s">
        <v>36</v>
      </c>
      <c r="D1583" s="94" t="s">
        <v>5166</v>
      </c>
      <c r="E1583" s="94" t="s">
        <v>5167</v>
      </c>
      <c r="F1583" s="95" t="s">
        <v>5168</v>
      </c>
      <c r="G1583" s="96">
        <v>30761</v>
      </c>
      <c r="H1583" s="97">
        <v>18357</v>
      </c>
      <c r="I1583" s="94" t="s">
        <v>5169</v>
      </c>
      <c r="J1583" s="94" t="s">
        <v>5170</v>
      </c>
      <c r="K1583" s="95">
        <v>990011497</v>
      </c>
      <c r="L1583" s="91" t="s">
        <v>60</v>
      </c>
      <c r="M1583" s="98">
        <f ca="1">(TODAY()-H1583)/365</f>
        <v>75.739726027397253</v>
      </c>
      <c r="N1583" s="99">
        <f>(G1583-H1583)/365</f>
        <v>33.983561643835614</v>
      </c>
      <c r="O1583" s="98">
        <f ca="1">(TODAY()-G1583)/365</f>
        <v>41.756164383561647</v>
      </c>
      <c r="P1583" s="91" t="s">
        <v>43</v>
      </c>
      <c r="Q1583" s="91">
        <v>0</v>
      </c>
      <c r="R1583" s="91">
        <v>0</v>
      </c>
      <c r="S1583" s="91">
        <v>0</v>
      </c>
      <c r="T1583" s="91"/>
      <c r="U1583" s="91"/>
      <c r="V1583" s="91"/>
      <c r="W1583" s="91"/>
      <c r="X1583" s="91"/>
      <c r="Y1583" s="91"/>
      <c r="Z1583" s="91"/>
      <c r="AA1583" s="91"/>
      <c r="AB1583" s="91"/>
      <c r="AC1583" s="91"/>
      <c r="AD1583" s="91"/>
      <c r="AE1583" s="91"/>
      <c r="AF1583" s="91"/>
      <c r="AG1583" s="91"/>
      <c r="AH1583" s="91"/>
      <c r="AI1583" s="91"/>
      <c r="AJ1583" s="91"/>
      <c r="AK1583" s="91"/>
      <c r="AL1583" s="91"/>
      <c r="AM1583" s="91"/>
    </row>
    <row r="1584" spans="1:39" ht="20.25" hidden="1" customHeight="1">
      <c r="A1584" s="91"/>
      <c r="B1584" s="93" t="s">
        <v>5143</v>
      </c>
      <c r="C1584" s="91" t="s">
        <v>36</v>
      </c>
      <c r="D1584" s="94" t="s">
        <v>5171</v>
      </c>
      <c r="E1584" s="94" t="s">
        <v>3781</v>
      </c>
      <c r="F1584" s="95" t="s">
        <v>5172</v>
      </c>
      <c r="G1584" s="96">
        <v>30564</v>
      </c>
      <c r="H1584" s="97">
        <v>18041</v>
      </c>
      <c r="I1584" s="94" t="s">
        <v>5173</v>
      </c>
      <c r="J1584" s="94" t="s">
        <v>5174</v>
      </c>
      <c r="K1584" s="95">
        <v>976992595</v>
      </c>
      <c r="L1584" s="91" t="s">
        <v>42</v>
      </c>
      <c r="M1584" s="98">
        <f ca="1">(TODAY()-H1584)/365</f>
        <v>76.605479452054794</v>
      </c>
      <c r="N1584" s="99">
        <f>(G1584-H1584)/365</f>
        <v>34.30958904109589</v>
      </c>
      <c r="O1584" s="98">
        <f ca="1">(TODAY()-G1584)/365</f>
        <v>42.295890410958904</v>
      </c>
      <c r="P1584" s="91" t="s">
        <v>43</v>
      </c>
      <c r="Q1584" s="91">
        <v>0</v>
      </c>
      <c r="R1584" s="91">
        <v>0</v>
      </c>
      <c r="S1584" s="91">
        <v>0</v>
      </c>
      <c r="T1584" s="91"/>
      <c r="U1584" s="91"/>
      <c r="V1584" s="91"/>
      <c r="W1584" s="91"/>
      <c r="X1584" s="91"/>
      <c r="Y1584" s="91"/>
      <c r="Z1584" s="91"/>
      <c r="AA1584" s="91"/>
      <c r="AB1584" s="91"/>
      <c r="AC1584" s="91"/>
      <c r="AD1584" s="91"/>
      <c r="AE1584" s="91"/>
      <c r="AF1584" s="91"/>
      <c r="AG1584" s="91"/>
      <c r="AH1584" s="91"/>
      <c r="AI1584" s="91"/>
      <c r="AJ1584" s="91"/>
      <c r="AK1584" s="91"/>
      <c r="AL1584" s="91"/>
      <c r="AM1584" s="91"/>
    </row>
    <row r="1585" spans="1:39" ht="20.25" hidden="1" customHeight="1">
      <c r="A1585" s="91"/>
      <c r="B1585" s="93" t="s">
        <v>5143</v>
      </c>
      <c r="C1585" s="91" t="s">
        <v>36</v>
      </c>
      <c r="D1585" s="94" t="s">
        <v>5175</v>
      </c>
      <c r="E1585" s="94" t="s">
        <v>5176</v>
      </c>
      <c r="F1585" s="95" t="s">
        <v>5177</v>
      </c>
      <c r="G1585" s="96">
        <v>42116</v>
      </c>
      <c r="H1585" s="97">
        <v>29185</v>
      </c>
      <c r="I1585" s="94" t="s">
        <v>5178</v>
      </c>
      <c r="J1585" s="94" t="s">
        <v>5179</v>
      </c>
      <c r="K1585" s="95">
        <v>979414815</v>
      </c>
      <c r="L1585" s="91" t="s">
        <v>197</v>
      </c>
      <c r="M1585" s="98">
        <f ca="1">(TODAY()-H1585)/365</f>
        <v>46.073972602739723</v>
      </c>
      <c r="N1585" s="99">
        <f>(G1585-H1585)/365</f>
        <v>35.42739726027397</v>
      </c>
      <c r="O1585" s="98">
        <f ca="1">(TODAY()-G1585)/365</f>
        <v>10.646575342465754</v>
      </c>
      <c r="P1585" s="91" t="s">
        <v>43</v>
      </c>
      <c r="Q1585" s="91">
        <v>0</v>
      </c>
      <c r="R1585" s="91">
        <v>0</v>
      </c>
      <c r="S1585" s="91">
        <v>0</v>
      </c>
      <c r="T1585" s="91"/>
      <c r="U1585" s="91"/>
      <c r="V1585" s="91"/>
      <c r="W1585" s="91"/>
      <c r="X1585" s="91"/>
      <c r="Y1585" s="91"/>
      <c r="Z1585" s="91"/>
      <c r="AA1585" s="91"/>
      <c r="AB1585" s="91"/>
      <c r="AC1585" s="91"/>
      <c r="AD1585" s="91"/>
      <c r="AE1585" s="91"/>
      <c r="AF1585" s="91"/>
      <c r="AG1585" s="91"/>
      <c r="AH1585" s="91"/>
      <c r="AI1585" s="91"/>
      <c r="AJ1585" s="91"/>
      <c r="AK1585" s="91"/>
      <c r="AL1585" s="91"/>
      <c r="AM1585" s="91"/>
    </row>
    <row r="1586" spans="1:39" ht="20.25" hidden="1" customHeight="1">
      <c r="A1586" s="91"/>
      <c r="B1586" s="93" t="s">
        <v>5143</v>
      </c>
      <c r="C1586" s="91" t="s">
        <v>36</v>
      </c>
      <c r="D1586" s="94" t="s">
        <v>5180</v>
      </c>
      <c r="E1586" s="94" t="s">
        <v>5181</v>
      </c>
      <c r="F1586" s="95" t="s">
        <v>5182</v>
      </c>
      <c r="G1586" s="96">
        <v>45434</v>
      </c>
      <c r="H1586" s="97">
        <v>30991</v>
      </c>
      <c r="I1586" s="94" t="s">
        <v>5183</v>
      </c>
      <c r="J1586" s="94" t="s">
        <v>5184</v>
      </c>
      <c r="K1586" s="95">
        <v>994426131</v>
      </c>
      <c r="L1586" s="91" t="s">
        <v>60</v>
      </c>
      <c r="M1586" s="98">
        <f ca="1">(TODAY()-H1586)/365</f>
        <v>41.126027397260273</v>
      </c>
      <c r="N1586" s="99">
        <f>(G1586-H1586)/365</f>
        <v>39.56986301369863</v>
      </c>
      <c r="O1586" s="98">
        <f ca="1">(TODAY()-G1586)/365</f>
        <v>1.5561643835616439</v>
      </c>
      <c r="P1586" s="91" t="s">
        <v>43</v>
      </c>
      <c r="Q1586" s="91">
        <v>0</v>
      </c>
      <c r="R1586" s="91">
        <v>0</v>
      </c>
      <c r="S1586" s="91">
        <v>0</v>
      </c>
      <c r="T1586" s="91"/>
      <c r="U1586" s="91"/>
      <c r="V1586" s="91"/>
      <c r="W1586" s="91"/>
      <c r="X1586" s="91"/>
      <c r="Y1586" s="91"/>
      <c r="Z1586" s="91"/>
      <c r="AA1586" s="91"/>
      <c r="AB1586" s="91"/>
      <c r="AC1586" s="91"/>
      <c r="AD1586" s="91"/>
      <c r="AE1586" s="91"/>
      <c r="AF1586" s="91"/>
      <c r="AG1586" s="91"/>
      <c r="AH1586" s="91"/>
      <c r="AI1586" s="91"/>
      <c r="AJ1586" s="91"/>
      <c r="AK1586" s="91"/>
      <c r="AL1586" s="91"/>
      <c r="AM1586" s="91"/>
    </row>
    <row r="1587" spans="1:39" ht="20.25" hidden="1" customHeight="1">
      <c r="A1587" s="91"/>
      <c r="B1587" s="93" t="s">
        <v>5143</v>
      </c>
      <c r="C1587" s="91" t="s">
        <v>36</v>
      </c>
      <c r="D1587" s="94" t="s">
        <v>5185</v>
      </c>
      <c r="E1587" s="94" t="s">
        <v>5186</v>
      </c>
      <c r="F1587" s="95" t="s">
        <v>5187</v>
      </c>
      <c r="G1587" s="96">
        <v>35925</v>
      </c>
      <c r="H1587" s="97">
        <v>21278</v>
      </c>
      <c r="I1587" s="94" t="s">
        <v>5188</v>
      </c>
      <c r="J1587" s="94" t="s">
        <v>5189</v>
      </c>
      <c r="K1587" s="95">
        <v>990504691</v>
      </c>
      <c r="L1587" s="91" t="s">
        <v>66</v>
      </c>
      <c r="M1587" s="98">
        <f ca="1">(TODAY()-H1587)/365</f>
        <v>67.736986301369868</v>
      </c>
      <c r="N1587" s="99">
        <f>(G1587-H1587)/365</f>
        <v>40.128767123287673</v>
      </c>
      <c r="O1587" s="98">
        <f ca="1">(TODAY()-G1587)/365</f>
        <v>27.608219178082191</v>
      </c>
      <c r="P1587" s="91" t="s">
        <v>43</v>
      </c>
      <c r="Q1587" s="91">
        <v>0</v>
      </c>
      <c r="R1587" s="91">
        <v>0</v>
      </c>
      <c r="S1587" s="91">
        <v>0</v>
      </c>
      <c r="T1587" s="91"/>
      <c r="U1587" s="91"/>
      <c r="V1587" s="91"/>
      <c r="W1587" s="91"/>
      <c r="X1587" s="91"/>
      <c r="Y1587" s="91"/>
      <c r="Z1587" s="91"/>
      <c r="AA1587" s="91"/>
      <c r="AB1587" s="91"/>
      <c r="AC1587" s="91"/>
      <c r="AD1587" s="91"/>
      <c r="AE1587" s="91"/>
      <c r="AF1587" s="91"/>
      <c r="AG1587" s="91"/>
      <c r="AH1587" s="91"/>
      <c r="AI1587" s="91"/>
      <c r="AJ1587" s="91"/>
      <c r="AK1587" s="91"/>
      <c r="AL1587" s="91"/>
      <c r="AM1587" s="91"/>
    </row>
    <row r="1588" spans="1:39" ht="20.25" hidden="1" customHeight="1">
      <c r="A1588" s="91"/>
      <c r="B1588" s="93" t="s">
        <v>5143</v>
      </c>
      <c r="C1588" s="91" t="s">
        <v>36</v>
      </c>
      <c r="D1588" s="94" t="s">
        <v>5190</v>
      </c>
      <c r="E1588" s="94" t="s">
        <v>5191</v>
      </c>
      <c r="F1588" s="95" t="s">
        <v>5192</v>
      </c>
      <c r="G1588" s="96">
        <v>43590</v>
      </c>
      <c r="H1588" s="97">
        <v>27292</v>
      </c>
      <c r="I1588" s="94" t="s">
        <v>5193</v>
      </c>
      <c r="J1588" s="94" t="s">
        <v>5194</v>
      </c>
      <c r="K1588" s="95">
        <v>945259432</v>
      </c>
      <c r="L1588" s="91" t="s">
        <v>121</v>
      </c>
      <c r="M1588" s="98">
        <f ca="1">(TODAY()-H1588)/365</f>
        <v>51.260273972602739</v>
      </c>
      <c r="N1588" s="99">
        <f>(G1588-H1588)/365</f>
        <v>44.652054794520545</v>
      </c>
      <c r="O1588" s="98">
        <f ca="1">(TODAY()-G1588)/365</f>
        <v>6.6082191780821917</v>
      </c>
      <c r="P1588" s="91" t="s">
        <v>43</v>
      </c>
      <c r="Q1588" s="91">
        <v>0</v>
      </c>
      <c r="R1588" s="91">
        <v>0</v>
      </c>
      <c r="S1588" s="91">
        <v>0</v>
      </c>
      <c r="T1588" s="91"/>
      <c r="U1588" s="91"/>
      <c r="V1588" s="91"/>
      <c r="W1588" s="91"/>
      <c r="X1588" s="91"/>
      <c r="Y1588" s="91"/>
      <c r="Z1588" s="91"/>
      <c r="AA1588" s="91"/>
      <c r="AB1588" s="91"/>
      <c r="AC1588" s="91"/>
      <c r="AD1588" s="91"/>
      <c r="AE1588" s="91"/>
      <c r="AF1588" s="91"/>
      <c r="AG1588" s="91"/>
      <c r="AH1588" s="91"/>
      <c r="AI1588" s="91"/>
      <c r="AJ1588" s="91"/>
      <c r="AK1588" s="91"/>
      <c r="AL1588" s="91"/>
      <c r="AM1588" s="91"/>
    </row>
    <row r="1589" spans="1:39" ht="20.25" hidden="1" customHeight="1">
      <c r="A1589" s="91"/>
      <c r="B1589" s="93" t="s">
        <v>5143</v>
      </c>
      <c r="C1589" s="91" t="s">
        <v>36</v>
      </c>
      <c r="D1589" s="94" t="s">
        <v>5195</v>
      </c>
      <c r="E1589" s="94" t="s">
        <v>5196</v>
      </c>
      <c r="F1589" s="95" t="s">
        <v>5197</v>
      </c>
      <c r="G1589" s="96">
        <v>30599</v>
      </c>
      <c r="H1589" s="97">
        <v>14062</v>
      </c>
      <c r="I1589" s="94" t="s">
        <v>58</v>
      </c>
      <c r="J1589" s="94" t="s">
        <v>5198</v>
      </c>
      <c r="K1589" s="95">
        <v>984902853</v>
      </c>
      <c r="L1589" s="91" t="s">
        <v>60</v>
      </c>
      <c r="M1589" s="98">
        <f ca="1">(TODAY()-H1589)/365</f>
        <v>87.506849315068493</v>
      </c>
      <c r="N1589" s="99">
        <f>(G1589-H1589)/365</f>
        <v>45.30684931506849</v>
      </c>
      <c r="O1589" s="98">
        <f ca="1">(TODAY()-G1589)/365</f>
        <v>42.2</v>
      </c>
      <c r="P1589" s="91" t="s">
        <v>272</v>
      </c>
      <c r="Q1589" s="91">
        <v>0</v>
      </c>
      <c r="R1589" s="91">
        <v>0</v>
      </c>
      <c r="S1589" s="91">
        <v>0</v>
      </c>
      <c r="T1589" s="91"/>
      <c r="U1589" s="91"/>
      <c r="V1589" s="91"/>
      <c r="W1589" s="91"/>
      <c r="X1589" s="91"/>
      <c r="Y1589" s="91"/>
      <c r="Z1589" s="91"/>
      <c r="AA1589" s="91"/>
      <c r="AB1589" s="91"/>
      <c r="AC1589" s="91"/>
      <c r="AD1589" s="91"/>
      <c r="AE1589" s="91"/>
      <c r="AF1589" s="91"/>
      <c r="AG1589" s="91"/>
      <c r="AH1589" s="91"/>
      <c r="AI1589" s="91"/>
      <c r="AJ1589" s="91"/>
      <c r="AK1589" s="91"/>
      <c r="AL1589" s="91"/>
      <c r="AM1589" s="91"/>
    </row>
    <row r="1590" spans="1:39" ht="20.25" hidden="1" customHeight="1">
      <c r="A1590" s="91"/>
      <c r="B1590" s="93" t="s">
        <v>5143</v>
      </c>
      <c r="C1590" s="91" t="s">
        <v>36</v>
      </c>
      <c r="D1590" s="94" t="s">
        <v>5199</v>
      </c>
      <c r="E1590" s="94" t="s">
        <v>5200</v>
      </c>
      <c r="F1590" s="95" t="s">
        <v>5201</v>
      </c>
      <c r="G1590" s="96">
        <v>43590</v>
      </c>
      <c r="H1590" s="97">
        <v>26065</v>
      </c>
      <c r="I1590" s="94" t="s">
        <v>5202</v>
      </c>
      <c r="J1590" s="94" t="s">
        <v>5203</v>
      </c>
      <c r="K1590" s="95">
        <v>944042907</v>
      </c>
      <c r="L1590" s="91" t="s">
        <v>60</v>
      </c>
      <c r="M1590" s="98">
        <f ca="1">(TODAY()-H1590)/365</f>
        <v>54.62191780821918</v>
      </c>
      <c r="N1590" s="99">
        <f>(G1590-H1590)/365</f>
        <v>48.013698630136986</v>
      </c>
      <c r="O1590" s="98">
        <f ca="1">(TODAY()-G1590)/365</f>
        <v>6.6082191780821917</v>
      </c>
      <c r="P1590" s="91" t="s">
        <v>43</v>
      </c>
      <c r="Q1590" s="91">
        <v>0</v>
      </c>
      <c r="R1590" s="91">
        <v>0</v>
      </c>
      <c r="S1590" s="91">
        <v>0</v>
      </c>
      <c r="T1590" s="91"/>
      <c r="U1590" s="91"/>
      <c r="V1590" s="91"/>
      <c r="W1590" s="91"/>
      <c r="X1590" s="91"/>
      <c r="Y1590" s="91"/>
      <c r="Z1590" s="91"/>
      <c r="AA1590" s="91"/>
      <c r="AB1590" s="91"/>
      <c r="AC1590" s="91"/>
      <c r="AD1590" s="91"/>
      <c r="AE1590" s="91"/>
      <c r="AF1590" s="91"/>
      <c r="AG1590" s="91"/>
      <c r="AH1590" s="91"/>
      <c r="AI1590" s="91"/>
      <c r="AJ1590" s="91"/>
      <c r="AK1590" s="91"/>
      <c r="AL1590" s="91"/>
      <c r="AM1590" s="91"/>
    </row>
    <row r="1591" spans="1:39" ht="20.25" hidden="1" customHeight="1">
      <c r="A1591" s="91"/>
      <c r="B1591" s="93" t="s">
        <v>5143</v>
      </c>
      <c r="C1591" s="91" t="s">
        <v>36</v>
      </c>
      <c r="D1591" s="94" t="s">
        <v>5204</v>
      </c>
      <c r="E1591" s="94" t="s">
        <v>5205</v>
      </c>
      <c r="F1591" s="95" t="s">
        <v>5206</v>
      </c>
      <c r="G1591" s="96">
        <v>42822</v>
      </c>
      <c r="H1591" s="97">
        <v>23668</v>
      </c>
      <c r="I1591" s="94" t="s">
        <v>5207</v>
      </c>
      <c r="J1591" s="94" t="s">
        <v>5208</v>
      </c>
      <c r="K1591" s="95">
        <v>942371138</v>
      </c>
      <c r="L1591" s="91" t="s">
        <v>54</v>
      </c>
      <c r="M1591" s="98">
        <f ca="1">(TODAY()-H1591)/365</f>
        <v>61.18904109589041</v>
      </c>
      <c r="N1591" s="99">
        <f>(G1591-H1591)/365</f>
        <v>52.476712328767121</v>
      </c>
      <c r="O1591" s="98">
        <f ca="1">(TODAY()-G1591)/365</f>
        <v>8.712328767123287</v>
      </c>
      <c r="P1591" s="91" t="s">
        <v>43</v>
      </c>
      <c r="Q1591" s="91">
        <v>0</v>
      </c>
      <c r="R1591" s="91">
        <v>0</v>
      </c>
      <c r="S1591" s="91">
        <v>0</v>
      </c>
      <c r="T1591" s="91"/>
      <c r="U1591" s="91"/>
      <c r="V1591" s="91"/>
      <c r="W1591" s="91"/>
      <c r="X1591" s="91"/>
      <c r="Y1591" s="91"/>
      <c r="Z1591" s="91"/>
      <c r="AA1591" s="91"/>
      <c r="AB1591" s="91"/>
      <c r="AC1591" s="91"/>
      <c r="AD1591" s="91"/>
      <c r="AE1591" s="91"/>
      <c r="AF1591" s="91"/>
      <c r="AG1591" s="91"/>
      <c r="AH1591" s="91"/>
      <c r="AI1591" s="91"/>
      <c r="AJ1591" s="91"/>
      <c r="AK1591" s="91"/>
      <c r="AL1591" s="91"/>
      <c r="AM1591" s="91"/>
    </row>
    <row r="1592" spans="1:39" ht="20.25" hidden="1" customHeight="1">
      <c r="A1592" s="91"/>
      <c r="B1592" s="93" t="s">
        <v>5143</v>
      </c>
      <c r="C1592" s="91" t="s">
        <v>36</v>
      </c>
      <c r="D1592" s="94" t="s">
        <v>5209</v>
      </c>
      <c r="E1592" s="94" t="s">
        <v>5210</v>
      </c>
      <c r="F1592" s="95" t="s">
        <v>5211</v>
      </c>
      <c r="G1592" s="96">
        <v>45105</v>
      </c>
      <c r="H1592" s="97">
        <v>24915</v>
      </c>
      <c r="I1592" s="94" t="s">
        <v>5212</v>
      </c>
      <c r="J1592" s="94" t="s">
        <v>5213</v>
      </c>
      <c r="K1592" s="95">
        <v>997288767</v>
      </c>
      <c r="L1592" s="91" t="s">
        <v>60</v>
      </c>
      <c r="M1592" s="98">
        <f ca="1">(TODAY()-H1592)/365</f>
        <v>57.772602739726025</v>
      </c>
      <c r="N1592" s="99">
        <f>(G1592-H1592)/365</f>
        <v>55.315068493150683</v>
      </c>
      <c r="O1592" s="98">
        <f ca="1">(TODAY()-G1592)/365</f>
        <v>2.4575342465753423</v>
      </c>
      <c r="P1592" s="91" t="s">
        <v>43</v>
      </c>
      <c r="Q1592" s="91">
        <v>0</v>
      </c>
      <c r="R1592" s="91">
        <v>0</v>
      </c>
      <c r="S1592" s="91">
        <v>0</v>
      </c>
      <c r="T1592" s="91"/>
      <c r="U1592" s="91"/>
      <c r="V1592" s="91"/>
      <c r="W1592" s="91"/>
      <c r="X1592" s="91"/>
      <c r="Y1592" s="91"/>
      <c r="Z1592" s="91"/>
      <c r="AA1592" s="91"/>
      <c r="AB1592" s="91"/>
      <c r="AC1592" s="91"/>
      <c r="AD1592" s="91"/>
      <c r="AE1592" s="91"/>
      <c r="AF1592" s="91"/>
      <c r="AG1592" s="91"/>
      <c r="AH1592" s="91"/>
      <c r="AI1592" s="91"/>
      <c r="AJ1592" s="91"/>
      <c r="AK1592" s="91"/>
      <c r="AL1592" s="91"/>
      <c r="AM1592" s="91"/>
    </row>
    <row r="1593" spans="1:39" ht="20.25" hidden="1" customHeight="1">
      <c r="A1593" s="91"/>
      <c r="B1593" s="93" t="s">
        <v>5143</v>
      </c>
      <c r="C1593" s="91" t="s">
        <v>36</v>
      </c>
      <c r="D1593" s="94" t="s">
        <v>5214</v>
      </c>
      <c r="E1593" s="94" t="s">
        <v>5215</v>
      </c>
      <c r="F1593" s="95" t="s">
        <v>5216</v>
      </c>
      <c r="G1593" s="96">
        <v>45365</v>
      </c>
      <c r="H1593" s="97">
        <v>24652</v>
      </c>
      <c r="I1593" s="94" t="s">
        <v>5217</v>
      </c>
      <c r="J1593" s="94" t="s">
        <v>5218</v>
      </c>
      <c r="K1593" s="95">
        <v>984270166</v>
      </c>
      <c r="L1593" s="91" t="s">
        <v>60</v>
      </c>
      <c r="M1593" s="98">
        <f ca="1">(TODAY()-H1593)/365</f>
        <v>58.493150684931507</v>
      </c>
      <c r="N1593" s="99">
        <f>(G1593-H1593)/365</f>
        <v>56.747945205479454</v>
      </c>
      <c r="O1593" s="98">
        <f ca="1">(TODAY()-G1593)/365</f>
        <v>1.7452054794520548</v>
      </c>
      <c r="P1593" s="91" t="s">
        <v>43</v>
      </c>
      <c r="Q1593" s="91">
        <v>0</v>
      </c>
      <c r="R1593" s="91">
        <v>0</v>
      </c>
      <c r="S1593" s="91">
        <v>0</v>
      </c>
      <c r="T1593" s="91"/>
      <c r="U1593" s="91"/>
      <c r="V1593" s="91"/>
      <c r="W1593" s="91"/>
      <c r="X1593" s="91"/>
      <c r="Y1593" s="91"/>
      <c r="Z1593" s="91"/>
      <c r="AA1593" s="91"/>
      <c r="AB1593" s="91"/>
      <c r="AC1593" s="91"/>
      <c r="AD1593" s="91"/>
      <c r="AE1593" s="91"/>
      <c r="AF1593" s="91"/>
      <c r="AG1593" s="91"/>
      <c r="AH1593" s="91"/>
      <c r="AI1593" s="91"/>
      <c r="AJ1593" s="91"/>
      <c r="AK1593" s="91"/>
      <c r="AL1593" s="91"/>
      <c r="AM1593" s="91"/>
    </row>
    <row r="1594" spans="1:39" ht="20.25" hidden="1" customHeight="1">
      <c r="A1594" s="91"/>
      <c r="B1594" s="93" t="s">
        <v>5143</v>
      </c>
      <c r="C1594" s="91" t="s">
        <v>36</v>
      </c>
      <c r="D1594" s="94" t="s">
        <v>5219</v>
      </c>
      <c r="E1594" s="94" t="s">
        <v>5220</v>
      </c>
      <c r="F1594" s="95" t="s">
        <v>5221</v>
      </c>
      <c r="G1594" s="96">
        <v>42116</v>
      </c>
      <c r="H1594" s="97">
        <v>20299</v>
      </c>
      <c r="I1594" s="94" t="s">
        <v>5222</v>
      </c>
      <c r="J1594" s="94" t="s">
        <v>5223</v>
      </c>
      <c r="K1594" s="95">
        <v>932592223</v>
      </c>
      <c r="L1594" s="91" t="s">
        <v>72</v>
      </c>
      <c r="M1594" s="98">
        <f ca="1">(TODAY()-H1594)/365</f>
        <v>70.419178082191777</v>
      </c>
      <c r="N1594" s="99">
        <f>(G1594-H1594)/365</f>
        <v>59.772602739726025</v>
      </c>
      <c r="O1594" s="98">
        <f ca="1">(TODAY()-G1594)/365</f>
        <v>10.646575342465754</v>
      </c>
      <c r="P1594" s="91" t="s">
        <v>43</v>
      </c>
      <c r="Q1594" s="91">
        <v>0</v>
      </c>
      <c r="R1594" s="91">
        <v>0</v>
      </c>
      <c r="S1594" s="91">
        <v>0</v>
      </c>
      <c r="T1594" s="91"/>
      <c r="U1594" s="91"/>
      <c r="V1594" s="91"/>
      <c r="W1594" s="91"/>
      <c r="X1594" s="91"/>
      <c r="Y1594" s="91"/>
      <c r="Z1594" s="91"/>
      <c r="AA1594" s="91"/>
      <c r="AB1594" s="91"/>
      <c r="AC1594" s="91"/>
      <c r="AD1594" s="91"/>
      <c r="AE1594" s="91"/>
      <c r="AF1594" s="91"/>
      <c r="AG1594" s="91"/>
      <c r="AH1594" s="91"/>
      <c r="AI1594" s="91"/>
      <c r="AJ1594" s="91"/>
      <c r="AK1594" s="91"/>
      <c r="AL1594" s="91"/>
      <c r="AM1594" s="91"/>
    </row>
    <row r="1595" spans="1:39" ht="20.25" hidden="1" customHeight="1">
      <c r="A1595" s="91"/>
      <c r="B1595" s="93" t="s">
        <v>5143</v>
      </c>
      <c r="C1595" s="91" t="s">
        <v>36</v>
      </c>
      <c r="D1595" s="94" t="s">
        <v>5224</v>
      </c>
      <c r="E1595" s="94" t="s">
        <v>5225</v>
      </c>
      <c r="F1595" s="95" t="s">
        <v>5226</v>
      </c>
      <c r="G1595" s="96">
        <v>43896</v>
      </c>
      <c r="H1595" s="97">
        <v>21338</v>
      </c>
      <c r="I1595" s="94" t="s">
        <v>58</v>
      </c>
      <c r="J1595" s="94" t="s">
        <v>5227</v>
      </c>
      <c r="K1595" s="95">
        <v>990508581</v>
      </c>
      <c r="L1595" s="91" t="s">
        <v>60</v>
      </c>
      <c r="M1595" s="98">
        <f ca="1">(TODAY()-H1595)/365</f>
        <v>67.572602739726022</v>
      </c>
      <c r="N1595" s="99">
        <f>(G1595-H1595)/365</f>
        <v>61.802739726027397</v>
      </c>
      <c r="O1595" s="98">
        <f ca="1">(TODAY()-G1595)/365</f>
        <v>5.7698630136986298</v>
      </c>
      <c r="P1595" s="91" t="s">
        <v>43</v>
      </c>
      <c r="Q1595" s="91">
        <v>0</v>
      </c>
      <c r="R1595" s="91">
        <v>0</v>
      </c>
      <c r="S1595" s="91">
        <v>0</v>
      </c>
      <c r="T1595" s="91"/>
      <c r="U1595" s="91"/>
      <c r="V1595" s="91"/>
      <c r="W1595" s="91"/>
      <c r="X1595" s="91"/>
      <c r="Y1595" s="91"/>
      <c r="Z1595" s="91"/>
      <c r="AA1595" s="91"/>
      <c r="AB1595" s="91"/>
      <c r="AC1595" s="91"/>
      <c r="AD1595" s="91"/>
      <c r="AE1595" s="91"/>
      <c r="AF1595" s="91"/>
      <c r="AG1595" s="91"/>
      <c r="AH1595" s="91"/>
      <c r="AI1595" s="91"/>
      <c r="AJ1595" s="91"/>
      <c r="AK1595" s="91"/>
      <c r="AL1595" s="91"/>
      <c r="AM1595" s="91"/>
    </row>
    <row r="1596" spans="1:39" ht="20.25" hidden="1" customHeight="1">
      <c r="A1596" s="91"/>
      <c r="B1596" s="93" t="s">
        <v>5143</v>
      </c>
      <c r="C1596" s="91" t="s">
        <v>36</v>
      </c>
      <c r="D1596" s="94" t="s">
        <v>5228</v>
      </c>
      <c r="E1596" s="94" t="s">
        <v>5229</v>
      </c>
      <c r="F1596" s="95" t="s">
        <v>5230</v>
      </c>
      <c r="G1596" s="96">
        <v>42822</v>
      </c>
      <c r="H1596" s="97">
        <v>20231</v>
      </c>
      <c r="I1596" s="94" t="s">
        <v>5231</v>
      </c>
      <c r="J1596" s="94" t="s">
        <v>5232</v>
      </c>
      <c r="K1596" s="95">
        <v>987717152</v>
      </c>
      <c r="L1596" s="91" t="s">
        <v>60</v>
      </c>
      <c r="M1596" s="98">
        <f ca="1">(TODAY()-H1596)/365</f>
        <v>70.605479452054794</v>
      </c>
      <c r="N1596" s="99">
        <f>(G1596-H1596)/365</f>
        <v>61.893150684931506</v>
      </c>
      <c r="O1596" s="98">
        <f ca="1">(TODAY()-G1596)/365</f>
        <v>8.712328767123287</v>
      </c>
      <c r="P1596" s="91" t="s">
        <v>43</v>
      </c>
      <c r="Q1596" s="91">
        <v>0</v>
      </c>
      <c r="R1596" s="91">
        <v>0</v>
      </c>
      <c r="S1596" s="91">
        <v>0</v>
      </c>
      <c r="T1596" s="91"/>
      <c r="U1596" s="91"/>
      <c r="V1596" s="91"/>
      <c r="W1596" s="91"/>
      <c r="X1596" s="91"/>
      <c r="Y1596" s="91"/>
      <c r="Z1596" s="91"/>
      <c r="AA1596" s="91"/>
      <c r="AB1596" s="91"/>
      <c r="AC1596" s="91"/>
      <c r="AD1596" s="91"/>
      <c r="AE1596" s="91"/>
      <c r="AF1596" s="91"/>
      <c r="AG1596" s="91"/>
      <c r="AH1596" s="91"/>
      <c r="AI1596" s="91"/>
      <c r="AJ1596" s="91"/>
      <c r="AK1596" s="91"/>
      <c r="AL1596" s="91"/>
      <c r="AM1596" s="91"/>
    </row>
    <row r="1597" spans="1:39" ht="20.25" hidden="1" customHeight="1">
      <c r="A1597" s="91"/>
      <c r="B1597" s="93" t="s">
        <v>5143</v>
      </c>
      <c r="C1597" s="91" t="s">
        <v>36</v>
      </c>
      <c r="D1597" s="94" t="s">
        <v>5233</v>
      </c>
      <c r="E1597" s="94" t="s">
        <v>5234</v>
      </c>
      <c r="F1597" s="95" t="s">
        <v>5235</v>
      </c>
      <c r="G1597" s="96">
        <v>43371</v>
      </c>
      <c r="H1597" s="97">
        <v>20377</v>
      </c>
      <c r="I1597" s="94" t="s">
        <v>5236</v>
      </c>
      <c r="J1597" s="94" t="s">
        <v>5237</v>
      </c>
      <c r="K1597" s="95">
        <v>956121433</v>
      </c>
      <c r="L1597" s="91" t="s">
        <v>60</v>
      </c>
      <c r="M1597" s="98">
        <f ca="1">(TODAY()-H1597)/365</f>
        <v>70.205479452054789</v>
      </c>
      <c r="N1597" s="99">
        <f>(G1597-H1597)/365</f>
        <v>62.9972602739726</v>
      </c>
      <c r="O1597" s="98">
        <f ca="1">(TODAY()-G1597)/365</f>
        <v>7.2082191780821914</v>
      </c>
      <c r="P1597" s="91" t="s">
        <v>43</v>
      </c>
      <c r="Q1597" s="91">
        <v>0</v>
      </c>
      <c r="R1597" s="91">
        <v>0</v>
      </c>
      <c r="S1597" s="91">
        <v>0</v>
      </c>
      <c r="T1597" s="91"/>
      <c r="U1597" s="91"/>
      <c r="V1597" s="91"/>
      <c r="W1597" s="91"/>
      <c r="X1597" s="91"/>
      <c r="Y1597" s="91"/>
      <c r="Z1597" s="91"/>
      <c r="AA1597" s="91"/>
      <c r="AB1597" s="91"/>
      <c r="AC1597" s="91"/>
      <c r="AD1597" s="91"/>
      <c r="AE1597" s="91"/>
      <c r="AF1597" s="91"/>
      <c r="AG1597" s="91"/>
      <c r="AH1597" s="91"/>
      <c r="AI1597" s="91"/>
      <c r="AJ1597" s="91"/>
      <c r="AK1597" s="91"/>
      <c r="AL1597" s="91"/>
      <c r="AM1597" s="91"/>
    </row>
    <row r="1598" spans="1:39" ht="20.25" hidden="1" customHeight="1">
      <c r="A1598" s="91"/>
      <c r="B1598" s="93" t="s">
        <v>5143</v>
      </c>
      <c r="C1598" s="91" t="s">
        <v>36</v>
      </c>
      <c r="D1598" s="94" t="s">
        <v>5238</v>
      </c>
      <c r="E1598" s="94" t="s">
        <v>5239</v>
      </c>
      <c r="F1598" s="95" t="s">
        <v>5240</v>
      </c>
      <c r="G1598" s="96">
        <v>45365</v>
      </c>
      <c r="H1598" s="97">
        <v>20750</v>
      </c>
      <c r="I1598" s="94" t="s">
        <v>5241</v>
      </c>
      <c r="J1598" s="94" t="s">
        <v>5242</v>
      </c>
      <c r="K1598" s="95">
        <v>990095533</v>
      </c>
      <c r="L1598" s="91" t="s">
        <v>60</v>
      </c>
      <c r="M1598" s="98">
        <f ca="1">(TODAY()-H1598)/365</f>
        <v>69.183561643835617</v>
      </c>
      <c r="N1598" s="99">
        <f>(G1598-H1598)/365</f>
        <v>67.438356164383563</v>
      </c>
      <c r="O1598" s="98">
        <f ca="1">(TODAY()-G1598)/365</f>
        <v>1.7452054794520548</v>
      </c>
      <c r="P1598" s="91" t="s">
        <v>43</v>
      </c>
      <c r="Q1598" s="91">
        <v>0</v>
      </c>
      <c r="R1598" s="91">
        <v>0</v>
      </c>
      <c r="S1598" s="91">
        <v>0</v>
      </c>
      <c r="T1598" s="91"/>
      <c r="U1598" s="91"/>
      <c r="V1598" s="91"/>
      <c r="W1598" s="91"/>
      <c r="X1598" s="91"/>
      <c r="Y1598" s="91"/>
      <c r="Z1598" s="91"/>
      <c r="AA1598" s="91"/>
      <c r="AB1598" s="91"/>
      <c r="AC1598" s="91"/>
      <c r="AD1598" s="91"/>
      <c r="AE1598" s="91"/>
      <c r="AF1598" s="91"/>
      <c r="AG1598" s="91"/>
      <c r="AH1598" s="91"/>
      <c r="AI1598" s="91"/>
      <c r="AJ1598" s="91"/>
      <c r="AK1598" s="91"/>
      <c r="AL1598" s="91"/>
      <c r="AM1598" s="91"/>
    </row>
    <row r="1599" spans="1:39" ht="20.25" hidden="1" customHeight="1">
      <c r="A1599" s="91"/>
      <c r="B1599" s="93" t="s">
        <v>11844</v>
      </c>
      <c r="C1599" s="91" t="s">
        <v>36</v>
      </c>
      <c r="D1599" s="94" t="s">
        <v>5244</v>
      </c>
      <c r="E1599" s="94" t="s">
        <v>5245</v>
      </c>
      <c r="F1599" s="95" t="s">
        <v>5246</v>
      </c>
      <c r="G1599" s="96">
        <v>44177</v>
      </c>
      <c r="H1599" s="97">
        <v>33599</v>
      </c>
      <c r="I1599" s="94" t="s">
        <v>5247</v>
      </c>
      <c r="J1599" s="94" t="s">
        <v>12663</v>
      </c>
      <c r="K1599" s="91">
        <v>978920504</v>
      </c>
      <c r="L1599" s="91" t="s">
        <v>49</v>
      </c>
      <c r="M1599" s="98">
        <f ca="1">(TODAY()-H1599)/365</f>
        <v>33.980821917808221</v>
      </c>
      <c r="N1599" s="99">
        <f>(G1599-H1599)/365</f>
        <v>28.980821917808218</v>
      </c>
      <c r="O1599" s="98">
        <f ca="1">(TODAY()-G1599)/365</f>
        <v>5</v>
      </c>
      <c r="P1599" s="91" t="s">
        <v>43</v>
      </c>
      <c r="Q1599" s="91">
        <v>0</v>
      </c>
      <c r="R1599" s="91">
        <v>0</v>
      </c>
      <c r="S1599" s="91">
        <v>0</v>
      </c>
      <c r="T1599" s="91"/>
      <c r="U1599" s="91"/>
      <c r="V1599" s="91"/>
      <c r="W1599" s="91"/>
      <c r="X1599" s="91"/>
      <c r="Y1599" s="91"/>
      <c r="Z1599" s="91"/>
      <c r="AA1599" s="91"/>
      <c r="AB1599" s="91"/>
      <c r="AC1599" s="91"/>
      <c r="AD1599" s="91"/>
      <c r="AE1599" s="91"/>
      <c r="AF1599" s="91"/>
      <c r="AG1599" s="91"/>
      <c r="AH1599" s="91"/>
      <c r="AI1599" s="91"/>
      <c r="AJ1599" s="91"/>
      <c r="AK1599" s="91"/>
      <c r="AL1599" s="91"/>
      <c r="AM1599" s="91"/>
    </row>
    <row r="1600" spans="1:39" ht="20.25" hidden="1" customHeight="1">
      <c r="A1600" s="91"/>
      <c r="B1600" s="93" t="s">
        <v>11844</v>
      </c>
      <c r="C1600" s="91" t="s">
        <v>36</v>
      </c>
      <c r="D1600" s="94" t="s">
        <v>5248</v>
      </c>
      <c r="E1600" s="94" t="s">
        <v>5249</v>
      </c>
      <c r="F1600" s="95" t="s">
        <v>5250</v>
      </c>
      <c r="G1600" s="96">
        <v>31701</v>
      </c>
      <c r="H1600" s="97">
        <v>20932</v>
      </c>
      <c r="I1600" s="94" t="s">
        <v>5251</v>
      </c>
      <c r="J1600" s="94" t="s">
        <v>12664</v>
      </c>
      <c r="K1600" s="95">
        <v>998809459</v>
      </c>
      <c r="L1600" s="91" t="s">
        <v>42</v>
      </c>
      <c r="M1600" s="98">
        <f ca="1">(TODAY()-H1600)/365</f>
        <v>68.68493150684931</v>
      </c>
      <c r="N1600" s="99">
        <f>(G1600-H1600)/365</f>
        <v>29.504109589041096</v>
      </c>
      <c r="O1600" s="98">
        <f ca="1">(TODAY()-G1600)/365</f>
        <v>39.180821917808217</v>
      </c>
      <c r="P1600" s="91" t="s">
        <v>43</v>
      </c>
      <c r="Q1600" s="91">
        <v>0</v>
      </c>
      <c r="R1600" s="91">
        <v>0</v>
      </c>
      <c r="S1600" s="91">
        <v>0</v>
      </c>
      <c r="T1600" s="91"/>
      <c r="U1600" s="91"/>
      <c r="V1600" s="91"/>
      <c r="W1600" s="91"/>
      <c r="X1600" s="91"/>
      <c r="Y1600" s="91"/>
      <c r="Z1600" s="91"/>
      <c r="AA1600" s="91"/>
      <c r="AB1600" s="91"/>
      <c r="AC1600" s="91"/>
      <c r="AD1600" s="91"/>
      <c r="AE1600" s="91"/>
      <c r="AF1600" s="91"/>
      <c r="AG1600" s="91"/>
      <c r="AH1600" s="91"/>
      <c r="AI1600" s="91"/>
      <c r="AJ1600" s="91"/>
      <c r="AK1600" s="91"/>
      <c r="AL1600" s="91"/>
      <c r="AM1600" s="91"/>
    </row>
    <row r="1601" spans="1:39" ht="20.25" hidden="1" customHeight="1">
      <c r="A1601" s="91"/>
      <c r="B1601" s="93" t="s">
        <v>11844</v>
      </c>
      <c r="C1601" s="91" t="s">
        <v>36</v>
      </c>
      <c r="D1601" s="94" t="s">
        <v>5092</v>
      </c>
      <c r="E1601" s="94" t="s">
        <v>5252</v>
      </c>
      <c r="F1601" s="95" t="s">
        <v>5253</v>
      </c>
      <c r="G1601" s="96">
        <v>27548</v>
      </c>
      <c r="H1601" s="97">
        <v>15302</v>
      </c>
      <c r="I1601" s="94" t="s">
        <v>58</v>
      </c>
      <c r="J1601" s="94" t="s">
        <v>12665</v>
      </c>
      <c r="K1601" s="91">
        <v>977782780</v>
      </c>
      <c r="L1601" s="91" t="s">
        <v>60</v>
      </c>
      <c r="M1601" s="98">
        <f ca="1">(TODAY()-H1601)/365</f>
        <v>84.109589041095887</v>
      </c>
      <c r="N1601" s="99">
        <f>(G1601-H1601)/365</f>
        <v>33.550684931506851</v>
      </c>
      <c r="O1601" s="98">
        <f ca="1">(TODAY()-G1601)/365</f>
        <v>50.558904109589044</v>
      </c>
      <c r="P1601" s="91" t="s">
        <v>43</v>
      </c>
      <c r="Q1601" s="91">
        <v>0</v>
      </c>
      <c r="R1601" s="91">
        <v>0</v>
      </c>
      <c r="S1601" s="91">
        <v>0</v>
      </c>
      <c r="T1601" s="91"/>
      <c r="U1601" s="91"/>
      <c r="V1601" s="91"/>
      <c r="W1601" s="91"/>
      <c r="X1601" s="91"/>
      <c r="Y1601" s="91"/>
      <c r="Z1601" s="91"/>
      <c r="AA1601" s="91"/>
      <c r="AB1601" s="91"/>
      <c r="AC1601" s="91"/>
      <c r="AD1601" s="91"/>
      <c r="AE1601" s="91"/>
      <c r="AF1601" s="91"/>
      <c r="AG1601" s="91"/>
      <c r="AH1601" s="91"/>
      <c r="AI1601" s="91"/>
      <c r="AJ1601" s="91"/>
      <c r="AK1601" s="91"/>
      <c r="AL1601" s="91"/>
      <c r="AM1601" s="91"/>
    </row>
    <row r="1602" spans="1:39" ht="20.25" hidden="1" customHeight="1">
      <c r="A1602" s="91"/>
      <c r="B1602" s="93" t="s">
        <v>11844</v>
      </c>
      <c r="C1602" s="91" t="s">
        <v>36</v>
      </c>
      <c r="D1602" s="94" t="s">
        <v>5254</v>
      </c>
      <c r="E1602" s="94" t="s">
        <v>5255</v>
      </c>
      <c r="F1602" s="95" t="s">
        <v>5256</v>
      </c>
      <c r="G1602" s="96">
        <v>40736</v>
      </c>
      <c r="H1602" s="97">
        <v>27320</v>
      </c>
      <c r="I1602" s="94" t="s">
        <v>12666</v>
      </c>
      <c r="J1602" s="94" t="s">
        <v>12667</v>
      </c>
      <c r="K1602" s="91">
        <v>982620814</v>
      </c>
      <c r="L1602" s="91" t="s">
        <v>60</v>
      </c>
      <c r="M1602" s="98">
        <f ca="1">(TODAY()-H1602)/365</f>
        <v>51.183561643835617</v>
      </c>
      <c r="N1602" s="99">
        <f>(G1602-H1602)/365</f>
        <v>36.756164383561647</v>
      </c>
      <c r="O1602" s="98">
        <f ca="1">(TODAY()-G1602)/365</f>
        <v>14.427397260273972</v>
      </c>
      <c r="P1602" s="91" t="s">
        <v>43</v>
      </c>
      <c r="Q1602" s="91">
        <v>0</v>
      </c>
      <c r="R1602" s="91">
        <v>0</v>
      </c>
      <c r="S1602" s="91">
        <v>0</v>
      </c>
      <c r="T1602" s="91"/>
      <c r="U1602" s="91"/>
      <c r="V1602" s="91"/>
      <c r="W1602" s="91"/>
      <c r="X1602" s="91"/>
      <c r="Y1602" s="91"/>
      <c r="Z1602" s="91"/>
      <c r="AA1602" s="91"/>
      <c r="AB1602" s="91"/>
      <c r="AC1602" s="91"/>
      <c r="AD1602" s="91"/>
      <c r="AE1602" s="91"/>
      <c r="AF1602" s="91"/>
      <c r="AG1602" s="91"/>
      <c r="AH1602" s="91"/>
      <c r="AI1602" s="91"/>
      <c r="AJ1602" s="91"/>
      <c r="AK1602" s="91"/>
      <c r="AL1602" s="91"/>
      <c r="AM1602" s="91"/>
    </row>
    <row r="1603" spans="1:39" ht="20.25" hidden="1" customHeight="1">
      <c r="A1603" s="91"/>
      <c r="B1603" s="93" t="s">
        <v>11844</v>
      </c>
      <c r="C1603" s="91" t="s">
        <v>36</v>
      </c>
      <c r="D1603" s="94" t="s">
        <v>5257</v>
      </c>
      <c r="E1603" s="94" t="s">
        <v>5258</v>
      </c>
      <c r="F1603" s="95" t="s">
        <v>5259</v>
      </c>
      <c r="G1603" s="96">
        <v>37712</v>
      </c>
      <c r="H1603" s="97">
        <v>24287</v>
      </c>
      <c r="I1603" s="94" t="s">
        <v>5260</v>
      </c>
      <c r="J1603" s="94" t="s">
        <v>12668</v>
      </c>
      <c r="K1603" s="91">
        <v>962300028</v>
      </c>
      <c r="L1603" s="91" t="s">
        <v>54</v>
      </c>
      <c r="M1603" s="98">
        <f ca="1">(TODAY()-H1603)/365</f>
        <v>59.493150684931507</v>
      </c>
      <c r="N1603" s="99">
        <f>(G1603-H1603)/365</f>
        <v>36.780821917808218</v>
      </c>
      <c r="O1603" s="98">
        <f ca="1">(TODAY()-G1603)/365</f>
        <v>22.712328767123289</v>
      </c>
      <c r="P1603" s="91" t="s">
        <v>43</v>
      </c>
      <c r="Q1603" s="91">
        <v>0</v>
      </c>
      <c r="R1603" s="91">
        <v>0</v>
      </c>
      <c r="S1603" s="91">
        <v>0</v>
      </c>
      <c r="T1603" s="91"/>
      <c r="U1603" s="91"/>
      <c r="V1603" s="91"/>
      <c r="W1603" s="91"/>
      <c r="X1603" s="91"/>
      <c r="Y1603" s="91"/>
      <c r="Z1603" s="91"/>
      <c r="AA1603" s="91"/>
      <c r="AB1603" s="91"/>
      <c r="AC1603" s="91"/>
      <c r="AD1603" s="91"/>
      <c r="AE1603" s="91"/>
      <c r="AF1603" s="91"/>
      <c r="AG1603" s="91"/>
      <c r="AH1603" s="91"/>
      <c r="AI1603" s="91"/>
      <c r="AJ1603" s="91"/>
      <c r="AK1603" s="91"/>
      <c r="AL1603" s="91"/>
      <c r="AM1603" s="91"/>
    </row>
    <row r="1604" spans="1:39" ht="20.25" hidden="1" customHeight="1">
      <c r="A1604" s="91"/>
      <c r="B1604" s="93" t="s">
        <v>11844</v>
      </c>
      <c r="C1604" s="91" t="s">
        <v>36</v>
      </c>
      <c r="D1604" s="94" t="s">
        <v>5261</v>
      </c>
      <c r="E1604" s="94" t="s">
        <v>5262</v>
      </c>
      <c r="F1604" s="95" t="s">
        <v>5263</v>
      </c>
      <c r="G1604" s="96">
        <v>34484</v>
      </c>
      <c r="H1604" s="97">
        <v>19684</v>
      </c>
      <c r="I1604" s="94" t="s">
        <v>58</v>
      </c>
      <c r="J1604" s="94" t="s">
        <v>12669</v>
      </c>
      <c r="K1604" s="91">
        <v>996107165</v>
      </c>
      <c r="L1604" s="91" t="s">
        <v>60</v>
      </c>
      <c r="M1604" s="98">
        <f ca="1">(TODAY()-H1604)/365</f>
        <v>72.104109589041101</v>
      </c>
      <c r="N1604" s="99">
        <f>(G1604-H1604)/365</f>
        <v>40.547945205479451</v>
      </c>
      <c r="O1604" s="98">
        <f ca="1">(TODAY()-G1604)/365</f>
        <v>31.556164383561644</v>
      </c>
      <c r="P1604" s="91" t="s">
        <v>43</v>
      </c>
      <c r="Q1604" s="91">
        <v>0</v>
      </c>
      <c r="R1604" s="91">
        <v>0</v>
      </c>
      <c r="S1604" s="91">
        <v>0</v>
      </c>
      <c r="T1604" s="91"/>
      <c r="U1604" s="91"/>
      <c r="V1604" s="91"/>
      <c r="W1604" s="91"/>
      <c r="X1604" s="91"/>
      <c r="Y1604" s="91"/>
      <c r="Z1604" s="91"/>
      <c r="AA1604" s="91"/>
      <c r="AB1604" s="91"/>
      <c r="AC1604" s="91"/>
      <c r="AD1604" s="91"/>
      <c r="AE1604" s="91"/>
      <c r="AF1604" s="91"/>
      <c r="AG1604" s="91"/>
      <c r="AH1604" s="91"/>
      <c r="AI1604" s="91"/>
      <c r="AJ1604" s="91"/>
      <c r="AK1604" s="91"/>
      <c r="AL1604" s="91"/>
      <c r="AM1604" s="91"/>
    </row>
    <row r="1605" spans="1:39" ht="20.25" hidden="1" customHeight="1">
      <c r="A1605" s="91"/>
      <c r="B1605" s="93" t="s">
        <v>11844</v>
      </c>
      <c r="C1605" s="91" t="s">
        <v>36</v>
      </c>
      <c r="D1605" s="94" t="s">
        <v>346</v>
      </c>
      <c r="E1605" s="94" t="s">
        <v>5264</v>
      </c>
      <c r="F1605" s="95" t="s">
        <v>5265</v>
      </c>
      <c r="G1605" s="96">
        <v>37140</v>
      </c>
      <c r="H1605" s="97">
        <v>21406</v>
      </c>
      <c r="I1605" s="94" t="s">
        <v>5266</v>
      </c>
      <c r="J1605" s="94" t="s">
        <v>12670</v>
      </c>
      <c r="K1605" s="91">
        <v>945926431</v>
      </c>
      <c r="L1605" s="91" t="s">
        <v>60</v>
      </c>
      <c r="M1605" s="98">
        <f ca="1">(TODAY()-H1605)/365</f>
        <v>67.38630136986302</v>
      </c>
      <c r="N1605" s="99">
        <f>(G1605-H1605)/365</f>
        <v>43.106849315068494</v>
      </c>
      <c r="O1605" s="98">
        <f ca="1">(TODAY()-G1605)/365</f>
        <v>24.279452054794522</v>
      </c>
      <c r="P1605" s="91" t="s">
        <v>43</v>
      </c>
      <c r="Q1605" s="91">
        <v>0</v>
      </c>
      <c r="R1605" s="91">
        <v>0</v>
      </c>
      <c r="S1605" s="91">
        <v>0</v>
      </c>
      <c r="T1605" s="91"/>
      <c r="U1605" s="91"/>
      <c r="V1605" s="91"/>
      <c r="W1605" s="91"/>
      <c r="X1605" s="91"/>
      <c r="Y1605" s="91"/>
      <c r="Z1605" s="91"/>
      <c r="AA1605" s="91"/>
      <c r="AB1605" s="91"/>
      <c r="AC1605" s="91"/>
      <c r="AD1605" s="91"/>
      <c r="AE1605" s="91"/>
      <c r="AF1605" s="91"/>
      <c r="AG1605" s="91"/>
      <c r="AH1605" s="91"/>
      <c r="AI1605" s="91"/>
      <c r="AJ1605" s="91"/>
      <c r="AK1605" s="91"/>
      <c r="AL1605" s="91"/>
      <c r="AM1605" s="91"/>
    </row>
    <row r="1606" spans="1:39" ht="20.25" hidden="1" customHeight="1">
      <c r="A1606" s="91"/>
      <c r="B1606" s="93" t="s">
        <v>11844</v>
      </c>
      <c r="C1606" s="91" t="s">
        <v>36</v>
      </c>
      <c r="D1606" s="94" t="s">
        <v>5267</v>
      </c>
      <c r="E1606" s="94" t="s">
        <v>5268</v>
      </c>
      <c r="F1606" s="95" t="s">
        <v>5269</v>
      </c>
      <c r="G1606" s="96">
        <v>40528</v>
      </c>
      <c r="H1606" s="97">
        <v>24475</v>
      </c>
      <c r="I1606" s="94" t="s">
        <v>58</v>
      </c>
      <c r="J1606" s="94" t="s">
        <v>12671</v>
      </c>
      <c r="K1606" s="91">
        <v>976794721</v>
      </c>
      <c r="L1606" s="91" t="s">
        <v>60</v>
      </c>
      <c r="M1606" s="98">
        <f ca="1">(TODAY()-H1606)/365</f>
        <v>58.978082191780821</v>
      </c>
      <c r="N1606" s="99">
        <f>(G1606-H1606)/365</f>
        <v>43.980821917808221</v>
      </c>
      <c r="O1606" s="98">
        <f ca="1">(TODAY()-G1606)/365</f>
        <v>14.997260273972604</v>
      </c>
      <c r="P1606" s="91" t="s">
        <v>43</v>
      </c>
      <c r="Q1606" s="91">
        <v>0</v>
      </c>
      <c r="R1606" s="91">
        <v>0</v>
      </c>
      <c r="S1606" s="91">
        <v>0</v>
      </c>
      <c r="T1606" s="91"/>
      <c r="U1606" s="91"/>
      <c r="V1606" s="91"/>
      <c r="W1606" s="91"/>
      <c r="X1606" s="91"/>
      <c r="Y1606" s="91"/>
      <c r="Z1606" s="91"/>
      <c r="AA1606" s="91"/>
      <c r="AB1606" s="91"/>
      <c r="AC1606" s="91"/>
      <c r="AD1606" s="91"/>
      <c r="AE1606" s="91"/>
      <c r="AF1606" s="91"/>
      <c r="AG1606" s="91"/>
      <c r="AH1606" s="91"/>
      <c r="AI1606" s="91"/>
      <c r="AJ1606" s="91"/>
      <c r="AK1606" s="91"/>
      <c r="AL1606" s="91"/>
      <c r="AM1606" s="91"/>
    </row>
    <row r="1607" spans="1:39" ht="20.25" hidden="1" customHeight="1">
      <c r="A1607" s="91"/>
      <c r="B1607" s="93" t="s">
        <v>11844</v>
      </c>
      <c r="C1607" s="91" t="s">
        <v>36</v>
      </c>
      <c r="D1607" s="94" t="s">
        <v>4283</v>
      </c>
      <c r="E1607" s="94" t="s">
        <v>5270</v>
      </c>
      <c r="F1607" s="95" t="s">
        <v>5271</v>
      </c>
      <c r="G1607" s="96">
        <v>42072</v>
      </c>
      <c r="H1607" s="97">
        <v>25071</v>
      </c>
      <c r="I1607" s="94" t="s">
        <v>5272</v>
      </c>
      <c r="J1607" s="94" t="s">
        <v>12672</v>
      </c>
      <c r="K1607" s="91">
        <v>950087035</v>
      </c>
      <c r="L1607" s="91" t="s">
        <v>60</v>
      </c>
      <c r="M1607" s="98">
        <f ca="1">(TODAY()-H1607)/365</f>
        <v>57.345205479452055</v>
      </c>
      <c r="N1607" s="99">
        <f>(G1607-H1607)/365</f>
        <v>46.578082191780823</v>
      </c>
      <c r="O1607" s="98">
        <f ca="1">(TODAY()-G1607)/365</f>
        <v>10.767123287671232</v>
      </c>
      <c r="P1607" s="91" t="s">
        <v>43</v>
      </c>
      <c r="Q1607" s="91">
        <v>0</v>
      </c>
      <c r="R1607" s="91">
        <v>0</v>
      </c>
      <c r="S1607" s="91">
        <v>0</v>
      </c>
      <c r="T1607" s="91"/>
      <c r="U1607" s="91"/>
      <c r="V1607" s="91"/>
      <c r="W1607" s="91"/>
      <c r="X1607" s="91"/>
      <c r="Y1607" s="91"/>
      <c r="Z1607" s="91"/>
      <c r="AA1607" s="91"/>
      <c r="AB1607" s="91"/>
      <c r="AC1607" s="91"/>
      <c r="AD1607" s="91"/>
      <c r="AE1607" s="91"/>
      <c r="AF1607" s="91"/>
      <c r="AG1607" s="91"/>
      <c r="AH1607" s="91"/>
      <c r="AI1607" s="91"/>
      <c r="AJ1607" s="91"/>
      <c r="AK1607" s="91"/>
      <c r="AL1607" s="91"/>
      <c r="AM1607" s="91"/>
    </row>
    <row r="1608" spans="1:39" ht="20.25" hidden="1" customHeight="1">
      <c r="A1608" s="91"/>
      <c r="B1608" s="93" t="s">
        <v>11844</v>
      </c>
      <c r="C1608" s="91" t="s">
        <v>36</v>
      </c>
      <c r="D1608" s="94" t="s">
        <v>5273</v>
      </c>
      <c r="E1608" s="94" t="s">
        <v>5274</v>
      </c>
      <c r="F1608" s="95" t="s">
        <v>5275</v>
      </c>
      <c r="G1608" s="96">
        <v>37140</v>
      </c>
      <c r="H1608" s="97">
        <v>19898</v>
      </c>
      <c r="I1608" s="94" t="s">
        <v>58</v>
      </c>
      <c r="J1608" s="94" t="s">
        <v>12673</v>
      </c>
      <c r="K1608" s="91">
        <v>962011017</v>
      </c>
      <c r="L1608" s="91" t="s">
        <v>72</v>
      </c>
      <c r="M1608" s="98">
        <f ca="1">(TODAY()-H1608)/365</f>
        <v>71.517808219178079</v>
      </c>
      <c r="N1608" s="99">
        <f>(G1608-H1608)/365</f>
        <v>47.238356164383561</v>
      </c>
      <c r="O1608" s="98">
        <f ca="1">(TODAY()-G1608)/365</f>
        <v>24.279452054794522</v>
      </c>
      <c r="P1608" s="91" t="s">
        <v>43</v>
      </c>
      <c r="Q1608" s="91">
        <v>0</v>
      </c>
      <c r="R1608" s="91">
        <v>0</v>
      </c>
      <c r="S1608" s="91">
        <v>0</v>
      </c>
      <c r="T1608" s="91"/>
      <c r="U1608" s="91"/>
      <c r="V1608" s="91"/>
      <c r="W1608" s="91"/>
      <c r="X1608" s="91"/>
      <c r="Y1608" s="91"/>
      <c r="Z1608" s="91"/>
      <c r="AA1608" s="91"/>
      <c r="AB1608" s="91"/>
      <c r="AC1608" s="91"/>
      <c r="AD1608" s="91"/>
      <c r="AE1608" s="91"/>
      <c r="AF1608" s="91"/>
      <c r="AG1608" s="91"/>
      <c r="AH1608" s="91"/>
      <c r="AI1608" s="91"/>
      <c r="AJ1608" s="91"/>
      <c r="AK1608" s="91"/>
      <c r="AL1608" s="91"/>
      <c r="AM1608" s="91"/>
    </row>
    <row r="1609" spans="1:39" ht="20.25" hidden="1" customHeight="1">
      <c r="A1609" s="91"/>
      <c r="B1609" s="93" t="s">
        <v>11844</v>
      </c>
      <c r="C1609" s="91" t="s">
        <v>36</v>
      </c>
      <c r="D1609" s="94" t="s">
        <v>5276</v>
      </c>
      <c r="E1609" s="94" t="s">
        <v>5277</v>
      </c>
      <c r="F1609" s="95" t="s">
        <v>5278</v>
      </c>
      <c r="G1609" s="96">
        <v>39965</v>
      </c>
      <c r="H1609" s="97">
        <v>21439</v>
      </c>
      <c r="I1609" s="94" t="s">
        <v>58</v>
      </c>
      <c r="J1609" s="94" t="s">
        <v>12674</v>
      </c>
      <c r="K1609" s="91">
        <v>967147757</v>
      </c>
      <c r="L1609" s="91" t="s">
        <v>60</v>
      </c>
      <c r="M1609" s="98">
        <f ca="1">(TODAY()-H1609)/365</f>
        <v>67.295890410958904</v>
      </c>
      <c r="N1609" s="99">
        <f>(G1609-H1609)/365</f>
        <v>50.756164383561647</v>
      </c>
      <c r="O1609" s="98">
        <f ca="1">(TODAY()-G1609)/365</f>
        <v>16.539726027397261</v>
      </c>
      <c r="P1609" s="91" t="s">
        <v>43</v>
      </c>
      <c r="Q1609" s="91">
        <v>0</v>
      </c>
      <c r="R1609" s="91">
        <v>0</v>
      </c>
      <c r="S1609" s="91">
        <v>0</v>
      </c>
      <c r="T1609" s="91"/>
      <c r="U1609" s="91"/>
      <c r="V1609" s="91"/>
      <c r="W1609" s="91"/>
      <c r="X1609" s="91"/>
      <c r="Y1609" s="91"/>
      <c r="Z1609" s="91"/>
      <c r="AA1609" s="91"/>
      <c r="AB1609" s="91"/>
      <c r="AC1609" s="91"/>
      <c r="AD1609" s="91"/>
      <c r="AE1609" s="91"/>
      <c r="AF1609" s="91"/>
      <c r="AG1609" s="91"/>
      <c r="AH1609" s="91"/>
      <c r="AI1609" s="91"/>
      <c r="AJ1609" s="91"/>
      <c r="AK1609" s="91"/>
      <c r="AL1609" s="91"/>
      <c r="AM1609" s="91"/>
    </row>
    <row r="1610" spans="1:39" ht="20.25" hidden="1" customHeight="1">
      <c r="A1610" s="91"/>
      <c r="B1610" s="93" t="s">
        <v>11844</v>
      </c>
      <c r="C1610" s="91" t="s">
        <v>36</v>
      </c>
      <c r="D1610" s="94" t="s">
        <v>5279</v>
      </c>
      <c r="E1610" s="94" t="s">
        <v>5280</v>
      </c>
      <c r="F1610" s="95" t="s">
        <v>5281</v>
      </c>
      <c r="G1610" s="96">
        <v>37712</v>
      </c>
      <c r="H1610" s="97">
        <v>18873</v>
      </c>
      <c r="I1610" s="94" t="s">
        <v>58</v>
      </c>
      <c r="J1610" s="94" t="s">
        <v>12675</v>
      </c>
      <c r="K1610" s="91">
        <v>986392073</v>
      </c>
      <c r="L1610" s="91" t="s">
        <v>66</v>
      </c>
      <c r="M1610" s="98">
        <f ca="1">(TODAY()-H1610)/365</f>
        <v>74.326027397260276</v>
      </c>
      <c r="N1610" s="99">
        <f>(G1610-H1610)/365</f>
        <v>51.613698630136987</v>
      </c>
      <c r="O1610" s="98">
        <f ca="1">(TODAY()-G1610)/365</f>
        <v>22.712328767123289</v>
      </c>
      <c r="P1610" s="91" t="s">
        <v>43</v>
      </c>
      <c r="Q1610" s="91">
        <v>0</v>
      </c>
      <c r="R1610" s="91">
        <v>0</v>
      </c>
      <c r="S1610" s="91">
        <v>0</v>
      </c>
      <c r="T1610" s="91"/>
      <c r="U1610" s="91"/>
      <c r="V1610" s="91"/>
      <c r="W1610" s="91"/>
      <c r="X1610" s="91"/>
      <c r="Y1610" s="91"/>
      <c r="Z1610" s="91"/>
      <c r="AA1610" s="91"/>
      <c r="AB1610" s="91"/>
      <c r="AC1610" s="91"/>
      <c r="AD1610" s="91"/>
      <c r="AE1610" s="91"/>
      <c r="AF1610" s="91"/>
      <c r="AG1610" s="91"/>
      <c r="AH1610" s="91"/>
      <c r="AI1610" s="91"/>
      <c r="AJ1610" s="91"/>
      <c r="AK1610" s="91"/>
      <c r="AL1610" s="91"/>
      <c r="AM1610" s="91"/>
    </row>
    <row r="1611" spans="1:39" ht="20.25" hidden="1" customHeight="1">
      <c r="A1611" s="91"/>
      <c r="B1611" s="93" t="s">
        <v>11844</v>
      </c>
      <c r="C1611" s="91" t="s">
        <v>36</v>
      </c>
      <c r="D1611" s="94" t="s">
        <v>5282</v>
      </c>
      <c r="E1611" s="94" t="s">
        <v>5283</v>
      </c>
      <c r="F1611" s="95" t="s">
        <v>5284</v>
      </c>
      <c r="G1611" s="96">
        <v>40245</v>
      </c>
      <c r="H1611" s="97">
        <v>21184</v>
      </c>
      <c r="I1611" s="94" t="s">
        <v>58</v>
      </c>
      <c r="J1611" s="94" t="s">
        <v>12676</v>
      </c>
      <c r="K1611" s="91">
        <v>990642559</v>
      </c>
      <c r="L1611" s="91" t="s">
        <v>60</v>
      </c>
      <c r="M1611" s="98">
        <f ca="1">(TODAY()-H1611)/365</f>
        <v>67.9945205479452</v>
      </c>
      <c r="N1611" s="99">
        <f>(G1611-H1611)/365</f>
        <v>52.221917808219175</v>
      </c>
      <c r="O1611" s="98">
        <f ca="1">(TODAY()-G1611)/365</f>
        <v>15.772602739726027</v>
      </c>
      <c r="P1611" s="91" t="s">
        <v>43</v>
      </c>
      <c r="Q1611" s="91">
        <v>0</v>
      </c>
      <c r="R1611" s="91">
        <v>0</v>
      </c>
      <c r="S1611" s="91">
        <v>0</v>
      </c>
      <c r="T1611" s="91"/>
      <c r="U1611" s="91"/>
      <c r="V1611" s="91"/>
      <c r="W1611" s="91"/>
      <c r="X1611" s="91"/>
      <c r="Y1611" s="91"/>
      <c r="Z1611" s="91"/>
      <c r="AA1611" s="91"/>
      <c r="AB1611" s="91"/>
      <c r="AC1611" s="91"/>
      <c r="AD1611" s="91"/>
      <c r="AE1611" s="91"/>
      <c r="AF1611" s="91"/>
      <c r="AG1611" s="91"/>
      <c r="AH1611" s="91"/>
      <c r="AI1611" s="91"/>
      <c r="AJ1611" s="91"/>
      <c r="AK1611" s="91"/>
      <c r="AL1611" s="91"/>
      <c r="AM1611" s="91"/>
    </row>
    <row r="1612" spans="1:39" ht="20.25" hidden="1" customHeight="1">
      <c r="A1612" s="91"/>
      <c r="B1612" s="93" t="s">
        <v>11844</v>
      </c>
      <c r="C1612" s="91" t="s">
        <v>36</v>
      </c>
      <c r="D1612" s="94" t="s">
        <v>5285</v>
      </c>
      <c r="E1612" s="94" t="s">
        <v>5286</v>
      </c>
      <c r="F1612" s="95" t="s">
        <v>5287</v>
      </c>
      <c r="G1612" s="96">
        <v>40528</v>
      </c>
      <c r="H1612" s="97">
        <v>19275</v>
      </c>
      <c r="I1612" s="94" t="s">
        <v>58</v>
      </c>
      <c r="J1612" s="94" t="s">
        <v>12677</v>
      </c>
      <c r="K1612" s="91">
        <v>973931732</v>
      </c>
      <c r="L1612" s="91" t="s">
        <v>60</v>
      </c>
      <c r="M1612" s="98">
        <f ca="1">(TODAY()-H1612)/365</f>
        <v>73.224657534246575</v>
      </c>
      <c r="N1612" s="99">
        <f>(G1612-H1612)/365</f>
        <v>58.227397260273975</v>
      </c>
      <c r="O1612" s="98">
        <f ca="1">(TODAY()-G1612)/365</f>
        <v>14.997260273972604</v>
      </c>
      <c r="P1612" s="91" t="s">
        <v>43</v>
      </c>
      <c r="Q1612" s="91">
        <v>0</v>
      </c>
      <c r="R1612" s="91">
        <v>0</v>
      </c>
      <c r="S1612" s="91">
        <v>0</v>
      </c>
      <c r="T1612" s="91"/>
      <c r="U1612" s="91"/>
      <c r="V1612" s="91"/>
      <c r="W1612" s="91"/>
      <c r="X1612" s="91"/>
      <c r="Y1612" s="91"/>
      <c r="Z1612" s="91"/>
      <c r="AA1612" s="91"/>
      <c r="AB1612" s="91"/>
      <c r="AC1612" s="91"/>
      <c r="AD1612" s="91"/>
      <c r="AE1612" s="91"/>
      <c r="AF1612" s="91"/>
      <c r="AG1612" s="91"/>
      <c r="AH1612" s="91"/>
      <c r="AI1612" s="91"/>
      <c r="AJ1612" s="91"/>
      <c r="AK1612" s="91"/>
      <c r="AL1612" s="91"/>
      <c r="AM1612" s="91"/>
    </row>
    <row r="1613" spans="1:39" ht="20.25" hidden="1" customHeight="1">
      <c r="A1613" s="91"/>
      <c r="B1613" s="93" t="s">
        <v>11844</v>
      </c>
      <c r="C1613" s="91" t="s">
        <v>36</v>
      </c>
      <c r="D1613" s="94" t="s">
        <v>5288</v>
      </c>
      <c r="E1613" s="94" t="s">
        <v>5289</v>
      </c>
      <c r="F1613" s="95" t="s">
        <v>5290</v>
      </c>
      <c r="G1613" s="96">
        <v>41001</v>
      </c>
      <c r="H1613" s="97">
        <v>19515</v>
      </c>
      <c r="I1613" s="94" t="s">
        <v>58</v>
      </c>
      <c r="J1613" s="94" t="s">
        <v>12663</v>
      </c>
      <c r="K1613" s="91">
        <v>965978492</v>
      </c>
      <c r="L1613" s="91" t="s">
        <v>197</v>
      </c>
      <c r="M1613" s="98">
        <f ca="1">(TODAY()-H1613)/365</f>
        <v>72.567123287671237</v>
      </c>
      <c r="N1613" s="99">
        <f>(G1613-H1613)/365</f>
        <v>58.865753424657534</v>
      </c>
      <c r="O1613" s="98">
        <f ca="1">(TODAY()-G1613)/365</f>
        <v>13.701369863013699</v>
      </c>
      <c r="P1613" s="91" t="s">
        <v>43</v>
      </c>
      <c r="Q1613" s="91">
        <v>0</v>
      </c>
      <c r="R1613" s="91">
        <v>0</v>
      </c>
      <c r="S1613" s="91">
        <v>0</v>
      </c>
      <c r="T1613" s="91"/>
      <c r="U1613" s="91"/>
      <c r="V1613" s="91"/>
      <c r="W1613" s="91"/>
      <c r="X1613" s="91"/>
      <c r="Y1613" s="91"/>
      <c r="Z1613" s="91"/>
      <c r="AA1613" s="91"/>
      <c r="AB1613" s="91"/>
      <c r="AC1613" s="91"/>
      <c r="AD1613" s="91"/>
      <c r="AE1613" s="91"/>
      <c r="AF1613" s="91"/>
      <c r="AG1613" s="91"/>
      <c r="AH1613" s="91"/>
      <c r="AI1613" s="91"/>
      <c r="AJ1613" s="91"/>
      <c r="AK1613" s="91"/>
      <c r="AL1613" s="91"/>
      <c r="AM1613" s="91"/>
    </row>
    <row r="1614" spans="1:39" ht="20.25" hidden="1" customHeight="1">
      <c r="A1614" s="91"/>
      <c r="B1614" s="93" t="s">
        <v>5291</v>
      </c>
      <c r="C1614" s="91" t="s">
        <v>36</v>
      </c>
      <c r="D1614" s="94" t="s">
        <v>291</v>
      </c>
      <c r="E1614" s="94" t="s">
        <v>5292</v>
      </c>
      <c r="F1614" s="95" t="s">
        <v>5293</v>
      </c>
      <c r="G1614" s="96">
        <v>38565</v>
      </c>
      <c r="H1614" s="97">
        <v>28026</v>
      </c>
      <c r="I1614" s="100" t="s">
        <v>5294</v>
      </c>
      <c r="J1614" s="94" t="s">
        <v>5295</v>
      </c>
      <c r="K1614" s="95">
        <v>937124744</v>
      </c>
      <c r="L1614" s="91" t="s">
        <v>66</v>
      </c>
      <c r="M1614" s="98">
        <f ca="1">(TODAY()-H1614)/365</f>
        <v>49.249315068493154</v>
      </c>
      <c r="N1614" s="99">
        <f>(G1614-H1614)/365</f>
        <v>28.873972602739727</v>
      </c>
      <c r="O1614" s="98">
        <f ca="1">(TODAY()-G1614)/365</f>
        <v>20.375342465753423</v>
      </c>
      <c r="P1614" s="91" t="s">
        <v>43</v>
      </c>
      <c r="Q1614" s="91">
        <v>0</v>
      </c>
      <c r="R1614" s="91">
        <v>0</v>
      </c>
      <c r="S1614" s="91">
        <v>0</v>
      </c>
      <c r="T1614" s="91"/>
      <c r="U1614" s="91"/>
      <c r="V1614" s="91"/>
      <c r="W1614" s="91"/>
      <c r="X1614" s="91"/>
      <c r="Y1614" s="91"/>
      <c r="Z1614" s="91"/>
      <c r="AA1614" s="91"/>
      <c r="AB1614" s="91"/>
      <c r="AC1614" s="91"/>
      <c r="AD1614" s="91"/>
      <c r="AE1614" s="91"/>
      <c r="AF1614" s="91"/>
      <c r="AG1614" s="91"/>
      <c r="AH1614" s="91"/>
      <c r="AI1614" s="91"/>
      <c r="AJ1614" s="91"/>
      <c r="AK1614" s="91"/>
      <c r="AL1614" s="91"/>
      <c r="AM1614" s="91"/>
    </row>
    <row r="1615" spans="1:39" ht="20.25" hidden="1" customHeight="1">
      <c r="A1615" s="91"/>
      <c r="B1615" s="93" t="s">
        <v>5291</v>
      </c>
      <c r="C1615" s="91" t="s">
        <v>36</v>
      </c>
      <c r="D1615" s="94" t="s">
        <v>5296</v>
      </c>
      <c r="E1615" s="94" t="s">
        <v>5297</v>
      </c>
      <c r="F1615" s="95" t="s">
        <v>5298</v>
      </c>
      <c r="G1615" s="96">
        <v>45209</v>
      </c>
      <c r="H1615" s="97">
        <v>34643</v>
      </c>
      <c r="I1615" s="100" t="s">
        <v>58</v>
      </c>
      <c r="J1615" s="94" t="s">
        <v>5299</v>
      </c>
      <c r="K1615" s="95">
        <v>975462938</v>
      </c>
      <c r="L1615" s="91" t="s">
        <v>60</v>
      </c>
      <c r="M1615" s="98">
        <f ca="1">(TODAY()-H1615)/365</f>
        <v>31.12054794520548</v>
      </c>
      <c r="N1615" s="99">
        <f>(G1615-H1615)/365</f>
        <v>28.947945205479453</v>
      </c>
      <c r="O1615" s="98">
        <f ca="1">(TODAY()-G1615)/365</f>
        <v>2.1726027397260275</v>
      </c>
      <c r="P1615" s="91" t="s">
        <v>43</v>
      </c>
      <c r="Q1615" s="91">
        <v>0</v>
      </c>
      <c r="R1615" s="91">
        <v>0</v>
      </c>
      <c r="S1615" s="91">
        <v>0</v>
      </c>
      <c r="T1615" s="91"/>
      <c r="U1615" s="91"/>
      <c r="V1615" s="91"/>
      <c r="W1615" s="91"/>
      <c r="X1615" s="91"/>
      <c r="Y1615" s="91"/>
      <c r="Z1615" s="91"/>
      <c r="AA1615" s="91"/>
      <c r="AB1615" s="91"/>
      <c r="AC1615" s="91"/>
      <c r="AD1615" s="91"/>
      <c r="AE1615" s="91"/>
      <c r="AF1615" s="91"/>
      <c r="AG1615" s="91"/>
      <c r="AH1615" s="91"/>
      <c r="AI1615" s="91"/>
      <c r="AJ1615" s="91"/>
      <c r="AK1615" s="91"/>
      <c r="AL1615" s="91"/>
      <c r="AM1615" s="91"/>
    </row>
    <row r="1616" spans="1:39" ht="20.25" hidden="1" customHeight="1">
      <c r="A1616" s="91"/>
      <c r="B1616" s="93" t="s">
        <v>5291</v>
      </c>
      <c r="C1616" s="91" t="s">
        <v>36</v>
      </c>
      <c r="D1616" s="94" t="s">
        <v>5300</v>
      </c>
      <c r="E1616" s="94" t="s">
        <v>5301</v>
      </c>
      <c r="F1616" s="95" t="s">
        <v>5302</v>
      </c>
      <c r="G1616" s="96">
        <v>26680</v>
      </c>
      <c r="H1616" s="97">
        <v>14999</v>
      </c>
      <c r="I1616" s="100" t="s">
        <v>58</v>
      </c>
      <c r="J1616" s="94" t="s">
        <v>5303</v>
      </c>
      <c r="K1616" s="95">
        <v>983225243</v>
      </c>
      <c r="L1616" s="91" t="s">
        <v>216</v>
      </c>
      <c r="M1616" s="98">
        <f ca="1">(TODAY()-H1616)/365</f>
        <v>84.939726027397256</v>
      </c>
      <c r="N1616" s="99">
        <f>(G1616-H1616)/365</f>
        <v>32.0027397260274</v>
      </c>
      <c r="O1616" s="98">
        <f ca="1">(TODAY()-G1616)/365</f>
        <v>52.936986301369863</v>
      </c>
      <c r="P1616" s="91" t="s">
        <v>43</v>
      </c>
      <c r="Q1616" s="91">
        <v>0</v>
      </c>
      <c r="R1616" s="91">
        <v>0</v>
      </c>
      <c r="S1616" s="91">
        <v>0</v>
      </c>
      <c r="T1616" s="91"/>
      <c r="U1616" s="91"/>
      <c r="V1616" s="91"/>
      <c r="W1616" s="91"/>
      <c r="X1616" s="91"/>
      <c r="Y1616" s="91"/>
      <c r="Z1616" s="91"/>
      <c r="AA1616" s="91"/>
      <c r="AB1616" s="91"/>
      <c r="AC1616" s="91"/>
      <c r="AD1616" s="91"/>
      <c r="AE1616" s="91"/>
      <c r="AF1616" s="91"/>
      <c r="AG1616" s="91"/>
      <c r="AH1616" s="91"/>
      <c r="AI1616" s="91"/>
      <c r="AJ1616" s="91"/>
      <c r="AK1616" s="91"/>
      <c r="AL1616" s="91"/>
      <c r="AM1616" s="91"/>
    </row>
    <row r="1617" spans="1:39" ht="20.25" hidden="1" customHeight="1">
      <c r="A1617" s="91"/>
      <c r="B1617" s="93" t="s">
        <v>5291</v>
      </c>
      <c r="C1617" s="91" t="s">
        <v>36</v>
      </c>
      <c r="D1617" s="94" t="s">
        <v>5304</v>
      </c>
      <c r="E1617" s="94" t="s">
        <v>5305</v>
      </c>
      <c r="F1617" s="95" t="s">
        <v>5306</v>
      </c>
      <c r="G1617" s="96">
        <v>45209</v>
      </c>
      <c r="H1617" s="97">
        <v>33040</v>
      </c>
      <c r="I1617" s="100" t="s">
        <v>58</v>
      </c>
      <c r="J1617" s="94" t="s">
        <v>5307</v>
      </c>
      <c r="K1617" s="95">
        <v>986605814</v>
      </c>
      <c r="L1617" s="91" t="s">
        <v>60</v>
      </c>
      <c r="M1617" s="98">
        <f ca="1">(TODAY()-H1617)/365</f>
        <v>35.512328767123286</v>
      </c>
      <c r="N1617" s="99">
        <f>(G1617-H1617)/365</f>
        <v>33.339726027397262</v>
      </c>
      <c r="O1617" s="98">
        <f ca="1">(TODAY()-G1617)/365</f>
        <v>2.1726027397260275</v>
      </c>
      <c r="P1617" s="91" t="s">
        <v>43</v>
      </c>
      <c r="Q1617" s="91">
        <v>0</v>
      </c>
      <c r="R1617" s="91">
        <v>0</v>
      </c>
      <c r="S1617" s="91">
        <v>0</v>
      </c>
      <c r="T1617" s="91"/>
      <c r="U1617" s="91"/>
      <c r="V1617" s="91"/>
      <c r="W1617" s="91"/>
      <c r="X1617" s="91"/>
      <c r="Y1617" s="91"/>
      <c r="Z1617" s="91"/>
      <c r="AA1617" s="91"/>
      <c r="AB1617" s="91"/>
      <c r="AC1617" s="91"/>
      <c r="AD1617" s="91"/>
      <c r="AE1617" s="91"/>
      <c r="AF1617" s="91"/>
      <c r="AG1617" s="91"/>
      <c r="AH1617" s="91"/>
      <c r="AI1617" s="91"/>
      <c r="AJ1617" s="91"/>
      <c r="AK1617" s="91"/>
      <c r="AL1617" s="91"/>
      <c r="AM1617" s="91"/>
    </row>
    <row r="1618" spans="1:39" ht="20.25" hidden="1" customHeight="1">
      <c r="A1618" s="91"/>
      <c r="B1618" s="93" t="s">
        <v>5291</v>
      </c>
      <c r="C1618" s="91" t="s">
        <v>36</v>
      </c>
      <c r="D1618" s="94" t="s">
        <v>5308</v>
      </c>
      <c r="E1618" s="94" t="s">
        <v>5309</v>
      </c>
      <c r="F1618" s="95" t="s">
        <v>5310</v>
      </c>
      <c r="G1618" s="96">
        <v>30438</v>
      </c>
      <c r="H1618" s="97">
        <v>15412</v>
      </c>
      <c r="I1618" s="100" t="s">
        <v>5311</v>
      </c>
      <c r="J1618" s="94" t="s">
        <v>5312</v>
      </c>
      <c r="K1618" s="95">
        <v>978986141</v>
      </c>
      <c r="L1618" s="91" t="s">
        <v>54</v>
      </c>
      <c r="M1618" s="98">
        <f ca="1">(TODAY()-H1618)/365</f>
        <v>83.808219178082197</v>
      </c>
      <c r="N1618" s="99">
        <f>(G1618-H1618)/365</f>
        <v>41.167123287671231</v>
      </c>
      <c r="O1618" s="98">
        <f ca="1">(TODAY()-G1618)/365</f>
        <v>42.641095890410959</v>
      </c>
      <c r="P1618" s="91" t="s">
        <v>43</v>
      </c>
      <c r="Q1618" s="91">
        <v>0</v>
      </c>
      <c r="R1618" s="91">
        <v>0</v>
      </c>
      <c r="S1618" s="91">
        <v>0</v>
      </c>
      <c r="T1618" s="91"/>
      <c r="U1618" s="91"/>
      <c r="V1618" s="91"/>
      <c r="W1618" s="91"/>
      <c r="X1618" s="91"/>
      <c r="Y1618" s="91"/>
      <c r="Z1618" s="91"/>
      <c r="AA1618" s="91"/>
      <c r="AB1618" s="91"/>
      <c r="AC1618" s="91"/>
      <c r="AD1618" s="91"/>
      <c r="AE1618" s="91"/>
      <c r="AF1618" s="91"/>
      <c r="AG1618" s="91"/>
      <c r="AH1618" s="91"/>
      <c r="AI1618" s="91"/>
      <c r="AJ1618" s="91"/>
      <c r="AK1618" s="91"/>
      <c r="AL1618" s="91"/>
      <c r="AM1618" s="91"/>
    </row>
    <row r="1619" spans="1:39" ht="20.25" customHeight="1">
      <c r="A1619" s="91"/>
      <c r="B1619" s="93" t="s">
        <v>7270</v>
      </c>
      <c r="C1619" s="91" t="s">
        <v>73</v>
      </c>
      <c r="D1619" s="94" t="s">
        <v>7358</v>
      </c>
      <c r="E1619" s="94" t="s">
        <v>318</v>
      </c>
      <c r="F1619" s="95" t="s">
        <v>7359</v>
      </c>
      <c r="G1619" s="96">
        <v>45449</v>
      </c>
      <c r="H1619" s="97">
        <v>20704</v>
      </c>
      <c r="I1619" s="100" t="s">
        <v>58</v>
      </c>
      <c r="J1619" s="100" t="s">
        <v>58</v>
      </c>
      <c r="K1619" s="91" t="s">
        <v>58</v>
      </c>
      <c r="L1619" s="91" t="s">
        <v>60</v>
      </c>
      <c r="M1619" s="98">
        <f ca="1">(TODAY()-H1619)/365</f>
        <v>69.30958904109589</v>
      </c>
      <c r="N1619" s="99">
        <f>(G1619-H1619)/365</f>
        <v>67.794520547945211</v>
      </c>
      <c r="O1619" s="98">
        <f ca="1">(TODAY()-G1619)/365</f>
        <v>1.515068493150685</v>
      </c>
      <c r="P1619" s="91" t="s">
        <v>43</v>
      </c>
      <c r="Q1619" s="91">
        <v>0</v>
      </c>
      <c r="R1619" s="91">
        <v>0</v>
      </c>
      <c r="S1619" s="91">
        <v>0</v>
      </c>
      <c r="T1619" s="91"/>
      <c r="U1619" s="91"/>
      <c r="V1619" s="91"/>
      <c r="W1619" s="91"/>
      <c r="X1619" s="91"/>
      <c r="Y1619" s="91"/>
      <c r="Z1619" s="91"/>
      <c r="AA1619" s="91"/>
      <c r="AB1619" s="91"/>
      <c r="AC1619" s="91"/>
      <c r="AD1619" s="91"/>
      <c r="AE1619" s="91"/>
      <c r="AF1619" s="91"/>
      <c r="AG1619" s="91"/>
      <c r="AH1619" s="91"/>
      <c r="AI1619" s="91"/>
      <c r="AJ1619" s="91"/>
      <c r="AK1619" s="91"/>
      <c r="AL1619" s="91"/>
      <c r="AM1619" s="91"/>
    </row>
    <row r="1620" spans="1:39" ht="20.25" hidden="1" customHeight="1">
      <c r="A1620" s="91"/>
      <c r="B1620" s="93" t="s">
        <v>5291</v>
      </c>
      <c r="C1620" s="91" t="s">
        <v>36</v>
      </c>
      <c r="D1620" s="94" t="s">
        <v>866</v>
      </c>
      <c r="E1620" s="94" t="s">
        <v>5316</v>
      </c>
      <c r="F1620" s="95" t="s">
        <v>5317</v>
      </c>
      <c r="G1620" s="96">
        <v>31959</v>
      </c>
      <c r="H1620" s="97">
        <v>14723</v>
      </c>
      <c r="I1620" s="100" t="s">
        <v>5318</v>
      </c>
      <c r="J1620" s="94" t="s">
        <v>5319</v>
      </c>
      <c r="K1620" s="95">
        <v>994192913</v>
      </c>
      <c r="L1620" s="91" t="s">
        <v>60</v>
      </c>
      <c r="M1620" s="98">
        <f ca="1">(TODAY()-H1620)/365</f>
        <v>85.69589041095891</v>
      </c>
      <c r="N1620" s="99">
        <f>(G1620-H1620)/365</f>
        <v>47.221917808219175</v>
      </c>
      <c r="O1620" s="98">
        <f ca="1">(TODAY()-G1620)/365</f>
        <v>38.473972602739728</v>
      </c>
      <c r="P1620" s="91" t="s">
        <v>43</v>
      </c>
      <c r="Q1620" s="91">
        <v>0</v>
      </c>
      <c r="R1620" s="91">
        <v>0</v>
      </c>
      <c r="S1620" s="91">
        <v>0</v>
      </c>
      <c r="T1620" s="91"/>
      <c r="U1620" s="91"/>
      <c r="V1620" s="91"/>
      <c r="W1620" s="91"/>
      <c r="X1620" s="91"/>
      <c r="Y1620" s="91"/>
      <c r="Z1620" s="91"/>
      <c r="AA1620" s="91"/>
      <c r="AB1620" s="91"/>
      <c r="AC1620" s="91"/>
      <c r="AD1620" s="91"/>
      <c r="AE1620" s="91"/>
      <c r="AF1620" s="91"/>
      <c r="AG1620" s="91"/>
      <c r="AH1620" s="91"/>
      <c r="AI1620" s="91"/>
      <c r="AJ1620" s="91"/>
      <c r="AK1620" s="91"/>
      <c r="AL1620" s="91"/>
      <c r="AM1620" s="91"/>
    </row>
    <row r="1621" spans="1:39" ht="20.25" hidden="1" customHeight="1">
      <c r="A1621" s="91"/>
      <c r="B1621" s="93" t="s">
        <v>5291</v>
      </c>
      <c r="C1621" s="91" t="s">
        <v>36</v>
      </c>
      <c r="D1621" s="94" t="s">
        <v>5320</v>
      </c>
      <c r="E1621" s="94" t="s">
        <v>5321</v>
      </c>
      <c r="F1621" s="95" t="s">
        <v>5322</v>
      </c>
      <c r="G1621" s="96">
        <v>35281</v>
      </c>
      <c r="H1621" s="97">
        <v>16788</v>
      </c>
      <c r="I1621" s="100" t="s">
        <v>58</v>
      </c>
      <c r="J1621" s="94" t="s">
        <v>5323</v>
      </c>
      <c r="K1621" s="95">
        <v>996389466</v>
      </c>
      <c r="L1621" s="91" t="s">
        <v>42</v>
      </c>
      <c r="M1621" s="98">
        <f ca="1">(TODAY()-H1621)/365</f>
        <v>80.038356164383558</v>
      </c>
      <c r="N1621" s="99">
        <f>(G1621-H1621)/365</f>
        <v>50.665753424657531</v>
      </c>
      <c r="O1621" s="98">
        <f ca="1">(TODAY()-G1621)/365</f>
        <v>29.372602739726027</v>
      </c>
      <c r="P1621" s="91" t="s">
        <v>43</v>
      </c>
      <c r="Q1621" s="91">
        <v>0</v>
      </c>
      <c r="R1621" s="91">
        <v>0</v>
      </c>
      <c r="S1621" s="91">
        <v>0</v>
      </c>
      <c r="T1621" s="91"/>
      <c r="U1621" s="91"/>
      <c r="V1621" s="91"/>
      <c r="W1621" s="91"/>
      <c r="X1621" s="91"/>
      <c r="Y1621" s="91"/>
      <c r="Z1621" s="91"/>
      <c r="AA1621" s="91"/>
      <c r="AB1621" s="91"/>
      <c r="AC1621" s="91"/>
      <c r="AD1621" s="91"/>
      <c r="AE1621" s="91"/>
      <c r="AF1621" s="91"/>
      <c r="AG1621" s="91"/>
      <c r="AH1621" s="91"/>
      <c r="AI1621" s="91"/>
      <c r="AJ1621" s="91"/>
      <c r="AK1621" s="91"/>
      <c r="AL1621" s="91"/>
      <c r="AM1621" s="91"/>
    </row>
    <row r="1622" spans="1:39" ht="20.25" hidden="1" customHeight="1">
      <c r="A1622" s="91"/>
      <c r="B1622" s="93" t="s">
        <v>5291</v>
      </c>
      <c r="C1622" s="91" t="s">
        <v>36</v>
      </c>
      <c r="D1622" s="94" t="s">
        <v>866</v>
      </c>
      <c r="E1622" s="94" t="s">
        <v>5324</v>
      </c>
      <c r="F1622" s="95" t="s">
        <v>5325</v>
      </c>
      <c r="G1622" s="96">
        <v>34221</v>
      </c>
      <c r="H1622" s="97">
        <v>15566</v>
      </c>
      <c r="I1622" s="100" t="s">
        <v>58</v>
      </c>
      <c r="J1622" s="94" t="s">
        <v>5326</v>
      </c>
      <c r="K1622" s="95">
        <v>934487645</v>
      </c>
      <c r="L1622" s="91" t="s">
        <v>60</v>
      </c>
      <c r="M1622" s="98">
        <f ca="1">(TODAY()-H1622)/365</f>
        <v>83.38630136986302</v>
      </c>
      <c r="N1622" s="99">
        <f>(G1622-H1622)/365</f>
        <v>51.109589041095887</v>
      </c>
      <c r="O1622" s="98">
        <f ca="1">(TODAY()-G1622)/365</f>
        <v>32.276712328767125</v>
      </c>
      <c r="P1622" s="91" t="s">
        <v>43</v>
      </c>
      <c r="Q1622" s="91">
        <v>0</v>
      </c>
      <c r="R1622" s="91">
        <v>0</v>
      </c>
      <c r="S1622" s="91">
        <v>0</v>
      </c>
      <c r="T1622" s="91"/>
      <c r="U1622" s="91"/>
      <c r="V1622" s="91"/>
      <c r="W1622" s="91"/>
      <c r="X1622" s="91"/>
      <c r="Y1622" s="91"/>
      <c r="Z1622" s="91"/>
      <c r="AA1622" s="91"/>
      <c r="AB1622" s="91"/>
      <c r="AC1622" s="91"/>
      <c r="AD1622" s="91"/>
      <c r="AE1622" s="91"/>
      <c r="AF1622" s="91"/>
      <c r="AG1622" s="91"/>
      <c r="AH1622" s="91"/>
      <c r="AI1622" s="91"/>
      <c r="AJ1622" s="91"/>
      <c r="AK1622" s="91"/>
      <c r="AL1622" s="91"/>
      <c r="AM1622" s="91"/>
    </row>
    <row r="1623" spans="1:39" ht="20.25" hidden="1" customHeight="1">
      <c r="A1623" s="91"/>
      <c r="B1623" s="93" t="s">
        <v>5291</v>
      </c>
      <c r="C1623" s="91" t="s">
        <v>36</v>
      </c>
      <c r="D1623" s="94" t="s">
        <v>5327</v>
      </c>
      <c r="E1623" s="94" t="s">
        <v>5328</v>
      </c>
      <c r="F1623" s="95" t="s">
        <v>5329</v>
      </c>
      <c r="G1623" s="96">
        <v>37690</v>
      </c>
      <c r="H1623" s="97">
        <v>18953</v>
      </c>
      <c r="I1623" s="100" t="s">
        <v>58</v>
      </c>
      <c r="J1623" s="94" t="s">
        <v>5330</v>
      </c>
      <c r="K1623" s="95">
        <v>985116674</v>
      </c>
      <c r="L1623" s="91" t="s">
        <v>167</v>
      </c>
      <c r="M1623" s="98">
        <f ca="1">(TODAY()-H1623)/365</f>
        <v>74.106849315068487</v>
      </c>
      <c r="N1623" s="99">
        <f>(G1623-H1623)/365</f>
        <v>51.334246575342469</v>
      </c>
      <c r="O1623" s="98">
        <f ca="1">(TODAY()-G1623)/365</f>
        <v>22.772602739726029</v>
      </c>
      <c r="P1623" s="91" t="s">
        <v>43</v>
      </c>
      <c r="Q1623" s="91">
        <v>0</v>
      </c>
      <c r="R1623" s="91">
        <v>0</v>
      </c>
      <c r="S1623" s="91">
        <v>0</v>
      </c>
      <c r="T1623" s="91"/>
      <c r="U1623" s="91"/>
      <c r="V1623" s="91"/>
      <c r="W1623" s="91"/>
      <c r="X1623" s="91"/>
      <c r="Y1623" s="91"/>
      <c r="Z1623" s="91"/>
      <c r="AA1623" s="91"/>
      <c r="AB1623" s="91"/>
      <c r="AC1623" s="91"/>
      <c r="AD1623" s="91"/>
      <c r="AE1623" s="91"/>
      <c r="AF1623" s="91"/>
      <c r="AG1623" s="91"/>
      <c r="AH1623" s="91"/>
      <c r="AI1623" s="91"/>
      <c r="AJ1623" s="91"/>
      <c r="AK1623" s="91"/>
      <c r="AL1623" s="91"/>
      <c r="AM1623" s="91"/>
    </row>
    <row r="1624" spans="1:39" ht="20.25" hidden="1" customHeight="1">
      <c r="A1624" s="91"/>
      <c r="B1624" s="93" t="s">
        <v>5291</v>
      </c>
      <c r="C1624" s="91" t="s">
        <v>36</v>
      </c>
      <c r="D1624" s="94" t="s">
        <v>3787</v>
      </c>
      <c r="E1624" s="94" t="s">
        <v>5331</v>
      </c>
      <c r="F1624" s="95" t="s">
        <v>5332</v>
      </c>
      <c r="G1624" s="96">
        <v>41645</v>
      </c>
      <c r="H1624" s="97">
        <v>22298</v>
      </c>
      <c r="I1624" s="100" t="s">
        <v>58</v>
      </c>
      <c r="J1624" s="94" t="s">
        <v>5333</v>
      </c>
      <c r="K1624" s="95">
        <v>94496206</v>
      </c>
      <c r="L1624" s="91" t="s">
        <v>60</v>
      </c>
      <c r="M1624" s="98">
        <f ca="1">(TODAY()-H1624)/365</f>
        <v>64.942465753424656</v>
      </c>
      <c r="N1624" s="99">
        <f>(G1624-H1624)/365</f>
        <v>53.005479452054793</v>
      </c>
      <c r="O1624" s="98">
        <f ca="1">(TODAY()-G1624)/365</f>
        <v>11.936986301369863</v>
      </c>
      <c r="P1624" s="91" t="s">
        <v>43</v>
      </c>
      <c r="Q1624" s="91">
        <v>0</v>
      </c>
      <c r="R1624" s="91">
        <v>0</v>
      </c>
      <c r="S1624" s="91">
        <v>0</v>
      </c>
      <c r="T1624" s="91"/>
      <c r="U1624" s="91"/>
      <c r="V1624" s="91"/>
      <c r="W1624" s="91"/>
      <c r="X1624" s="91"/>
      <c r="Y1624" s="91"/>
      <c r="Z1624" s="91"/>
      <c r="AA1624" s="91"/>
      <c r="AB1624" s="91"/>
      <c r="AC1624" s="91"/>
      <c r="AD1624" s="91"/>
      <c r="AE1624" s="91"/>
      <c r="AF1624" s="91"/>
      <c r="AG1624" s="91"/>
      <c r="AH1624" s="91"/>
      <c r="AI1624" s="91"/>
      <c r="AJ1624" s="91"/>
      <c r="AK1624" s="91"/>
      <c r="AL1624" s="91"/>
      <c r="AM1624" s="91"/>
    </row>
    <row r="1625" spans="1:39" ht="20.25" hidden="1" customHeight="1">
      <c r="A1625" s="91"/>
      <c r="B1625" s="93" t="s">
        <v>5291</v>
      </c>
      <c r="C1625" s="91" t="s">
        <v>36</v>
      </c>
      <c r="D1625" s="94" t="s">
        <v>5320</v>
      </c>
      <c r="E1625" s="94" t="s">
        <v>5334</v>
      </c>
      <c r="F1625" s="95" t="s">
        <v>5335</v>
      </c>
      <c r="G1625" s="96">
        <v>35799</v>
      </c>
      <c r="H1625" s="97">
        <v>16299</v>
      </c>
      <c r="I1625" s="100" t="s">
        <v>5336</v>
      </c>
      <c r="J1625" s="94" t="s">
        <v>5337</v>
      </c>
      <c r="K1625" s="95">
        <v>926455766</v>
      </c>
      <c r="L1625" s="91" t="s">
        <v>197</v>
      </c>
      <c r="M1625" s="98">
        <f ca="1">(TODAY()-H1625)/365</f>
        <v>81.37808219178082</v>
      </c>
      <c r="N1625" s="99">
        <f>(G1625-H1625)/365</f>
        <v>53.424657534246577</v>
      </c>
      <c r="O1625" s="98">
        <f ca="1">(TODAY()-G1625)/365</f>
        <v>27.953424657534246</v>
      </c>
      <c r="P1625" s="91" t="s">
        <v>43</v>
      </c>
      <c r="Q1625" s="91">
        <v>0</v>
      </c>
      <c r="R1625" s="91">
        <v>0</v>
      </c>
      <c r="S1625" s="91">
        <v>0</v>
      </c>
      <c r="T1625" s="91"/>
      <c r="U1625" s="91"/>
      <c r="V1625" s="91"/>
      <c r="W1625" s="91"/>
      <c r="X1625" s="91"/>
      <c r="Y1625" s="91"/>
      <c r="Z1625" s="91"/>
      <c r="AA1625" s="91"/>
      <c r="AB1625" s="91"/>
      <c r="AC1625" s="91"/>
      <c r="AD1625" s="91"/>
      <c r="AE1625" s="91"/>
      <c r="AF1625" s="91"/>
      <c r="AG1625" s="91"/>
      <c r="AH1625" s="91"/>
      <c r="AI1625" s="91"/>
      <c r="AJ1625" s="91"/>
      <c r="AK1625" s="91"/>
      <c r="AL1625" s="91"/>
      <c r="AM1625" s="91"/>
    </row>
    <row r="1626" spans="1:39" ht="20.25" hidden="1" customHeight="1">
      <c r="A1626" s="91"/>
      <c r="B1626" s="93" t="s">
        <v>5291</v>
      </c>
      <c r="C1626" s="91" t="s">
        <v>36</v>
      </c>
      <c r="D1626" s="94" t="s">
        <v>5338</v>
      </c>
      <c r="E1626" s="94" t="s">
        <v>5339</v>
      </c>
      <c r="F1626" s="95" t="s">
        <v>5340</v>
      </c>
      <c r="G1626" s="96">
        <v>42821</v>
      </c>
      <c r="H1626" s="97">
        <v>22596</v>
      </c>
      <c r="I1626" s="100" t="s">
        <v>5341</v>
      </c>
      <c r="J1626" s="94" t="s">
        <v>5342</v>
      </c>
      <c r="K1626" s="95">
        <v>999640353</v>
      </c>
      <c r="L1626" s="91" t="s">
        <v>72</v>
      </c>
      <c r="M1626" s="98">
        <f ca="1">(TODAY()-H1626)/365</f>
        <v>64.126027397260273</v>
      </c>
      <c r="N1626" s="99">
        <f>(G1626-H1626)/365</f>
        <v>55.410958904109592</v>
      </c>
      <c r="O1626" s="98">
        <f ca="1">(TODAY()-G1626)/365</f>
        <v>8.7150684931506852</v>
      </c>
      <c r="P1626" s="91" t="s">
        <v>43</v>
      </c>
      <c r="Q1626" s="91">
        <v>0</v>
      </c>
      <c r="R1626" s="91">
        <v>0</v>
      </c>
      <c r="S1626" s="91">
        <v>0</v>
      </c>
      <c r="T1626" s="91"/>
      <c r="U1626" s="91"/>
      <c r="V1626" s="91"/>
      <c r="W1626" s="91"/>
      <c r="X1626" s="91"/>
      <c r="Y1626" s="91"/>
      <c r="Z1626" s="91"/>
      <c r="AA1626" s="91"/>
      <c r="AB1626" s="91"/>
      <c r="AC1626" s="91"/>
      <c r="AD1626" s="91"/>
      <c r="AE1626" s="91"/>
      <c r="AF1626" s="91"/>
      <c r="AG1626" s="91"/>
      <c r="AH1626" s="91"/>
      <c r="AI1626" s="91"/>
      <c r="AJ1626" s="91"/>
      <c r="AK1626" s="91"/>
      <c r="AL1626" s="91"/>
      <c r="AM1626" s="91"/>
    </row>
    <row r="1627" spans="1:39" ht="20.25" hidden="1" customHeight="1">
      <c r="A1627" s="91"/>
      <c r="B1627" s="93" t="s">
        <v>5291</v>
      </c>
      <c r="C1627" s="91" t="s">
        <v>36</v>
      </c>
      <c r="D1627" s="94" t="s">
        <v>5343</v>
      </c>
      <c r="E1627" s="94" t="s">
        <v>5344</v>
      </c>
      <c r="F1627" s="95" t="s">
        <v>5345</v>
      </c>
      <c r="G1627" s="96">
        <v>44410</v>
      </c>
      <c r="H1627" s="97">
        <v>23272</v>
      </c>
      <c r="I1627" s="100" t="s">
        <v>5346</v>
      </c>
      <c r="J1627" s="94" t="s">
        <v>5347</v>
      </c>
      <c r="K1627" s="95">
        <v>975744598</v>
      </c>
      <c r="L1627" s="91" t="s">
        <v>60</v>
      </c>
      <c r="M1627" s="98">
        <f ca="1">(TODAY()-H1627)/365</f>
        <v>62.273972602739725</v>
      </c>
      <c r="N1627" s="99">
        <f>(G1627-H1627)/365</f>
        <v>57.912328767123284</v>
      </c>
      <c r="O1627" s="98">
        <f ca="1">(TODAY()-G1627)/365</f>
        <v>4.3616438356164382</v>
      </c>
      <c r="P1627" s="91" t="s">
        <v>43</v>
      </c>
      <c r="Q1627" s="91">
        <v>0</v>
      </c>
      <c r="R1627" s="91">
        <v>0</v>
      </c>
      <c r="S1627" s="91">
        <v>0</v>
      </c>
      <c r="T1627" s="91"/>
      <c r="U1627" s="91"/>
      <c r="V1627" s="91"/>
      <c r="W1627" s="91"/>
      <c r="X1627" s="91"/>
      <c r="Y1627" s="91"/>
      <c r="Z1627" s="91"/>
      <c r="AA1627" s="91"/>
      <c r="AB1627" s="91"/>
      <c r="AC1627" s="91"/>
      <c r="AD1627" s="91"/>
      <c r="AE1627" s="91"/>
      <c r="AF1627" s="91"/>
      <c r="AG1627" s="91"/>
      <c r="AH1627" s="91"/>
      <c r="AI1627" s="91"/>
      <c r="AJ1627" s="91"/>
      <c r="AK1627" s="91"/>
      <c r="AL1627" s="91"/>
      <c r="AM1627" s="91"/>
    </row>
    <row r="1628" spans="1:39" ht="20.25" hidden="1" customHeight="1">
      <c r="A1628" s="91"/>
      <c r="B1628" s="93" t="s">
        <v>5291</v>
      </c>
      <c r="C1628" s="91" t="s">
        <v>36</v>
      </c>
      <c r="D1628" s="94" t="s">
        <v>4690</v>
      </c>
      <c r="E1628" s="94" t="s">
        <v>5348</v>
      </c>
      <c r="F1628" s="95" t="s">
        <v>5349</v>
      </c>
      <c r="G1628" s="96">
        <v>36962</v>
      </c>
      <c r="H1628" s="97">
        <v>13389</v>
      </c>
      <c r="I1628" s="100" t="s">
        <v>58</v>
      </c>
      <c r="J1628" s="94" t="s">
        <v>5350</v>
      </c>
      <c r="K1628" s="95">
        <v>94997489</v>
      </c>
      <c r="L1628" s="91" t="s">
        <v>60</v>
      </c>
      <c r="M1628" s="98">
        <f ca="1">(TODAY()-H1628)/365</f>
        <v>89.350684931506848</v>
      </c>
      <c r="N1628" s="99">
        <f>(G1628-H1628)/365</f>
        <v>64.583561643835623</v>
      </c>
      <c r="O1628" s="98">
        <f ca="1">(TODAY()-G1628)/365</f>
        <v>24.767123287671232</v>
      </c>
      <c r="P1628" s="91" t="s">
        <v>43</v>
      </c>
      <c r="Q1628" s="91">
        <v>0</v>
      </c>
      <c r="R1628" s="91">
        <v>0</v>
      </c>
      <c r="S1628" s="91">
        <v>0</v>
      </c>
      <c r="T1628" s="91"/>
      <c r="U1628" s="91"/>
      <c r="V1628" s="91"/>
      <c r="W1628" s="91"/>
      <c r="X1628" s="91"/>
      <c r="Y1628" s="91"/>
      <c r="Z1628" s="91"/>
      <c r="AA1628" s="91"/>
      <c r="AB1628" s="91"/>
      <c r="AC1628" s="91"/>
      <c r="AD1628" s="91"/>
      <c r="AE1628" s="91"/>
      <c r="AF1628" s="91"/>
      <c r="AG1628" s="91"/>
      <c r="AH1628" s="91"/>
      <c r="AI1628" s="91"/>
      <c r="AJ1628" s="91"/>
      <c r="AK1628" s="91"/>
      <c r="AL1628" s="91"/>
      <c r="AM1628" s="91"/>
    </row>
    <row r="1629" spans="1:39" ht="20.25" hidden="1" customHeight="1">
      <c r="A1629" s="91"/>
      <c r="B1629" s="93" t="s">
        <v>5291</v>
      </c>
      <c r="C1629" s="91" t="s">
        <v>36</v>
      </c>
      <c r="D1629" s="94" t="s">
        <v>5351</v>
      </c>
      <c r="E1629" s="94" t="s">
        <v>5352</v>
      </c>
      <c r="F1629" s="95" t="s">
        <v>5353</v>
      </c>
      <c r="G1629" s="96">
        <v>44410</v>
      </c>
      <c r="H1629" s="97">
        <v>20782</v>
      </c>
      <c r="I1629" s="100" t="s">
        <v>5354</v>
      </c>
      <c r="J1629" s="94" t="s">
        <v>5355</v>
      </c>
      <c r="K1629" s="95">
        <v>982977790</v>
      </c>
      <c r="L1629" s="91" t="s">
        <v>49</v>
      </c>
      <c r="M1629" s="98">
        <f ca="1">(TODAY()-H1629)/365</f>
        <v>69.095890410958901</v>
      </c>
      <c r="N1629" s="99">
        <f>(G1629-H1629)/365</f>
        <v>64.734246575342468</v>
      </c>
      <c r="O1629" s="98">
        <f ca="1">(TODAY()-G1629)/365</f>
        <v>4.3616438356164382</v>
      </c>
      <c r="P1629" s="91" t="s">
        <v>43</v>
      </c>
      <c r="Q1629" s="91">
        <v>0</v>
      </c>
      <c r="R1629" s="91">
        <v>0</v>
      </c>
      <c r="S1629" s="91">
        <v>0</v>
      </c>
      <c r="T1629" s="91"/>
      <c r="U1629" s="91"/>
      <c r="V1629" s="91"/>
      <c r="W1629" s="91"/>
      <c r="X1629" s="91"/>
      <c r="Y1629" s="91"/>
      <c r="Z1629" s="91"/>
      <c r="AA1629" s="91"/>
      <c r="AB1629" s="91"/>
      <c r="AC1629" s="91"/>
      <c r="AD1629" s="91"/>
      <c r="AE1629" s="91"/>
      <c r="AF1629" s="91"/>
      <c r="AG1629" s="91"/>
      <c r="AH1629" s="91"/>
      <c r="AI1629" s="91"/>
      <c r="AJ1629" s="91"/>
      <c r="AK1629" s="91"/>
      <c r="AL1629" s="91"/>
      <c r="AM1629" s="91"/>
    </row>
    <row r="1630" spans="1:39" ht="20.25" hidden="1" customHeight="1">
      <c r="A1630" s="91"/>
      <c r="B1630" s="93" t="s">
        <v>5291</v>
      </c>
      <c r="C1630" s="91" t="s">
        <v>36</v>
      </c>
      <c r="D1630" s="94" t="s">
        <v>5356</v>
      </c>
      <c r="E1630" s="94" t="s">
        <v>5357</v>
      </c>
      <c r="F1630" s="95" t="s">
        <v>5358</v>
      </c>
      <c r="G1630" s="96">
        <v>42744</v>
      </c>
      <c r="H1630" s="97">
        <v>18215</v>
      </c>
      <c r="I1630" s="100" t="s">
        <v>58</v>
      </c>
      <c r="J1630" s="94" t="s">
        <v>5359</v>
      </c>
      <c r="K1630" s="95">
        <v>984065092</v>
      </c>
      <c r="L1630" s="91" t="s">
        <v>60</v>
      </c>
      <c r="M1630" s="98">
        <f ca="1">(TODAY()-H1630)/365</f>
        <v>76.128767123287673</v>
      </c>
      <c r="N1630" s="99">
        <f>(G1630-H1630)/365</f>
        <v>67.202739726027403</v>
      </c>
      <c r="O1630" s="98">
        <f ca="1">(TODAY()-G1630)/365</f>
        <v>8.9260273972602739</v>
      </c>
      <c r="P1630" s="91" t="s">
        <v>43</v>
      </c>
      <c r="Q1630" s="91">
        <v>0</v>
      </c>
      <c r="R1630" s="91">
        <v>0</v>
      </c>
      <c r="S1630" s="91">
        <v>0</v>
      </c>
      <c r="T1630" s="91"/>
      <c r="U1630" s="91"/>
      <c r="V1630" s="91"/>
      <c r="W1630" s="91"/>
      <c r="X1630" s="91"/>
      <c r="Y1630" s="91"/>
      <c r="Z1630" s="91"/>
      <c r="AA1630" s="91"/>
      <c r="AB1630" s="91"/>
      <c r="AC1630" s="91"/>
      <c r="AD1630" s="91"/>
      <c r="AE1630" s="91"/>
      <c r="AF1630" s="91"/>
      <c r="AG1630" s="91"/>
      <c r="AH1630" s="91"/>
      <c r="AI1630" s="91"/>
      <c r="AJ1630" s="91"/>
      <c r="AK1630" s="91"/>
      <c r="AL1630" s="91"/>
      <c r="AM1630" s="91"/>
    </row>
    <row r="1631" spans="1:39" ht="20.25" hidden="1" customHeight="1">
      <c r="A1631" s="91"/>
      <c r="B1631" s="93" t="s">
        <v>5291</v>
      </c>
      <c r="C1631" s="91" t="s">
        <v>36</v>
      </c>
      <c r="D1631" s="94" t="s">
        <v>5360</v>
      </c>
      <c r="E1631" s="94" t="s">
        <v>5361</v>
      </c>
      <c r="F1631" s="95" t="s">
        <v>5362</v>
      </c>
      <c r="G1631" s="96">
        <v>45224</v>
      </c>
      <c r="H1631" s="97">
        <v>20495</v>
      </c>
      <c r="I1631" s="100" t="s">
        <v>5363</v>
      </c>
      <c r="J1631" s="94" t="s">
        <v>5364</v>
      </c>
      <c r="K1631" s="95">
        <v>978096050</v>
      </c>
      <c r="L1631" s="91" t="s">
        <v>60</v>
      </c>
      <c r="M1631" s="98">
        <f ca="1">(TODAY()-H1631)/365</f>
        <v>69.882191780821913</v>
      </c>
      <c r="N1631" s="99">
        <f>(G1631-H1631)/365</f>
        <v>67.750684931506854</v>
      </c>
      <c r="O1631" s="98">
        <f ca="1">(TODAY()-G1631)/365</f>
        <v>2.1315068493150684</v>
      </c>
      <c r="P1631" s="91" t="s">
        <v>43</v>
      </c>
      <c r="Q1631" s="91">
        <v>0</v>
      </c>
      <c r="R1631" s="91">
        <v>0</v>
      </c>
      <c r="S1631" s="91">
        <v>0</v>
      </c>
      <c r="T1631" s="91"/>
      <c r="U1631" s="91"/>
      <c r="V1631" s="91"/>
      <c r="W1631" s="91"/>
      <c r="X1631" s="91"/>
      <c r="Y1631" s="91"/>
      <c r="Z1631" s="91"/>
      <c r="AA1631" s="91"/>
      <c r="AB1631" s="91"/>
      <c r="AC1631" s="91"/>
      <c r="AD1631" s="91"/>
      <c r="AE1631" s="91"/>
      <c r="AF1631" s="91"/>
      <c r="AG1631" s="91"/>
      <c r="AH1631" s="91"/>
      <c r="AI1631" s="91"/>
      <c r="AJ1631" s="91"/>
      <c r="AK1631" s="91"/>
      <c r="AL1631" s="91"/>
      <c r="AM1631" s="91"/>
    </row>
    <row r="1632" spans="1:39" ht="20.25" hidden="1" customHeight="1">
      <c r="A1632" s="91"/>
      <c r="B1632" s="93" t="s">
        <v>10823</v>
      </c>
      <c r="C1632" s="91" t="s">
        <v>36</v>
      </c>
      <c r="D1632" s="106" t="s">
        <v>1286</v>
      </c>
      <c r="E1632" s="106" t="s">
        <v>10824</v>
      </c>
      <c r="F1632" s="92" t="s">
        <v>10825</v>
      </c>
      <c r="G1632" s="103">
        <v>37172</v>
      </c>
      <c r="H1632" s="103">
        <v>22060</v>
      </c>
      <c r="I1632" s="94" t="s">
        <v>58</v>
      </c>
      <c r="J1632" s="94" t="s">
        <v>10823</v>
      </c>
      <c r="K1632" s="92">
        <v>983840834</v>
      </c>
      <c r="L1632" s="91"/>
      <c r="M1632" s="98">
        <f ca="1">(TODAY()-H1632)/365</f>
        <v>65.594520547945208</v>
      </c>
      <c r="N1632" s="99">
        <f>(G1632-H1632)/365</f>
        <v>41.402739726027399</v>
      </c>
      <c r="O1632" s="98">
        <f ca="1">(TODAY()-G1632)/365</f>
        <v>24.19178082191781</v>
      </c>
      <c r="P1632" s="91" t="s">
        <v>43</v>
      </c>
      <c r="Q1632" s="91"/>
      <c r="R1632" s="91"/>
      <c r="S1632" s="91"/>
      <c r="T1632" s="91"/>
      <c r="U1632" s="91"/>
      <c r="V1632" s="91"/>
      <c r="W1632" s="91"/>
      <c r="X1632" s="91"/>
      <c r="Y1632" s="91"/>
      <c r="Z1632" s="91"/>
      <c r="AA1632" s="91"/>
      <c r="AB1632" s="91"/>
      <c r="AC1632" s="91"/>
      <c r="AD1632" s="91"/>
      <c r="AE1632" s="91"/>
      <c r="AF1632" s="91"/>
      <c r="AG1632" s="91"/>
      <c r="AH1632" s="91"/>
      <c r="AI1632" s="91"/>
      <c r="AJ1632" s="91"/>
      <c r="AK1632" s="91"/>
      <c r="AL1632" s="91"/>
      <c r="AM1632" s="91"/>
    </row>
    <row r="1633" spans="1:39" ht="20.25" hidden="1" customHeight="1">
      <c r="A1633" s="91"/>
      <c r="B1633" s="93" t="s">
        <v>10823</v>
      </c>
      <c r="C1633" s="91" t="s">
        <v>36</v>
      </c>
      <c r="D1633" s="106" t="s">
        <v>10826</v>
      </c>
      <c r="E1633" s="106" t="s">
        <v>10827</v>
      </c>
      <c r="F1633" s="92" t="s">
        <v>10828</v>
      </c>
      <c r="G1633" s="103">
        <v>42699</v>
      </c>
      <c r="H1633" s="103">
        <v>18227</v>
      </c>
      <c r="I1633" s="94" t="s">
        <v>58</v>
      </c>
      <c r="J1633" s="94" t="s">
        <v>10823</v>
      </c>
      <c r="K1633" s="92">
        <v>997645751</v>
      </c>
      <c r="L1633" s="91"/>
      <c r="M1633" s="98">
        <f ca="1">(TODAY()-H1633)/365</f>
        <v>76.095890410958901</v>
      </c>
      <c r="N1633" s="99">
        <f>(G1633-H1633)/365</f>
        <v>67.046575342465758</v>
      </c>
      <c r="O1633" s="98">
        <f ca="1">(TODAY()-G1633)/365</f>
        <v>9.0493150684931507</v>
      </c>
      <c r="P1633" s="91" t="s">
        <v>43</v>
      </c>
      <c r="Q1633" s="91"/>
      <c r="R1633" s="91"/>
      <c r="S1633" s="91"/>
      <c r="T1633" s="91"/>
      <c r="U1633" s="91"/>
      <c r="V1633" s="91"/>
      <c r="W1633" s="91"/>
      <c r="X1633" s="91"/>
      <c r="Y1633" s="91"/>
      <c r="Z1633" s="91"/>
      <c r="AA1633" s="91"/>
      <c r="AB1633" s="91"/>
      <c r="AC1633" s="91"/>
      <c r="AD1633" s="91"/>
      <c r="AE1633" s="91"/>
      <c r="AF1633" s="91"/>
      <c r="AG1633" s="91"/>
      <c r="AH1633" s="91"/>
      <c r="AI1633" s="91"/>
      <c r="AJ1633" s="91"/>
      <c r="AK1633" s="91"/>
      <c r="AL1633" s="91"/>
      <c r="AM1633" s="91"/>
    </row>
    <row r="1634" spans="1:39" ht="20.25" hidden="1" customHeight="1">
      <c r="A1634" s="91"/>
      <c r="B1634" s="93" t="s">
        <v>10823</v>
      </c>
      <c r="C1634" s="91" t="s">
        <v>36</v>
      </c>
      <c r="D1634" s="106" t="s">
        <v>4611</v>
      </c>
      <c r="E1634" s="106" t="s">
        <v>10829</v>
      </c>
      <c r="F1634" s="92" t="s">
        <v>10830</v>
      </c>
      <c r="G1634" s="103">
        <v>29155</v>
      </c>
      <c r="H1634" s="103">
        <v>18184</v>
      </c>
      <c r="I1634" s="94" t="s">
        <v>58</v>
      </c>
      <c r="J1634" s="94" t="s">
        <v>10823</v>
      </c>
      <c r="K1634" s="92">
        <v>963332084</v>
      </c>
      <c r="L1634" s="91"/>
      <c r="M1634" s="98">
        <f ca="1">(TODAY()-H1634)/365</f>
        <v>76.213698630136989</v>
      </c>
      <c r="N1634" s="99">
        <f>(G1634-H1634)/365</f>
        <v>30.057534246575344</v>
      </c>
      <c r="O1634" s="98">
        <f ca="1">(TODAY()-G1634)/365</f>
        <v>46.156164383561645</v>
      </c>
      <c r="P1634" s="91" t="s">
        <v>43</v>
      </c>
      <c r="Q1634" s="91"/>
      <c r="R1634" s="91"/>
      <c r="S1634" s="91"/>
      <c r="T1634" s="91"/>
      <c r="U1634" s="91"/>
      <c r="V1634" s="91"/>
      <c r="W1634" s="91"/>
      <c r="X1634" s="91"/>
      <c r="Y1634" s="91"/>
      <c r="Z1634" s="91"/>
      <c r="AA1634" s="91"/>
      <c r="AB1634" s="91"/>
      <c r="AC1634" s="91"/>
      <c r="AD1634" s="91"/>
      <c r="AE1634" s="91"/>
      <c r="AF1634" s="91"/>
      <c r="AG1634" s="91"/>
      <c r="AH1634" s="91"/>
      <c r="AI1634" s="91"/>
      <c r="AJ1634" s="91"/>
      <c r="AK1634" s="91"/>
      <c r="AL1634" s="91"/>
      <c r="AM1634" s="91"/>
    </row>
    <row r="1635" spans="1:39" ht="20.25" hidden="1" customHeight="1">
      <c r="A1635" s="91"/>
      <c r="B1635" s="93" t="s">
        <v>10823</v>
      </c>
      <c r="C1635" s="91" t="s">
        <v>36</v>
      </c>
      <c r="D1635" s="106" t="s">
        <v>273</v>
      </c>
      <c r="E1635" s="106" t="s">
        <v>10831</v>
      </c>
      <c r="F1635" s="92" t="s">
        <v>10832</v>
      </c>
      <c r="G1635" s="103">
        <v>37008</v>
      </c>
      <c r="H1635" s="103">
        <v>20254</v>
      </c>
      <c r="I1635" s="94" t="s">
        <v>58</v>
      </c>
      <c r="J1635" s="94" t="s">
        <v>10823</v>
      </c>
      <c r="K1635" s="92">
        <v>989237056</v>
      </c>
      <c r="L1635" s="91"/>
      <c r="M1635" s="98">
        <f ca="1">(TODAY()-H1635)/365</f>
        <v>70.542465753424651</v>
      </c>
      <c r="N1635" s="99">
        <f>(G1635-H1635)/365</f>
        <v>45.901369863013699</v>
      </c>
      <c r="O1635" s="98">
        <f ca="1">(TODAY()-G1635)/365</f>
        <v>24.641095890410959</v>
      </c>
      <c r="P1635" s="91" t="s">
        <v>43</v>
      </c>
      <c r="Q1635" s="91"/>
      <c r="R1635" s="91"/>
      <c r="S1635" s="91"/>
      <c r="T1635" s="91"/>
      <c r="U1635" s="91"/>
      <c r="V1635" s="91"/>
      <c r="W1635" s="91"/>
      <c r="X1635" s="91"/>
      <c r="Y1635" s="91"/>
      <c r="Z1635" s="91"/>
      <c r="AA1635" s="91"/>
      <c r="AB1635" s="91"/>
      <c r="AC1635" s="91"/>
      <c r="AD1635" s="91"/>
      <c r="AE1635" s="91"/>
      <c r="AF1635" s="91"/>
      <c r="AG1635" s="91"/>
      <c r="AH1635" s="91"/>
      <c r="AI1635" s="91"/>
      <c r="AJ1635" s="91"/>
      <c r="AK1635" s="91"/>
      <c r="AL1635" s="91"/>
      <c r="AM1635" s="91"/>
    </row>
    <row r="1636" spans="1:39" ht="20.25" hidden="1" customHeight="1">
      <c r="A1636" s="91"/>
      <c r="B1636" s="93" t="s">
        <v>10823</v>
      </c>
      <c r="C1636" s="91" t="s">
        <v>36</v>
      </c>
      <c r="D1636" s="106" t="s">
        <v>9434</v>
      </c>
      <c r="E1636" s="106" t="s">
        <v>10833</v>
      </c>
      <c r="F1636" s="92" t="s">
        <v>10834</v>
      </c>
      <c r="G1636" s="103">
        <v>43018</v>
      </c>
      <c r="H1636" s="103">
        <v>27169</v>
      </c>
      <c r="I1636" s="94" t="s">
        <v>58</v>
      </c>
      <c r="J1636" s="94" t="s">
        <v>10823</v>
      </c>
      <c r="K1636" s="92">
        <v>966886457</v>
      </c>
      <c r="L1636" s="91"/>
      <c r="M1636" s="98">
        <f ca="1">(TODAY()-H1636)/365</f>
        <v>51.597260273972601</v>
      </c>
      <c r="N1636" s="99">
        <f>(G1636-H1636)/365</f>
        <v>43.421917808219177</v>
      </c>
      <c r="O1636" s="98">
        <f ca="1">(TODAY()-G1636)/365</f>
        <v>8.1753424657534239</v>
      </c>
      <c r="P1636" s="91" t="s">
        <v>272</v>
      </c>
      <c r="Q1636" s="91"/>
      <c r="R1636" s="91"/>
      <c r="S1636" s="91"/>
      <c r="T1636" s="91"/>
      <c r="U1636" s="91"/>
      <c r="V1636" s="91"/>
      <c r="W1636" s="91"/>
      <c r="X1636" s="91"/>
      <c r="Y1636" s="91"/>
      <c r="Z1636" s="91"/>
      <c r="AA1636" s="91"/>
      <c r="AB1636" s="91"/>
      <c r="AC1636" s="91"/>
      <c r="AD1636" s="91"/>
      <c r="AE1636" s="91"/>
      <c r="AF1636" s="91"/>
      <c r="AG1636" s="91"/>
      <c r="AH1636" s="91"/>
      <c r="AI1636" s="91"/>
      <c r="AJ1636" s="91"/>
      <c r="AK1636" s="91"/>
      <c r="AL1636" s="91"/>
      <c r="AM1636" s="91"/>
    </row>
    <row r="1637" spans="1:39" ht="20.25" hidden="1" customHeight="1">
      <c r="A1637" s="91"/>
      <c r="B1637" s="93" t="s">
        <v>10823</v>
      </c>
      <c r="C1637" s="91" t="s">
        <v>36</v>
      </c>
      <c r="D1637" s="106" t="s">
        <v>688</v>
      </c>
      <c r="E1637" s="106" t="s">
        <v>10835</v>
      </c>
      <c r="F1637" s="92" t="s">
        <v>10836</v>
      </c>
      <c r="G1637" s="103">
        <v>37112</v>
      </c>
      <c r="H1637" s="103">
        <v>25992</v>
      </c>
      <c r="I1637" s="94" t="s">
        <v>58</v>
      </c>
      <c r="J1637" s="94" t="s">
        <v>10823</v>
      </c>
      <c r="K1637" s="92">
        <v>6999034347</v>
      </c>
      <c r="L1637" s="91"/>
      <c r="M1637" s="98">
        <f ca="1">(TODAY()-H1637)/365</f>
        <v>54.821917808219176</v>
      </c>
      <c r="N1637" s="99">
        <f>(G1637-H1637)/365</f>
        <v>30.465753424657535</v>
      </c>
      <c r="O1637" s="98">
        <f ca="1">(TODAY()-G1637)/365</f>
        <v>24.356164383561644</v>
      </c>
      <c r="P1637" s="91" t="s">
        <v>272</v>
      </c>
      <c r="Q1637" s="91"/>
      <c r="R1637" s="91"/>
      <c r="S1637" s="91"/>
      <c r="T1637" s="91"/>
      <c r="U1637" s="91"/>
      <c r="V1637" s="91"/>
      <c r="W1637" s="91"/>
      <c r="X1637" s="91"/>
      <c r="Y1637" s="91"/>
      <c r="Z1637" s="91"/>
      <c r="AA1637" s="91"/>
      <c r="AB1637" s="91"/>
      <c r="AC1637" s="91"/>
      <c r="AD1637" s="91"/>
      <c r="AE1637" s="91"/>
      <c r="AF1637" s="91"/>
      <c r="AG1637" s="91"/>
      <c r="AH1637" s="91"/>
      <c r="AI1637" s="91"/>
      <c r="AJ1637" s="91"/>
      <c r="AK1637" s="91"/>
      <c r="AL1637" s="91"/>
      <c r="AM1637" s="91"/>
    </row>
    <row r="1638" spans="1:39" ht="20.25" hidden="1" customHeight="1">
      <c r="A1638" s="91"/>
      <c r="B1638" s="93" t="s">
        <v>10823</v>
      </c>
      <c r="C1638" s="91" t="s">
        <v>36</v>
      </c>
      <c r="D1638" s="106" t="s">
        <v>2652</v>
      </c>
      <c r="E1638" s="106" t="s">
        <v>10837</v>
      </c>
      <c r="F1638" s="92" t="s">
        <v>10838</v>
      </c>
      <c r="G1638" s="103">
        <v>42605</v>
      </c>
      <c r="H1638" s="103">
        <v>24502</v>
      </c>
      <c r="I1638" s="94" t="s">
        <v>58</v>
      </c>
      <c r="J1638" s="94" t="s">
        <v>10823</v>
      </c>
      <c r="K1638" s="92">
        <v>985204766</v>
      </c>
      <c r="L1638" s="91"/>
      <c r="M1638" s="98">
        <f ca="1">(TODAY()-H1638)/365</f>
        <v>58.904109589041099</v>
      </c>
      <c r="N1638" s="99">
        <f>(G1638-H1638)/365</f>
        <v>49.597260273972601</v>
      </c>
      <c r="O1638" s="98">
        <f ca="1">(TODAY()-G1638)/365</f>
        <v>9.3068493150684937</v>
      </c>
      <c r="P1638" s="91" t="s">
        <v>43</v>
      </c>
      <c r="Q1638" s="91"/>
      <c r="R1638" s="91"/>
      <c r="S1638" s="91"/>
      <c r="T1638" s="91"/>
      <c r="U1638" s="91"/>
      <c r="V1638" s="91"/>
      <c r="W1638" s="91"/>
      <c r="X1638" s="91"/>
      <c r="Y1638" s="91"/>
      <c r="Z1638" s="91"/>
      <c r="AA1638" s="91"/>
      <c r="AB1638" s="91"/>
      <c r="AC1638" s="91"/>
      <c r="AD1638" s="91"/>
      <c r="AE1638" s="91"/>
      <c r="AF1638" s="91"/>
      <c r="AG1638" s="91"/>
      <c r="AH1638" s="91"/>
      <c r="AI1638" s="91"/>
      <c r="AJ1638" s="91"/>
      <c r="AK1638" s="91"/>
      <c r="AL1638" s="91"/>
      <c r="AM1638" s="91"/>
    </row>
    <row r="1639" spans="1:39" ht="20.25" hidden="1" customHeight="1">
      <c r="A1639" s="91"/>
      <c r="B1639" s="93" t="s">
        <v>10823</v>
      </c>
      <c r="C1639" s="91" t="s">
        <v>36</v>
      </c>
      <c r="D1639" s="106" t="s">
        <v>840</v>
      </c>
      <c r="E1639" s="106" t="s">
        <v>10839</v>
      </c>
      <c r="F1639" s="92" t="s">
        <v>10840</v>
      </c>
      <c r="G1639" s="103">
        <v>43439</v>
      </c>
      <c r="H1639" s="103">
        <v>28863</v>
      </c>
      <c r="I1639" s="94" t="s">
        <v>58</v>
      </c>
      <c r="J1639" s="94" t="s">
        <v>10823</v>
      </c>
      <c r="K1639" s="92">
        <v>986390519</v>
      </c>
      <c r="L1639" s="91"/>
      <c r="M1639" s="98">
        <f ca="1">(TODAY()-H1639)/365</f>
        <v>46.956164383561642</v>
      </c>
      <c r="N1639" s="99">
        <f>(G1639-H1639)/365</f>
        <v>39.934246575342463</v>
      </c>
      <c r="O1639" s="98">
        <f ca="1">(TODAY()-G1639)/365</f>
        <v>7.021917808219178</v>
      </c>
      <c r="P1639" s="91" t="s">
        <v>43</v>
      </c>
      <c r="Q1639" s="91"/>
      <c r="R1639" s="91"/>
      <c r="S1639" s="91"/>
      <c r="T1639" s="91"/>
      <c r="U1639" s="91"/>
      <c r="V1639" s="91"/>
      <c r="W1639" s="91"/>
      <c r="X1639" s="91"/>
      <c r="Y1639" s="91"/>
      <c r="Z1639" s="91"/>
      <c r="AA1639" s="91"/>
      <c r="AB1639" s="91"/>
      <c r="AC1639" s="91"/>
      <c r="AD1639" s="91"/>
      <c r="AE1639" s="91"/>
      <c r="AF1639" s="91"/>
      <c r="AG1639" s="91"/>
      <c r="AH1639" s="91"/>
      <c r="AI1639" s="91"/>
      <c r="AJ1639" s="91"/>
      <c r="AK1639" s="91"/>
      <c r="AL1639" s="91"/>
      <c r="AM1639" s="91"/>
    </row>
    <row r="1640" spans="1:39" ht="20.25" hidden="1" customHeight="1">
      <c r="A1640" s="91"/>
      <c r="B1640" s="93" t="s">
        <v>10823</v>
      </c>
      <c r="C1640" s="91" t="s">
        <v>36</v>
      </c>
      <c r="D1640" s="106" t="s">
        <v>866</v>
      </c>
      <c r="E1640" s="106" t="s">
        <v>10841</v>
      </c>
      <c r="F1640" s="92" t="s">
        <v>10842</v>
      </c>
      <c r="G1640" s="103">
        <v>44703</v>
      </c>
      <c r="H1640" s="103">
        <v>27277</v>
      </c>
      <c r="I1640" s="94" t="s">
        <v>58</v>
      </c>
      <c r="J1640" s="94" t="s">
        <v>10823</v>
      </c>
      <c r="K1640" s="92">
        <v>974237173</v>
      </c>
      <c r="L1640" s="91"/>
      <c r="M1640" s="98">
        <f ca="1">(TODAY()-H1640)/365</f>
        <v>51.301369863013697</v>
      </c>
      <c r="N1640" s="99">
        <f>(G1640-H1640)/365</f>
        <v>47.742465753424661</v>
      </c>
      <c r="O1640" s="98">
        <f ca="1">(TODAY()-G1640)/365</f>
        <v>3.558904109589041</v>
      </c>
      <c r="P1640" s="91" t="s">
        <v>43</v>
      </c>
      <c r="Q1640" s="91"/>
      <c r="R1640" s="91"/>
      <c r="S1640" s="91"/>
      <c r="T1640" s="91"/>
      <c r="U1640" s="91"/>
      <c r="V1640" s="91"/>
      <c r="W1640" s="91"/>
      <c r="X1640" s="91"/>
      <c r="Y1640" s="91"/>
      <c r="Z1640" s="91"/>
      <c r="AA1640" s="91"/>
      <c r="AB1640" s="91"/>
      <c r="AC1640" s="91"/>
      <c r="AD1640" s="91"/>
      <c r="AE1640" s="91"/>
      <c r="AF1640" s="91"/>
      <c r="AG1640" s="91"/>
      <c r="AH1640" s="91"/>
      <c r="AI1640" s="91"/>
      <c r="AJ1640" s="91"/>
      <c r="AK1640" s="91"/>
      <c r="AL1640" s="91"/>
      <c r="AM1640" s="91"/>
    </row>
    <row r="1641" spans="1:39" ht="20.25" hidden="1" customHeight="1">
      <c r="A1641" s="91"/>
      <c r="B1641" s="93" t="s">
        <v>10823</v>
      </c>
      <c r="C1641" s="91" t="s">
        <v>36</v>
      </c>
      <c r="D1641" s="106" t="s">
        <v>346</v>
      </c>
      <c r="E1641" s="106" t="s">
        <v>10843</v>
      </c>
      <c r="F1641" s="92" t="s">
        <v>10844</v>
      </c>
      <c r="G1641" s="103">
        <v>31632</v>
      </c>
      <c r="H1641" s="103">
        <v>17195</v>
      </c>
      <c r="I1641" s="94" t="s">
        <v>58</v>
      </c>
      <c r="J1641" s="94" t="s">
        <v>10823</v>
      </c>
      <c r="K1641" s="92">
        <v>981238149</v>
      </c>
      <c r="L1641" s="91"/>
      <c r="M1641" s="98">
        <f ca="1">(TODAY()-H1641)/365</f>
        <v>78.92328767123287</v>
      </c>
      <c r="N1641" s="99">
        <f>(G1641-H1641)/365</f>
        <v>39.553424657534244</v>
      </c>
      <c r="O1641" s="98">
        <f ca="1">(TODAY()-G1641)/365</f>
        <v>39.369863013698627</v>
      </c>
      <c r="P1641" s="91" t="s">
        <v>43</v>
      </c>
      <c r="Q1641" s="91"/>
      <c r="R1641" s="91"/>
      <c r="S1641" s="91"/>
      <c r="T1641" s="91"/>
      <c r="U1641" s="91"/>
      <c r="V1641" s="91"/>
      <c r="W1641" s="91"/>
      <c r="X1641" s="91"/>
      <c r="Y1641" s="91"/>
      <c r="Z1641" s="91"/>
      <c r="AA1641" s="91"/>
      <c r="AB1641" s="91"/>
      <c r="AC1641" s="91"/>
      <c r="AD1641" s="91"/>
      <c r="AE1641" s="91"/>
      <c r="AF1641" s="91"/>
      <c r="AG1641" s="91"/>
      <c r="AH1641" s="91"/>
      <c r="AI1641" s="91"/>
      <c r="AJ1641" s="91"/>
      <c r="AK1641" s="91"/>
      <c r="AL1641" s="91"/>
      <c r="AM1641" s="91"/>
    </row>
    <row r="1642" spans="1:39" ht="20.25" hidden="1" customHeight="1">
      <c r="A1642" s="91"/>
      <c r="B1642" s="93" t="s">
        <v>10823</v>
      </c>
      <c r="C1642" s="91" t="s">
        <v>36</v>
      </c>
      <c r="D1642" s="106" t="s">
        <v>712</v>
      </c>
      <c r="E1642" s="106" t="s">
        <v>10845</v>
      </c>
      <c r="F1642" s="92" t="s">
        <v>10846</v>
      </c>
      <c r="G1642" s="103">
        <v>43424</v>
      </c>
      <c r="H1642" s="103">
        <v>19216</v>
      </c>
      <c r="I1642" s="94" t="s">
        <v>58</v>
      </c>
      <c r="J1642" s="94" t="s">
        <v>10823</v>
      </c>
      <c r="K1642" s="92">
        <v>997519735</v>
      </c>
      <c r="L1642" s="91"/>
      <c r="M1642" s="98">
        <f ca="1">(TODAY()-H1642)/365</f>
        <v>73.38630136986302</v>
      </c>
      <c r="N1642" s="99">
        <f>(G1642-H1642)/365</f>
        <v>66.323287671232876</v>
      </c>
      <c r="O1642" s="98">
        <f ca="1">(TODAY()-G1642)/365</f>
        <v>7.0630136986301366</v>
      </c>
      <c r="P1642" s="91" t="s">
        <v>43</v>
      </c>
      <c r="Q1642" s="91"/>
      <c r="R1642" s="91"/>
      <c r="S1642" s="91"/>
      <c r="T1642" s="91"/>
      <c r="U1642" s="91"/>
      <c r="V1642" s="91"/>
      <c r="W1642" s="91"/>
      <c r="X1642" s="91"/>
      <c r="Y1642" s="91"/>
      <c r="Z1642" s="91"/>
      <c r="AA1642" s="91"/>
      <c r="AB1642" s="91"/>
      <c r="AC1642" s="91"/>
      <c r="AD1642" s="91"/>
      <c r="AE1642" s="91"/>
      <c r="AF1642" s="91"/>
      <c r="AG1642" s="91"/>
      <c r="AH1642" s="91"/>
      <c r="AI1642" s="91"/>
      <c r="AJ1642" s="91"/>
      <c r="AK1642" s="91"/>
      <c r="AL1642" s="91"/>
      <c r="AM1642" s="91"/>
    </row>
    <row r="1643" spans="1:39" ht="20.25" customHeight="1">
      <c r="A1643" s="91"/>
      <c r="B1643" s="93" t="s">
        <v>11873</v>
      </c>
      <c r="C1643" s="91" t="s">
        <v>73</v>
      </c>
      <c r="D1643" s="106" t="s">
        <v>712</v>
      </c>
      <c r="E1643" s="106" t="s">
        <v>6108</v>
      </c>
      <c r="F1643" s="92" t="s">
        <v>6109</v>
      </c>
      <c r="G1643" s="96">
        <v>30536</v>
      </c>
      <c r="H1643" s="97">
        <v>22593</v>
      </c>
      <c r="I1643" s="100" t="s">
        <v>58</v>
      </c>
      <c r="J1643" s="100" t="s">
        <v>58</v>
      </c>
      <c r="K1643" s="91" t="s">
        <v>58</v>
      </c>
      <c r="L1643" s="91" t="s">
        <v>60</v>
      </c>
      <c r="M1643" s="98">
        <f ca="1">(TODAY()-H1643)/365</f>
        <v>64.134246575342459</v>
      </c>
      <c r="N1643" s="99">
        <f>(G1643-H1643)/365</f>
        <v>21.761643835616439</v>
      </c>
      <c r="O1643" s="98">
        <f ca="1">(TODAY()-G1643)/365</f>
        <v>42.372602739726027</v>
      </c>
      <c r="P1643" s="91" t="s">
        <v>43</v>
      </c>
      <c r="Q1643" s="91">
        <v>0</v>
      </c>
      <c r="R1643" s="91">
        <v>0</v>
      </c>
      <c r="S1643" s="91">
        <v>0</v>
      </c>
      <c r="T1643" s="91"/>
      <c r="U1643" s="91"/>
      <c r="V1643" s="91"/>
      <c r="W1643" s="91"/>
      <c r="X1643" s="91"/>
      <c r="Y1643" s="91"/>
      <c r="Z1643" s="91"/>
      <c r="AA1643" s="91"/>
      <c r="AB1643" s="91"/>
      <c r="AC1643" s="91"/>
      <c r="AD1643" s="91"/>
      <c r="AE1643" s="91"/>
      <c r="AF1643" s="91"/>
      <c r="AG1643" s="91"/>
      <c r="AH1643" s="91"/>
      <c r="AI1643" s="91"/>
      <c r="AJ1643" s="91"/>
      <c r="AK1643" s="91"/>
      <c r="AL1643" s="91"/>
      <c r="AM1643" s="91"/>
    </row>
    <row r="1644" spans="1:39" ht="20.25" customHeight="1">
      <c r="A1644" s="91"/>
      <c r="B1644" s="93" t="s">
        <v>2663</v>
      </c>
      <c r="C1644" s="91" t="s">
        <v>73</v>
      </c>
      <c r="D1644" s="94" t="s">
        <v>2671</v>
      </c>
      <c r="E1644" s="94" t="s">
        <v>2672</v>
      </c>
      <c r="F1644" s="95" t="s">
        <v>2673</v>
      </c>
      <c r="G1644" s="96">
        <v>44986</v>
      </c>
      <c r="H1644" s="97">
        <v>38639</v>
      </c>
      <c r="I1644" s="94" t="s">
        <v>2674</v>
      </c>
      <c r="J1644" s="94" t="s">
        <v>58</v>
      </c>
      <c r="K1644" s="95" t="s">
        <v>58</v>
      </c>
      <c r="L1644" s="91" t="s">
        <v>60</v>
      </c>
      <c r="M1644" s="98">
        <f ca="1">(TODAY()-H1644)/365</f>
        <v>20.172602739726027</v>
      </c>
      <c r="N1644" s="99">
        <f>(G1644-H1644)/365</f>
        <v>17.389041095890413</v>
      </c>
      <c r="O1644" s="98">
        <f ca="1">(TODAY()-G1644)/365</f>
        <v>2.7835616438356166</v>
      </c>
      <c r="P1644" s="91" t="s">
        <v>43</v>
      </c>
      <c r="Q1644" s="91">
        <v>0</v>
      </c>
      <c r="R1644" s="91">
        <v>0</v>
      </c>
      <c r="S1644" s="91">
        <v>0</v>
      </c>
      <c r="T1644" s="91"/>
      <c r="U1644" s="91"/>
      <c r="V1644" s="91"/>
      <c r="W1644" s="91"/>
      <c r="X1644" s="91"/>
      <c r="Y1644" s="91"/>
      <c r="Z1644" s="91"/>
      <c r="AA1644" s="91"/>
      <c r="AB1644" s="91"/>
      <c r="AC1644" s="91"/>
      <c r="AD1644" s="91"/>
      <c r="AE1644" s="91"/>
      <c r="AF1644" s="91"/>
      <c r="AG1644" s="91"/>
      <c r="AH1644" s="91"/>
      <c r="AI1644" s="91"/>
      <c r="AJ1644" s="91"/>
      <c r="AK1644" s="91"/>
      <c r="AL1644" s="91"/>
      <c r="AM1644" s="91"/>
    </row>
    <row r="1645" spans="1:39" ht="20.25" customHeight="1">
      <c r="A1645" s="91"/>
      <c r="B1645" s="93" t="s">
        <v>2663</v>
      </c>
      <c r="C1645" s="91" t="s">
        <v>73</v>
      </c>
      <c r="D1645" s="94" t="s">
        <v>2700</v>
      </c>
      <c r="E1645" s="94" t="s">
        <v>2701</v>
      </c>
      <c r="F1645" s="95" t="s">
        <v>2702</v>
      </c>
      <c r="G1645" s="96">
        <v>45366</v>
      </c>
      <c r="H1645" s="97">
        <v>32659</v>
      </c>
      <c r="I1645" s="94" t="s">
        <v>2703</v>
      </c>
      <c r="J1645" s="94" t="s">
        <v>58</v>
      </c>
      <c r="K1645" s="95" t="s">
        <v>58</v>
      </c>
      <c r="L1645" s="91" t="s">
        <v>60</v>
      </c>
      <c r="M1645" s="98">
        <f ca="1">(TODAY()-H1645)/365</f>
        <v>36.556164383561644</v>
      </c>
      <c r="N1645" s="99">
        <f>(G1645-H1645)/365</f>
        <v>34.813698630136983</v>
      </c>
      <c r="O1645" s="98">
        <f ca="1">(TODAY()-G1645)/365</f>
        <v>1.7424657534246575</v>
      </c>
      <c r="P1645" s="91" t="s">
        <v>43</v>
      </c>
      <c r="Q1645" s="91">
        <v>0</v>
      </c>
      <c r="R1645" s="91">
        <v>0</v>
      </c>
      <c r="S1645" s="91">
        <v>0</v>
      </c>
      <c r="T1645" s="91"/>
      <c r="U1645" s="91"/>
      <c r="V1645" s="91"/>
      <c r="W1645" s="91"/>
      <c r="X1645" s="91"/>
      <c r="Y1645" s="91"/>
      <c r="Z1645" s="91"/>
      <c r="AA1645" s="91"/>
      <c r="AB1645" s="91"/>
      <c r="AC1645" s="91"/>
      <c r="AD1645" s="91"/>
      <c r="AE1645" s="91"/>
      <c r="AF1645" s="91"/>
      <c r="AG1645" s="91"/>
      <c r="AH1645" s="91"/>
      <c r="AI1645" s="91"/>
      <c r="AJ1645" s="91"/>
      <c r="AK1645" s="91"/>
      <c r="AL1645" s="91"/>
      <c r="AM1645" s="91"/>
    </row>
    <row r="1646" spans="1:39" ht="20.25" hidden="1" customHeight="1">
      <c r="A1646" s="91"/>
      <c r="B1646" s="93" t="s">
        <v>5365</v>
      </c>
      <c r="C1646" s="91" t="s">
        <v>36</v>
      </c>
      <c r="D1646" s="94" t="s">
        <v>5366</v>
      </c>
      <c r="E1646" s="94" t="s">
        <v>5367</v>
      </c>
      <c r="F1646" s="95" t="s">
        <v>5368</v>
      </c>
      <c r="G1646" s="96">
        <v>45238</v>
      </c>
      <c r="H1646" s="97">
        <v>38826</v>
      </c>
      <c r="I1646" s="102" t="s">
        <v>5369</v>
      </c>
      <c r="J1646" s="94" t="s">
        <v>5370</v>
      </c>
      <c r="K1646" s="95" t="s">
        <v>5371</v>
      </c>
      <c r="L1646" s="91" t="s">
        <v>60</v>
      </c>
      <c r="M1646" s="98">
        <f ca="1">(TODAY()-H1646)/365</f>
        <v>19.660273972602738</v>
      </c>
      <c r="N1646" s="99">
        <f>(G1646-H1646)/365</f>
        <v>17.567123287671233</v>
      </c>
      <c r="O1646" s="98">
        <f ca="1">(TODAY()-G1646)/365</f>
        <v>2.0931506849315067</v>
      </c>
      <c r="P1646" s="91" t="s">
        <v>43</v>
      </c>
      <c r="Q1646" s="91">
        <v>0</v>
      </c>
      <c r="R1646" s="91">
        <v>0</v>
      </c>
      <c r="S1646" s="91">
        <v>0</v>
      </c>
      <c r="T1646" s="91"/>
      <c r="U1646" s="91"/>
      <c r="V1646" s="91"/>
      <c r="W1646" s="91"/>
      <c r="X1646" s="91"/>
      <c r="Y1646" s="91"/>
      <c r="Z1646" s="91"/>
      <c r="AA1646" s="91"/>
      <c r="AB1646" s="91"/>
      <c r="AC1646" s="91"/>
      <c r="AD1646" s="91"/>
      <c r="AE1646" s="91"/>
      <c r="AF1646" s="91"/>
      <c r="AG1646" s="91"/>
      <c r="AH1646" s="91"/>
      <c r="AI1646" s="91"/>
      <c r="AJ1646" s="91"/>
      <c r="AK1646" s="91"/>
      <c r="AL1646" s="91"/>
      <c r="AM1646" s="91"/>
    </row>
    <row r="1647" spans="1:39" ht="20.25" hidden="1" customHeight="1">
      <c r="A1647" s="91"/>
      <c r="B1647" s="93" t="s">
        <v>5365</v>
      </c>
      <c r="C1647" s="91" t="s">
        <v>36</v>
      </c>
      <c r="D1647" s="94" t="s">
        <v>5372</v>
      </c>
      <c r="E1647" s="94" t="s">
        <v>5373</v>
      </c>
      <c r="F1647" s="95" t="s">
        <v>5374</v>
      </c>
      <c r="G1647" s="96">
        <v>45445</v>
      </c>
      <c r="H1647" s="96" t="s">
        <v>58</v>
      </c>
      <c r="I1647" s="102" t="s">
        <v>5375</v>
      </c>
      <c r="J1647" s="94" t="s">
        <v>5376</v>
      </c>
      <c r="K1647" s="95" t="s">
        <v>5377</v>
      </c>
      <c r="L1647" s="91" t="s">
        <v>60</v>
      </c>
      <c r="M1647" s="98">
        <v>0</v>
      </c>
      <c r="N1647" s="118"/>
      <c r="O1647" s="98">
        <f ca="1">(TODAY()-G1647)/365</f>
        <v>1.526027397260274</v>
      </c>
      <c r="P1647" s="91" t="s">
        <v>43</v>
      </c>
      <c r="Q1647" s="91">
        <v>0</v>
      </c>
      <c r="R1647" s="91">
        <v>0</v>
      </c>
      <c r="S1647" s="91">
        <v>0</v>
      </c>
      <c r="T1647" s="91"/>
      <c r="U1647" s="91"/>
      <c r="V1647" s="91"/>
      <c r="W1647" s="91"/>
      <c r="X1647" s="91"/>
      <c r="Y1647" s="91"/>
      <c r="Z1647" s="91"/>
      <c r="AA1647" s="91"/>
      <c r="AB1647" s="91"/>
      <c r="AC1647" s="91"/>
      <c r="AD1647" s="91"/>
      <c r="AE1647" s="91"/>
      <c r="AF1647" s="91"/>
      <c r="AG1647" s="91"/>
      <c r="AH1647" s="91"/>
      <c r="AI1647" s="91"/>
      <c r="AJ1647" s="91"/>
      <c r="AK1647" s="91"/>
      <c r="AL1647" s="91"/>
      <c r="AM1647" s="91"/>
    </row>
    <row r="1648" spans="1:39" ht="20.25" hidden="1" customHeight="1">
      <c r="A1648" s="91"/>
      <c r="B1648" s="93" t="s">
        <v>5365</v>
      </c>
      <c r="C1648" s="91" t="s">
        <v>36</v>
      </c>
      <c r="D1648" s="94" t="s">
        <v>5378</v>
      </c>
      <c r="E1648" s="94" t="s">
        <v>5379</v>
      </c>
      <c r="F1648" s="95" t="s">
        <v>5380</v>
      </c>
      <c r="G1648" s="96">
        <v>45414</v>
      </c>
      <c r="H1648" s="97">
        <v>36814</v>
      </c>
      <c r="I1648" s="102" t="s">
        <v>5381</v>
      </c>
      <c r="J1648" s="94" t="s">
        <v>5382</v>
      </c>
      <c r="K1648" s="95" t="s">
        <v>5383</v>
      </c>
      <c r="L1648" s="91" t="s">
        <v>60</v>
      </c>
      <c r="M1648" s="98">
        <f ca="1">(TODAY()-H1648)/365</f>
        <v>25.172602739726027</v>
      </c>
      <c r="N1648" s="99">
        <f>(G1648-H1648)/365</f>
        <v>23.561643835616437</v>
      </c>
      <c r="O1648" s="98">
        <f ca="1">(TODAY()-G1648)/365</f>
        <v>1.6109589041095891</v>
      </c>
      <c r="P1648" s="91" t="s">
        <v>272</v>
      </c>
      <c r="Q1648" s="91">
        <v>0</v>
      </c>
      <c r="R1648" s="91">
        <v>0</v>
      </c>
      <c r="S1648" s="91">
        <v>0</v>
      </c>
      <c r="T1648" s="91"/>
      <c r="U1648" s="91"/>
      <c r="V1648" s="91"/>
      <c r="W1648" s="91"/>
      <c r="X1648" s="91"/>
      <c r="Y1648" s="91"/>
      <c r="Z1648" s="91"/>
      <c r="AA1648" s="91"/>
      <c r="AB1648" s="91"/>
      <c r="AC1648" s="91"/>
      <c r="AD1648" s="91"/>
      <c r="AE1648" s="91"/>
      <c r="AF1648" s="91"/>
      <c r="AG1648" s="91"/>
      <c r="AH1648" s="91"/>
      <c r="AI1648" s="91"/>
      <c r="AJ1648" s="91"/>
      <c r="AK1648" s="91"/>
      <c r="AL1648" s="91"/>
      <c r="AM1648" s="91"/>
    </row>
    <row r="1649" spans="1:39" ht="20.25" hidden="1" customHeight="1">
      <c r="A1649" s="91"/>
      <c r="B1649" s="93" t="s">
        <v>5365</v>
      </c>
      <c r="C1649" s="91" t="s">
        <v>36</v>
      </c>
      <c r="D1649" s="94" t="s">
        <v>5384</v>
      </c>
      <c r="E1649" s="94" t="s">
        <v>5385</v>
      </c>
      <c r="F1649" s="95" t="s">
        <v>5386</v>
      </c>
      <c r="G1649" s="96">
        <v>45282</v>
      </c>
      <c r="H1649" s="97">
        <v>35176</v>
      </c>
      <c r="I1649" s="102" t="s">
        <v>5387</v>
      </c>
      <c r="J1649" s="94" t="s">
        <v>5388</v>
      </c>
      <c r="K1649" s="95" t="s">
        <v>5389</v>
      </c>
      <c r="L1649" s="91" t="s">
        <v>60</v>
      </c>
      <c r="M1649" s="98">
        <f ca="1">(TODAY()-H1649)/365</f>
        <v>29.660273972602738</v>
      </c>
      <c r="N1649" s="99">
        <f>(G1649-H1649)/365</f>
        <v>27.687671232876713</v>
      </c>
      <c r="O1649" s="98">
        <f ca="1">(TODAY()-G1649)/365</f>
        <v>1.9726027397260273</v>
      </c>
      <c r="P1649" s="91" t="s">
        <v>43</v>
      </c>
      <c r="Q1649" s="91">
        <v>0</v>
      </c>
      <c r="R1649" s="91">
        <v>0</v>
      </c>
      <c r="S1649" s="91">
        <v>0</v>
      </c>
      <c r="T1649" s="91"/>
      <c r="U1649" s="91"/>
      <c r="V1649" s="91"/>
      <c r="W1649" s="91"/>
      <c r="X1649" s="91"/>
      <c r="Y1649" s="91"/>
      <c r="Z1649" s="91"/>
      <c r="AA1649" s="91"/>
      <c r="AB1649" s="91"/>
      <c r="AC1649" s="91"/>
      <c r="AD1649" s="91"/>
      <c r="AE1649" s="91"/>
      <c r="AF1649" s="91"/>
      <c r="AG1649" s="91"/>
      <c r="AH1649" s="91"/>
      <c r="AI1649" s="91"/>
      <c r="AJ1649" s="91"/>
      <c r="AK1649" s="91"/>
      <c r="AL1649" s="91"/>
      <c r="AM1649" s="91"/>
    </row>
    <row r="1650" spans="1:39" ht="20.25" hidden="1" customHeight="1">
      <c r="A1650" s="91"/>
      <c r="B1650" s="93" t="s">
        <v>5365</v>
      </c>
      <c r="C1650" s="91" t="s">
        <v>36</v>
      </c>
      <c r="D1650" s="94" t="s">
        <v>5390</v>
      </c>
      <c r="E1650" s="94" t="s">
        <v>5391</v>
      </c>
      <c r="F1650" s="95" t="s">
        <v>5392</v>
      </c>
      <c r="G1650" s="96">
        <v>45282</v>
      </c>
      <c r="H1650" s="97">
        <v>34390</v>
      </c>
      <c r="I1650" s="100" t="s">
        <v>58</v>
      </c>
      <c r="J1650" s="94" t="s">
        <v>5393</v>
      </c>
      <c r="K1650" s="95" t="s">
        <v>5394</v>
      </c>
      <c r="L1650" s="91" t="s">
        <v>60</v>
      </c>
      <c r="M1650" s="98">
        <f ca="1">(TODAY()-H1650)/365</f>
        <v>31.813698630136987</v>
      </c>
      <c r="N1650" s="99">
        <f>(G1650-H1650)/365</f>
        <v>29.841095890410958</v>
      </c>
      <c r="O1650" s="98">
        <f ca="1">(TODAY()-G1650)/365</f>
        <v>1.9726027397260273</v>
      </c>
      <c r="P1650" s="91" t="s">
        <v>43</v>
      </c>
      <c r="Q1650" s="91">
        <v>0</v>
      </c>
      <c r="R1650" s="91">
        <v>0</v>
      </c>
      <c r="S1650" s="91">
        <v>0</v>
      </c>
      <c r="T1650" s="91"/>
      <c r="U1650" s="91"/>
      <c r="V1650" s="91"/>
      <c r="W1650" s="91"/>
      <c r="X1650" s="91"/>
      <c r="Y1650" s="91"/>
      <c r="Z1650" s="91"/>
      <c r="AA1650" s="91"/>
      <c r="AB1650" s="91"/>
      <c r="AC1650" s="91"/>
      <c r="AD1650" s="91"/>
      <c r="AE1650" s="91"/>
      <c r="AF1650" s="91"/>
      <c r="AG1650" s="91"/>
      <c r="AH1650" s="91"/>
      <c r="AI1650" s="91"/>
      <c r="AJ1650" s="91"/>
      <c r="AK1650" s="91"/>
      <c r="AL1650" s="91"/>
      <c r="AM1650" s="91"/>
    </row>
    <row r="1651" spans="1:39" ht="20.25" customHeight="1">
      <c r="A1651" s="91"/>
      <c r="B1651" s="93" t="s">
        <v>5912</v>
      </c>
      <c r="C1651" s="91" t="s">
        <v>73</v>
      </c>
      <c r="D1651" s="94" t="s">
        <v>6013</v>
      </c>
      <c r="E1651" s="94" t="s">
        <v>6014</v>
      </c>
      <c r="F1651" s="95" t="s">
        <v>6015</v>
      </c>
      <c r="G1651" s="96">
        <v>44166</v>
      </c>
      <c r="H1651" s="97">
        <v>21447</v>
      </c>
      <c r="I1651" s="94" t="s">
        <v>6016</v>
      </c>
      <c r="J1651" s="100" t="s">
        <v>58</v>
      </c>
      <c r="K1651" s="91" t="s">
        <v>58</v>
      </c>
      <c r="L1651" s="91" t="s">
        <v>60</v>
      </c>
      <c r="M1651" s="98">
        <f ca="1">(TODAY()-H1651)/365</f>
        <v>67.273972602739732</v>
      </c>
      <c r="N1651" s="99">
        <f>(G1651-H1651)/365</f>
        <v>62.243835616438353</v>
      </c>
      <c r="O1651" s="98">
        <f ca="1">(TODAY()-G1651)/365</f>
        <v>5.0301369863013701</v>
      </c>
      <c r="P1651" s="91" t="s">
        <v>272</v>
      </c>
      <c r="Q1651" s="91">
        <v>0</v>
      </c>
      <c r="R1651" s="91">
        <v>0</v>
      </c>
      <c r="S1651" s="91">
        <v>0</v>
      </c>
      <c r="T1651" s="91"/>
      <c r="U1651" s="91"/>
      <c r="V1651" s="91"/>
      <c r="W1651" s="91"/>
      <c r="X1651" s="91"/>
      <c r="Y1651" s="91"/>
      <c r="Z1651" s="91"/>
      <c r="AA1651" s="91"/>
      <c r="AB1651" s="91"/>
      <c r="AC1651" s="91"/>
      <c r="AD1651" s="91"/>
      <c r="AE1651" s="91"/>
      <c r="AF1651" s="91"/>
      <c r="AG1651" s="91"/>
      <c r="AH1651" s="91"/>
      <c r="AI1651" s="91"/>
      <c r="AJ1651" s="91"/>
      <c r="AK1651" s="91"/>
      <c r="AL1651" s="91"/>
      <c r="AM1651" s="91"/>
    </row>
    <row r="1652" spans="1:39" ht="20.25" hidden="1" customHeight="1">
      <c r="A1652" s="91"/>
      <c r="B1652" s="93" t="s">
        <v>5365</v>
      </c>
      <c r="C1652" s="91" t="s">
        <v>36</v>
      </c>
      <c r="D1652" s="94" t="s">
        <v>5398</v>
      </c>
      <c r="E1652" s="94" t="s">
        <v>5399</v>
      </c>
      <c r="F1652" s="95" t="s">
        <v>5400</v>
      </c>
      <c r="G1652" s="96">
        <v>32741</v>
      </c>
      <c r="H1652" s="97">
        <v>20131</v>
      </c>
      <c r="I1652" s="102" t="s">
        <v>5401</v>
      </c>
      <c r="J1652" s="94" t="s">
        <v>5402</v>
      </c>
      <c r="K1652" s="95" t="s">
        <v>5403</v>
      </c>
      <c r="L1652" s="91" t="s">
        <v>49</v>
      </c>
      <c r="M1652" s="98">
        <f ca="1">(TODAY()-H1652)/365</f>
        <v>70.879452054794527</v>
      </c>
      <c r="N1652" s="99">
        <f>(G1652-H1652)/365</f>
        <v>34.547945205479451</v>
      </c>
      <c r="O1652" s="98">
        <f ca="1">(TODAY()-G1652)/365</f>
        <v>36.331506849315069</v>
      </c>
      <c r="P1652" s="91" t="s">
        <v>272</v>
      </c>
      <c r="Q1652" s="91">
        <v>0</v>
      </c>
      <c r="R1652" s="91">
        <v>0</v>
      </c>
      <c r="S1652" s="91">
        <v>0</v>
      </c>
      <c r="T1652" s="91"/>
      <c r="U1652" s="91"/>
      <c r="V1652" s="91"/>
      <c r="W1652" s="91"/>
      <c r="X1652" s="91"/>
      <c r="Y1652" s="91"/>
      <c r="Z1652" s="91"/>
      <c r="AA1652" s="91"/>
      <c r="AB1652" s="91"/>
      <c r="AC1652" s="91"/>
      <c r="AD1652" s="91"/>
      <c r="AE1652" s="91"/>
      <c r="AF1652" s="91"/>
      <c r="AG1652" s="91"/>
      <c r="AH1652" s="91"/>
      <c r="AI1652" s="91"/>
      <c r="AJ1652" s="91"/>
      <c r="AK1652" s="91"/>
      <c r="AL1652" s="91"/>
      <c r="AM1652" s="91"/>
    </row>
    <row r="1653" spans="1:39" ht="20.25" customHeight="1">
      <c r="A1653" s="91"/>
      <c r="B1653" s="93" t="s">
        <v>5912</v>
      </c>
      <c r="C1653" s="91" t="s">
        <v>73</v>
      </c>
      <c r="D1653" s="94" t="s">
        <v>5949</v>
      </c>
      <c r="E1653" s="94" t="s">
        <v>5950</v>
      </c>
      <c r="F1653" s="95" t="s">
        <v>5951</v>
      </c>
      <c r="G1653" s="96">
        <v>44166</v>
      </c>
      <c r="H1653" s="97">
        <v>34879</v>
      </c>
      <c r="I1653" s="94" t="s">
        <v>58</v>
      </c>
      <c r="J1653" s="100" t="s">
        <v>58</v>
      </c>
      <c r="K1653" s="91" t="s">
        <v>58</v>
      </c>
      <c r="L1653" s="91" t="s">
        <v>60</v>
      </c>
      <c r="M1653" s="98">
        <f ca="1">(TODAY()-H1653)/365</f>
        <v>30.473972602739725</v>
      </c>
      <c r="N1653" s="99">
        <f>(G1653-H1653)/365</f>
        <v>25.443835616438356</v>
      </c>
      <c r="O1653" s="98">
        <f ca="1">(TODAY()-G1653)/365</f>
        <v>5.0301369863013701</v>
      </c>
      <c r="P1653" s="91" t="s">
        <v>43</v>
      </c>
      <c r="Q1653" s="91">
        <v>0</v>
      </c>
      <c r="R1653" s="91">
        <v>0</v>
      </c>
      <c r="S1653" s="91">
        <v>0</v>
      </c>
      <c r="T1653" s="91"/>
      <c r="U1653" s="91"/>
      <c r="V1653" s="91"/>
      <c r="W1653" s="91"/>
      <c r="X1653" s="91"/>
      <c r="Y1653" s="91"/>
      <c r="Z1653" s="91"/>
      <c r="AA1653" s="91"/>
      <c r="AB1653" s="91"/>
      <c r="AC1653" s="91"/>
      <c r="AD1653" s="91"/>
      <c r="AE1653" s="91"/>
      <c r="AF1653" s="91"/>
      <c r="AG1653" s="91"/>
      <c r="AH1653" s="91"/>
      <c r="AI1653" s="91"/>
      <c r="AJ1653" s="91"/>
      <c r="AK1653" s="91"/>
      <c r="AL1653" s="91"/>
      <c r="AM1653" s="91"/>
    </row>
    <row r="1654" spans="1:39" ht="20.25" customHeight="1">
      <c r="A1654" s="91"/>
      <c r="B1654" s="93" t="s">
        <v>2320</v>
      </c>
      <c r="C1654" s="91" t="s">
        <v>73</v>
      </c>
      <c r="D1654" s="94" t="s">
        <v>2324</v>
      </c>
      <c r="E1654" s="94" t="s">
        <v>2325</v>
      </c>
      <c r="F1654" s="95" t="s">
        <v>2326</v>
      </c>
      <c r="G1654" s="96">
        <v>45129</v>
      </c>
      <c r="H1654" s="97">
        <v>39010</v>
      </c>
      <c r="I1654" s="94" t="s">
        <v>2327</v>
      </c>
      <c r="J1654" s="94" t="s">
        <v>58</v>
      </c>
      <c r="K1654" s="92">
        <v>22392048</v>
      </c>
      <c r="L1654" s="91" t="s">
        <v>60</v>
      </c>
      <c r="M1654" s="98">
        <f ca="1">(TODAY()-H1654)/365</f>
        <v>19.156164383561645</v>
      </c>
      <c r="N1654" s="99">
        <f>(G1654-H1654)/365</f>
        <v>16.764383561643836</v>
      </c>
      <c r="O1654" s="98">
        <f ca="1">(TODAY()-G1654)/365</f>
        <v>2.3917808219178083</v>
      </c>
      <c r="P1654" s="91" t="s">
        <v>43</v>
      </c>
      <c r="Q1654" s="91">
        <v>0</v>
      </c>
      <c r="R1654" s="91">
        <v>0</v>
      </c>
      <c r="S1654" s="91">
        <v>0</v>
      </c>
      <c r="T1654" s="91"/>
      <c r="U1654" s="91"/>
      <c r="V1654" s="91"/>
      <c r="W1654" s="91"/>
      <c r="X1654" s="91"/>
      <c r="Y1654" s="91"/>
      <c r="Z1654" s="91"/>
      <c r="AA1654" s="91"/>
      <c r="AB1654" s="91"/>
      <c r="AC1654" s="91"/>
      <c r="AD1654" s="91"/>
      <c r="AE1654" s="91"/>
      <c r="AF1654" s="91"/>
      <c r="AG1654" s="91"/>
      <c r="AH1654" s="91"/>
      <c r="AI1654" s="91"/>
      <c r="AJ1654" s="91"/>
      <c r="AK1654" s="91"/>
      <c r="AL1654" s="91"/>
      <c r="AM1654" s="91"/>
    </row>
    <row r="1655" spans="1:39" ht="20.25" hidden="1" customHeight="1">
      <c r="A1655" s="91"/>
      <c r="B1655" s="93" t="s">
        <v>5365</v>
      </c>
      <c r="C1655" s="91" t="s">
        <v>36</v>
      </c>
      <c r="D1655" s="94" t="s">
        <v>5410</v>
      </c>
      <c r="E1655" s="94" t="s">
        <v>5411</v>
      </c>
      <c r="F1655" s="95" t="s">
        <v>5412</v>
      </c>
      <c r="G1655" s="96">
        <v>44434</v>
      </c>
      <c r="H1655" s="97">
        <v>29390</v>
      </c>
      <c r="I1655" s="102" t="s">
        <v>5413</v>
      </c>
      <c r="J1655" s="94" t="s">
        <v>5414</v>
      </c>
      <c r="K1655" s="95" t="s">
        <v>5415</v>
      </c>
      <c r="L1655" s="91" t="s">
        <v>197</v>
      </c>
      <c r="M1655" s="98">
        <f ca="1">(TODAY()-H1655)/365</f>
        <v>45.512328767123286</v>
      </c>
      <c r="N1655" s="99">
        <f>(G1655-H1655)/365</f>
        <v>41.216438356164382</v>
      </c>
      <c r="O1655" s="98">
        <f ca="1">(TODAY()-G1655)/365</f>
        <v>4.2958904109589042</v>
      </c>
      <c r="P1655" s="91" t="s">
        <v>272</v>
      </c>
      <c r="Q1655" s="91">
        <v>0</v>
      </c>
      <c r="R1655" s="91">
        <v>0</v>
      </c>
      <c r="S1655" s="91">
        <v>0</v>
      </c>
      <c r="T1655" s="91"/>
      <c r="U1655" s="91"/>
      <c r="V1655" s="91"/>
      <c r="W1655" s="91"/>
      <c r="X1655" s="91"/>
      <c r="Y1655" s="91"/>
      <c r="Z1655" s="91"/>
      <c r="AA1655" s="91"/>
      <c r="AB1655" s="91"/>
      <c r="AC1655" s="91"/>
      <c r="AD1655" s="91"/>
      <c r="AE1655" s="91"/>
      <c r="AF1655" s="91"/>
      <c r="AG1655" s="91"/>
      <c r="AH1655" s="91"/>
      <c r="AI1655" s="91"/>
      <c r="AJ1655" s="91"/>
      <c r="AK1655" s="91"/>
      <c r="AL1655" s="91"/>
      <c r="AM1655" s="91"/>
    </row>
    <row r="1656" spans="1:39" ht="20.25" hidden="1" customHeight="1">
      <c r="A1656" s="91"/>
      <c r="B1656" s="93" t="s">
        <v>5365</v>
      </c>
      <c r="C1656" s="91" t="s">
        <v>36</v>
      </c>
      <c r="D1656" s="94" t="s">
        <v>5416</v>
      </c>
      <c r="E1656" s="94" t="s">
        <v>5417</v>
      </c>
      <c r="F1656" s="95" t="s">
        <v>5418</v>
      </c>
      <c r="G1656" s="96">
        <v>45218</v>
      </c>
      <c r="H1656" s="97">
        <v>29050</v>
      </c>
      <c r="I1656" s="102" t="s">
        <v>5419</v>
      </c>
      <c r="J1656" s="94" t="s">
        <v>5370</v>
      </c>
      <c r="K1656" s="95" t="s">
        <v>5371</v>
      </c>
      <c r="L1656" s="91" t="s">
        <v>60</v>
      </c>
      <c r="M1656" s="98">
        <f ca="1">(TODAY()-H1656)/365</f>
        <v>46.443835616438356</v>
      </c>
      <c r="N1656" s="99">
        <f>(G1656-H1656)/365</f>
        <v>44.295890410958904</v>
      </c>
      <c r="O1656" s="98">
        <f ca="1">(TODAY()-G1656)/365</f>
        <v>2.1479452054794521</v>
      </c>
      <c r="P1656" s="91" t="s">
        <v>43</v>
      </c>
      <c r="Q1656" s="91">
        <v>0</v>
      </c>
      <c r="R1656" s="91">
        <v>0</v>
      </c>
      <c r="S1656" s="91">
        <v>0</v>
      </c>
      <c r="T1656" s="91"/>
      <c r="U1656" s="91"/>
      <c r="V1656" s="91"/>
      <c r="W1656" s="91"/>
      <c r="X1656" s="91"/>
      <c r="Y1656" s="91"/>
      <c r="Z1656" s="91"/>
      <c r="AA1656" s="91"/>
      <c r="AB1656" s="91"/>
      <c r="AC1656" s="91"/>
      <c r="AD1656" s="91"/>
      <c r="AE1656" s="91"/>
      <c r="AF1656" s="91"/>
      <c r="AG1656" s="91"/>
      <c r="AH1656" s="91"/>
      <c r="AI1656" s="91"/>
      <c r="AJ1656" s="91"/>
      <c r="AK1656" s="91"/>
      <c r="AL1656" s="91"/>
      <c r="AM1656" s="91"/>
    </row>
    <row r="1657" spans="1:39" ht="20.25" hidden="1" customHeight="1">
      <c r="A1657" s="91"/>
      <c r="B1657" s="93" t="s">
        <v>5365</v>
      </c>
      <c r="C1657" s="91" t="s">
        <v>36</v>
      </c>
      <c r="D1657" s="94" t="s">
        <v>5420</v>
      </c>
      <c r="E1657" s="94" t="s">
        <v>5421</v>
      </c>
      <c r="F1657" s="95" t="s">
        <v>5422</v>
      </c>
      <c r="G1657" s="96">
        <v>36826</v>
      </c>
      <c r="H1657" s="97">
        <v>20377</v>
      </c>
      <c r="I1657" s="102" t="s">
        <v>5423</v>
      </c>
      <c r="J1657" s="94" t="s">
        <v>5424</v>
      </c>
      <c r="K1657" s="95" t="s">
        <v>5425</v>
      </c>
      <c r="L1657" s="91" t="s">
        <v>60</v>
      </c>
      <c r="M1657" s="98">
        <f ca="1">(TODAY()-H1657)/365</f>
        <v>70.205479452054789</v>
      </c>
      <c r="N1657" s="99">
        <f>(G1657-H1657)/365</f>
        <v>45.065753424657537</v>
      </c>
      <c r="O1657" s="98">
        <f ca="1">(TODAY()-G1657)/365</f>
        <v>25.139726027397259</v>
      </c>
      <c r="P1657" s="91" t="s">
        <v>43</v>
      </c>
      <c r="Q1657" s="91">
        <v>0</v>
      </c>
      <c r="R1657" s="91">
        <v>0</v>
      </c>
      <c r="S1657" s="91">
        <v>0</v>
      </c>
      <c r="T1657" s="91"/>
      <c r="U1657" s="91"/>
      <c r="V1657" s="91"/>
      <c r="W1657" s="91"/>
      <c r="X1657" s="91"/>
      <c r="Y1657" s="91"/>
      <c r="Z1657" s="91"/>
      <c r="AA1657" s="91"/>
      <c r="AB1657" s="91"/>
      <c r="AC1657" s="91"/>
      <c r="AD1657" s="91"/>
      <c r="AE1657" s="91"/>
      <c r="AF1657" s="91"/>
      <c r="AG1657" s="91"/>
      <c r="AH1657" s="91"/>
      <c r="AI1657" s="91"/>
      <c r="AJ1657" s="91"/>
      <c r="AK1657" s="91"/>
      <c r="AL1657" s="91"/>
      <c r="AM1657" s="91"/>
    </row>
    <row r="1658" spans="1:39" ht="20.25" customHeight="1">
      <c r="A1658" s="91"/>
      <c r="B1658" s="93" t="s">
        <v>12263</v>
      </c>
      <c r="C1658" s="91" t="s">
        <v>73</v>
      </c>
      <c r="D1658" s="106" t="s">
        <v>4628</v>
      </c>
      <c r="E1658" s="106" t="s">
        <v>11210</v>
      </c>
      <c r="F1658" s="92" t="s">
        <v>11211</v>
      </c>
      <c r="G1658" s="103">
        <v>35666</v>
      </c>
      <c r="H1658" s="103">
        <v>16945</v>
      </c>
      <c r="I1658" s="94" t="s">
        <v>58</v>
      </c>
      <c r="J1658" s="100" t="s">
        <v>58</v>
      </c>
      <c r="K1658" s="95" t="s">
        <v>58</v>
      </c>
      <c r="L1658" s="91"/>
      <c r="M1658" s="98">
        <f ca="1">(TODAY()-H1658)/365</f>
        <v>79.608219178082194</v>
      </c>
      <c r="N1658" s="99">
        <f>(G1658-H1658)/365</f>
        <v>51.290410958904111</v>
      </c>
      <c r="O1658" s="98">
        <f ca="1">(TODAY()-G1658)/365</f>
        <v>28.317808219178083</v>
      </c>
      <c r="P1658" s="91" t="s">
        <v>43</v>
      </c>
      <c r="Q1658" s="91"/>
      <c r="R1658" s="91"/>
      <c r="S1658" s="91"/>
      <c r="T1658" s="91"/>
      <c r="U1658" s="91"/>
      <c r="V1658" s="91"/>
      <c r="W1658" s="91"/>
      <c r="X1658" s="91"/>
      <c r="Y1658" s="91"/>
      <c r="Z1658" s="91"/>
      <c r="AA1658" s="91"/>
      <c r="AB1658" s="91"/>
      <c r="AC1658" s="91"/>
      <c r="AD1658" s="91"/>
      <c r="AE1658" s="91"/>
      <c r="AF1658" s="91"/>
      <c r="AG1658" s="91"/>
      <c r="AH1658" s="91"/>
      <c r="AI1658" s="91"/>
      <c r="AJ1658" s="91"/>
      <c r="AK1658" s="91"/>
      <c r="AL1658" s="91"/>
      <c r="AM1658" s="91"/>
    </row>
    <row r="1659" spans="1:39" ht="20.25" hidden="1" customHeight="1">
      <c r="A1659" s="91"/>
      <c r="B1659" s="93" t="s">
        <v>5365</v>
      </c>
      <c r="C1659" s="91" t="s">
        <v>36</v>
      </c>
      <c r="D1659" s="94" t="s">
        <v>4283</v>
      </c>
      <c r="E1659" s="94" t="s">
        <v>5429</v>
      </c>
      <c r="F1659" s="95" t="s">
        <v>5430</v>
      </c>
      <c r="G1659" s="96">
        <v>43059</v>
      </c>
      <c r="H1659" s="97">
        <v>24457</v>
      </c>
      <c r="I1659" s="102" t="s">
        <v>5431</v>
      </c>
      <c r="J1659" s="94" t="s">
        <v>5432</v>
      </c>
      <c r="K1659" s="95" t="s">
        <v>5433</v>
      </c>
      <c r="L1659" s="91" t="s">
        <v>60</v>
      </c>
      <c r="M1659" s="98">
        <f ca="1">(TODAY()-H1659)/365</f>
        <v>59.027397260273972</v>
      </c>
      <c r="N1659" s="99">
        <f>(G1659-H1659)/365</f>
        <v>50.964383561643835</v>
      </c>
      <c r="O1659" s="98">
        <f ca="1">(TODAY()-G1659)/365</f>
        <v>8.0630136986301366</v>
      </c>
      <c r="P1659" s="91" t="s">
        <v>43</v>
      </c>
      <c r="Q1659" s="91">
        <v>0</v>
      </c>
      <c r="R1659" s="91">
        <v>0</v>
      </c>
      <c r="S1659" s="91">
        <v>0</v>
      </c>
      <c r="T1659" s="91"/>
      <c r="U1659" s="91"/>
      <c r="V1659" s="91"/>
      <c r="W1659" s="91"/>
      <c r="X1659" s="91"/>
      <c r="Y1659" s="91"/>
      <c r="Z1659" s="91"/>
      <c r="AA1659" s="91"/>
      <c r="AB1659" s="91"/>
      <c r="AC1659" s="91"/>
      <c r="AD1659" s="91"/>
      <c r="AE1659" s="91"/>
      <c r="AF1659" s="91"/>
      <c r="AG1659" s="91"/>
      <c r="AH1659" s="91"/>
      <c r="AI1659" s="91"/>
      <c r="AJ1659" s="91"/>
      <c r="AK1659" s="91"/>
      <c r="AL1659" s="91"/>
      <c r="AM1659" s="91"/>
    </row>
    <row r="1660" spans="1:39" ht="20.25" hidden="1" customHeight="1">
      <c r="A1660" s="91"/>
      <c r="B1660" s="93" t="s">
        <v>5365</v>
      </c>
      <c r="C1660" s="91" t="s">
        <v>36</v>
      </c>
      <c r="D1660" s="94" t="s">
        <v>5434</v>
      </c>
      <c r="E1660" s="94" t="s">
        <v>5435</v>
      </c>
      <c r="F1660" s="95" t="s">
        <v>5436</v>
      </c>
      <c r="G1660" s="96">
        <v>34671</v>
      </c>
      <c r="H1660" s="97">
        <v>15760</v>
      </c>
      <c r="I1660" s="100" t="s">
        <v>58</v>
      </c>
      <c r="J1660" s="94" t="s">
        <v>5437</v>
      </c>
      <c r="K1660" s="95" t="s">
        <v>5438</v>
      </c>
      <c r="L1660" s="91" t="s">
        <v>151</v>
      </c>
      <c r="M1660" s="98">
        <f ca="1">(TODAY()-H1660)/365</f>
        <v>82.854794520547941</v>
      </c>
      <c r="N1660" s="99">
        <f>(G1660-H1660)/365</f>
        <v>51.81095890410959</v>
      </c>
      <c r="O1660" s="98">
        <f ca="1">(TODAY()-G1660)/365</f>
        <v>31.043835616438358</v>
      </c>
      <c r="P1660" s="91" t="s">
        <v>43</v>
      </c>
      <c r="Q1660" s="91">
        <v>0</v>
      </c>
      <c r="R1660" s="91">
        <v>0</v>
      </c>
      <c r="S1660" s="91">
        <v>0</v>
      </c>
      <c r="T1660" s="91"/>
      <c r="U1660" s="91"/>
      <c r="V1660" s="91"/>
      <c r="W1660" s="91"/>
      <c r="X1660" s="91"/>
      <c r="Y1660" s="91"/>
      <c r="Z1660" s="91"/>
      <c r="AA1660" s="91"/>
      <c r="AB1660" s="91"/>
      <c r="AC1660" s="91"/>
      <c r="AD1660" s="91"/>
      <c r="AE1660" s="91"/>
      <c r="AF1660" s="91"/>
      <c r="AG1660" s="91"/>
      <c r="AH1660" s="91"/>
      <c r="AI1660" s="91"/>
      <c r="AJ1660" s="91"/>
      <c r="AK1660" s="91"/>
      <c r="AL1660" s="91"/>
      <c r="AM1660" s="91"/>
    </row>
    <row r="1661" spans="1:39" ht="20.25" hidden="1" customHeight="1">
      <c r="A1661" s="91"/>
      <c r="B1661" s="93" t="s">
        <v>5365</v>
      </c>
      <c r="C1661" s="91" t="s">
        <v>36</v>
      </c>
      <c r="D1661" s="94" t="s">
        <v>5439</v>
      </c>
      <c r="E1661" s="94" t="s">
        <v>5440</v>
      </c>
      <c r="F1661" s="95" t="s">
        <v>5441</v>
      </c>
      <c r="G1661" s="96">
        <v>41572</v>
      </c>
      <c r="H1661" s="97">
        <v>22215</v>
      </c>
      <c r="I1661" s="102" t="s">
        <v>5442</v>
      </c>
      <c r="J1661" s="94" t="s">
        <v>5443</v>
      </c>
      <c r="K1661" s="95" t="s">
        <v>5444</v>
      </c>
      <c r="L1661" s="91" t="s">
        <v>167</v>
      </c>
      <c r="M1661" s="98">
        <f ca="1">(TODAY()-H1661)/365</f>
        <v>65.169863013698631</v>
      </c>
      <c r="N1661" s="99">
        <f>(G1661-H1661)/365</f>
        <v>53.032876712328765</v>
      </c>
      <c r="O1661" s="98">
        <f ca="1">(TODAY()-G1661)/365</f>
        <v>12.136986301369863</v>
      </c>
      <c r="P1661" s="91" t="s">
        <v>43</v>
      </c>
      <c r="Q1661" s="91">
        <v>0</v>
      </c>
      <c r="R1661" s="91">
        <v>0</v>
      </c>
      <c r="S1661" s="91">
        <v>0</v>
      </c>
      <c r="T1661" s="91"/>
      <c r="U1661" s="91"/>
      <c r="V1661" s="91"/>
      <c r="W1661" s="91"/>
      <c r="X1661" s="91"/>
      <c r="Y1661" s="91"/>
      <c r="Z1661" s="91"/>
      <c r="AA1661" s="91"/>
      <c r="AB1661" s="91"/>
      <c r="AC1661" s="91"/>
      <c r="AD1661" s="91"/>
      <c r="AE1661" s="91"/>
      <c r="AF1661" s="91"/>
      <c r="AG1661" s="91"/>
      <c r="AH1661" s="91"/>
      <c r="AI1661" s="91"/>
      <c r="AJ1661" s="91"/>
      <c r="AK1661" s="91"/>
      <c r="AL1661" s="91"/>
      <c r="AM1661" s="91"/>
    </row>
    <row r="1662" spans="1:39" ht="20.25" hidden="1" customHeight="1">
      <c r="A1662" s="91"/>
      <c r="B1662" s="93" t="s">
        <v>5365</v>
      </c>
      <c r="C1662" s="91" t="s">
        <v>36</v>
      </c>
      <c r="D1662" s="94" t="s">
        <v>5445</v>
      </c>
      <c r="E1662" s="94" t="s">
        <v>5446</v>
      </c>
      <c r="F1662" s="95" t="s">
        <v>5447</v>
      </c>
      <c r="G1662" s="96">
        <v>43059</v>
      </c>
      <c r="H1662" s="97">
        <v>23165</v>
      </c>
      <c r="I1662" s="100" t="s">
        <v>58</v>
      </c>
      <c r="J1662" s="94" t="s">
        <v>5448</v>
      </c>
      <c r="K1662" s="95" t="s">
        <v>5449</v>
      </c>
      <c r="L1662" s="91" t="s">
        <v>60</v>
      </c>
      <c r="M1662" s="98">
        <f ca="1">(TODAY()-H1662)/365</f>
        <v>62.56712328767123</v>
      </c>
      <c r="N1662" s="99">
        <f>(G1662-H1662)/365</f>
        <v>54.504109589041093</v>
      </c>
      <c r="O1662" s="98">
        <f ca="1">(TODAY()-G1662)/365</f>
        <v>8.0630136986301366</v>
      </c>
      <c r="P1662" s="91" t="s">
        <v>43</v>
      </c>
      <c r="Q1662" s="91">
        <v>0</v>
      </c>
      <c r="R1662" s="91">
        <v>0</v>
      </c>
      <c r="S1662" s="91">
        <v>0</v>
      </c>
      <c r="T1662" s="91"/>
      <c r="U1662" s="91"/>
      <c r="V1662" s="91"/>
      <c r="W1662" s="91"/>
      <c r="X1662" s="91"/>
      <c r="Y1662" s="91"/>
      <c r="Z1662" s="91"/>
      <c r="AA1662" s="91"/>
      <c r="AB1662" s="91"/>
      <c r="AC1662" s="91"/>
      <c r="AD1662" s="91"/>
      <c r="AE1662" s="91"/>
      <c r="AF1662" s="91"/>
      <c r="AG1662" s="91"/>
      <c r="AH1662" s="91"/>
      <c r="AI1662" s="91"/>
      <c r="AJ1662" s="91"/>
      <c r="AK1662" s="91"/>
      <c r="AL1662" s="91"/>
      <c r="AM1662" s="91"/>
    </row>
    <row r="1663" spans="1:39" ht="20.25" hidden="1" customHeight="1">
      <c r="A1663" s="91"/>
      <c r="B1663" s="93" t="s">
        <v>5365</v>
      </c>
      <c r="C1663" s="91" t="s">
        <v>36</v>
      </c>
      <c r="D1663" s="94" t="s">
        <v>5450</v>
      </c>
      <c r="E1663" s="94" t="s">
        <v>5451</v>
      </c>
      <c r="F1663" s="95" t="s">
        <v>5452</v>
      </c>
      <c r="G1663" s="96">
        <v>45461</v>
      </c>
      <c r="H1663" s="97">
        <v>24311</v>
      </c>
      <c r="I1663" s="100" t="s">
        <v>58</v>
      </c>
      <c r="J1663" s="94" t="s">
        <v>5453</v>
      </c>
      <c r="K1663" s="95" t="s">
        <v>5454</v>
      </c>
      <c r="L1663" s="91" t="s">
        <v>60</v>
      </c>
      <c r="M1663" s="98">
        <f ca="1">(TODAY()-H1663)/365</f>
        <v>59.42739726027397</v>
      </c>
      <c r="N1663" s="99">
        <f>(G1663-H1663)/365</f>
        <v>57.945205479452056</v>
      </c>
      <c r="O1663" s="98">
        <f ca="1">(TODAY()-G1663)/365</f>
        <v>1.4821917808219178</v>
      </c>
      <c r="P1663" s="91" t="s">
        <v>43</v>
      </c>
      <c r="Q1663" s="91">
        <v>0</v>
      </c>
      <c r="R1663" s="91">
        <v>0</v>
      </c>
      <c r="S1663" s="91">
        <v>0</v>
      </c>
      <c r="T1663" s="91"/>
      <c r="U1663" s="91"/>
      <c r="V1663" s="91"/>
      <c r="W1663" s="91"/>
      <c r="X1663" s="91"/>
      <c r="Y1663" s="91"/>
      <c r="Z1663" s="91"/>
      <c r="AA1663" s="91"/>
      <c r="AB1663" s="91"/>
      <c r="AC1663" s="91"/>
      <c r="AD1663" s="91"/>
      <c r="AE1663" s="91"/>
      <c r="AF1663" s="91"/>
      <c r="AG1663" s="91"/>
      <c r="AH1663" s="91"/>
      <c r="AI1663" s="91"/>
      <c r="AJ1663" s="91"/>
      <c r="AK1663" s="91"/>
      <c r="AL1663" s="91"/>
      <c r="AM1663" s="91"/>
    </row>
    <row r="1664" spans="1:39" ht="20.25" hidden="1" customHeight="1">
      <c r="A1664" s="91"/>
      <c r="B1664" s="93" t="s">
        <v>5365</v>
      </c>
      <c r="C1664" s="91" t="s">
        <v>36</v>
      </c>
      <c r="D1664" s="94" t="s">
        <v>5455</v>
      </c>
      <c r="E1664" s="94" t="s">
        <v>5456</v>
      </c>
      <c r="F1664" s="95" t="s">
        <v>5457</v>
      </c>
      <c r="G1664" s="96">
        <v>42774</v>
      </c>
      <c r="H1664" s="97">
        <v>20852</v>
      </c>
      <c r="I1664" s="102" t="s">
        <v>5458</v>
      </c>
      <c r="J1664" s="94" t="s">
        <v>5459</v>
      </c>
      <c r="K1664" s="95" t="s">
        <v>5460</v>
      </c>
      <c r="L1664" s="91" t="s">
        <v>42</v>
      </c>
      <c r="M1664" s="98">
        <f ca="1">(TODAY()-H1664)/365</f>
        <v>68.904109589041099</v>
      </c>
      <c r="N1664" s="99">
        <f>(G1664-H1664)/365</f>
        <v>60.060273972602737</v>
      </c>
      <c r="O1664" s="98">
        <f ca="1">(TODAY()-G1664)/365</f>
        <v>8.8438356164383567</v>
      </c>
      <c r="P1664" s="91" t="s">
        <v>43</v>
      </c>
      <c r="Q1664" s="91">
        <v>0</v>
      </c>
      <c r="R1664" s="91">
        <v>0</v>
      </c>
      <c r="S1664" s="91">
        <v>0</v>
      </c>
      <c r="T1664" s="91"/>
      <c r="U1664" s="91"/>
      <c r="V1664" s="91"/>
      <c r="W1664" s="91"/>
      <c r="X1664" s="91"/>
      <c r="Y1664" s="91"/>
      <c r="Z1664" s="91"/>
      <c r="AA1664" s="91"/>
      <c r="AB1664" s="91"/>
      <c r="AC1664" s="91"/>
      <c r="AD1664" s="91"/>
      <c r="AE1664" s="91"/>
      <c r="AF1664" s="91"/>
      <c r="AG1664" s="91"/>
      <c r="AH1664" s="91"/>
      <c r="AI1664" s="91"/>
      <c r="AJ1664" s="91"/>
      <c r="AK1664" s="91"/>
      <c r="AL1664" s="91"/>
      <c r="AM1664" s="91"/>
    </row>
    <row r="1665" spans="1:39" ht="20.25" customHeight="1">
      <c r="A1665" s="91"/>
      <c r="B1665" s="93" t="s">
        <v>10981</v>
      </c>
      <c r="C1665" s="91" t="s">
        <v>73</v>
      </c>
      <c r="D1665" s="106" t="s">
        <v>11076</v>
      </c>
      <c r="E1665" s="106" t="s">
        <v>11077</v>
      </c>
      <c r="F1665" s="92" t="s">
        <v>11078</v>
      </c>
      <c r="G1665" s="103">
        <v>40054</v>
      </c>
      <c r="H1665" s="103">
        <v>34420</v>
      </c>
      <c r="I1665" s="94" t="s">
        <v>58</v>
      </c>
      <c r="J1665" s="100" t="s">
        <v>58</v>
      </c>
      <c r="K1665" s="95" t="s">
        <v>58</v>
      </c>
      <c r="L1665" s="91"/>
      <c r="M1665" s="98">
        <f ca="1">(TODAY()-H1665)/365</f>
        <v>31.731506849315068</v>
      </c>
      <c r="N1665" s="99">
        <f>(G1665-H1665)/365</f>
        <v>15.435616438356165</v>
      </c>
      <c r="O1665" s="98">
        <f ca="1">(TODAY()-G1665)/365</f>
        <v>16.295890410958904</v>
      </c>
      <c r="P1665" s="91" t="s">
        <v>272</v>
      </c>
      <c r="Q1665" s="91"/>
      <c r="R1665" s="91"/>
      <c r="S1665" s="91"/>
      <c r="T1665" s="91"/>
      <c r="U1665" s="91"/>
      <c r="V1665" s="91"/>
      <c r="W1665" s="91"/>
      <c r="X1665" s="91"/>
      <c r="Y1665" s="91"/>
      <c r="Z1665" s="91"/>
      <c r="AA1665" s="91"/>
      <c r="AB1665" s="91"/>
      <c r="AC1665" s="91"/>
      <c r="AD1665" s="91"/>
      <c r="AE1665" s="91"/>
      <c r="AF1665" s="91"/>
      <c r="AG1665" s="91"/>
      <c r="AH1665" s="91"/>
      <c r="AI1665" s="91"/>
      <c r="AJ1665" s="91"/>
      <c r="AK1665" s="91"/>
      <c r="AL1665" s="91"/>
      <c r="AM1665" s="91"/>
    </row>
    <row r="1666" spans="1:39" ht="20.25" hidden="1" customHeight="1">
      <c r="A1666" s="91"/>
      <c r="B1666" s="93" t="s">
        <v>5365</v>
      </c>
      <c r="C1666" s="91" t="s">
        <v>36</v>
      </c>
      <c r="D1666" s="94" t="s">
        <v>5465</v>
      </c>
      <c r="E1666" s="94" t="s">
        <v>5466</v>
      </c>
      <c r="F1666" s="95" t="s">
        <v>5467</v>
      </c>
      <c r="G1666" s="96">
        <v>45218</v>
      </c>
      <c r="H1666" s="97">
        <v>22626</v>
      </c>
      <c r="I1666" s="102" t="s">
        <v>5468</v>
      </c>
      <c r="J1666" s="94" t="s">
        <v>5469</v>
      </c>
      <c r="K1666" s="95" t="s">
        <v>5470</v>
      </c>
      <c r="L1666" s="91" t="s">
        <v>60</v>
      </c>
      <c r="M1666" s="98">
        <f ca="1">(TODAY()-H1666)/365</f>
        <v>64.043835616438358</v>
      </c>
      <c r="N1666" s="99">
        <f>(G1666-H1666)/365</f>
        <v>61.895890410958906</v>
      </c>
      <c r="O1666" s="98">
        <f ca="1">(TODAY()-G1666)/365</f>
        <v>2.1479452054794521</v>
      </c>
      <c r="P1666" s="91" t="s">
        <v>43</v>
      </c>
      <c r="Q1666" s="91">
        <v>0</v>
      </c>
      <c r="R1666" s="91">
        <v>0</v>
      </c>
      <c r="S1666" s="91">
        <v>0</v>
      </c>
      <c r="T1666" s="91"/>
      <c r="U1666" s="91"/>
      <c r="V1666" s="91"/>
      <c r="W1666" s="91"/>
      <c r="X1666" s="91"/>
      <c r="Y1666" s="91"/>
      <c r="Z1666" s="91"/>
      <c r="AA1666" s="91"/>
      <c r="AB1666" s="91"/>
      <c r="AC1666" s="91"/>
      <c r="AD1666" s="91"/>
      <c r="AE1666" s="91"/>
      <c r="AF1666" s="91"/>
      <c r="AG1666" s="91"/>
      <c r="AH1666" s="91"/>
      <c r="AI1666" s="91"/>
      <c r="AJ1666" s="91"/>
      <c r="AK1666" s="91"/>
      <c r="AL1666" s="91"/>
      <c r="AM1666" s="91"/>
    </row>
    <row r="1667" spans="1:39" ht="20.25" hidden="1" customHeight="1">
      <c r="A1667" s="91"/>
      <c r="B1667" s="93" t="s">
        <v>5365</v>
      </c>
      <c r="C1667" s="91" t="s">
        <v>36</v>
      </c>
      <c r="D1667" s="94" t="s">
        <v>5471</v>
      </c>
      <c r="E1667" s="94" t="s">
        <v>5472</v>
      </c>
      <c r="F1667" s="95" t="s">
        <v>5473</v>
      </c>
      <c r="G1667" s="96">
        <v>41225</v>
      </c>
      <c r="H1667" s="97">
        <v>18394</v>
      </c>
      <c r="I1667" s="102" t="s">
        <v>5474</v>
      </c>
      <c r="J1667" s="94" t="s">
        <v>5475</v>
      </c>
      <c r="K1667" s="95" t="s">
        <v>5476</v>
      </c>
      <c r="L1667" s="91" t="s">
        <v>54</v>
      </c>
      <c r="M1667" s="98">
        <f ca="1">(TODAY()-H1667)/365</f>
        <v>75.638356164383566</v>
      </c>
      <c r="N1667" s="99">
        <f>(G1667-H1667)/365</f>
        <v>62.550684931506851</v>
      </c>
      <c r="O1667" s="98">
        <f ca="1">(TODAY()-G1667)/365</f>
        <v>13.087671232876712</v>
      </c>
      <c r="P1667" s="91" t="s">
        <v>43</v>
      </c>
      <c r="Q1667" s="91">
        <v>0</v>
      </c>
      <c r="R1667" s="91">
        <v>0</v>
      </c>
      <c r="S1667" s="91">
        <v>0</v>
      </c>
      <c r="T1667" s="91"/>
      <c r="U1667" s="91"/>
      <c r="V1667" s="91"/>
      <c r="W1667" s="91"/>
      <c r="X1667" s="91"/>
      <c r="Y1667" s="91"/>
      <c r="Z1667" s="91"/>
      <c r="AA1667" s="91"/>
      <c r="AB1667" s="91"/>
      <c r="AC1667" s="91"/>
      <c r="AD1667" s="91"/>
      <c r="AE1667" s="91"/>
      <c r="AF1667" s="91"/>
      <c r="AG1667" s="91"/>
      <c r="AH1667" s="91"/>
      <c r="AI1667" s="91"/>
      <c r="AJ1667" s="91"/>
      <c r="AK1667" s="91"/>
      <c r="AL1667" s="91"/>
      <c r="AM1667" s="91"/>
    </row>
    <row r="1668" spans="1:39" ht="20.25" customHeight="1">
      <c r="A1668" s="91"/>
      <c r="B1668" s="93" t="s">
        <v>7434</v>
      </c>
      <c r="C1668" s="91" t="s">
        <v>73</v>
      </c>
      <c r="D1668" s="94" t="s">
        <v>1450</v>
      </c>
      <c r="E1668" s="94" t="s">
        <v>7485</v>
      </c>
      <c r="F1668" s="95" t="s">
        <v>7486</v>
      </c>
      <c r="G1668" s="96">
        <v>39746</v>
      </c>
      <c r="H1668" s="97">
        <v>16571</v>
      </c>
      <c r="I1668" s="100" t="s">
        <v>58</v>
      </c>
      <c r="J1668" s="100" t="s">
        <v>58</v>
      </c>
      <c r="K1668" s="91" t="s">
        <v>58</v>
      </c>
      <c r="L1668" s="91" t="s">
        <v>60</v>
      </c>
      <c r="M1668" s="98">
        <f ca="1">(TODAY()-H1668)/365</f>
        <v>80.632876712328766</v>
      </c>
      <c r="N1668" s="99">
        <f>(G1668-H1668)/365</f>
        <v>63.493150684931507</v>
      </c>
      <c r="O1668" s="98">
        <f ca="1">(TODAY()-G1668)/365</f>
        <v>17.139726027397259</v>
      </c>
      <c r="P1668" s="91" t="s">
        <v>43</v>
      </c>
      <c r="Q1668" s="91">
        <v>0</v>
      </c>
      <c r="R1668" s="91">
        <v>0</v>
      </c>
      <c r="S1668" s="91">
        <v>0</v>
      </c>
      <c r="T1668" s="91"/>
      <c r="U1668" s="91"/>
      <c r="V1668" s="91"/>
      <c r="W1668" s="91"/>
      <c r="X1668" s="91"/>
      <c r="Y1668" s="91"/>
      <c r="Z1668" s="91"/>
      <c r="AA1668" s="91"/>
      <c r="AB1668" s="91"/>
      <c r="AC1668" s="91"/>
      <c r="AD1668" s="91"/>
      <c r="AE1668" s="91"/>
      <c r="AF1668" s="91"/>
      <c r="AG1668" s="91"/>
      <c r="AH1668" s="91"/>
      <c r="AI1668" s="91"/>
      <c r="AJ1668" s="91"/>
      <c r="AK1668" s="91"/>
      <c r="AL1668" s="91"/>
      <c r="AM1668" s="91"/>
    </row>
    <row r="1669" spans="1:39" ht="20.25" hidden="1" customHeight="1">
      <c r="A1669" s="91"/>
      <c r="B1669" s="93" t="s">
        <v>5365</v>
      </c>
      <c r="C1669" s="91" t="s">
        <v>36</v>
      </c>
      <c r="D1669" s="94" t="s">
        <v>5479</v>
      </c>
      <c r="E1669" s="94" t="s">
        <v>5480</v>
      </c>
      <c r="F1669" s="95" t="s">
        <v>5481</v>
      </c>
      <c r="G1669" s="96">
        <v>44271</v>
      </c>
      <c r="H1669" s="97">
        <v>19327</v>
      </c>
      <c r="I1669" s="102" t="s">
        <v>5482</v>
      </c>
      <c r="J1669" s="94" t="s">
        <v>5414</v>
      </c>
      <c r="K1669" s="95" t="s">
        <v>5483</v>
      </c>
      <c r="L1669" s="91" t="s">
        <v>72</v>
      </c>
      <c r="M1669" s="98">
        <f ca="1">(TODAY()-H1669)/365</f>
        <v>73.082191780821915</v>
      </c>
      <c r="N1669" s="99">
        <f>(G1669-H1669)/365</f>
        <v>68.339726027397262</v>
      </c>
      <c r="O1669" s="98">
        <f ca="1">(TODAY()-G1669)/365</f>
        <v>4.7424657534246579</v>
      </c>
      <c r="P1669" s="91" t="s">
        <v>43</v>
      </c>
      <c r="Q1669" s="91">
        <v>0</v>
      </c>
      <c r="R1669" s="91">
        <v>0</v>
      </c>
      <c r="S1669" s="91">
        <v>0</v>
      </c>
      <c r="T1669" s="91"/>
      <c r="U1669" s="91"/>
      <c r="V1669" s="91"/>
      <c r="W1669" s="91"/>
      <c r="X1669" s="91"/>
      <c r="Y1669" s="91"/>
      <c r="Z1669" s="91"/>
      <c r="AA1669" s="91"/>
      <c r="AB1669" s="91"/>
      <c r="AC1669" s="91"/>
      <c r="AD1669" s="91"/>
      <c r="AE1669" s="91"/>
      <c r="AF1669" s="91"/>
      <c r="AG1669" s="91"/>
      <c r="AH1669" s="91"/>
      <c r="AI1669" s="91"/>
      <c r="AJ1669" s="91"/>
      <c r="AK1669" s="91"/>
      <c r="AL1669" s="91"/>
      <c r="AM1669" s="91"/>
    </row>
    <row r="1670" spans="1:39" ht="20.25" customHeight="1">
      <c r="A1670" s="91"/>
      <c r="B1670" s="93" t="s">
        <v>8095</v>
      </c>
      <c r="C1670" s="91" t="s">
        <v>73</v>
      </c>
      <c r="D1670" s="94" t="s">
        <v>8157</v>
      </c>
      <c r="E1670" s="94" t="s">
        <v>8158</v>
      </c>
      <c r="F1670" s="95" t="s">
        <v>8159</v>
      </c>
      <c r="G1670" s="96">
        <v>44256</v>
      </c>
      <c r="H1670" s="97">
        <v>29522</v>
      </c>
      <c r="I1670" s="94" t="s">
        <v>8160</v>
      </c>
      <c r="J1670" s="100" t="s">
        <v>58</v>
      </c>
      <c r="K1670" s="91" t="s">
        <v>58</v>
      </c>
      <c r="L1670" s="91" t="s">
        <v>60</v>
      </c>
      <c r="M1670" s="98">
        <f ca="1">(TODAY()-H1670)/365</f>
        <v>45.150684931506852</v>
      </c>
      <c r="N1670" s="99">
        <f>(G1670-H1670)/365</f>
        <v>40.367123287671234</v>
      </c>
      <c r="O1670" s="98">
        <f ca="1">(TODAY()-G1670)/365</f>
        <v>4.7835616438356166</v>
      </c>
      <c r="P1670" s="91" t="s">
        <v>43</v>
      </c>
      <c r="Q1670" s="91">
        <v>0</v>
      </c>
      <c r="R1670" s="91">
        <v>0</v>
      </c>
      <c r="S1670" s="91">
        <v>0</v>
      </c>
      <c r="T1670" s="91"/>
      <c r="U1670" s="91"/>
      <c r="V1670" s="91"/>
      <c r="W1670" s="91"/>
      <c r="X1670" s="91"/>
      <c r="Y1670" s="91"/>
      <c r="Z1670" s="91"/>
      <c r="AA1670" s="91"/>
      <c r="AB1670" s="91"/>
      <c r="AC1670" s="91"/>
      <c r="AD1670" s="91"/>
      <c r="AE1670" s="91"/>
      <c r="AF1670" s="91"/>
      <c r="AG1670" s="91"/>
      <c r="AH1670" s="91"/>
      <c r="AI1670" s="91"/>
      <c r="AJ1670" s="91"/>
      <c r="AK1670" s="91"/>
      <c r="AL1670" s="91"/>
      <c r="AM1670" s="91"/>
    </row>
    <row r="1671" spans="1:39" ht="20.25" customHeight="1">
      <c r="A1671" s="91"/>
      <c r="B1671" s="93" t="s">
        <v>10232</v>
      </c>
      <c r="C1671" s="91" t="s">
        <v>73</v>
      </c>
      <c r="D1671" s="106" t="s">
        <v>10260</v>
      </c>
      <c r="E1671" s="106" t="s">
        <v>10261</v>
      </c>
      <c r="F1671" s="92" t="s">
        <v>10262</v>
      </c>
      <c r="G1671" s="103">
        <v>43103</v>
      </c>
      <c r="H1671" s="103">
        <v>27270</v>
      </c>
      <c r="I1671" s="108" t="s">
        <v>12603</v>
      </c>
      <c r="J1671" s="94" t="s">
        <v>10263</v>
      </c>
      <c r="K1671" s="92">
        <v>973907040</v>
      </c>
      <c r="L1671" s="91"/>
      <c r="M1671" s="98">
        <f ca="1">(TODAY()-H1671)/365</f>
        <v>51.320547945205476</v>
      </c>
      <c r="N1671" s="99">
        <f>(G1671-H1671)/365</f>
        <v>43.37808219178082</v>
      </c>
      <c r="O1671" s="98">
        <f ca="1">(TODAY()-G1671)/365</f>
        <v>7.9424657534246572</v>
      </c>
      <c r="P1671" s="91" t="s">
        <v>43</v>
      </c>
      <c r="Q1671" s="91"/>
      <c r="R1671" s="91"/>
      <c r="S1671" s="91"/>
      <c r="T1671" s="91"/>
      <c r="U1671" s="91"/>
      <c r="V1671" s="91"/>
      <c r="W1671" s="91"/>
      <c r="X1671" s="91"/>
      <c r="Y1671" s="91"/>
      <c r="Z1671" s="91"/>
      <c r="AA1671" s="91"/>
      <c r="AB1671" s="91"/>
      <c r="AC1671" s="91"/>
      <c r="AD1671" s="91"/>
      <c r="AE1671" s="91"/>
      <c r="AF1671" s="91"/>
      <c r="AG1671" s="91"/>
      <c r="AH1671" s="91"/>
      <c r="AI1671" s="91"/>
      <c r="AJ1671" s="91"/>
      <c r="AK1671" s="91"/>
      <c r="AL1671" s="91"/>
      <c r="AM1671" s="91"/>
    </row>
    <row r="1672" spans="1:39" ht="20.25" customHeight="1">
      <c r="A1672" s="91"/>
      <c r="B1672" s="93" t="s">
        <v>5365</v>
      </c>
      <c r="C1672" s="91" t="s">
        <v>73</v>
      </c>
      <c r="D1672" s="94" t="s">
        <v>5408</v>
      </c>
      <c r="E1672" s="94" t="s">
        <v>5409</v>
      </c>
      <c r="F1672" s="91" t="s">
        <v>58</v>
      </c>
      <c r="G1672" s="96">
        <v>32741</v>
      </c>
      <c r="H1672" s="97">
        <v>18350</v>
      </c>
      <c r="I1672" s="100" t="s">
        <v>58</v>
      </c>
      <c r="J1672" s="100" t="s">
        <v>58</v>
      </c>
      <c r="K1672" s="91" t="s">
        <v>58</v>
      </c>
      <c r="L1672" s="91" t="s">
        <v>60</v>
      </c>
      <c r="M1672" s="98">
        <f ca="1">(TODAY()-H1672)/365</f>
        <v>75.758904109589039</v>
      </c>
      <c r="N1672" s="99">
        <f>(G1672-H1672)/365</f>
        <v>39.42739726027397</v>
      </c>
      <c r="O1672" s="98">
        <f ca="1">(TODAY()-G1672)/365</f>
        <v>36.331506849315069</v>
      </c>
      <c r="P1672" s="91" t="s">
        <v>43</v>
      </c>
      <c r="Q1672" s="91">
        <v>0</v>
      </c>
      <c r="R1672" s="91">
        <v>0</v>
      </c>
      <c r="S1672" s="91">
        <v>0</v>
      </c>
      <c r="T1672" s="91"/>
      <c r="U1672" s="91"/>
      <c r="V1672" s="91"/>
      <c r="W1672" s="91"/>
      <c r="X1672" s="91"/>
      <c r="Y1672" s="91"/>
      <c r="Z1672" s="91"/>
      <c r="AA1672" s="91"/>
      <c r="AB1672" s="91"/>
      <c r="AC1672" s="91"/>
      <c r="AD1672" s="91"/>
      <c r="AE1672" s="91"/>
      <c r="AF1672" s="91"/>
      <c r="AG1672" s="91"/>
      <c r="AH1672" s="91"/>
      <c r="AI1672" s="91"/>
      <c r="AJ1672" s="91"/>
      <c r="AK1672" s="91"/>
      <c r="AL1672" s="91"/>
      <c r="AM1672" s="91"/>
    </row>
    <row r="1673" spans="1:39" ht="20.25" hidden="1" customHeight="1">
      <c r="A1673" s="91"/>
      <c r="B1673" s="93" t="s">
        <v>5484</v>
      </c>
      <c r="C1673" s="91" t="s">
        <v>36</v>
      </c>
      <c r="D1673" s="107" t="s">
        <v>3811</v>
      </c>
      <c r="E1673" s="107" t="s">
        <v>5492</v>
      </c>
      <c r="F1673" s="91" t="s">
        <v>5493</v>
      </c>
      <c r="G1673" s="97" t="s">
        <v>58</v>
      </c>
      <c r="H1673" s="97" t="s">
        <v>58</v>
      </c>
      <c r="I1673" s="100" t="s">
        <v>58</v>
      </c>
      <c r="J1673" s="100" t="s">
        <v>5494</v>
      </c>
      <c r="K1673" s="91" t="s">
        <v>5495</v>
      </c>
      <c r="L1673" s="91" t="s">
        <v>60</v>
      </c>
      <c r="M1673" s="98">
        <v>0</v>
      </c>
      <c r="N1673" s="91"/>
      <c r="O1673" s="98" t="e">
        <f ca="1">(TODAY()-G1673)/365</f>
        <v>#VALUE!</v>
      </c>
      <c r="P1673" s="91" t="s">
        <v>43</v>
      </c>
      <c r="Q1673" s="91">
        <v>0</v>
      </c>
      <c r="R1673" s="91">
        <v>0</v>
      </c>
      <c r="S1673" s="91">
        <v>0</v>
      </c>
      <c r="T1673" s="91"/>
      <c r="U1673" s="91"/>
      <c r="V1673" s="91"/>
      <c r="W1673" s="91"/>
      <c r="X1673" s="91"/>
      <c r="Y1673" s="91"/>
      <c r="Z1673" s="91"/>
      <c r="AA1673" s="91"/>
      <c r="AB1673" s="91"/>
      <c r="AC1673" s="91"/>
      <c r="AD1673" s="91"/>
      <c r="AE1673" s="91"/>
      <c r="AF1673" s="91"/>
      <c r="AG1673" s="91"/>
      <c r="AH1673" s="91"/>
      <c r="AI1673" s="91"/>
      <c r="AJ1673" s="91"/>
      <c r="AK1673" s="91"/>
      <c r="AL1673" s="91"/>
      <c r="AM1673" s="91"/>
    </row>
    <row r="1674" spans="1:39" ht="20.25" hidden="1" customHeight="1">
      <c r="A1674" s="91"/>
      <c r="B1674" s="93" t="s">
        <v>5484</v>
      </c>
      <c r="C1674" s="91" t="s">
        <v>36</v>
      </c>
      <c r="D1674" s="107" t="s">
        <v>3811</v>
      </c>
      <c r="E1674" s="107" t="s">
        <v>5496</v>
      </c>
      <c r="F1674" s="91" t="s">
        <v>5497</v>
      </c>
      <c r="G1674" s="96">
        <v>39182</v>
      </c>
      <c r="H1674" s="103" t="s">
        <v>58</v>
      </c>
      <c r="I1674" s="100" t="s">
        <v>5498</v>
      </c>
      <c r="J1674" s="100" t="s">
        <v>5499</v>
      </c>
      <c r="K1674" s="91" t="s">
        <v>5500</v>
      </c>
      <c r="L1674" s="91" t="s">
        <v>216</v>
      </c>
      <c r="M1674" s="98">
        <v>0</v>
      </c>
      <c r="N1674" s="91"/>
      <c r="O1674" s="98">
        <f ca="1">(TODAY()-G1674)/365</f>
        <v>18.684931506849313</v>
      </c>
      <c r="P1674" s="91" t="s">
        <v>43</v>
      </c>
      <c r="Q1674" s="91">
        <v>0</v>
      </c>
      <c r="R1674" s="91">
        <v>0</v>
      </c>
      <c r="S1674" s="91">
        <v>0</v>
      </c>
      <c r="T1674" s="91"/>
      <c r="U1674" s="91"/>
      <c r="V1674" s="91"/>
      <c r="W1674" s="91"/>
      <c r="X1674" s="91"/>
      <c r="Y1674" s="91"/>
      <c r="Z1674" s="91"/>
      <c r="AA1674" s="91"/>
      <c r="AB1674" s="91"/>
      <c r="AC1674" s="91"/>
      <c r="AD1674" s="91"/>
      <c r="AE1674" s="91"/>
      <c r="AF1674" s="91"/>
      <c r="AG1674" s="91"/>
      <c r="AH1674" s="91"/>
      <c r="AI1674" s="91"/>
      <c r="AJ1674" s="91"/>
      <c r="AK1674" s="91"/>
      <c r="AL1674" s="91"/>
      <c r="AM1674" s="91"/>
    </row>
    <row r="1675" spans="1:39" ht="20.25" hidden="1" customHeight="1">
      <c r="A1675" s="91"/>
      <c r="B1675" s="93" t="s">
        <v>5484</v>
      </c>
      <c r="C1675" s="91" t="s">
        <v>36</v>
      </c>
      <c r="D1675" s="107" t="s">
        <v>517</v>
      </c>
      <c r="E1675" s="107" t="s">
        <v>5501</v>
      </c>
      <c r="F1675" s="91" t="s">
        <v>5502</v>
      </c>
      <c r="G1675" s="96">
        <v>42802</v>
      </c>
      <c r="H1675" s="103" t="s">
        <v>58</v>
      </c>
      <c r="I1675" s="100" t="s">
        <v>58</v>
      </c>
      <c r="J1675" s="100" t="s">
        <v>5503</v>
      </c>
      <c r="K1675" s="91" t="s">
        <v>5504</v>
      </c>
      <c r="L1675" s="91" t="s">
        <v>60</v>
      </c>
      <c r="M1675" s="98">
        <v>0</v>
      </c>
      <c r="N1675" s="91"/>
      <c r="O1675" s="98">
        <f ca="1">(TODAY()-G1675)/365</f>
        <v>8.7671232876712324</v>
      </c>
      <c r="P1675" s="91" t="s">
        <v>43</v>
      </c>
      <c r="Q1675" s="91">
        <v>0</v>
      </c>
      <c r="R1675" s="91">
        <v>0</v>
      </c>
      <c r="S1675" s="91">
        <v>0</v>
      </c>
      <c r="T1675" s="91"/>
      <c r="U1675" s="91"/>
      <c r="V1675" s="91"/>
      <c r="W1675" s="91"/>
      <c r="X1675" s="91"/>
      <c r="Y1675" s="91"/>
      <c r="Z1675" s="91"/>
      <c r="AA1675" s="91"/>
      <c r="AB1675" s="91"/>
      <c r="AC1675" s="91"/>
      <c r="AD1675" s="91"/>
      <c r="AE1675" s="91"/>
      <c r="AF1675" s="91"/>
      <c r="AG1675" s="91"/>
      <c r="AH1675" s="91"/>
      <c r="AI1675" s="91"/>
      <c r="AJ1675" s="91"/>
      <c r="AK1675" s="91"/>
      <c r="AL1675" s="91"/>
      <c r="AM1675" s="91"/>
    </row>
    <row r="1676" spans="1:39" ht="20.25" hidden="1" customHeight="1">
      <c r="A1676" s="91"/>
      <c r="B1676" s="93" t="s">
        <v>5484</v>
      </c>
      <c r="C1676" s="91" t="s">
        <v>36</v>
      </c>
      <c r="D1676" s="107" t="s">
        <v>576</v>
      </c>
      <c r="E1676" s="107" t="s">
        <v>5505</v>
      </c>
      <c r="F1676" s="91" t="s">
        <v>5506</v>
      </c>
      <c r="G1676" s="96">
        <v>35897</v>
      </c>
      <c r="H1676" s="103" t="s">
        <v>58</v>
      </c>
      <c r="I1676" s="100" t="s">
        <v>5507</v>
      </c>
      <c r="J1676" s="100" t="s">
        <v>5508</v>
      </c>
      <c r="K1676" s="91" t="s">
        <v>5509</v>
      </c>
      <c r="L1676" s="91" t="s">
        <v>54</v>
      </c>
      <c r="M1676" s="98">
        <v>0</v>
      </c>
      <c r="N1676" s="91"/>
      <c r="O1676" s="98">
        <f ca="1">(TODAY()-G1676)/365</f>
        <v>27.684931506849313</v>
      </c>
      <c r="P1676" s="91" t="s">
        <v>43</v>
      </c>
      <c r="Q1676" s="91">
        <v>0</v>
      </c>
      <c r="R1676" s="91">
        <v>0</v>
      </c>
      <c r="S1676" s="91">
        <v>0</v>
      </c>
      <c r="T1676" s="91"/>
      <c r="U1676" s="91"/>
      <c r="V1676" s="91"/>
      <c r="W1676" s="91"/>
      <c r="X1676" s="91"/>
      <c r="Y1676" s="91"/>
      <c r="Z1676" s="91"/>
      <c r="AA1676" s="91"/>
      <c r="AB1676" s="91"/>
      <c r="AC1676" s="91"/>
      <c r="AD1676" s="91"/>
      <c r="AE1676" s="91"/>
      <c r="AF1676" s="91"/>
      <c r="AG1676" s="91"/>
      <c r="AH1676" s="91"/>
      <c r="AI1676" s="91"/>
      <c r="AJ1676" s="91"/>
      <c r="AK1676" s="91"/>
      <c r="AL1676" s="91"/>
      <c r="AM1676" s="91"/>
    </row>
    <row r="1677" spans="1:39" ht="20.25" hidden="1" customHeight="1">
      <c r="A1677" s="91"/>
      <c r="B1677" s="93" t="s">
        <v>5484</v>
      </c>
      <c r="C1677" s="91" t="s">
        <v>36</v>
      </c>
      <c r="D1677" s="107" t="s">
        <v>249</v>
      </c>
      <c r="E1677" s="107" t="s">
        <v>5510</v>
      </c>
      <c r="F1677" s="91" t="s">
        <v>5511</v>
      </c>
      <c r="G1677" s="97" t="s">
        <v>58</v>
      </c>
      <c r="H1677" s="97" t="s">
        <v>58</v>
      </c>
      <c r="I1677" s="100" t="s">
        <v>58</v>
      </c>
      <c r="J1677" s="100" t="s">
        <v>58</v>
      </c>
      <c r="K1677" s="91" t="s">
        <v>5512</v>
      </c>
      <c r="L1677" s="91" t="s">
        <v>60</v>
      </c>
      <c r="M1677" s="98">
        <v>0</v>
      </c>
      <c r="N1677" s="91"/>
      <c r="O1677" s="98" t="e">
        <f ca="1">(TODAY()-G1677)/365</f>
        <v>#VALUE!</v>
      </c>
      <c r="P1677" s="91" t="s">
        <v>272</v>
      </c>
      <c r="Q1677" s="91">
        <v>0</v>
      </c>
      <c r="R1677" s="91">
        <v>0</v>
      </c>
      <c r="S1677" s="91">
        <v>0</v>
      </c>
      <c r="T1677" s="91"/>
      <c r="U1677" s="91"/>
      <c r="V1677" s="91"/>
      <c r="W1677" s="91"/>
      <c r="X1677" s="91"/>
      <c r="Y1677" s="91"/>
      <c r="Z1677" s="91"/>
      <c r="AA1677" s="91"/>
      <c r="AB1677" s="91"/>
      <c r="AC1677" s="91"/>
      <c r="AD1677" s="91"/>
      <c r="AE1677" s="91"/>
      <c r="AF1677" s="91"/>
      <c r="AG1677" s="91"/>
      <c r="AH1677" s="91"/>
      <c r="AI1677" s="91"/>
      <c r="AJ1677" s="91"/>
      <c r="AK1677" s="91"/>
      <c r="AL1677" s="91"/>
      <c r="AM1677" s="91"/>
    </row>
    <row r="1678" spans="1:39" ht="20.25" hidden="1" customHeight="1">
      <c r="A1678" s="91"/>
      <c r="B1678" s="93" t="s">
        <v>5484</v>
      </c>
      <c r="C1678" s="91" t="s">
        <v>36</v>
      </c>
      <c r="D1678" s="107" t="s">
        <v>4649</v>
      </c>
      <c r="E1678" s="107" t="s">
        <v>5513</v>
      </c>
      <c r="F1678" s="91" t="s">
        <v>5514</v>
      </c>
      <c r="G1678" s="96">
        <v>42270</v>
      </c>
      <c r="H1678" s="103" t="s">
        <v>58</v>
      </c>
      <c r="I1678" s="100" t="s">
        <v>58</v>
      </c>
      <c r="J1678" s="100" t="s">
        <v>5515</v>
      </c>
      <c r="K1678" s="91" t="s">
        <v>5516</v>
      </c>
      <c r="L1678" s="91" t="s">
        <v>60</v>
      </c>
      <c r="M1678" s="98">
        <v>0</v>
      </c>
      <c r="N1678" s="91"/>
      <c r="O1678" s="98">
        <f ca="1">(TODAY()-G1678)/365</f>
        <v>10.224657534246575</v>
      </c>
      <c r="P1678" s="91" t="s">
        <v>43</v>
      </c>
      <c r="Q1678" s="91">
        <v>0</v>
      </c>
      <c r="R1678" s="91">
        <v>0</v>
      </c>
      <c r="S1678" s="91">
        <v>0</v>
      </c>
      <c r="T1678" s="91"/>
      <c r="U1678" s="91"/>
      <c r="V1678" s="91"/>
      <c r="W1678" s="91"/>
      <c r="X1678" s="91"/>
      <c r="Y1678" s="91"/>
      <c r="Z1678" s="91"/>
      <c r="AA1678" s="91"/>
      <c r="AB1678" s="91"/>
      <c r="AC1678" s="91"/>
      <c r="AD1678" s="91"/>
      <c r="AE1678" s="91"/>
      <c r="AF1678" s="91"/>
      <c r="AG1678" s="91"/>
      <c r="AH1678" s="91"/>
      <c r="AI1678" s="91"/>
      <c r="AJ1678" s="91"/>
      <c r="AK1678" s="91"/>
      <c r="AL1678" s="91"/>
      <c r="AM1678" s="91"/>
    </row>
    <row r="1679" spans="1:39" ht="20.25" hidden="1" customHeight="1">
      <c r="A1679" s="91"/>
      <c r="B1679" s="93" t="s">
        <v>5484</v>
      </c>
      <c r="C1679" s="91" t="s">
        <v>36</v>
      </c>
      <c r="D1679" s="107" t="s">
        <v>5517</v>
      </c>
      <c r="E1679" s="107" t="s">
        <v>5518</v>
      </c>
      <c r="F1679" s="91" t="s">
        <v>5519</v>
      </c>
      <c r="G1679" s="96">
        <v>38049</v>
      </c>
      <c r="H1679" s="103" t="s">
        <v>58</v>
      </c>
      <c r="I1679" s="100" t="s">
        <v>5520</v>
      </c>
      <c r="J1679" s="100" t="s">
        <v>5521</v>
      </c>
      <c r="K1679" s="91" t="s">
        <v>5522</v>
      </c>
      <c r="L1679" s="91" t="s">
        <v>197</v>
      </c>
      <c r="M1679" s="98">
        <v>0</v>
      </c>
      <c r="N1679" s="91"/>
      <c r="O1679" s="98">
        <f ca="1">(TODAY()-G1679)/365</f>
        <v>21.789041095890411</v>
      </c>
      <c r="P1679" s="91" t="s">
        <v>43</v>
      </c>
      <c r="Q1679" s="91">
        <v>0</v>
      </c>
      <c r="R1679" s="91">
        <v>0</v>
      </c>
      <c r="S1679" s="91">
        <v>0</v>
      </c>
      <c r="T1679" s="91"/>
      <c r="U1679" s="91"/>
      <c r="V1679" s="91"/>
      <c r="W1679" s="91"/>
      <c r="X1679" s="91"/>
      <c r="Y1679" s="91"/>
      <c r="Z1679" s="91"/>
      <c r="AA1679" s="91"/>
      <c r="AB1679" s="91"/>
      <c r="AC1679" s="91"/>
      <c r="AD1679" s="91"/>
      <c r="AE1679" s="91"/>
      <c r="AF1679" s="91"/>
      <c r="AG1679" s="91"/>
      <c r="AH1679" s="91"/>
      <c r="AI1679" s="91"/>
      <c r="AJ1679" s="91"/>
      <c r="AK1679" s="91"/>
      <c r="AL1679" s="91"/>
      <c r="AM1679" s="91"/>
    </row>
    <row r="1680" spans="1:39" ht="20.25" hidden="1" customHeight="1">
      <c r="A1680" s="91"/>
      <c r="B1680" s="93" t="s">
        <v>5484</v>
      </c>
      <c r="C1680" s="91" t="s">
        <v>36</v>
      </c>
      <c r="D1680" s="107" t="s">
        <v>5523</v>
      </c>
      <c r="E1680" s="107" t="s">
        <v>5524</v>
      </c>
      <c r="F1680" s="91" t="s">
        <v>5525</v>
      </c>
      <c r="G1680" s="96">
        <v>27820</v>
      </c>
      <c r="H1680" s="103" t="s">
        <v>58</v>
      </c>
      <c r="I1680" s="100" t="s">
        <v>58</v>
      </c>
      <c r="J1680" s="100" t="s">
        <v>5526</v>
      </c>
      <c r="K1680" s="91" t="s">
        <v>5527</v>
      </c>
      <c r="L1680" s="91" t="s">
        <v>60</v>
      </c>
      <c r="M1680" s="98">
        <v>0</v>
      </c>
      <c r="N1680" s="91"/>
      <c r="O1680" s="98">
        <f ca="1">(TODAY()-G1680)/365</f>
        <v>49.813698630136983</v>
      </c>
      <c r="P1680" s="91" t="s">
        <v>43</v>
      </c>
      <c r="Q1680" s="91">
        <v>0</v>
      </c>
      <c r="R1680" s="91">
        <v>0</v>
      </c>
      <c r="S1680" s="91">
        <v>0</v>
      </c>
      <c r="T1680" s="91"/>
      <c r="U1680" s="91"/>
      <c r="V1680" s="91"/>
      <c r="W1680" s="91"/>
      <c r="X1680" s="91"/>
      <c r="Y1680" s="91"/>
      <c r="Z1680" s="91"/>
      <c r="AA1680" s="91"/>
      <c r="AB1680" s="91"/>
      <c r="AC1680" s="91"/>
      <c r="AD1680" s="91"/>
      <c r="AE1680" s="91"/>
      <c r="AF1680" s="91"/>
      <c r="AG1680" s="91"/>
      <c r="AH1680" s="91"/>
      <c r="AI1680" s="91"/>
      <c r="AJ1680" s="91"/>
      <c r="AK1680" s="91"/>
      <c r="AL1680" s="91"/>
      <c r="AM1680" s="91"/>
    </row>
    <row r="1681" spans="1:39" ht="20.25" hidden="1" customHeight="1">
      <c r="A1681" s="91"/>
      <c r="B1681" s="93" t="s">
        <v>5484</v>
      </c>
      <c r="C1681" s="91" t="s">
        <v>36</v>
      </c>
      <c r="D1681" s="107" t="s">
        <v>5528</v>
      </c>
      <c r="E1681" s="107" t="s">
        <v>5529</v>
      </c>
      <c r="F1681" s="91" t="s">
        <v>5530</v>
      </c>
      <c r="G1681" s="96">
        <v>38537</v>
      </c>
      <c r="H1681" s="97" t="s">
        <v>58</v>
      </c>
      <c r="I1681" s="100" t="s">
        <v>58</v>
      </c>
      <c r="J1681" s="100" t="s">
        <v>58</v>
      </c>
      <c r="K1681" s="91" t="s">
        <v>5531</v>
      </c>
      <c r="L1681" s="91" t="s">
        <v>60</v>
      </c>
      <c r="M1681" s="98">
        <v>0</v>
      </c>
      <c r="N1681" s="91"/>
      <c r="O1681" s="98">
        <f ca="1">(TODAY()-G1681)/365</f>
        <v>20.452054794520549</v>
      </c>
      <c r="P1681" s="91" t="s">
        <v>43</v>
      </c>
      <c r="Q1681" s="91">
        <v>0</v>
      </c>
      <c r="R1681" s="91">
        <v>0</v>
      </c>
      <c r="S1681" s="91">
        <v>0</v>
      </c>
      <c r="T1681" s="91"/>
      <c r="U1681" s="91"/>
      <c r="V1681" s="91"/>
      <c r="W1681" s="91"/>
      <c r="X1681" s="91"/>
      <c r="Y1681" s="91"/>
      <c r="Z1681" s="91"/>
      <c r="AA1681" s="91"/>
      <c r="AB1681" s="91"/>
      <c r="AC1681" s="91"/>
      <c r="AD1681" s="91"/>
      <c r="AE1681" s="91"/>
      <c r="AF1681" s="91"/>
      <c r="AG1681" s="91"/>
      <c r="AH1681" s="91"/>
      <c r="AI1681" s="91"/>
      <c r="AJ1681" s="91"/>
      <c r="AK1681" s="91"/>
      <c r="AL1681" s="91"/>
      <c r="AM1681" s="91"/>
    </row>
    <row r="1682" spans="1:39" ht="20.25" hidden="1" customHeight="1">
      <c r="A1682" s="91"/>
      <c r="B1682" s="93" t="s">
        <v>5484</v>
      </c>
      <c r="C1682" s="91" t="s">
        <v>36</v>
      </c>
      <c r="D1682" s="107" t="s">
        <v>2477</v>
      </c>
      <c r="E1682" s="107" t="s">
        <v>5532</v>
      </c>
      <c r="F1682" s="91" t="s">
        <v>5533</v>
      </c>
      <c r="G1682" s="96">
        <v>37708</v>
      </c>
      <c r="H1682" s="103" t="s">
        <v>58</v>
      </c>
      <c r="I1682" s="100" t="s">
        <v>5534</v>
      </c>
      <c r="J1682" s="100" t="s">
        <v>5535</v>
      </c>
      <c r="K1682" s="91" t="s">
        <v>5536</v>
      </c>
      <c r="L1682" s="91" t="s">
        <v>60</v>
      </c>
      <c r="M1682" s="98">
        <v>0</v>
      </c>
      <c r="N1682" s="91"/>
      <c r="O1682" s="98">
        <f ca="1">(TODAY()-G1682)/365</f>
        <v>22.723287671232878</v>
      </c>
      <c r="P1682" s="91" t="s">
        <v>43</v>
      </c>
      <c r="Q1682" s="91">
        <v>0</v>
      </c>
      <c r="R1682" s="91">
        <v>0</v>
      </c>
      <c r="S1682" s="91">
        <v>0</v>
      </c>
      <c r="T1682" s="91"/>
      <c r="U1682" s="91"/>
      <c r="V1682" s="91"/>
      <c r="W1682" s="91"/>
      <c r="X1682" s="91"/>
      <c r="Y1682" s="91"/>
      <c r="Z1682" s="91"/>
      <c r="AA1682" s="91"/>
      <c r="AB1682" s="91"/>
      <c r="AC1682" s="91"/>
      <c r="AD1682" s="91"/>
      <c r="AE1682" s="91"/>
      <c r="AF1682" s="91"/>
      <c r="AG1682" s="91"/>
      <c r="AH1682" s="91"/>
      <c r="AI1682" s="91"/>
      <c r="AJ1682" s="91"/>
      <c r="AK1682" s="91"/>
      <c r="AL1682" s="91"/>
      <c r="AM1682" s="91"/>
    </row>
    <row r="1683" spans="1:39" ht="20.25" hidden="1" customHeight="1">
      <c r="A1683" s="91"/>
      <c r="B1683" s="93" t="s">
        <v>5484</v>
      </c>
      <c r="C1683" s="91" t="s">
        <v>36</v>
      </c>
      <c r="D1683" s="107" t="s">
        <v>5537</v>
      </c>
      <c r="E1683" s="107" t="s">
        <v>5538</v>
      </c>
      <c r="F1683" s="91" t="s">
        <v>5539</v>
      </c>
      <c r="G1683" s="96">
        <v>27626</v>
      </c>
      <c r="H1683" s="103" t="s">
        <v>58</v>
      </c>
      <c r="I1683" s="100" t="s">
        <v>5540</v>
      </c>
      <c r="J1683" s="100" t="s">
        <v>5541</v>
      </c>
      <c r="K1683" s="91" t="s">
        <v>5542</v>
      </c>
      <c r="L1683" s="91" t="s">
        <v>42</v>
      </c>
      <c r="M1683" s="98">
        <v>0</v>
      </c>
      <c r="N1683" s="91"/>
      <c r="O1683" s="98">
        <f ca="1">(TODAY()-G1683)/365</f>
        <v>50.345205479452055</v>
      </c>
      <c r="P1683" s="91" t="s">
        <v>43</v>
      </c>
      <c r="Q1683" s="91">
        <v>0</v>
      </c>
      <c r="R1683" s="91">
        <v>0</v>
      </c>
      <c r="S1683" s="91">
        <v>0</v>
      </c>
      <c r="T1683" s="91"/>
      <c r="U1683" s="91"/>
      <c r="V1683" s="91"/>
      <c r="W1683" s="91"/>
      <c r="X1683" s="91"/>
      <c r="Y1683" s="91"/>
      <c r="Z1683" s="91"/>
      <c r="AA1683" s="91"/>
      <c r="AB1683" s="91"/>
      <c r="AC1683" s="91"/>
      <c r="AD1683" s="91"/>
      <c r="AE1683" s="91"/>
      <c r="AF1683" s="91"/>
      <c r="AG1683" s="91"/>
      <c r="AH1683" s="91"/>
      <c r="AI1683" s="91"/>
      <c r="AJ1683" s="91"/>
      <c r="AK1683" s="91"/>
      <c r="AL1683" s="91"/>
      <c r="AM1683" s="91"/>
    </row>
    <row r="1684" spans="1:39" ht="20.25" hidden="1" customHeight="1">
      <c r="A1684" s="91"/>
      <c r="B1684" s="93" t="s">
        <v>5484</v>
      </c>
      <c r="C1684" s="91" t="s">
        <v>36</v>
      </c>
      <c r="D1684" s="107" t="s">
        <v>626</v>
      </c>
      <c r="E1684" s="107" t="s">
        <v>5543</v>
      </c>
      <c r="F1684" s="91" t="s">
        <v>5544</v>
      </c>
      <c r="G1684" s="96">
        <v>41492</v>
      </c>
      <c r="H1684" s="103" t="s">
        <v>58</v>
      </c>
      <c r="I1684" s="100" t="s">
        <v>5545</v>
      </c>
      <c r="J1684" s="100" t="s">
        <v>5546</v>
      </c>
      <c r="K1684" s="91" t="s">
        <v>5547</v>
      </c>
      <c r="L1684" s="91" t="s">
        <v>60</v>
      </c>
      <c r="M1684" s="98">
        <v>0</v>
      </c>
      <c r="N1684" s="91"/>
      <c r="O1684" s="98">
        <f ca="1">(TODAY()-G1684)/365</f>
        <v>12.356164383561644</v>
      </c>
      <c r="P1684" s="91" t="s">
        <v>43</v>
      </c>
      <c r="Q1684" s="91">
        <v>0</v>
      </c>
      <c r="R1684" s="91">
        <v>0</v>
      </c>
      <c r="S1684" s="91">
        <v>0</v>
      </c>
      <c r="T1684" s="91"/>
      <c r="U1684" s="91"/>
      <c r="V1684" s="91"/>
      <c r="W1684" s="91"/>
      <c r="X1684" s="91"/>
      <c r="Y1684" s="91"/>
      <c r="Z1684" s="91"/>
      <c r="AA1684" s="91"/>
      <c r="AB1684" s="91"/>
      <c r="AC1684" s="91"/>
      <c r="AD1684" s="91"/>
      <c r="AE1684" s="91"/>
      <c r="AF1684" s="91"/>
      <c r="AG1684" s="91"/>
      <c r="AH1684" s="91"/>
      <c r="AI1684" s="91"/>
      <c r="AJ1684" s="91"/>
      <c r="AK1684" s="91"/>
      <c r="AL1684" s="91"/>
      <c r="AM1684" s="91"/>
    </row>
    <row r="1685" spans="1:39" ht="20.25" hidden="1" customHeight="1">
      <c r="A1685" s="91"/>
      <c r="B1685" s="93" t="s">
        <v>5484</v>
      </c>
      <c r="C1685" s="91" t="s">
        <v>36</v>
      </c>
      <c r="D1685" s="107" t="s">
        <v>5548</v>
      </c>
      <c r="E1685" s="107" t="s">
        <v>5549</v>
      </c>
      <c r="F1685" s="91" t="s">
        <v>5550</v>
      </c>
      <c r="G1685" s="97" t="s">
        <v>58</v>
      </c>
      <c r="H1685" s="97" t="s">
        <v>58</v>
      </c>
      <c r="I1685" s="100" t="s">
        <v>58</v>
      </c>
      <c r="J1685" s="100" t="s">
        <v>58</v>
      </c>
      <c r="K1685" s="91" t="s">
        <v>58</v>
      </c>
      <c r="L1685" s="91" t="s">
        <v>60</v>
      </c>
      <c r="M1685" s="98">
        <v>0</v>
      </c>
      <c r="N1685" s="91"/>
      <c r="O1685" s="98" t="e">
        <f ca="1">(TODAY()-G1685)/365</f>
        <v>#VALUE!</v>
      </c>
      <c r="P1685" s="91" t="s">
        <v>43</v>
      </c>
      <c r="Q1685" s="91">
        <v>0</v>
      </c>
      <c r="R1685" s="91">
        <v>0</v>
      </c>
      <c r="S1685" s="91">
        <v>0</v>
      </c>
      <c r="T1685" s="91"/>
      <c r="U1685" s="91"/>
      <c r="V1685" s="91"/>
      <c r="W1685" s="91"/>
      <c r="X1685" s="91"/>
      <c r="Y1685" s="91"/>
      <c r="Z1685" s="91"/>
      <c r="AA1685" s="91"/>
      <c r="AB1685" s="91"/>
      <c r="AC1685" s="91"/>
      <c r="AD1685" s="91"/>
      <c r="AE1685" s="91"/>
      <c r="AF1685" s="91"/>
      <c r="AG1685" s="91"/>
      <c r="AH1685" s="91"/>
      <c r="AI1685" s="91"/>
      <c r="AJ1685" s="91"/>
      <c r="AK1685" s="91"/>
      <c r="AL1685" s="91"/>
      <c r="AM1685" s="91"/>
    </row>
    <row r="1686" spans="1:39" ht="20.25" hidden="1" customHeight="1">
      <c r="A1686" s="91"/>
      <c r="B1686" s="93" t="s">
        <v>5484</v>
      </c>
      <c r="C1686" s="91" t="s">
        <v>36</v>
      </c>
      <c r="D1686" s="107" t="s">
        <v>517</v>
      </c>
      <c r="E1686" s="107" t="s">
        <v>5551</v>
      </c>
      <c r="F1686" s="91" t="s">
        <v>5552</v>
      </c>
      <c r="G1686" s="96">
        <v>24990</v>
      </c>
      <c r="H1686" s="103" t="s">
        <v>58</v>
      </c>
      <c r="I1686" s="100" t="s">
        <v>58</v>
      </c>
      <c r="J1686" s="100" t="s">
        <v>5553</v>
      </c>
      <c r="K1686" s="91" t="s">
        <v>5554</v>
      </c>
      <c r="L1686" s="91" t="s">
        <v>60</v>
      </c>
      <c r="M1686" s="98">
        <v>0</v>
      </c>
      <c r="N1686" s="91"/>
      <c r="O1686" s="98">
        <f ca="1">(TODAY()-G1686)/365</f>
        <v>57.56712328767123</v>
      </c>
      <c r="P1686" s="91" t="s">
        <v>43</v>
      </c>
      <c r="Q1686" s="91">
        <v>0</v>
      </c>
      <c r="R1686" s="91">
        <v>0</v>
      </c>
      <c r="S1686" s="91">
        <v>0</v>
      </c>
      <c r="T1686" s="91"/>
      <c r="U1686" s="91"/>
      <c r="V1686" s="91"/>
      <c r="W1686" s="91"/>
      <c r="X1686" s="91"/>
      <c r="Y1686" s="91"/>
      <c r="Z1686" s="91"/>
      <c r="AA1686" s="91"/>
      <c r="AB1686" s="91"/>
      <c r="AC1686" s="91"/>
      <c r="AD1686" s="91"/>
      <c r="AE1686" s="91"/>
      <c r="AF1686" s="91"/>
      <c r="AG1686" s="91"/>
      <c r="AH1686" s="91"/>
      <c r="AI1686" s="91"/>
      <c r="AJ1686" s="91"/>
      <c r="AK1686" s="91"/>
      <c r="AL1686" s="91"/>
      <c r="AM1686" s="91"/>
    </row>
    <row r="1687" spans="1:39" ht="20.25" hidden="1" customHeight="1">
      <c r="A1687" s="91"/>
      <c r="B1687" s="93" t="s">
        <v>5484</v>
      </c>
      <c r="C1687" s="91" t="s">
        <v>36</v>
      </c>
      <c r="D1687" s="107" t="s">
        <v>3335</v>
      </c>
      <c r="E1687" s="107" t="s">
        <v>5555</v>
      </c>
      <c r="F1687" s="91" t="s">
        <v>5556</v>
      </c>
      <c r="G1687" s="96">
        <v>29641</v>
      </c>
      <c r="H1687" s="103" t="s">
        <v>58</v>
      </c>
      <c r="I1687" s="100" t="s">
        <v>58</v>
      </c>
      <c r="J1687" s="100" t="s">
        <v>5557</v>
      </c>
      <c r="K1687" s="91" t="s">
        <v>5558</v>
      </c>
      <c r="L1687" s="91" t="s">
        <v>60</v>
      </c>
      <c r="M1687" s="98">
        <v>0</v>
      </c>
      <c r="N1687" s="91"/>
      <c r="O1687" s="98">
        <f ca="1">(TODAY()-G1687)/365</f>
        <v>44.824657534246576</v>
      </c>
      <c r="P1687" s="91" t="s">
        <v>43</v>
      </c>
      <c r="Q1687" s="91">
        <v>0</v>
      </c>
      <c r="R1687" s="91">
        <v>0</v>
      </c>
      <c r="S1687" s="91">
        <v>0</v>
      </c>
      <c r="T1687" s="91"/>
      <c r="U1687" s="91"/>
      <c r="V1687" s="91"/>
      <c r="W1687" s="91"/>
      <c r="X1687" s="91"/>
      <c r="Y1687" s="91"/>
      <c r="Z1687" s="91"/>
      <c r="AA1687" s="91"/>
      <c r="AB1687" s="91"/>
      <c r="AC1687" s="91"/>
      <c r="AD1687" s="91"/>
      <c r="AE1687" s="91"/>
      <c r="AF1687" s="91"/>
      <c r="AG1687" s="91"/>
      <c r="AH1687" s="91"/>
      <c r="AI1687" s="91"/>
      <c r="AJ1687" s="91"/>
      <c r="AK1687" s="91"/>
      <c r="AL1687" s="91"/>
      <c r="AM1687" s="91"/>
    </row>
    <row r="1688" spans="1:39" ht="20.25" hidden="1" customHeight="1">
      <c r="A1688" s="91"/>
      <c r="B1688" s="93" t="s">
        <v>5484</v>
      </c>
      <c r="C1688" s="91" t="s">
        <v>36</v>
      </c>
      <c r="D1688" s="107" t="s">
        <v>5559</v>
      </c>
      <c r="E1688" s="107" t="s">
        <v>5560</v>
      </c>
      <c r="F1688" s="91" t="s">
        <v>5561</v>
      </c>
      <c r="G1688" s="97" t="s">
        <v>58</v>
      </c>
      <c r="H1688" s="97" t="s">
        <v>58</v>
      </c>
      <c r="I1688" s="100" t="s">
        <v>58</v>
      </c>
      <c r="J1688" s="100" t="s">
        <v>58</v>
      </c>
      <c r="K1688" s="91" t="s">
        <v>5562</v>
      </c>
      <c r="L1688" s="91" t="s">
        <v>60</v>
      </c>
      <c r="M1688" s="98">
        <v>0</v>
      </c>
      <c r="N1688" s="91"/>
      <c r="O1688" s="98" t="e">
        <f ca="1">(TODAY()-G1688)/365</f>
        <v>#VALUE!</v>
      </c>
      <c r="P1688" s="91" t="s">
        <v>43</v>
      </c>
      <c r="Q1688" s="91">
        <v>0</v>
      </c>
      <c r="R1688" s="91">
        <v>0</v>
      </c>
      <c r="S1688" s="91">
        <v>0</v>
      </c>
      <c r="T1688" s="91"/>
      <c r="U1688" s="91"/>
      <c r="V1688" s="91"/>
      <c r="W1688" s="91"/>
      <c r="X1688" s="91"/>
      <c r="Y1688" s="91"/>
      <c r="Z1688" s="91"/>
      <c r="AA1688" s="91"/>
      <c r="AB1688" s="91"/>
      <c r="AC1688" s="91"/>
      <c r="AD1688" s="91"/>
      <c r="AE1688" s="91"/>
      <c r="AF1688" s="91"/>
      <c r="AG1688" s="91"/>
      <c r="AH1688" s="91"/>
      <c r="AI1688" s="91"/>
      <c r="AJ1688" s="91"/>
      <c r="AK1688" s="91"/>
      <c r="AL1688" s="91"/>
      <c r="AM1688" s="91"/>
    </row>
    <row r="1689" spans="1:39" ht="20.25" hidden="1" customHeight="1">
      <c r="A1689" s="91"/>
      <c r="B1689" s="93" t="s">
        <v>5484</v>
      </c>
      <c r="C1689" s="91" t="s">
        <v>36</v>
      </c>
      <c r="D1689" s="107" t="s">
        <v>346</v>
      </c>
      <c r="E1689" s="107" t="s">
        <v>5563</v>
      </c>
      <c r="F1689" s="91" t="s">
        <v>5564</v>
      </c>
      <c r="G1689" s="96">
        <v>29952</v>
      </c>
      <c r="H1689" s="97" t="s">
        <v>58</v>
      </c>
      <c r="I1689" s="100" t="s">
        <v>5565</v>
      </c>
      <c r="J1689" s="100" t="s">
        <v>5566</v>
      </c>
      <c r="K1689" s="91" t="s">
        <v>5567</v>
      </c>
      <c r="L1689" s="91" t="s">
        <v>66</v>
      </c>
      <c r="M1689" s="98">
        <v>0</v>
      </c>
      <c r="N1689" s="91"/>
      <c r="O1689" s="98">
        <f ca="1">(TODAY()-G1689)/365</f>
        <v>43.972602739726028</v>
      </c>
      <c r="P1689" s="91" t="s">
        <v>43</v>
      </c>
      <c r="Q1689" s="91">
        <v>0</v>
      </c>
      <c r="R1689" s="91">
        <v>0</v>
      </c>
      <c r="S1689" s="91">
        <v>0</v>
      </c>
      <c r="T1689" s="91"/>
      <c r="U1689" s="91"/>
      <c r="V1689" s="91"/>
      <c r="W1689" s="91"/>
      <c r="X1689" s="91"/>
      <c r="Y1689" s="91"/>
      <c r="Z1689" s="91"/>
      <c r="AA1689" s="91"/>
      <c r="AB1689" s="91"/>
      <c r="AC1689" s="91"/>
      <c r="AD1689" s="91"/>
      <c r="AE1689" s="91"/>
      <c r="AF1689" s="91"/>
      <c r="AG1689" s="91"/>
      <c r="AH1689" s="91"/>
      <c r="AI1689" s="91"/>
      <c r="AJ1689" s="91"/>
      <c r="AK1689" s="91"/>
      <c r="AL1689" s="91"/>
      <c r="AM1689" s="91"/>
    </row>
    <row r="1690" spans="1:39" ht="20.25" hidden="1" customHeight="1">
      <c r="A1690" s="91"/>
      <c r="B1690" s="93" t="s">
        <v>5484</v>
      </c>
      <c r="C1690" s="91" t="s">
        <v>36</v>
      </c>
      <c r="D1690" s="107" t="s">
        <v>875</v>
      </c>
      <c r="E1690" s="107" t="s">
        <v>5568</v>
      </c>
      <c r="F1690" s="91" t="s">
        <v>5569</v>
      </c>
      <c r="G1690" s="97" t="s">
        <v>58</v>
      </c>
      <c r="H1690" s="97" t="s">
        <v>58</v>
      </c>
      <c r="I1690" s="100" t="s">
        <v>5570</v>
      </c>
      <c r="J1690" s="100" t="s">
        <v>58</v>
      </c>
      <c r="K1690" s="91" t="s">
        <v>5571</v>
      </c>
      <c r="L1690" s="91" t="s">
        <v>60</v>
      </c>
      <c r="M1690" s="98">
        <v>0</v>
      </c>
      <c r="N1690" s="91"/>
      <c r="O1690" s="98" t="e">
        <f ca="1">(TODAY()-G1690)/365</f>
        <v>#VALUE!</v>
      </c>
      <c r="P1690" s="91" t="s">
        <v>43</v>
      </c>
      <c r="Q1690" s="91">
        <v>0</v>
      </c>
      <c r="R1690" s="91">
        <v>0</v>
      </c>
      <c r="S1690" s="91">
        <v>0</v>
      </c>
      <c r="T1690" s="91"/>
      <c r="U1690" s="91"/>
      <c r="V1690" s="91"/>
      <c r="W1690" s="91"/>
      <c r="X1690" s="91"/>
      <c r="Y1690" s="91"/>
      <c r="Z1690" s="91"/>
      <c r="AA1690" s="91"/>
      <c r="AB1690" s="91"/>
      <c r="AC1690" s="91"/>
      <c r="AD1690" s="91"/>
      <c r="AE1690" s="91"/>
      <c r="AF1690" s="91"/>
      <c r="AG1690" s="91"/>
      <c r="AH1690" s="91"/>
      <c r="AI1690" s="91"/>
      <c r="AJ1690" s="91"/>
      <c r="AK1690" s="91"/>
      <c r="AL1690" s="91"/>
      <c r="AM1690" s="91"/>
    </row>
    <row r="1691" spans="1:39" ht="20.25" hidden="1" customHeight="1">
      <c r="A1691" s="91"/>
      <c r="B1691" s="93" t="s">
        <v>5484</v>
      </c>
      <c r="C1691" s="91" t="s">
        <v>36</v>
      </c>
      <c r="D1691" s="107" t="s">
        <v>875</v>
      </c>
      <c r="E1691" s="107" t="s">
        <v>5572</v>
      </c>
      <c r="F1691" s="91" t="s">
        <v>5573</v>
      </c>
      <c r="G1691" s="97" t="s">
        <v>58</v>
      </c>
      <c r="H1691" s="97" t="s">
        <v>58</v>
      </c>
      <c r="I1691" s="100" t="s">
        <v>58</v>
      </c>
      <c r="J1691" s="100" t="s">
        <v>58</v>
      </c>
      <c r="K1691" s="91" t="s">
        <v>58</v>
      </c>
      <c r="L1691" s="91" t="s">
        <v>60</v>
      </c>
      <c r="M1691" s="98">
        <v>0</v>
      </c>
      <c r="N1691" s="91"/>
      <c r="O1691" s="98" t="e">
        <f ca="1">(TODAY()-G1691)/365</f>
        <v>#VALUE!</v>
      </c>
      <c r="P1691" s="91" t="s">
        <v>43</v>
      </c>
      <c r="Q1691" s="91">
        <v>0</v>
      </c>
      <c r="R1691" s="91">
        <v>0</v>
      </c>
      <c r="S1691" s="91">
        <v>0</v>
      </c>
      <c r="T1691" s="91"/>
      <c r="U1691" s="91"/>
      <c r="V1691" s="91"/>
      <c r="W1691" s="91"/>
      <c r="X1691" s="91"/>
      <c r="Y1691" s="91"/>
      <c r="Z1691" s="91"/>
      <c r="AA1691" s="91"/>
      <c r="AB1691" s="91"/>
      <c r="AC1691" s="91"/>
      <c r="AD1691" s="91"/>
      <c r="AE1691" s="91"/>
      <c r="AF1691" s="91"/>
      <c r="AG1691" s="91"/>
      <c r="AH1691" s="91"/>
      <c r="AI1691" s="91"/>
      <c r="AJ1691" s="91"/>
      <c r="AK1691" s="91"/>
      <c r="AL1691" s="91"/>
      <c r="AM1691" s="91"/>
    </row>
    <row r="1692" spans="1:39" ht="20.25" hidden="1" customHeight="1">
      <c r="A1692" s="91"/>
      <c r="B1692" s="93" t="s">
        <v>5484</v>
      </c>
      <c r="C1692" s="91" t="s">
        <v>36</v>
      </c>
      <c r="D1692" s="107" t="s">
        <v>712</v>
      </c>
      <c r="E1692" s="107" t="s">
        <v>5574</v>
      </c>
      <c r="F1692" s="91" t="s">
        <v>5575</v>
      </c>
      <c r="G1692" s="96">
        <v>34834</v>
      </c>
      <c r="H1692" s="103" t="s">
        <v>58</v>
      </c>
      <c r="I1692" s="100" t="s">
        <v>5576</v>
      </c>
      <c r="J1692" s="100" t="s">
        <v>5577</v>
      </c>
      <c r="K1692" s="91" t="s">
        <v>5578</v>
      </c>
      <c r="L1692" s="91" t="s">
        <v>60</v>
      </c>
      <c r="M1692" s="98">
        <v>0</v>
      </c>
      <c r="N1692" s="91"/>
      <c r="O1692" s="98">
        <f ca="1">(TODAY()-G1692)/365</f>
        <v>30.597260273972601</v>
      </c>
      <c r="P1692" s="91" t="s">
        <v>43</v>
      </c>
      <c r="Q1692" s="91">
        <v>0</v>
      </c>
      <c r="R1692" s="91">
        <v>0</v>
      </c>
      <c r="S1692" s="91">
        <v>0</v>
      </c>
      <c r="T1692" s="91"/>
      <c r="U1692" s="91"/>
      <c r="V1692" s="91"/>
      <c r="W1692" s="91"/>
      <c r="X1692" s="91"/>
      <c r="Y1692" s="91"/>
      <c r="Z1692" s="91"/>
      <c r="AA1692" s="91"/>
      <c r="AB1692" s="91"/>
      <c r="AC1692" s="91"/>
      <c r="AD1692" s="91"/>
      <c r="AE1692" s="91"/>
      <c r="AF1692" s="91"/>
      <c r="AG1692" s="91"/>
      <c r="AH1692" s="91"/>
      <c r="AI1692" s="91"/>
      <c r="AJ1692" s="91"/>
      <c r="AK1692" s="91"/>
      <c r="AL1692" s="91"/>
      <c r="AM1692" s="91"/>
    </row>
    <row r="1693" spans="1:39" ht="20.25" hidden="1" customHeight="1">
      <c r="A1693" s="91"/>
      <c r="B1693" s="93" t="s">
        <v>5484</v>
      </c>
      <c r="C1693" s="91" t="s">
        <v>36</v>
      </c>
      <c r="D1693" s="107" t="s">
        <v>5579</v>
      </c>
      <c r="E1693" s="107" t="s">
        <v>5580</v>
      </c>
      <c r="F1693" s="91" t="s">
        <v>5581</v>
      </c>
      <c r="G1693" s="97" t="s">
        <v>58</v>
      </c>
      <c r="H1693" s="97" t="s">
        <v>58</v>
      </c>
      <c r="I1693" s="100" t="s">
        <v>58</v>
      </c>
      <c r="J1693" s="100" t="s">
        <v>58</v>
      </c>
      <c r="K1693" s="91" t="s">
        <v>58</v>
      </c>
      <c r="L1693" s="91" t="s">
        <v>60</v>
      </c>
      <c r="M1693" s="98">
        <v>0</v>
      </c>
      <c r="N1693" s="91"/>
      <c r="O1693" s="98" t="e">
        <f ca="1">(TODAY()-G1693)/365</f>
        <v>#VALUE!</v>
      </c>
      <c r="P1693" s="91" t="s">
        <v>43</v>
      </c>
      <c r="Q1693" s="91">
        <v>0</v>
      </c>
      <c r="R1693" s="91">
        <v>0</v>
      </c>
      <c r="S1693" s="91">
        <v>0</v>
      </c>
      <c r="T1693" s="91"/>
      <c r="U1693" s="91"/>
      <c r="V1693" s="91"/>
      <c r="W1693" s="91"/>
      <c r="X1693" s="91"/>
      <c r="Y1693" s="91"/>
      <c r="Z1693" s="91"/>
      <c r="AA1693" s="91"/>
      <c r="AB1693" s="91"/>
      <c r="AC1693" s="91"/>
      <c r="AD1693" s="91"/>
      <c r="AE1693" s="91"/>
      <c r="AF1693" s="91"/>
      <c r="AG1693" s="91"/>
      <c r="AH1693" s="91"/>
      <c r="AI1693" s="91"/>
      <c r="AJ1693" s="91"/>
      <c r="AK1693" s="91"/>
      <c r="AL1693" s="91"/>
      <c r="AM1693" s="91"/>
    </row>
    <row r="1694" spans="1:39" ht="20.25" hidden="1" customHeight="1">
      <c r="A1694" s="91"/>
      <c r="B1694" s="93" t="s">
        <v>5484</v>
      </c>
      <c r="C1694" s="91" t="s">
        <v>36</v>
      </c>
      <c r="D1694" s="107" t="s">
        <v>5582</v>
      </c>
      <c r="E1694" s="107" t="s">
        <v>5583</v>
      </c>
      <c r="F1694" s="91" t="s">
        <v>5584</v>
      </c>
      <c r="G1694" s="96">
        <v>40909</v>
      </c>
      <c r="H1694" s="97" t="s">
        <v>58</v>
      </c>
      <c r="I1694" s="100" t="s">
        <v>58</v>
      </c>
      <c r="J1694" s="100" t="s">
        <v>5585</v>
      </c>
      <c r="K1694" s="91" t="s">
        <v>5586</v>
      </c>
      <c r="L1694" s="91" t="s">
        <v>60</v>
      </c>
      <c r="M1694" s="98">
        <v>0</v>
      </c>
      <c r="N1694" s="91"/>
      <c r="O1694" s="98">
        <f ca="1">(TODAY()-G1694)/365</f>
        <v>13.953424657534246</v>
      </c>
      <c r="P1694" s="91" t="s">
        <v>43</v>
      </c>
      <c r="Q1694" s="91">
        <v>0</v>
      </c>
      <c r="R1694" s="91">
        <v>0</v>
      </c>
      <c r="S1694" s="91">
        <v>0</v>
      </c>
      <c r="T1694" s="91"/>
      <c r="U1694" s="91"/>
      <c r="V1694" s="91"/>
      <c r="W1694" s="91"/>
      <c r="X1694" s="91"/>
      <c r="Y1694" s="91"/>
      <c r="Z1694" s="91"/>
      <c r="AA1694" s="91"/>
      <c r="AB1694" s="91"/>
      <c r="AC1694" s="91"/>
      <c r="AD1694" s="91"/>
      <c r="AE1694" s="91"/>
      <c r="AF1694" s="91"/>
      <c r="AG1694" s="91"/>
      <c r="AH1694" s="91"/>
      <c r="AI1694" s="91"/>
      <c r="AJ1694" s="91"/>
      <c r="AK1694" s="91"/>
      <c r="AL1694" s="91"/>
      <c r="AM1694" s="91"/>
    </row>
    <row r="1695" spans="1:39" ht="20.25" hidden="1" customHeight="1">
      <c r="A1695" s="91"/>
      <c r="B1695" s="93" t="s">
        <v>5484</v>
      </c>
      <c r="C1695" s="91" t="s">
        <v>36</v>
      </c>
      <c r="D1695" s="107" t="s">
        <v>5587</v>
      </c>
      <c r="E1695" s="107" t="s">
        <v>5588</v>
      </c>
      <c r="F1695" s="91" t="s">
        <v>5589</v>
      </c>
      <c r="G1695" s="96">
        <v>27820</v>
      </c>
      <c r="H1695" s="97" t="s">
        <v>58</v>
      </c>
      <c r="I1695" s="100" t="s">
        <v>5590</v>
      </c>
      <c r="J1695" s="100" t="s">
        <v>5591</v>
      </c>
      <c r="K1695" s="91" t="s">
        <v>5592</v>
      </c>
      <c r="L1695" s="91" t="s">
        <v>167</v>
      </c>
      <c r="M1695" s="98">
        <v>0</v>
      </c>
      <c r="N1695" s="91"/>
      <c r="O1695" s="98">
        <f ca="1">(TODAY()-G1695)/365</f>
        <v>49.813698630136983</v>
      </c>
      <c r="P1695" s="91" t="s">
        <v>43</v>
      </c>
      <c r="Q1695" s="91">
        <v>0</v>
      </c>
      <c r="R1695" s="91">
        <v>0</v>
      </c>
      <c r="S1695" s="91">
        <v>0</v>
      </c>
      <c r="T1695" s="91"/>
      <c r="U1695" s="91"/>
      <c r="V1695" s="91"/>
      <c r="W1695" s="91"/>
      <c r="X1695" s="91"/>
      <c r="Y1695" s="91"/>
      <c r="Z1695" s="91"/>
      <c r="AA1695" s="91"/>
      <c r="AB1695" s="91"/>
      <c r="AC1695" s="91"/>
      <c r="AD1695" s="91"/>
      <c r="AE1695" s="91"/>
      <c r="AF1695" s="91"/>
      <c r="AG1695" s="91"/>
      <c r="AH1695" s="91"/>
      <c r="AI1695" s="91"/>
      <c r="AJ1695" s="91"/>
      <c r="AK1695" s="91"/>
      <c r="AL1695" s="91"/>
      <c r="AM1695" s="91"/>
    </row>
    <row r="1696" spans="1:39" ht="20.25" hidden="1" customHeight="1">
      <c r="A1696" s="91"/>
      <c r="B1696" s="93" t="s">
        <v>5484</v>
      </c>
      <c r="C1696" s="91" t="s">
        <v>36</v>
      </c>
      <c r="D1696" s="107" t="s">
        <v>5593</v>
      </c>
      <c r="E1696" s="107" t="s">
        <v>5594</v>
      </c>
      <c r="F1696" s="91" t="s">
        <v>5595</v>
      </c>
      <c r="G1696" s="97" t="s">
        <v>58</v>
      </c>
      <c r="H1696" s="97" t="s">
        <v>58</v>
      </c>
      <c r="I1696" s="100" t="s">
        <v>5596</v>
      </c>
      <c r="J1696" s="100" t="s">
        <v>58</v>
      </c>
      <c r="K1696" s="91" t="s">
        <v>5597</v>
      </c>
      <c r="L1696" s="91" t="s">
        <v>60</v>
      </c>
      <c r="M1696" s="98">
        <v>0</v>
      </c>
      <c r="N1696" s="91"/>
      <c r="O1696" s="98" t="e">
        <f ca="1">(TODAY()-G1696)/365</f>
        <v>#VALUE!</v>
      </c>
      <c r="P1696" s="91" t="s">
        <v>43</v>
      </c>
      <c r="Q1696" s="91">
        <v>0</v>
      </c>
      <c r="R1696" s="91">
        <v>0</v>
      </c>
      <c r="S1696" s="91">
        <v>0</v>
      </c>
      <c r="T1696" s="91"/>
      <c r="U1696" s="91"/>
      <c r="V1696" s="91"/>
      <c r="W1696" s="91"/>
      <c r="X1696" s="91"/>
      <c r="Y1696" s="91"/>
      <c r="Z1696" s="91"/>
      <c r="AA1696" s="91"/>
      <c r="AB1696" s="91"/>
      <c r="AC1696" s="91"/>
      <c r="AD1696" s="91"/>
      <c r="AE1696" s="91"/>
      <c r="AF1696" s="91"/>
      <c r="AG1696" s="91"/>
      <c r="AH1696" s="91"/>
      <c r="AI1696" s="91"/>
      <c r="AJ1696" s="91"/>
      <c r="AK1696" s="91"/>
      <c r="AL1696" s="91"/>
      <c r="AM1696" s="91"/>
    </row>
    <row r="1697" spans="1:39" ht="20.25" hidden="1" customHeight="1">
      <c r="A1697" s="91"/>
      <c r="B1697" s="93" t="s">
        <v>5484</v>
      </c>
      <c r="C1697" s="91" t="s">
        <v>36</v>
      </c>
      <c r="D1697" s="107" t="s">
        <v>1433</v>
      </c>
      <c r="E1697" s="107" t="s">
        <v>5598</v>
      </c>
      <c r="F1697" s="91" t="s">
        <v>5599</v>
      </c>
      <c r="G1697" s="96">
        <v>39814</v>
      </c>
      <c r="H1697" s="97" t="s">
        <v>58</v>
      </c>
      <c r="I1697" s="100" t="s">
        <v>5600</v>
      </c>
      <c r="J1697" s="100" t="s">
        <v>5601</v>
      </c>
      <c r="K1697" s="91" t="s">
        <v>5602</v>
      </c>
      <c r="L1697" s="91" t="s">
        <v>60</v>
      </c>
      <c r="M1697" s="98">
        <v>0</v>
      </c>
      <c r="N1697" s="91"/>
      <c r="O1697" s="98">
        <f ca="1">(TODAY()-G1697)/365</f>
        <v>16.953424657534246</v>
      </c>
      <c r="P1697" s="91" t="s">
        <v>43</v>
      </c>
      <c r="Q1697" s="91">
        <v>0</v>
      </c>
      <c r="R1697" s="91">
        <v>0</v>
      </c>
      <c r="S1697" s="91">
        <v>0</v>
      </c>
      <c r="T1697" s="91"/>
      <c r="U1697" s="91"/>
      <c r="V1697" s="91"/>
      <c r="W1697" s="91"/>
      <c r="X1697" s="91"/>
      <c r="Y1697" s="91"/>
      <c r="Z1697" s="91"/>
      <c r="AA1697" s="91"/>
      <c r="AB1697" s="91"/>
      <c r="AC1697" s="91"/>
      <c r="AD1697" s="91"/>
      <c r="AE1697" s="91"/>
      <c r="AF1697" s="91"/>
      <c r="AG1697" s="91"/>
      <c r="AH1697" s="91"/>
      <c r="AI1697" s="91"/>
      <c r="AJ1697" s="91"/>
      <c r="AK1697" s="91"/>
      <c r="AL1697" s="91"/>
      <c r="AM1697" s="91"/>
    </row>
    <row r="1698" spans="1:39" ht="20.25" hidden="1" customHeight="1">
      <c r="A1698" s="91"/>
      <c r="B1698" s="93" t="s">
        <v>5484</v>
      </c>
      <c r="C1698" s="91" t="s">
        <v>36</v>
      </c>
      <c r="D1698" s="107" t="s">
        <v>1973</v>
      </c>
      <c r="E1698" s="107" t="s">
        <v>5603</v>
      </c>
      <c r="F1698" s="91" t="s">
        <v>5604</v>
      </c>
      <c r="G1698" s="97" t="s">
        <v>58</v>
      </c>
      <c r="H1698" s="97" t="s">
        <v>58</v>
      </c>
      <c r="I1698" s="100" t="s">
        <v>58</v>
      </c>
      <c r="J1698" s="100" t="s">
        <v>58</v>
      </c>
      <c r="K1698" s="91" t="s">
        <v>5605</v>
      </c>
      <c r="L1698" s="91" t="s">
        <v>60</v>
      </c>
      <c r="M1698" s="98">
        <v>0</v>
      </c>
      <c r="N1698" s="91"/>
      <c r="O1698" s="98" t="e">
        <f ca="1">(TODAY()-G1698)/365</f>
        <v>#VALUE!</v>
      </c>
      <c r="P1698" s="91" t="s">
        <v>43</v>
      </c>
      <c r="Q1698" s="91">
        <v>0</v>
      </c>
      <c r="R1698" s="91">
        <v>0</v>
      </c>
      <c r="S1698" s="91">
        <v>0</v>
      </c>
      <c r="T1698" s="91"/>
      <c r="U1698" s="91"/>
      <c r="V1698" s="91"/>
      <c r="W1698" s="91"/>
      <c r="X1698" s="91"/>
      <c r="Y1698" s="91"/>
      <c r="Z1698" s="91"/>
      <c r="AA1698" s="91"/>
      <c r="AB1698" s="91"/>
      <c r="AC1698" s="91"/>
      <c r="AD1698" s="91"/>
      <c r="AE1698" s="91"/>
      <c r="AF1698" s="91"/>
      <c r="AG1698" s="91"/>
      <c r="AH1698" s="91"/>
      <c r="AI1698" s="91"/>
      <c r="AJ1698" s="91"/>
      <c r="AK1698" s="91"/>
      <c r="AL1698" s="91"/>
      <c r="AM1698" s="91"/>
    </row>
    <row r="1699" spans="1:39" ht="20.25" hidden="1" customHeight="1">
      <c r="A1699" s="91"/>
      <c r="B1699" s="93" t="s">
        <v>5484</v>
      </c>
      <c r="C1699" s="91" t="s">
        <v>36</v>
      </c>
      <c r="D1699" s="107" t="s">
        <v>4392</v>
      </c>
      <c r="E1699" s="107" t="s">
        <v>5606</v>
      </c>
      <c r="F1699" s="91" t="s">
        <v>5607</v>
      </c>
      <c r="G1699" s="97" t="s">
        <v>58</v>
      </c>
      <c r="H1699" s="97" t="s">
        <v>58</v>
      </c>
      <c r="I1699" s="100" t="s">
        <v>58</v>
      </c>
      <c r="J1699" s="100" t="s">
        <v>58</v>
      </c>
      <c r="K1699" s="91" t="s">
        <v>5608</v>
      </c>
      <c r="L1699" s="91" t="s">
        <v>60</v>
      </c>
      <c r="M1699" s="98">
        <v>0</v>
      </c>
      <c r="N1699" s="91"/>
      <c r="O1699" s="98" t="e">
        <f ca="1">(TODAY()-G1699)/365</f>
        <v>#VALUE!</v>
      </c>
      <c r="P1699" s="91" t="s">
        <v>43</v>
      </c>
      <c r="Q1699" s="91">
        <v>0</v>
      </c>
      <c r="R1699" s="91">
        <v>0</v>
      </c>
      <c r="S1699" s="91">
        <v>0</v>
      </c>
      <c r="T1699" s="91"/>
      <c r="U1699" s="91"/>
      <c r="V1699" s="91"/>
      <c r="W1699" s="91"/>
      <c r="X1699" s="91"/>
      <c r="Y1699" s="91"/>
      <c r="Z1699" s="91"/>
      <c r="AA1699" s="91"/>
      <c r="AB1699" s="91"/>
      <c r="AC1699" s="91"/>
      <c r="AD1699" s="91"/>
      <c r="AE1699" s="91"/>
      <c r="AF1699" s="91"/>
      <c r="AG1699" s="91"/>
      <c r="AH1699" s="91"/>
      <c r="AI1699" s="91"/>
      <c r="AJ1699" s="91"/>
      <c r="AK1699" s="91"/>
      <c r="AL1699" s="91"/>
      <c r="AM1699" s="91"/>
    </row>
    <row r="1700" spans="1:39" ht="20.25" hidden="1" customHeight="1">
      <c r="A1700" s="91"/>
      <c r="B1700" s="93" t="s">
        <v>5484</v>
      </c>
      <c r="C1700" s="91" t="s">
        <v>36</v>
      </c>
      <c r="D1700" s="107" t="s">
        <v>716</v>
      </c>
      <c r="E1700" s="107" t="s">
        <v>5609</v>
      </c>
      <c r="F1700" s="91" t="s">
        <v>5610</v>
      </c>
      <c r="G1700" s="97" t="s">
        <v>58</v>
      </c>
      <c r="H1700" s="97" t="s">
        <v>58</v>
      </c>
      <c r="I1700" s="100" t="s">
        <v>58</v>
      </c>
      <c r="J1700" s="100" t="s">
        <v>58</v>
      </c>
      <c r="K1700" s="91" t="s">
        <v>5611</v>
      </c>
      <c r="L1700" s="91" t="s">
        <v>60</v>
      </c>
      <c r="M1700" s="98">
        <v>0</v>
      </c>
      <c r="N1700" s="91"/>
      <c r="O1700" s="98" t="e">
        <f ca="1">(TODAY()-G1700)/365</f>
        <v>#VALUE!</v>
      </c>
      <c r="P1700" s="91" t="s">
        <v>43</v>
      </c>
      <c r="Q1700" s="91">
        <v>0</v>
      </c>
      <c r="R1700" s="91">
        <v>0</v>
      </c>
      <c r="S1700" s="91">
        <v>0</v>
      </c>
      <c r="T1700" s="91"/>
      <c r="U1700" s="91"/>
      <c r="V1700" s="91"/>
      <c r="W1700" s="91"/>
      <c r="X1700" s="91"/>
      <c r="Y1700" s="91"/>
      <c r="Z1700" s="91"/>
      <c r="AA1700" s="91"/>
      <c r="AB1700" s="91"/>
      <c r="AC1700" s="91"/>
      <c r="AD1700" s="91"/>
      <c r="AE1700" s="91"/>
      <c r="AF1700" s="91"/>
      <c r="AG1700" s="91"/>
      <c r="AH1700" s="91"/>
      <c r="AI1700" s="91"/>
      <c r="AJ1700" s="91"/>
      <c r="AK1700" s="91"/>
      <c r="AL1700" s="91"/>
      <c r="AM1700" s="91"/>
    </row>
    <row r="1701" spans="1:39" ht="20.25" hidden="1" customHeight="1">
      <c r="A1701" s="91"/>
      <c r="B1701" s="93" t="s">
        <v>5484</v>
      </c>
      <c r="C1701" s="91" t="s">
        <v>36</v>
      </c>
      <c r="D1701" s="107" t="s">
        <v>716</v>
      </c>
      <c r="E1701" s="107" t="s">
        <v>5612</v>
      </c>
      <c r="F1701" s="91" t="s">
        <v>5613</v>
      </c>
      <c r="G1701" s="96">
        <v>38789</v>
      </c>
      <c r="H1701" s="103" t="s">
        <v>58</v>
      </c>
      <c r="I1701" s="100" t="s">
        <v>58</v>
      </c>
      <c r="J1701" s="100" t="s">
        <v>5614</v>
      </c>
      <c r="K1701" s="91" t="s">
        <v>5615</v>
      </c>
      <c r="L1701" s="91" t="s">
        <v>60</v>
      </c>
      <c r="M1701" s="98">
        <v>0</v>
      </c>
      <c r="N1701" s="91"/>
      <c r="O1701" s="98">
        <f ca="1">(TODAY()-G1701)/365</f>
        <v>19.761643835616439</v>
      </c>
      <c r="P1701" s="91" t="s">
        <v>43</v>
      </c>
      <c r="Q1701" s="91">
        <v>0</v>
      </c>
      <c r="R1701" s="91">
        <v>0</v>
      </c>
      <c r="S1701" s="91">
        <v>0</v>
      </c>
      <c r="T1701" s="91"/>
      <c r="U1701" s="91"/>
      <c r="V1701" s="91"/>
      <c r="W1701" s="91"/>
      <c r="X1701" s="91"/>
      <c r="Y1701" s="91"/>
      <c r="Z1701" s="91"/>
      <c r="AA1701" s="91"/>
      <c r="AB1701" s="91"/>
      <c r="AC1701" s="91"/>
      <c r="AD1701" s="91"/>
      <c r="AE1701" s="91"/>
      <c r="AF1701" s="91"/>
      <c r="AG1701" s="91"/>
      <c r="AH1701" s="91"/>
      <c r="AI1701" s="91"/>
      <c r="AJ1701" s="91"/>
      <c r="AK1701" s="91"/>
      <c r="AL1701" s="91"/>
      <c r="AM1701" s="91"/>
    </row>
    <row r="1702" spans="1:39" ht="20.25" hidden="1" customHeight="1">
      <c r="A1702" s="91"/>
      <c r="B1702" s="93" t="s">
        <v>5484</v>
      </c>
      <c r="C1702" s="91" t="s">
        <v>36</v>
      </c>
      <c r="D1702" s="107" t="s">
        <v>646</v>
      </c>
      <c r="E1702" s="107" t="s">
        <v>5616</v>
      </c>
      <c r="F1702" s="91" t="s">
        <v>5617</v>
      </c>
      <c r="G1702" s="96">
        <v>36263</v>
      </c>
      <c r="H1702" s="103" t="s">
        <v>58</v>
      </c>
      <c r="I1702" s="100" t="s">
        <v>58</v>
      </c>
      <c r="J1702" s="100" t="s">
        <v>5618</v>
      </c>
      <c r="K1702" s="91" t="s">
        <v>5619</v>
      </c>
      <c r="L1702" s="91" t="s">
        <v>60</v>
      </c>
      <c r="M1702" s="98">
        <v>0</v>
      </c>
      <c r="N1702" s="91"/>
      <c r="O1702" s="98">
        <f ca="1">(TODAY()-G1702)/365</f>
        <v>26.682191780821917</v>
      </c>
      <c r="P1702" s="91" t="s">
        <v>43</v>
      </c>
      <c r="Q1702" s="91">
        <v>0</v>
      </c>
      <c r="R1702" s="91">
        <v>0</v>
      </c>
      <c r="S1702" s="91">
        <v>0</v>
      </c>
      <c r="T1702" s="91"/>
      <c r="U1702" s="91"/>
      <c r="V1702" s="91"/>
      <c r="W1702" s="91"/>
      <c r="X1702" s="91"/>
      <c r="Y1702" s="91"/>
      <c r="Z1702" s="91"/>
      <c r="AA1702" s="91"/>
      <c r="AB1702" s="91"/>
      <c r="AC1702" s="91"/>
      <c r="AD1702" s="91"/>
      <c r="AE1702" s="91"/>
      <c r="AF1702" s="91"/>
      <c r="AG1702" s="91"/>
      <c r="AH1702" s="91"/>
      <c r="AI1702" s="91"/>
      <c r="AJ1702" s="91"/>
      <c r="AK1702" s="91"/>
      <c r="AL1702" s="91"/>
      <c r="AM1702" s="91"/>
    </row>
    <row r="1703" spans="1:39" ht="20.25" hidden="1" customHeight="1">
      <c r="A1703" s="91"/>
      <c r="B1703" s="93" t="s">
        <v>5484</v>
      </c>
      <c r="C1703" s="91" t="s">
        <v>36</v>
      </c>
      <c r="D1703" s="107" t="s">
        <v>5620</v>
      </c>
      <c r="E1703" s="107" t="s">
        <v>5621</v>
      </c>
      <c r="F1703" s="91" t="s">
        <v>5622</v>
      </c>
      <c r="G1703" s="97" t="s">
        <v>58</v>
      </c>
      <c r="H1703" s="97" t="s">
        <v>58</v>
      </c>
      <c r="I1703" s="100" t="s">
        <v>58</v>
      </c>
      <c r="J1703" s="100" t="s">
        <v>58</v>
      </c>
      <c r="K1703" s="91" t="s">
        <v>58</v>
      </c>
      <c r="L1703" s="91" t="s">
        <v>60</v>
      </c>
      <c r="M1703" s="98">
        <v>0</v>
      </c>
      <c r="N1703" s="91"/>
      <c r="O1703" s="98" t="e">
        <f ca="1">(TODAY()-G1703)/365</f>
        <v>#VALUE!</v>
      </c>
      <c r="P1703" s="91" t="s">
        <v>43</v>
      </c>
      <c r="Q1703" s="91">
        <v>0</v>
      </c>
      <c r="R1703" s="91">
        <v>0</v>
      </c>
      <c r="S1703" s="91">
        <v>0</v>
      </c>
      <c r="T1703" s="91"/>
      <c r="U1703" s="91"/>
      <c r="V1703" s="91"/>
      <c r="W1703" s="91"/>
      <c r="X1703" s="91"/>
      <c r="Y1703" s="91"/>
      <c r="Z1703" s="91"/>
      <c r="AA1703" s="91"/>
      <c r="AB1703" s="91"/>
      <c r="AC1703" s="91"/>
      <c r="AD1703" s="91"/>
      <c r="AE1703" s="91"/>
      <c r="AF1703" s="91"/>
      <c r="AG1703" s="91"/>
      <c r="AH1703" s="91"/>
      <c r="AI1703" s="91"/>
      <c r="AJ1703" s="91"/>
      <c r="AK1703" s="91"/>
      <c r="AL1703" s="91"/>
      <c r="AM1703" s="91"/>
    </row>
    <row r="1704" spans="1:39" ht="20.25" hidden="1" customHeight="1">
      <c r="A1704" s="91"/>
      <c r="B1704" s="93" t="s">
        <v>5484</v>
      </c>
      <c r="C1704" s="91" t="s">
        <v>36</v>
      </c>
      <c r="D1704" s="107" t="s">
        <v>5623</v>
      </c>
      <c r="E1704" s="107" t="s">
        <v>5624</v>
      </c>
      <c r="F1704" s="91" t="s">
        <v>5625</v>
      </c>
      <c r="G1704" s="96">
        <v>43040</v>
      </c>
      <c r="H1704" s="97" t="s">
        <v>58</v>
      </c>
      <c r="I1704" s="100" t="s">
        <v>5626</v>
      </c>
      <c r="J1704" s="100" t="s">
        <v>5627</v>
      </c>
      <c r="K1704" s="91" t="s">
        <v>5628</v>
      </c>
      <c r="L1704" s="91" t="s">
        <v>60</v>
      </c>
      <c r="M1704" s="98">
        <v>0</v>
      </c>
      <c r="N1704" s="91"/>
      <c r="O1704" s="98">
        <f ca="1">(TODAY()-G1704)/365</f>
        <v>8.1150684931506856</v>
      </c>
      <c r="P1704" s="91" t="s">
        <v>43</v>
      </c>
      <c r="Q1704" s="91">
        <v>0</v>
      </c>
      <c r="R1704" s="91">
        <v>0</v>
      </c>
      <c r="S1704" s="91">
        <v>0</v>
      </c>
      <c r="T1704" s="91"/>
      <c r="U1704" s="91"/>
      <c r="V1704" s="91"/>
      <c r="W1704" s="91"/>
      <c r="X1704" s="91"/>
      <c r="Y1704" s="91"/>
      <c r="Z1704" s="91"/>
      <c r="AA1704" s="91"/>
      <c r="AB1704" s="91"/>
      <c r="AC1704" s="91"/>
      <c r="AD1704" s="91"/>
      <c r="AE1704" s="91"/>
      <c r="AF1704" s="91"/>
      <c r="AG1704" s="91"/>
      <c r="AH1704" s="91"/>
      <c r="AI1704" s="91"/>
      <c r="AJ1704" s="91"/>
      <c r="AK1704" s="91"/>
      <c r="AL1704" s="91"/>
      <c r="AM1704" s="91"/>
    </row>
    <row r="1705" spans="1:39" ht="20.25" hidden="1" customHeight="1">
      <c r="A1705" s="91"/>
      <c r="B1705" s="93" t="s">
        <v>5484</v>
      </c>
      <c r="C1705" s="91" t="s">
        <v>36</v>
      </c>
      <c r="D1705" s="107" t="s">
        <v>5629</v>
      </c>
      <c r="E1705" s="107" t="s">
        <v>5630</v>
      </c>
      <c r="F1705" s="91" t="s">
        <v>5631</v>
      </c>
      <c r="G1705" s="96">
        <v>41730</v>
      </c>
      <c r="H1705" s="97" t="s">
        <v>58</v>
      </c>
      <c r="I1705" s="100" t="s">
        <v>58</v>
      </c>
      <c r="J1705" s="100" t="s">
        <v>58</v>
      </c>
      <c r="K1705" s="91" t="s">
        <v>5632</v>
      </c>
      <c r="L1705" s="91" t="s">
        <v>60</v>
      </c>
      <c r="M1705" s="98">
        <v>0</v>
      </c>
      <c r="N1705" s="91"/>
      <c r="O1705" s="98">
        <f ca="1">(TODAY()-G1705)/365</f>
        <v>11.704109589041096</v>
      </c>
      <c r="P1705" s="91" t="s">
        <v>43</v>
      </c>
      <c r="Q1705" s="91">
        <v>0</v>
      </c>
      <c r="R1705" s="91">
        <v>0</v>
      </c>
      <c r="S1705" s="91">
        <v>0</v>
      </c>
      <c r="T1705" s="91"/>
      <c r="U1705" s="91"/>
      <c r="V1705" s="91"/>
      <c r="W1705" s="91"/>
      <c r="X1705" s="91"/>
      <c r="Y1705" s="91"/>
      <c r="Z1705" s="91"/>
      <c r="AA1705" s="91"/>
      <c r="AB1705" s="91"/>
      <c r="AC1705" s="91"/>
      <c r="AD1705" s="91"/>
      <c r="AE1705" s="91"/>
      <c r="AF1705" s="91"/>
      <c r="AG1705" s="91"/>
      <c r="AH1705" s="91"/>
      <c r="AI1705" s="91"/>
      <c r="AJ1705" s="91"/>
      <c r="AK1705" s="91"/>
      <c r="AL1705" s="91"/>
      <c r="AM1705" s="91"/>
    </row>
    <row r="1706" spans="1:39" ht="20.25" hidden="1" customHeight="1">
      <c r="A1706" s="91"/>
      <c r="B1706" s="93" t="s">
        <v>5484</v>
      </c>
      <c r="C1706" s="91" t="s">
        <v>36</v>
      </c>
      <c r="D1706" s="107" t="s">
        <v>343</v>
      </c>
      <c r="E1706" s="107" t="s">
        <v>5633</v>
      </c>
      <c r="F1706" s="91" t="s">
        <v>5634</v>
      </c>
      <c r="G1706" s="96">
        <v>28594</v>
      </c>
      <c r="H1706" s="103" t="s">
        <v>58</v>
      </c>
      <c r="I1706" s="100" t="s">
        <v>5635</v>
      </c>
      <c r="J1706" s="100" t="s">
        <v>5636</v>
      </c>
      <c r="K1706" s="91" t="s">
        <v>5637</v>
      </c>
      <c r="L1706" s="91" t="s">
        <v>151</v>
      </c>
      <c r="M1706" s="98">
        <v>0</v>
      </c>
      <c r="N1706" s="91"/>
      <c r="O1706" s="98">
        <f ca="1">(TODAY()-G1706)/365</f>
        <v>47.69315068493151</v>
      </c>
      <c r="P1706" s="91" t="s">
        <v>43</v>
      </c>
      <c r="Q1706" s="91">
        <v>0</v>
      </c>
      <c r="R1706" s="91">
        <v>0</v>
      </c>
      <c r="S1706" s="91">
        <v>0</v>
      </c>
      <c r="T1706" s="91"/>
      <c r="U1706" s="91"/>
      <c r="V1706" s="91"/>
      <c r="W1706" s="91"/>
      <c r="X1706" s="91"/>
      <c r="Y1706" s="91"/>
      <c r="Z1706" s="91"/>
      <c r="AA1706" s="91"/>
      <c r="AB1706" s="91"/>
      <c r="AC1706" s="91"/>
      <c r="AD1706" s="91"/>
      <c r="AE1706" s="91"/>
      <c r="AF1706" s="91"/>
      <c r="AG1706" s="91"/>
      <c r="AH1706" s="91"/>
      <c r="AI1706" s="91"/>
      <c r="AJ1706" s="91"/>
      <c r="AK1706" s="91"/>
      <c r="AL1706" s="91"/>
      <c r="AM1706" s="91"/>
    </row>
    <row r="1707" spans="1:39" ht="20.25" hidden="1" customHeight="1">
      <c r="A1707" s="91"/>
      <c r="B1707" s="93" t="s">
        <v>5484</v>
      </c>
      <c r="C1707" s="91" t="s">
        <v>36</v>
      </c>
      <c r="D1707" s="107" t="s">
        <v>1187</v>
      </c>
      <c r="E1707" s="107" t="s">
        <v>5638</v>
      </c>
      <c r="F1707" s="91" t="s">
        <v>5639</v>
      </c>
      <c r="G1707" s="96">
        <v>38827</v>
      </c>
      <c r="H1707" s="103" t="s">
        <v>58</v>
      </c>
      <c r="I1707" s="100" t="s">
        <v>5640</v>
      </c>
      <c r="J1707" s="100" t="s">
        <v>5641</v>
      </c>
      <c r="K1707" s="91" t="s">
        <v>5642</v>
      </c>
      <c r="L1707" s="91" t="s">
        <v>60</v>
      </c>
      <c r="M1707" s="98">
        <v>0</v>
      </c>
      <c r="N1707" s="91"/>
      <c r="O1707" s="98">
        <f ca="1">(TODAY()-G1707)/365</f>
        <v>19.657534246575342</v>
      </c>
      <c r="P1707" s="91" t="s">
        <v>43</v>
      </c>
      <c r="Q1707" s="91">
        <v>0</v>
      </c>
      <c r="R1707" s="91">
        <v>0</v>
      </c>
      <c r="S1707" s="91">
        <v>0</v>
      </c>
      <c r="T1707" s="91"/>
      <c r="U1707" s="91"/>
      <c r="V1707" s="91"/>
      <c r="W1707" s="91"/>
      <c r="X1707" s="91"/>
      <c r="Y1707" s="91"/>
      <c r="Z1707" s="91"/>
      <c r="AA1707" s="91"/>
      <c r="AB1707" s="91"/>
      <c r="AC1707" s="91"/>
      <c r="AD1707" s="91"/>
      <c r="AE1707" s="91"/>
      <c r="AF1707" s="91"/>
      <c r="AG1707" s="91"/>
      <c r="AH1707" s="91"/>
      <c r="AI1707" s="91"/>
      <c r="AJ1707" s="91"/>
      <c r="AK1707" s="91"/>
      <c r="AL1707" s="91"/>
      <c r="AM1707" s="91"/>
    </row>
    <row r="1708" spans="1:39" ht="20.25" hidden="1" customHeight="1">
      <c r="A1708" s="91"/>
      <c r="B1708" s="93" t="s">
        <v>5484</v>
      </c>
      <c r="C1708" s="91" t="s">
        <v>36</v>
      </c>
      <c r="D1708" s="107" t="s">
        <v>3763</v>
      </c>
      <c r="E1708" s="107" t="s">
        <v>5643</v>
      </c>
      <c r="F1708" s="91" t="s">
        <v>5644</v>
      </c>
      <c r="G1708" s="96">
        <v>28202</v>
      </c>
      <c r="H1708" s="103" t="s">
        <v>58</v>
      </c>
      <c r="I1708" s="100" t="s">
        <v>5645</v>
      </c>
      <c r="J1708" s="100" t="s">
        <v>5646</v>
      </c>
      <c r="K1708" s="91" t="s">
        <v>5647</v>
      </c>
      <c r="L1708" s="91" t="s">
        <v>72</v>
      </c>
      <c r="M1708" s="98">
        <v>0</v>
      </c>
      <c r="N1708" s="91"/>
      <c r="O1708" s="98">
        <f ca="1">(TODAY()-G1708)/365</f>
        <v>48.767123287671232</v>
      </c>
      <c r="P1708" s="91" t="s">
        <v>43</v>
      </c>
      <c r="Q1708" s="91">
        <v>0</v>
      </c>
      <c r="R1708" s="91">
        <v>0</v>
      </c>
      <c r="S1708" s="91">
        <v>0</v>
      </c>
      <c r="T1708" s="91"/>
      <c r="U1708" s="91"/>
      <c r="V1708" s="91"/>
      <c r="W1708" s="91"/>
      <c r="X1708" s="91"/>
      <c r="Y1708" s="91"/>
      <c r="Z1708" s="91"/>
      <c r="AA1708" s="91"/>
      <c r="AB1708" s="91"/>
      <c r="AC1708" s="91"/>
      <c r="AD1708" s="91"/>
      <c r="AE1708" s="91"/>
      <c r="AF1708" s="91"/>
      <c r="AG1708" s="91"/>
      <c r="AH1708" s="91"/>
      <c r="AI1708" s="91"/>
      <c r="AJ1708" s="91"/>
      <c r="AK1708" s="91"/>
      <c r="AL1708" s="91"/>
      <c r="AM1708" s="91"/>
    </row>
    <row r="1709" spans="1:39" ht="20.25" hidden="1" customHeight="1">
      <c r="A1709" s="91"/>
      <c r="B1709" s="93" t="s">
        <v>5484</v>
      </c>
      <c r="C1709" s="91" t="s">
        <v>36</v>
      </c>
      <c r="D1709" s="107" t="s">
        <v>5648</v>
      </c>
      <c r="E1709" s="107" t="s">
        <v>5649</v>
      </c>
      <c r="F1709" s="91" t="s">
        <v>5650</v>
      </c>
      <c r="G1709" s="96">
        <v>42391</v>
      </c>
      <c r="H1709" s="103" t="s">
        <v>58</v>
      </c>
      <c r="I1709" s="100" t="s">
        <v>5651</v>
      </c>
      <c r="J1709" s="100" t="s">
        <v>5652</v>
      </c>
      <c r="K1709" s="91" t="s">
        <v>5653</v>
      </c>
      <c r="L1709" s="91" t="s">
        <v>60</v>
      </c>
      <c r="M1709" s="98">
        <v>0</v>
      </c>
      <c r="N1709" s="91"/>
      <c r="O1709" s="98">
        <f ca="1">(TODAY()-G1709)/365</f>
        <v>9.8931506849315074</v>
      </c>
      <c r="P1709" s="91" t="s">
        <v>43</v>
      </c>
      <c r="Q1709" s="91">
        <v>0</v>
      </c>
      <c r="R1709" s="91">
        <v>0</v>
      </c>
      <c r="S1709" s="91">
        <v>0</v>
      </c>
      <c r="T1709" s="91"/>
      <c r="U1709" s="91"/>
      <c r="V1709" s="91"/>
      <c r="W1709" s="91"/>
      <c r="X1709" s="91"/>
      <c r="Y1709" s="91"/>
      <c r="Z1709" s="91"/>
      <c r="AA1709" s="91"/>
      <c r="AB1709" s="91"/>
      <c r="AC1709" s="91"/>
      <c r="AD1709" s="91"/>
      <c r="AE1709" s="91"/>
      <c r="AF1709" s="91"/>
      <c r="AG1709" s="91"/>
      <c r="AH1709" s="91"/>
      <c r="AI1709" s="91"/>
      <c r="AJ1709" s="91"/>
      <c r="AK1709" s="91"/>
      <c r="AL1709" s="91"/>
      <c r="AM1709" s="91"/>
    </row>
    <row r="1710" spans="1:39" ht="20.25" hidden="1" customHeight="1">
      <c r="A1710" s="91"/>
      <c r="B1710" s="93" t="s">
        <v>5484</v>
      </c>
      <c r="C1710" s="91" t="s">
        <v>36</v>
      </c>
      <c r="D1710" s="107" t="s">
        <v>840</v>
      </c>
      <c r="E1710" s="107" t="s">
        <v>5654</v>
      </c>
      <c r="F1710" s="91" t="s">
        <v>5655</v>
      </c>
      <c r="G1710" s="96">
        <v>29983</v>
      </c>
      <c r="H1710" s="103" t="s">
        <v>58</v>
      </c>
      <c r="I1710" s="100" t="s">
        <v>5656</v>
      </c>
      <c r="J1710" s="100" t="s">
        <v>5657</v>
      </c>
      <c r="K1710" s="91" t="s">
        <v>5658</v>
      </c>
      <c r="L1710" s="91" t="s">
        <v>60</v>
      </c>
      <c r="M1710" s="98">
        <v>0</v>
      </c>
      <c r="N1710" s="91"/>
      <c r="O1710" s="98">
        <f ca="1">(TODAY()-G1710)/365</f>
        <v>43.887671232876713</v>
      </c>
      <c r="P1710" s="91" t="s">
        <v>43</v>
      </c>
      <c r="Q1710" s="91">
        <v>0</v>
      </c>
      <c r="R1710" s="91">
        <v>0</v>
      </c>
      <c r="S1710" s="91">
        <v>0</v>
      </c>
      <c r="T1710" s="91"/>
      <c r="U1710" s="91"/>
      <c r="V1710" s="91"/>
      <c r="W1710" s="91"/>
      <c r="X1710" s="91"/>
      <c r="Y1710" s="91"/>
      <c r="Z1710" s="91"/>
      <c r="AA1710" s="91"/>
      <c r="AB1710" s="91"/>
      <c r="AC1710" s="91"/>
      <c r="AD1710" s="91"/>
      <c r="AE1710" s="91"/>
      <c r="AF1710" s="91"/>
      <c r="AG1710" s="91"/>
      <c r="AH1710" s="91"/>
      <c r="AI1710" s="91"/>
      <c r="AJ1710" s="91"/>
      <c r="AK1710" s="91"/>
      <c r="AL1710" s="91"/>
      <c r="AM1710" s="91"/>
    </row>
    <row r="1711" spans="1:39" ht="20.25" hidden="1" customHeight="1">
      <c r="A1711" s="91"/>
      <c r="B1711" s="93" t="s">
        <v>5484</v>
      </c>
      <c r="C1711" s="91" t="s">
        <v>36</v>
      </c>
      <c r="D1711" s="107" t="s">
        <v>513</v>
      </c>
      <c r="E1711" s="107" t="s">
        <v>5659</v>
      </c>
      <c r="F1711" s="91" t="s">
        <v>5660</v>
      </c>
      <c r="G1711" s="96">
        <v>35507</v>
      </c>
      <c r="H1711" s="103" t="s">
        <v>58</v>
      </c>
      <c r="I1711" s="100" t="s">
        <v>58</v>
      </c>
      <c r="J1711" s="100" t="s">
        <v>5661</v>
      </c>
      <c r="K1711" s="91" t="s">
        <v>5662</v>
      </c>
      <c r="L1711" s="91" t="s">
        <v>60</v>
      </c>
      <c r="M1711" s="98">
        <v>0</v>
      </c>
      <c r="N1711" s="91"/>
      <c r="O1711" s="98">
        <f ca="1">(TODAY()-G1711)/365</f>
        <v>28.753424657534246</v>
      </c>
      <c r="P1711" s="91" t="s">
        <v>43</v>
      </c>
      <c r="Q1711" s="91">
        <v>0</v>
      </c>
      <c r="R1711" s="91">
        <v>0</v>
      </c>
      <c r="S1711" s="91">
        <v>0</v>
      </c>
      <c r="T1711" s="91"/>
      <c r="U1711" s="91"/>
      <c r="V1711" s="91"/>
      <c r="W1711" s="91"/>
      <c r="X1711" s="91"/>
      <c r="Y1711" s="91"/>
      <c r="Z1711" s="91"/>
      <c r="AA1711" s="91"/>
      <c r="AB1711" s="91"/>
      <c r="AC1711" s="91"/>
      <c r="AD1711" s="91"/>
      <c r="AE1711" s="91"/>
      <c r="AF1711" s="91"/>
      <c r="AG1711" s="91"/>
      <c r="AH1711" s="91"/>
      <c r="AI1711" s="91"/>
      <c r="AJ1711" s="91"/>
      <c r="AK1711" s="91"/>
      <c r="AL1711" s="91"/>
      <c r="AM1711" s="91"/>
    </row>
    <row r="1712" spans="1:39" ht="20.25" customHeight="1">
      <c r="A1712" s="91"/>
      <c r="B1712" s="93" t="s">
        <v>77</v>
      </c>
      <c r="C1712" s="91" t="s">
        <v>73</v>
      </c>
      <c r="D1712" s="94" t="s">
        <v>104</v>
      </c>
      <c r="E1712" s="94" t="s">
        <v>105</v>
      </c>
      <c r="F1712" s="95" t="s">
        <v>106</v>
      </c>
      <c r="G1712" s="96">
        <v>45539</v>
      </c>
      <c r="H1712" s="97">
        <v>35640</v>
      </c>
      <c r="I1712" s="94" t="s">
        <v>107</v>
      </c>
      <c r="J1712" s="100" t="s">
        <v>58</v>
      </c>
      <c r="K1712" s="91" t="s">
        <v>58</v>
      </c>
      <c r="L1712" s="91" t="s">
        <v>60</v>
      </c>
      <c r="M1712" s="98">
        <f ca="1">(TODAY()-H1712)/365</f>
        <v>28.389041095890413</v>
      </c>
      <c r="N1712" s="99">
        <f>(G1712-H1712)/365</f>
        <v>27.12054794520548</v>
      </c>
      <c r="O1712" s="98">
        <f ca="1">(TODAY()-G1712)/365</f>
        <v>1.2684931506849315</v>
      </c>
      <c r="P1712" s="91" t="s">
        <v>43</v>
      </c>
      <c r="Q1712" s="91">
        <v>0</v>
      </c>
      <c r="R1712" s="91">
        <v>0</v>
      </c>
      <c r="S1712" s="91">
        <v>0</v>
      </c>
      <c r="T1712" s="91"/>
      <c r="U1712" s="91"/>
      <c r="V1712" s="91"/>
      <c r="W1712" s="91"/>
      <c r="X1712" s="91"/>
      <c r="Y1712" s="91"/>
      <c r="Z1712" s="91"/>
      <c r="AA1712" s="91"/>
      <c r="AB1712" s="91"/>
      <c r="AC1712" s="91"/>
      <c r="AD1712" s="91"/>
      <c r="AE1712" s="91"/>
      <c r="AF1712" s="91"/>
      <c r="AG1712" s="91"/>
      <c r="AH1712" s="91"/>
      <c r="AI1712" s="91"/>
      <c r="AJ1712" s="91"/>
      <c r="AK1712" s="91"/>
      <c r="AL1712" s="91"/>
      <c r="AM1712" s="91"/>
    </row>
    <row r="1713" spans="1:39" ht="20.25" customHeight="1">
      <c r="A1713" s="91"/>
      <c r="B1713" s="93" t="s">
        <v>3374</v>
      </c>
      <c r="C1713" s="91" t="s">
        <v>73</v>
      </c>
      <c r="D1713" s="107" t="s">
        <v>1197</v>
      </c>
      <c r="E1713" s="107" t="s">
        <v>3451</v>
      </c>
      <c r="F1713" s="91" t="s">
        <v>3452</v>
      </c>
      <c r="G1713" s="96">
        <v>45005</v>
      </c>
      <c r="H1713" s="96" t="s">
        <v>58</v>
      </c>
      <c r="I1713" s="94" t="s">
        <v>58</v>
      </c>
      <c r="J1713" s="94" t="s">
        <v>58</v>
      </c>
      <c r="K1713" s="95" t="s">
        <v>58</v>
      </c>
      <c r="L1713" s="91" t="s">
        <v>60</v>
      </c>
      <c r="M1713" s="98">
        <v>0</v>
      </c>
      <c r="N1713" s="99"/>
      <c r="O1713" s="98">
        <f ca="1">(TODAY()-G1713)/365</f>
        <v>2.7315068493150685</v>
      </c>
      <c r="P1713" s="91" t="s">
        <v>43</v>
      </c>
      <c r="Q1713" s="91"/>
      <c r="R1713" s="91"/>
      <c r="S1713" s="91"/>
      <c r="T1713" s="91"/>
      <c r="U1713" s="91"/>
      <c r="V1713" s="91"/>
      <c r="W1713" s="91"/>
      <c r="X1713" s="91"/>
      <c r="Y1713" s="91"/>
      <c r="Z1713" s="91"/>
      <c r="AA1713" s="91"/>
      <c r="AB1713" s="91"/>
      <c r="AC1713" s="91"/>
      <c r="AD1713" s="91"/>
      <c r="AE1713" s="91"/>
      <c r="AF1713" s="91"/>
      <c r="AG1713" s="91"/>
      <c r="AH1713" s="91"/>
      <c r="AI1713" s="91"/>
      <c r="AJ1713" s="91"/>
      <c r="AK1713" s="91"/>
      <c r="AL1713" s="91"/>
      <c r="AM1713" s="91"/>
    </row>
    <row r="1714" spans="1:39" ht="20.25" customHeight="1">
      <c r="A1714" s="91"/>
      <c r="B1714" s="93" t="s">
        <v>8930</v>
      </c>
      <c r="C1714" s="91" t="s">
        <v>73</v>
      </c>
      <c r="D1714" s="107" t="s">
        <v>8931</v>
      </c>
      <c r="E1714" s="107" t="s">
        <v>8932</v>
      </c>
      <c r="F1714" s="91" t="s">
        <v>8933</v>
      </c>
      <c r="G1714" s="96">
        <v>45024</v>
      </c>
      <c r="H1714" s="97">
        <v>39854</v>
      </c>
      <c r="I1714" s="94" t="s">
        <v>58</v>
      </c>
      <c r="J1714" s="94" t="s">
        <v>58</v>
      </c>
      <c r="K1714" s="91">
        <v>979420767</v>
      </c>
      <c r="L1714" s="91" t="s">
        <v>167</v>
      </c>
      <c r="M1714" s="98">
        <f ca="1">(TODAY()-H1714)/365</f>
        <v>16.843835616438355</v>
      </c>
      <c r="N1714" s="99">
        <f>(G1714-H1714)/365</f>
        <v>14.164383561643836</v>
      </c>
      <c r="O1714" s="98">
        <f ca="1">(TODAY()-G1714)/365</f>
        <v>2.6794520547945204</v>
      </c>
      <c r="P1714" s="91" t="s">
        <v>43</v>
      </c>
      <c r="Q1714" s="91">
        <v>0</v>
      </c>
      <c r="R1714" s="91">
        <v>0</v>
      </c>
      <c r="S1714" s="91">
        <v>0</v>
      </c>
      <c r="T1714" s="91"/>
      <c r="U1714" s="91"/>
      <c r="V1714" s="91"/>
      <c r="W1714" s="91"/>
      <c r="X1714" s="91"/>
      <c r="Y1714" s="91"/>
      <c r="Z1714" s="91"/>
      <c r="AA1714" s="91"/>
      <c r="AB1714" s="91"/>
      <c r="AC1714" s="91"/>
      <c r="AD1714" s="91"/>
      <c r="AE1714" s="91"/>
      <c r="AF1714" s="91"/>
      <c r="AG1714" s="91"/>
      <c r="AH1714" s="91"/>
      <c r="AI1714" s="91"/>
      <c r="AJ1714" s="91"/>
      <c r="AK1714" s="91"/>
      <c r="AL1714" s="91"/>
      <c r="AM1714" s="91"/>
    </row>
    <row r="1715" spans="1:39" ht="20.25" customHeight="1">
      <c r="A1715" s="91"/>
      <c r="B1715" s="93" t="s">
        <v>77</v>
      </c>
      <c r="C1715" s="91" t="s">
        <v>73</v>
      </c>
      <c r="D1715" s="94" t="s">
        <v>198</v>
      </c>
      <c r="E1715" s="94" t="s">
        <v>199</v>
      </c>
      <c r="F1715" s="95" t="s">
        <v>200</v>
      </c>
      <c r="G1715" s="96">
        <v>42357</v>
      </c>
      <c r="H1715" s="103" t="s">
        <v>58</v>
      </c>
      <c r="I1715" s="94" t="s">
        <v>201</v>
      </c>
      <c r="J1715" s="100" t="s">
        <v>58</v>
      </c>
      <c r="K1715" s="91" t="s">
        <v>58</v>
      </c>
      <c r="L1715" s="91" t="s">
        <v>60</v>
      </c>
      <c r="M1715" s="98"/>
      <c r="N1715" s="95"/>
      <c r="O1715" s="98">
        <f ca="1">(TODAY()-G1715)/365</f>
        <v>9.9863013698630141</v>
      </c>
      <c r="P1715" s="91" t="s">
        <v>43</v>
      </c>
      <c r="Q1715" s="91">
        <v>0</v>
      </c>
      <c r="R1715" s="91">
        <v>0</v>
      </c>
      <c r="S1715" s="91">
        <v>0</v>
      </c>
      <c r="T1715" s="91"/>
      <c r="U1715" s="91"/>
      <c r="V1715" s="91"/>
      <c r="W1715" s="91"/>
      <c r="X1715" s="91"/>
      <c r="Y1715" s="91"/>
      <c r="Z1715" s="91"/>
      <c r="AA1715" s="91"/>
      <c r="AB1715" s="91"/>
      <c r="AC1715" s="91"/>
      <c r="AD1715" s="91"/>
      <c r="AE1715" s="91"/>
      <c r="AF1715" s="91"/>
      <c r="AG1715" s="91"/>
      <c r="AH1715" s="91"/>
      <c r="AI1715" s="91"/>
      <c r="AJ1715" s="91"/>
      <c r="AK1715" s="91"/>
      <c r="AL1715" s="91"/>
      <c r="AM1715" s="91"/>
    </row>
    <row r="1716" spans="1:39" ht="20.25" customHeight="1">
      <c r="A1716" s="91"/>
      <c r="B1716" s="93" t="s">
        <v>10061</v>
      </c>
      <c r="C1716" s="91" t="s">
        <v>73</v>
      </c>
      <c r="D1716" s="106" t="s">
        <v>455</v>
      </c>
      <c r="E1716" s="106" t="s">
        <v>10131</v>
      </c>
      <c r="F1716" s="92" t="s">
        <v>10132</v>
      </c>
      <c r="G1716" s="103">
        <v>45566</v>
      </c>
      <c r="H1716" s="103">
        <v>34451</v>
      </c>
      <c r="I1716" s="94" t="s">
        <v>10133</v>
      </c>
      <c r="J1716" s="100" t="s">
        <v>58</v>
      </c>
      <c r="K1716" s="95" t="s">
        <v>58</v>
      </c>
      <c r="L1716" s="91"/>
      <c r="M1716" s="98">
        <f ca="1">(TODAY()-H1716)/365</f>
        <v>31.646575342465752</v>
      </c>
      <c r="N1716" s="99">
        <f>(G1716-H1716)/365</f>
        <v>30.452054794520549</v>
      </c>
      <c r="O1716" s="98">
        <f ca="1">(TODAY()-G1716)/365</f>
        <v>1.1945205479452055</v>
      </c>
      <c r="P1716" s="91" t="s">
        <v>43</v>
      </c>
      <c r="Q1716" s="91"/>
      <c r="R1716" s="91"/>
      <c r="S1716" s="91"/>
      <c r="T1716" s="91"/>
      <c r="U1716" s="91"/>
      <c r="V1716" s="91"/>
      <c r="W1716" s="91"/>
      <c r="X1716" s="91"/>
      <c r="Y1716" s="91"/>
      <c r="Z1716" s="91"/>
      <c r="AA1716" s="91"/>
      <c r="AB1716" s="91"/>
      <c r="AC1716" s="91"/>
      <c r="AD1716" s="91"/>
      <c r="AE1716" s="91"/>
      <c r="AF1716" s="91"/>
      <c r="AG1716" s="91"/>
      <c r="AH1716" s="91"/>
      <c r="AI1716" s="91"/>
      <c r="AJ1716" s="91"/>
      <c r="AK1716" s="91"/>
      <c r="AL1716" s="91"/>
      <c r="AM1716" s="91"/>
    </row>
    <row r="1717" spans="1:39" ht="20.25" customHeight="1">
      <c r="A1717" s="91"/>
      <c r="B1717" s="93" t="s">
        <v>9558</v>
      </c>
      <c r="C1717" s="91" t="s">
        <v>73</v>
      </c>
      <c r="D1717" s="107" t="s">
        <v>310</v>
      </c>
      <c r="E1717" s="107" t="s">
        <v>9629</v>
      </c>
      <c r="F1717" s="91" t="s">
        <v>58</v>
      </c>
      <c r="G1717" s="97" t="s">
        <v>58</v>
      </c>
      <c r="H1717" s="97" t="s">
        <v>58</v>
      </c>
      <c r="I1717" s="100" t="s">
        <v>58</v>
      </c>
      <c r="J1717" s="100" t="s">
        <v>58</v>
      </c>
      <c r="K1717" s="91" t="s">
        <v>58</v>
      </c>
      <c r="L1717" s="91" t="s">
        <v>167</v>
      </c>
      <c r="M1717" s="98"/>
      <c r="N1717" s="99"/>
      <c r="O1717" s="98" t="e">
        <f ca="1">(TODAY()-G1717)/365</f>
        <v>#VALUE!</v>
      </c>
      <c r="P1717" s="91" t="s">
        <v>43</v>
      </c>
      <c r="Q1717" s="91">
        <v>0</v>
      </c>
      <c r="R1717" s="91">
        <v>0</v>
      </c>
      <c r="S1717" s="91">
        <v>0</v>
      </c>
      <c r="T1717" s="91"/>
      <c r="U1717" s="91"/>
      <c r="V1717" s="91"/>
      <c r="W1717" s="91"/>
      <c r="X1717" s="91"/>
      <c r="Y1717" s="91"/>
      <c r="Z1717" s="91"/>
      <c r="AA1717" s="91"/>
      <c r="AB1717" s="91"/>
      <c r="AC1717" s="91"/>
      <c r="AD1717" s="91"/>
      <c r="AE1717" s="91"/>
      <c r="AF1717" s="91"/>
      <c r="AG1717" s="91"/>
      <c r="AH1717" s="91"/>
      <c r="AI1717" s="91"/>
      <c r="AJ1717" s="91"/>
      <c r="AK1717" s="91"/>
      <c r="AL1717" s="91"/>
      <c r="AM1717" s="91"/>
    </row>
    <row r="1718" spans="1:39" ht="20.25" customHeight="1">
      <c r="A1718" s="91"/>
      <c r="B1718" s="93" t="s">
        <v>8524</v>
      </c>
      <c r="C1718" s="91" t="s">
        <v>73</v>
      </c>
      <c r="D1718" s="94" t="s">
        <v>8598</v>
      </c>
      <c r="E1718" s="94" t="s">
        <v>8599</v>
      </c>
      <c r="F1718" s="95" t="s">
        <v>8600</v>
      </c>
      <c r="G1718" s="96" t="s">
        <v>58</v>
      </c>
      <c r="H1718" s="96">
        <v>25020</v>
      </c>
      <c r="I1718" s="108" t="s">
        <v>12477</v>
      </c>
      <c r="J1718" s="100" t="s">
        <v>58</v>
      </c>
      <c r="K1718" s="91" t="s">
        <v>58</v>
      </c>
      <c r="L1718" s="91" t="s">
        <v>60</v>
      </c>
      <c r="M1718" s="98">
        <f ca="1">(TODAY()-H1718)/365</f>
        <v>57.484931506849314</v>
      </c>
      <c r="N1718" s="99"/>
      <c r="O1718" s="98" t="e">
        <f ca="1">(TODAY()-G1718)/365</f>
        <v>#VALUE!</v>
      </c>
      <c r="P1718" s="91" t="s">
        <v>272</v>
      </c>
      <c r="Q1718" s="91">
        <v>0</v>
      </c>
      <c r="R1718" s="91">
        <v>0</v>
      </c>
      <c r="S1718" s="91">
        <v>0</v>
      </c>
      <c r="T1718" s="91"/>
      <c r="U1718" s="91"/>
      <c r="V1718" s="91"/>
      <c r="W1718" s="91"/>
      <c r="X1718" s="91"/>
      <c r="Y1718" s="91"/>
      <c r="Z1718" s="91"/>
      <c r="AA1718" s="91"/>
      <c r="AB1718" s="91"/>
      <c r="AC1718" s="91"/>
      <c r="AD1718" s="91"/>
      <c r="AE1718" s="91"/>
      <c r="AF1718" s="91"/>
      <c r="AG1718" s="91"/>
      <c r="AH1718" s="91"/>
      <c r="AI1718" s="91"/>
      <c r="AJ1718" s="91"/>
      <c r="AK1718" s="91"/>
      <c r="AL1718" s="91"/>
      <c r="AM1718" s="91"/>
    </row>
    <row r="1719" spans="1:39" ht="20.25" customHeight="1">
      <c r="A1719" s="91"/>
      <c r="B1719" s="93" t="s">
        <v>10137</v>
      </c>
      <c r="C1719" s="91" t="s">
        <v>73</v>
      </c>
      <c r="D1719" s="106" t="s">
        <v>10203</v>
      </c>
      <c r="E1719" s="106" t="s">
        <v>10204</v>
      </c>
      <c r="F1719" s="92" t="s">
        <v>10205</v>
      </c>
      <c r="G1719" s="103">
        <v>40231</v>
      </c>
      <c r="H1719" s="103">
        <v>29333</v>
      </c>
      <c r="I1719" s="108" t="s">
        <v>12590</v>
      </c>
      <c r="J1719" s="100" t="s">
        <v>58</v>
      </c>
      <c r="K1719" s="95" t="s">
        <v>58</v>
      </c>
      <c r="L1719" s="91"/>
      <c r="M1719" s="98">
        <f ca="1">(TODAY()-H1719)/365</f>
        <v>45.668493150684931</v>
      </c>
      <c r="N1719" s="99">
        <f>(G1719-H1719)/365</f>
        <v>29.857534246575341</v>
      </c>
      <c r="O1719" s="98">
        <f ca="1">(TODAY()-G1719)/365</f>
        <v>15.810958904109588</v>
      </c>
      <c r="P1719" s="91" t="s">
        <v>272</v>
      </c>
      <c r="Q1719" s="91"/>
      <c r="R1719" s="91"/>
      <c r="S1719" s="91"/>
      <c r="T1719" s="91"/>
      <c r="U1719" s="91"/>
      <c r="V1719" s="91"/>
      <c r="W1719" s="91"/>
      <c r="X1719" s="91"/>
      <c r="Y1719" s="91"/>
      <c r="Z1719" s="91"/>
      <c r="AA1719" s="91"/>
      <c r="AB1719" s="91"/>
      <c r="AC1719" s="91"/>
      <c r="AD1719" s="91"/>
      <c r="AE1719" s="91"/>
      <c r="AF1719" s="91"/>
      <c r="AG1719" s="91"/>
      <c r="AH1719" s="91"/>
      <c r="AI1719" s="91"/>
      <c r="AJ1719" s="91"/>
      <c r="AK1719" s="91"/>
      <c r="AL1719" s="91"/>
      <c r="AM1719" s="91"/>
    </row>
    <row r="1720" spans="1:39" ht="20.25" customHeight="1">
      <c r="A1720" s="91"/>
      <c r="B1720" s="93" t="s">
        <v>8990</v>
      </c>
      <c r="C1720" s="91" t="s">
        <v>73</v>
      </c>
      <c r="D1720" s="94" t="s">
        <v>9037</v>
      </c>
      <c r="E1720" s="94" t="s">
        <v>9038</v>
      </c>
      <c r="F1720" s="95" t="s">
        <v>9039</v>
      </c>
      <c r="G1720" s="96">
        <v>40182</v>
      </c>
      <c r="H1720" s="97">
        <v>24544</v>
      </c>
      <c r="I1720" s="94" t="s">
        <v>58</v>
      </c>
      <c r="J1720" s="94" t="s">
        <v>58</v>
      </c>
      <c r="K1720" s="95" t="s">
        <v>58</v>
      </c>
      <c r="L1720" s="91" t="s">
        <v>60</v>
      </c>
      <c r="M1720" s="98">
        <f ca="1">(TODAY()-H1720)/365</f>
        <v>58.789041095890411</v>
      </c>
      <c r="N1720" s="99">
        <f>(G1720-H1720)/365</f>
        <v>42.843835616438355</v>
      </c>
      <c r="O1720" s="98">
        <f ca="1">(TODAY()-G1720)/365</f>
        <v>15.945205479452055</v>
      </c>
      <c r="P1720" s="91" t="s">
        <v>272</v>
      </c>
      <c r="Q1720" s="91">
        <v>0</v>
      </c>
      <c r="R1720" s="91">
        <v>0</v>
      </c>
      <c r="S1720" s="91">
        <v>0</v>
      </c>
      <c r="T1720" s="91"/>
      <c r="U1720" s="91"/>
      <c r="V1720" s="91"/>
      <c r="W1720" s="91"/>
      <c r="X1720" s="91"/>
      <c r="Y1720" s="91"/>
      <c r="Z1720" s="91"/>
      <c r="AA1720" s="91"/>
      <c r="AB1720" s="91"/>
      <c r="AC1720" s="91"/>
      <c r="AD1720" s="91"/>
      <c r="AE1720" s="91"/>
      <c r="AF1720" s="91"/>
      <c r="AG1720" s="91"/>
      <c r="AH1720" s="91"/>
      <c r="AI1720" s="91"/>
      <c r="AJ1720" s="91"/>
      <c r="AK1720" s="91"/>
      <c r="AL1720" s="91"/>
      <c r="AM1720" s="91"/>
    </row>
    <row r="1721" spans="1:39" ht="20.25" customHeight="1">
      <c r="A1721" s="91"/>
      <c r="B1721" s="93" t="s">
        <v>12263</v>
      </c>
      <c r="C1721" s="91" t="s">
        <v>73</v>
      </c>
      <c r="D1721" s="106" t="s">
        <v>2767</v>
      </c>
      <c r="E1721" s="106" t="s">
        <v>11212</v>
      </c>
      <c r="F1721" s="92" t="s">
        <v>11213</v>
      </c>
      <c r="G1721" s="103">
        <v>35961</v>
      </c>
      <c r="H1721" s="103">
        <v>24956</v>
      </c>
      <c r="I1721" s="94" t="s">
        <v>58</v>
      </c>
      <c r="J1721" s="100" t="s">
        <v>58</v>
      </c>
      <c r="K1721" s="95" t="s">
        <v>58</v>
      </c>
      <c r="L1721" s="91"/>
      <c r="M1721" s="98">
        <f ca="1">(TODAY()-H1721)/365</f>
        <v>57.660273972602738</v>
      </c>
      <c r="N1721" s="99">
        <f>(G1721-H1721)/365</f>
        <v>30.150684931506849</v>
      </c>
      <c r="O1721" s="98">
        <f ca="1">(TODAY()-G1721)/365</f>
        <v>27.509589041095889</v>
      </c>
      <c r="P1721" s="91" t="s">
        <v>43</v>
      </c>
      <c r="Q1721" s="91"/>
      <c r="R1721" s="91"/>
      <c r="S1721" s="91"/>
      <c r="T1721" s="91"/>
      <c r="U1721" s="91"/>
      <c r="V1721" s="91"/>
      <c r="W1721" s="91"/>
      <c r="X1721" s="91"/>
      <c r="Y1721" s="91"/>
      <c r="Z1721" s="91"/>
      <c r="AA1721" s="91"/>
      <c r="AB1721" s="91"/>
      <c r="AC1721" s="91"/>
      <c r="AD1721" s="91"/>
      <c r="AE1721" s="91"/>
      <c r="AF1721" s="91"/>
      <c r="AG1721" s="91"/>
      <c r="AH1721" s="91"/>
      <c r="AI1721" s="91"/>
      <c r="AJ1721" s="91"/>
      <c r="AK1721" s="91"/>
      <c r="AL1721" s="91"/>
      <c r="AM1721" s="91"/>
    </row>
    <row r="1722" spans="1:39" ht="20.25" customHeight="1">
      <c r="A1722" s="91"/>
      <c r="B1722" s="93" t="s">
        <v>8714</v>
      </c>
      <c r="C1722" s="91" t="s">
        <v>73</v>
      </c>
      <c r="D1722" s="106" t="s">
        <v>8848</v>
      </c>
      <c r="E1722" s="106" t="s">
        <v>8849</v>
      </c>
      <c r="F1722" s="92" t="s">
        <v>8850</v>
      </c>
      <c r="G1722" s="96" t="s">
        <v>58</v>
      </c>
      <c r="H1722" s="97">
        <v>20699</v>
      </c>
      <c r="I1722" s="94" t="s">
        <v>8851</v>
      </c>
      <c r="J1722" s="94" t="s">
        <v>58</v>
      </c>
      <c r="K1722" s="95" t="s">
        <v>58</v>
      </c>
      <c r="L1722" s="91" t="s">
        <v>60</v>
      </c>
      <c r="M1722" s="98">
        <f ca="1">(TODAY()-H1722)/365</f>
        <v>69.323287671232876</v>
      </c>
      <c r="N1722" s="95" t="s">
        <v>58</v>
      </c>
      <c r="O1722" s="98" t="e">
        <f ca="1">(TODAY()-G1722)/365</f>
        <v>#VALUE!</v>
      </c>
      <c r="P1722" s="91" t="s">
        <v>43</v>
      </c>
      <c r="Q1722" s="91">
        <v>0</v>
      </c>
      <c r="R1722" s="91">
        <v>0</v>
      </c>
      <c r="S1722" s="91">
        <v>0</v>
      </c>
      <c r="T1722" s="91"/>
      <c r="U1722" s="91"/>
      <c r="V1722" s="91"/>
      <c r="W1722" s="91"/>
      <c r="X1722" s="91"/>
      <c r="Y1722" s="91"/>
      <c r="Z1722" s="91"/>
      <c r="AA1722" s="91"/>
      <c r="AB1722" s="91"/>
      <c r="AC1722" s="91"/>
      <c r="AD1722" s="91"/>
      <c r="AE1722" s="91"/>
      <c r="AF1722" s="91"/>
      <c r="AG1722" s="91"/>
      <c r="AH1722" s="91"/>
      <c r="AI1722" s="91"/>
      <c r="AJ1722" s="91"/>
      <c r="AK1722" s="91"/>
      <c r="AL1722" s="91"/>
      <c r="AM1722" s="91"/>
    </row>
    <row r="1723" spans="1:39" ht="20.25" hidden="1" customHeight="1">
      <c r="A1723" s="91"/>
      <c r="B1723" s="93" t="s">
        <v>5484</v>
      </c>
      <c r="C1723" s="91" t="s">
        <v>36</v>
      </c>
      <c r="D1723" s="107" t="s">
        <v>5690</v>
      </c>
      <c r="E1723" s="107" t="s">
        <v>5691</v>
      </c>
      <c r="F1723" s="91" t="s">
        <v>5692</v>
      </c>
      <c r="G1723" s="96">
        <v>39182</v>
      </c>
      <c r="H1723" s="97">
        <v>21726</v>
      </c>
      <c r="I1723" s="100" t="s">
        <v>5693</v>
      </c>
      <c r="J1723" s="100" t="s">
        <v>5694</v>
      </c>
      <c r="K1723" s="91" t="s">
        <v>5695</v>
      </c>
      <c r="L1723" s="91" t="s">
        <v>49</v>
      </c>
      <c r="M1723" s="98">
        <f ca="1">(TODAY()-H1723)/365</f>
        <v>66.509589041095893</v>
      </c>
      <c r="N1723" s="99">
        <f>(G1723-H1723)/365</f>
        <v>47.824657534246576</v>
      </c>
      <c r="O1723" s="98">
        <f ca="1">(TODAY()-G1723)/365</f>
        <v>18.684931506849313</v>
      </c>
      <c r="P1723" s="91" t="s">
        <v>43</v>
      </c>
      <c r="Q1723" s="91">
        <v>0</v>
      </c>
      <c r="R1723" s="91">
        <v>0</v>
      </c>
      <c r="S1723" s="91">
        <v>0</v>
      </c>
      <c r="T1723" s="91"/>
      <c r="U1723" s="91"/>
      <c r="V1723" s="91"/>
      <c r="W1723" s="91"/>
      <c r="X1723" s="91"/>
      <c r="Y1723" s="91"/>
      <c r="Z1723" s="91"/>
      <c r="AA1723" s="91"/>
      <c r="AB1723" s="91"/>
      <c r="AC1723" s="91"/>
      <c r="AD1723" s="91"/>
      <c r="AE1723" s="91"/>
      <c r="AF1723" s="91"/>
      <c r="AG1723" s="91"/>
      <c r="AH1723" s="91"/>
      <c r="AI1723" s="91"/>
      <c r="AJ1723" s="91"/>
      <c r="AK1723" s="91"/>
      <c r="AL1723" s="91"/>
      <c r="AM1723" s="91"/>
    </row>
    <row r="1724" spans="1:39" ht="20.25" customHeight="1">
      <c r="A1724" s="91"/>
      <c r="B1724" s="93" t="s">
        <v>4896</v>
      </c>
      <c r="C1724" s="91" t="s">
        <v>73</v>
      </c>
      <c r="D1724" s="107" t="s">
        <v>4919</v>
      </c>
      <c r="E1724" s="107" t="s">
        <v>4920</v>
      </c>
      <c r="F1724" s="91" t="s">
        <v>4921</v>
      </c>
      <c r="G1724" s="96">
        <v>45190</v>
      </c>
      <c r="H1724" s="97">
        <v>39262</v>
      </c>
      <c r="I1724" s="94" t="s">
        <v>58</v>
      </c>
      <c r="J1724" s="94" t="s">
        <v>58</v>
      </c>
      <c r="K1724" s="91">
        <v>961321183</v>
      </c>
      <c r="L1724" s="91" t="s">
        <v>60</v>
      </c>
      <c r="M1724" s="98">
        <f ca="1">(TODAY()-H1724)/365</f>
        <v>18.465753424657535</v>
      </c>
      <c r="N1724" s="99">
        <f>(G1724-H1724)/365</f>
        <v>16.241095890410961</v>
      </c>
      <c r="O1724" s="98">
        <f ca="1">(TODAY()-G1724)/365</f>
        <v>2.2246575342465755</v>
      </c>
      <c r="P1724" s="91" t="s">
        <v>43</v>
      </c>
      <c r="Q1724" s="91">
        <v>0</v>
      </c>
      <c r="R1724" s="91">
        <v>0</v>
      </c>
      <c r="S1724" s="91">
        <v>0</v>
      </c>
      <c r="T1724" s="91"/>
      <c r="U1724" s="91"/>
      <c r="V1724" s="91"/>
      <c r="W1724" s="91"/>
      <c r="X1724" s="91"/>
      <c r="Y1724" s="91"/>
      <c r="Z1724" s="91"/>
      <c r="AA1724" s="91"/>
      <c r="AB1724" s="91"/>
      <c r="AC1724" s="91"/>
      <c r="AD1724" s="91"/>
      <c r="AE1724" s="91"/>
      <c r="AF1724" s="91"/>
      <c r="AG1724" s="91"/>
      <c r="AH1724" s="91"/>
      <c r="AI1724" s="91"/>
      <c r="AJ1724" s="91"/>
      <c r="AK1724" s="91"/>
      <c r="AL1724" s="91"/>
      <c r="AM1724" s="91"/>
    </row>
    <row r="1725" spans="1:39" ht="20.25" customHeight="1">
      <c r="A1725" s="91"/>
      <c r="B1725" s="93" t="s">
        <v>4579</v>
      </c>
      <c r="C1725" s="91" t="s">
        <v>73</v>
      </c>
      <c r="D1725" s="107" t="s">
        <v>2750</v>
      </c>
      <c r="E1725" s="107" t="s">
        <v>4584</v>
      </c>
      <c r="F1725" s="91" t="s">
        <v>4588</v>
      </c>
      <c r="G1725" s="96">
        <v>45323</v>
      </c>
      <c r="H1725" s="97">
        <v>36074</v>
      </c>
      <c r="I1725" s="100" t="s">
        <v>4589</v>
      </c>
      <c r="J1725" s="94" t="s">
        <v>58</v>
      </c>
      <c r="K1725" s="95" t="s">
        <v>58</v>
      </c>
      <c r="L1725" s="91" t="s">
        <v>60</v>
      </c>
      <c r="M1725" s="98">
        <f ca="1">(TODAY()-H1725)/365</f>
        <v>27.2</v>
      </c>
      <c r="N1725" s="99">
        <f>(G1725-H1725)/365</f>
        <v>25.339726027397262</v>
      </c>
      <c r="O1725" s="98">
        <f ca="1">(TODAY()-G1725)/365</f>
        <v>1.8602739726027397</v>
      </c>
      <c r="P1725" s="91" t="s">
        <v>43</v>
      </c>
      <c r="Q1725" s="91">
        <v>0</v>
      </c>
      <c r="R1725" s="91">
        <v>0</v>
      </c>
      <c r="S1725" s="91">
        <v>0</v>
      </c>
      <c r="T1725" s="91"/>
      <c r="U1725" s="91"/>
      <c r="V1725" s="91"/>
      <c r="W1725" s="91"/>
      <c r="X1725" s="91"/>
      <c r="Y1725" s="91"/>
      <c r="Z1725" s="91"/>
      <c r="AA1725" s="91"/>
      <c r="AB1725" s="91"/>
      <c r="AC1725" s="91"/>
      <c r="AD1725" s="91"/>
      <c r="AE1725" s="91"/>
      <c r="AF1725" s="91"/>
      <c r="AG1725" s="91"/>
      <c r="AH1725" s="91"/>
      <c r="AI1725" s="91"/>
      <c r="AJ1725" s="91"/>
      <c r="AK1725" s="91"/>
      <c r="AL1725" s="91"/>
      <c r="AM1725" s="91"/>
    </row>
    <row r="1726" spans="1:39" ht="20.25" customHeight="1">
      <c r="A1726" s="91"/>
      <c r="B1726" s="93" t="s">
        <v>738</v>
      </c>
      <c r="C1726" s="91" t="s">
        <v>73</v>
      </c>
      <c r="D1726" s="94" t="s">
        <v>875</v>
      </c>
      <c r="E1726" s="94" t="s">
        <v>876</v>
      </c>
      <c r="F1726" s="95" t="s">
        <v>877</v>
      </c>
      <c r="G1726" s="96">
        <v>45146</v>
      </c>
      <c r="H1726" s="97">
        <v>22589</v>
      </c>
      <c r="I1726" s="94" t="s">
        <v>878</v>
      </c>
      <c r="J1726" s="100" t="s">
        <v>58</v>
      </c>
      <c r="K1726" s="91" t="s">
        <v>58</v>
      </c>
      <c r="L1726" s="91" t="s">
        <v>60</v>
      </c>
      <c r="M1726" s="98">
        <f ca="1">(TODAY()-H1726)/365</f>
        <v>64.145205479452059</v>
      </c>
      <c r="N1726" s="99">
        <f>(G1726-H1726)/365</f>
        <v>61.8</v>
      </c>
      <c r="O1726" s="98">
        <f ca="1">(TODAY()-G1726)/365</f>
        <v>2.3452054794520549</v>
      </c>
      <c r="P1726" s="91" t="s">
        <v>43</v>
      </c>
      <c r="Q1726" s="91">
        <v>0</v>
      </c>
      <c r="R1726" s="91">
        <v>0</v>
      </c>
      <c r="S1726" s="91">
        <v>0</v>
      </c>
      <c r="T1726" s="91"/>
      <c r="U1726" s="91"/>
      <c r="V1726" s="91"/>
      <c r="W1726" s="91"/>
      <c r="X1726" s="91"/>
      <c r="Y1726" s="91"/>
      <c r="Z1726" s="91"/>
      <c r="AA1726" s="91"/>
      <c r="AB1726" s="91"/>
      <c r="AC1726" s="91"/>
      <c r="AD1726" s="91"/>
      <c r="AE1726" s="91"/>
      <c r="AF1726" s="91"/>
      <c r="AG1726" s="91"/>
      <c r="AH1726" s="91"/>
      <c r="AI1726" s="91"/>
      <c r="AJ1726" s="91"/>
      <c r="AK1726" s="91"/>
      <c r="AL1726" s="91"/>
      <c r="AM1726" s="91"/>
    </row>
    <row r="1727" spans="1:39" ht="20.25" customHeight="1">
      <c r="A1727" s="91"/>
      <c r="B1727" s="93" t="s">
        <v>11748</v>
      </c>
      <c r="C1727" s="91" t="s">
        <v>73</v>
      </c>
      <c r="D1727" s="107" t="s">
        <v>788</v>
      </c>
      <c r="E1727" s="107" t="s">
        <v>2829</v>
      </c>
      <c r="F1727" s="91" t="s">
        <v>2830</v>
      </c>
      <c r="G1727" s="96">
        <v>35165</v>
      </c>
      <c r="H1727" s="97">
        <v>18350</v>
      </c>
      <c r="I1727" s="94" t="s">
        <v>58</v>
      </c>
      <c r="J1727" s="94" t="s">
        <v>58</v>
      </c>
      <c r="K1727" s="95" t="s">
        <v>58</v>
      </c>
      <c r="L1727" s="91" t="s">
        <v>60</v>
      </c>
      <c r="M1727" s="98">
        <f ca="1">(TODAY()-H1727)/365</f>
        <v>75.758904109589039</v>
      </c>
      <c r="N1727" s="99">
        <f>(G1727-H1727)/365</f>
        <v>46.06849315068493</v>
      </c>
      <c r="O1727" s="98">
        <f ca="1">(TODAY()-G1727)/365</f>
        <v>29.69041095890411</v>
      </c>
      <c r="P1727" s="91" t="s">
        <v>43</v>
      </c>
      <c r="Q1727" s="91">
        <v>0</v>
      </c>
      <c r="R1727" s="91">
        <v>0</v>
      </c>
      <c r="S1727" s="91">
        <v>0</v>
      </c>
      <c r="T1727" s="91"/>
      <c r="U1727" s="91"/>
      <c r="V1727" s="91"/>
      <c r="W1727" s="91"/>
      <c r="X1727" s="91"/>
      <c r="Y1727" s="91"/>
      <c r="Z1727" s="91"/>
      <c r="AA1727" s="91"/>
      <c r="AB1727" s="91"/>
      <c r="AC1727" s="91"/>
      <c r="AD1727" s="91"/>
      <c r="AE1727" s="91"/>
      <c r="AF1727" s="91"/>
      <c r="AG1727" s="91"/>
      <c r="AH1727" s="91"/>
      <c r="AI1727" s="91"/>
      <c r="AJ1727" s="91"/>
      <c r="AK1727" s="91"/>
      <c r="AL1727" s="91"/>
      <c r="AM1727" s="91"/>
    </row>
    <row r="1728" spans="1:39" ht="20.25" hidden="1" customHeight="1">
      <c r="A1728" s="91"/>
      <c r="B1728" s="93" t="s">
        <v>5484</v>
      </c>
      <c r="C1728" s="91" t="s">
        <v>36</v>
      </c>
      <c r="D1728" s="107" t="s">
        <v>1203</v>
      </c>
      <c r="E1728" s="107" t="s">
        <v>5708</v>
      </c>
      <c r="F1728" s="91" t="s">
        <v>5709</v>
      </c>
      <c r="G1728" s="96">
        <v>44927</v>
      </c>
      <c r="H1728" s="97">
        <v>20454</v>
      </c>
      <c r="I1728" s="100" t="s">
        <v>5710</v>
      </c>
      <c r="J1728" s="100" t="s">
        <v>5711</v>
      </c>
      <c r="K1728" s="91" t="s">
        <v>5712</v>
      </c>
      <c r="L1728" s="91" t="s">
        <v>60</v>
      </c>
      <c r="M1728" s="98">
        <f ca="1">(TODAY()-H1728)/365</f>
        <v>69.9945205479452</v>
      </c>
      <c r="N1728" s="99">
        <f>(G1728-H1728)/365</f>
        <v>67.049315068493144</v>
      </c>
      <c r="O1728" s="98">
        <f ca="1">(TODAY()-G1728)/365</f>
        <v>2.9452054794520546</v>
      </c>
      <c r="P1728" s="91" t="s">
        <v>43</v>
      </c>
      <c r="Q1728" s="91">
        <v>0</v>
      </c>
      <c r="R1728" s="91">
        <v>0</v>
      </c>
      <c r="S1728" s="91">
        <v>0</v>
      </c>
      <c r="T1728" s="91"/>
      <c r="U1728" s="91"/>
      <c r="V1728" s="91"/>
      <c r="W1728" s="91"/>
      <c r="X1728" s="91"/>
      <c r="Y1728" s="91"/>
      <c r="Z1728" s="91"/>
      <c r="AA1728" s="91"/>
      <c r="AB1728" s="91"/>
      <c r="AC1728" s="91"/>
      <c r="AD1728" s="91"/>
      <c r="AE1728" s="91"/>
      <c r="AF1728" s="91"/>
      <c r="AG1728" s="91"/>
      <c r="AH1728" s="91"/>
      <c r="AI1728" s="91"/>
      <c r="AJ1728" s="91"/>
      <c r="AK1728" s="91"/>
      <c r="AL1728" s="91"/>
      <c r="AM1728" s="91"/>
    </row>
    <row r="1729" spans="1:39" ht="20.25" hidden="1" customHeight="1">
      <c r="A1729" s="91"/>
      <c r="B1729" s="93" t="s">
        <v>11858</v>
      </c>
      <c r="C1729" s="91" t="s">
        <v>36</v>
      </c>
      <c r="D1729" s="107" t="s">
        <v>5714</v>
      </c>
      <c r="E1729" s="107" t="s">
        <v>5715</v>
      </c>
      <c r="F1729" s="91" t="s">
        <v>5716</v>
      </c>
      <c r="G1729" s="96">
        <v>42217</v>
      </c>
      <c r="H1729" s="97">
        <v>37039</v>
      </c>
      <c r="I1729" s="100" t="s">
        <v>5717</v>
      </c>
      <c r="J1729" s="100" t="s">
        <v>5718</v>
      </c>
      <c r="K1729" s="91">
        <v>956562633</v>
      </c>
      <c r="L1729" s="91" t="s">
        <v>216</v>
      </c>
      <c r="M1729" s="98">
        <f ca="1">(TODAY()-H1729)/365</f>
        <v>24.556164383561644</v>
      </c>
      <c r="N1729" s="99">
        <f>(G1729-H1729)/365</f>
        <v>14.186301369863013</v>
      </c>
      <c r="O1729" s="98">
        <f ca="1">(TODAY()-G1729)/365</f>
        <v>10.36986301369863</v>
      </c>
      <c r="P1729" s="91" t="s">
        <v>43</v>
      </c>
      <c r="Q1729" s="91">
        <v>0</v>
      </c>
      <c r="R1729" s="91">
        <v>0</v>
      </c>
      <c r="S1729" s="91">
        <v>0</v>
      </c>
      <c r="T1729" s="91"/>
      <c r="U1729" s="91"/>
      <c r="V1729" s="91"/>
      <c r="W1729" s="91"/>
      <c r="X1729" s="91"/>
      <c r="Y1729" s="91"/>
      <c r="Z1729" s="91"/>
      <c r="AA1729" s="91"/>
      <c r="AB1729" s="91"/>
      <c r="AC1729" s="91"/>
      <c r="AD1729" s="91"/>
      <c r="AE1729" s="91"/>
      <c r="AF1729" s="91"/>
      <c r="AG1729" s="91"/>
      <c r="AH1729" s="91"/>
      <c r="AI1729" s="91"/>
      <c r="AJ1729" s="91"/>
      <c r="AK1729" s="91"/>
      <c r="AL1729" s="91"/>
      <c r="AM1729" s="91"/>
    </row>
    <row r="1730" spans="1:39" ht="20.25" hidden="1" customHeight="1">
      <c r="A1730" s="91"/>
      <c r="B1730" s="93" t="s">
        <v>11858</v>
      </c>
      <c r="C1730" s="91" t="s">
        <v>36</v>
      </c>
      <c r="D1730" s="107" t="s">
        <v>5719</v>
      </c>
      <c r="E1730" s="107" t="s">
        <v>5720</v>
      </c>
      <c r="F1730" s="91" t="s">
        <v>5721</v>
      </c>
      <c r="G1730" s="96">
        <v>42066</v>
      </c>
      <c r="H1730" s="97">
        <v>36242</v>
      </c>
      <c r="I1730" s="100" t="s">
        <v>5722</v>
      </c>
      <c r="J1730" s="100" t="s">
        <v>5723</v>
      </c>
      <c r="K1730" s="91">
        <v>982653847</v>
      </c>
      <c r="L1730" s="91" t="s">
        <v>60</v>
      </c>
      <c r="M1730" s="98">
        <f ca="1">(TODAY()-H1730)/365</f>
        <v>26.739726027397261</v>
      </c>
      <c r="N1730" s="99">
        <f>(G1730-H1730)/365</f>
        <v>15.956164383561644</v>
      </c>
      <c r="O1730" s="98">
        <f ca="1">(TODAY()-G1730)/365</f>
        <v>10.783561643835617</v>
      </c>
      <c r="P1730" s="91" t="s">
        <v>43</v>
      </c>
      <c r="Q1730" s="91">
        <v>0</v>
      </c>
      <c r="R1730" s="91">
        <v>0</v>
      </c>
      <c r="S1730" s="91">
        <v>0</v>
      </c>
      <c r="T1730" s="91"/>
      <c r="U1730" s="91"/>
      <c r="V1730" s="91"/>
      <c r="W1730" s="91"/>
      <c r="X1730" s="91"/>
      <c r="Y1730" s="91"/>
      <c r="Z1730" s="91"/>
      <c r="AA1730" s="91"/>
      <c r="AB1730" s="91"/>
      <c r="AC1730" s="91"/>
      <c r="AD1730" s="91"/>
      <c r="AE1730" s="91"/>
      <c r="AF1730" s="91"/>
      <c r="AG1730" s="91"/>
      <c r="AH1730" s="91"/>
      <c r="AI1730" s="91"/>
      <c r="AJ1730" s="91"/>
      <c r="AK1730" s="91"/>
      <c r="AL1730" s="91"/>
      <c r="AM1730" s="91"/>
    </row>
    <row r="1731" spans="1:39" ht="20.25" hidden="1" customHeight="1">
      <c r="A1731" s="91"/>
      <c r="B1731" s="93" t="s">
        <v>11858</v>
      </c>
      <c r="C1731" s="91" t="s">
        <v>36</v>
      </c>
      <c r="D1731" s="107" t="s">
        <v>5724</v>
      </c>
      <c r="E1731" s="107" t="s">
        <v>5725</v>
      </c>
      <c r="F1731" s="91" t="s">
        <v>5726</v>
      </c>
      <c r="G1731" s="96">
        <v>35891</v>
      </c>
      <c r="H1731" s="97">
        <v>25978</v>
      </c>
      <c r="I1731" s="100" t="s">
        <v>5727</v>
      </c>
      <c r="J1731" s="100" t="s">
        <v>5728</v>
      </c>
      <c r="K1731" s="91">
        <v>950772582</v>
      </c>
      <c r="L1731" s="91" t="s">
        <v>42</v>
      </c>
      <c r="M1731" s="98">
        <f ca="1">(TODAY()-H1731)/365</f>
        <v>54.860273972602741</v>
      </c>
      <c r="N1731" s="99">
        <f>(G1731-H1731)/365</f>
        <v>27.158904109589042</v>
      </c>
      <c r="O1731" s="98">
        <f ca="1">(TODAY()-G1731)/365</f>
        <v>27.701369863013699</v>
      </c>
      <c r="P1731" s="91" t="s">
        <v>43</v>
      </c>
      <c r="Q1731" s="91">
        <v>0</v>
      </c>
      <c r="R1731" s="91">
        <v>0</v>
      </c>
      <c r="S1731" s="91">
        <v>0</v>
      </c>
      <c r="T1731" s="91"/>
      <c r="U1731" s="91"/>
      <c r="V1731" s="91"/>
      <c r="W1731" s="91"/>
      <c r="X1731" s="91"/>
      <c r="Y1731" s="91"/>
      <c r="Z1731" s="91"/>
      <c r="AA1731" s="91"/>
      <c r="AB1731" s="91"/>
      <c r="AC1731" s="91"/>
      <c r="AD1731" s="91"/>
      <c r="AE1731" s="91"/>
      <c r="AF1731" s="91"/>
      <c r="AG1731" s="91"/>
      <c r="AH1731" s="91"/>
      <c r="AI1731" s="91"/>
      <c r="AJ1731" s="91"/>
      <c r="AK1731" s="91"/>
      <c r="AL1731" s="91"/>
      <c r="AM1731" s="91"/>
    </row>
    <row r="1732" spans="1:39" ht="20.25" hidden="1" customHeight="1">
      <c r="A1732" s="91"/>
      <c r="B1732" s="93" t="s">
        <v>11858</v>
      </c>
      <c r="C1732" s="91" t="s">
        <v>36</v>
      </c>
      <c r="D1732" s="107" t="s">
        <v>5729</v>
      </c>
      <c r="E1732" s="107" t="s">
        <v>5730</v>
      </c>
      <c r="F1732" s="91" t="s">
        <v>5731</v>
      </c>
      <c r="G1732" s="96">
        <v>30474</v>
      </c>
      <c r="H1732" s="97">
        <v>19490</v>
      </c>
      <c r="I1732" s="100" t="s">
        <v>5732</v>
      </c>
      <c r="J1732" s="100" t="s">
        <v>5733</v>
      </c>
      <c r="K1732" s="91">
        <v>990724209</v>
      </c>
      <c r="L1732" s="91" t="s">
        <v>197</v>
      </c>
      <c r="M1732" s="98">
        <f ca="1">(TODAY()-H1732)/365</f>
        <v>72.635616438356166</v>
      </c>
      <c r="N1732" s="99">
        <f>(G1732-H1732)/365</f>
        <v>30.093150684931508</v>
      </c>
      <c r="O1732" s="98">
        <f ca="1">(TODAY()-G1732)/365</f>
        <v>42.542465753424658</v>
      </c>
      <c r="P1732" s="91" t="s">
        <v>43</v>
      </c>
      <c r="Q1732" s="91">
        <v>0</v>
      </c>
      <c r="R1732" s="91">
        <v>0</v>
      </c>
      <c r="S1732" s="91">
        <v>0</v>
      </c>
      <c r="T1732" s="91"/>
      <c r="U1732" s="91"/>
      <c r="V1732" s="91"/>
      <c r="W1732" s="91"/>
      <c r="X1732" s="91"/>
      <c r="Y1732" s="91"/>
      <c r="Z1732" s="91"/>
      <c r="AA1732" s="91"/>
      <c r="AB1732" s="91"/>
      <c r="AC1732" s="91"/>
      <c r="AD1732" s="91"/>
      <c r="AE1732" s="91"/>
      <c r="AF1732" s="91"/>
      <c r="AG1732" s="91"/>
      <c r="AH1732" s="91"/>
      <c r="AI1732" s="91"/>
      <c r="AJ1732" s="91"/>
      <c r="AK1732" s="91"/>
      <c r="AL1732" s="91"/>
      <c r="AM1732" s="91"/>
    </row>
    <row r="1733" spans="1:39" ht="20.25" hidden="1" customHeight="1">
      <c r="A1733" s="91"/>
      <c r="B1733" s="93" t="s">
        <v>11858</v>
      </c>
      <c r="C1733" s="91" t="s">
        <v>36</v>
      </c>
      <c r="D1733" s="107" t="s">
        <v>5734</v>
      </c>
      <c r="E1733" s="107" t="s">
        <v>5735</v>
      </c>
      <c r="F1733" s="91" t="s">
        <v>5736</v>
      </c>
      <c r="G1733" s="96">
        <v>40053</v>
      </c>
      <c r="H1733" s="97">
        <v>25954</v>
      </c>
      <c r="I1733" s="100" t="s">
        <v>5737</v>
      </c>
      <c r="J1733" s="100" t="s">
        <v>5738</v>
      </c>
      <c r="K1733" s="91">
        <v>981518502</v>
      </c>
      <c r="L1733" s="91" t="s">
        <v>167</v>
      </c>
      <c r="M1733" s="98">
        <f ca="1">(TODAY()-H1733)/365</f>
        <v>54.926027397260277</v>
      </c>
      <c r="N1733" s="99">
        <f>(G1733-H1733)/365</f>
        <v>38.627397260273973</v>
      </c>
      <c r="O1733" s="98">
        <f ca="1">(TODAY()-G1733)/365</f>
        <v>16.298630136986301</v>
      </c>
      <c r="P1733" s="91" t="s">
        <v>43</v>
      </c>
      <c r="Q1733" s="91">
        <v>0</v>
      </c>
      <c r="R1733" s="91">
        <v>0</v>
      </c>
      <c r="S1733" s="91">
        <v>0</v>
      </c>
      <c r="T1733" s="91"/>
      <c r="U1733" s="91"/>
      <c r="V1733" s="91"/>
      <c r="W1733" s="91"/>
      <c r="X1733" s="91"/>
      <c r="Y1733" s="91"/>
      <c r="Z1733" s="91"/>
      <c r="AA1733" s="91"/>
      <c r="AB1733" s="91"/>
      <c r="AC1733" s="91"/>
      <c r="AD1733" s="91"/>
      <c r="AE1733" s="91"/>
      <c r="AF1733" s="91"/>
      <c r="AG1733" s="91"/>
      <c r="AH1733" s="91"/>
      <c r="AI1733" s="91"/>
      <c r="AJ1733" s="91"/>
      <c r="AK1733" s="91"/>
      <c r="AL1733" s="91"/>
      <c r="AM1733" s="91"/>
    </row>
    <row r="1734" spans="1:39" ht="20.25" hidden="1" customHeight="1">
      <c r="A1734" s="91"/>
      <c r="B1734" s="93" t="s">
        <v>11858</v>
      </c>
      <c r="C1734" s="91" t="s">
        <v>36</v>
      </c>
      <c r="D1734" s="107" t="s">
        <v>5739</v>
      </c>
      <c r="E1734" s="107" t="s">
        <v>5740</v>
      </c>
      <c r="F1734" s="91" t="s">
        <v>5741</v>
      </c>
      <c r="G1734" s="96">
        <v>42795</v>
      </c>
      <c r="H1734" s="97">
        <v>24984</v>
      </c>
      <c r="I1734" s="100" t="s">
        <v>5742</v>
      </c>
      <c r="J1734" s="100" t="s">
        <v>5743</v>
      </c>
      <c r="K1734" s="91">
        <v>998856886</v>
      </c>
      <c r="L1734" s="91" t="s">
        <v>66</v>
      </c>
      <c r="M1734" s="98">
        <f ca="1">(TODAY()-H1734)/365</f>
        <v>57.583561643835615</v>
      </c>
      <c r="N1734" s="99">
        <f>(G1734-H1734)/365</f>
        <v>48.797260273972604</v>
      </c>
      <c r="O1734" s="98">
        <f ca="1">(TODAY()-G1734)/365</f>
        <v>8.786301369863013</v>
      </c>
      <c r="P1734" s="91" t="s">
        <v>43</v>
      </c>
      <c r="Q1734" s="91">
        <v>0</v>
      </c>
      <c r="R1734" s="91">
        <v>0</v>
      </c>
      <c r="S1734" s="91">
        <v>0</v>
      </c>
      <c r="T1734" s="91"/>
      <c r="U1734" s="91"/>
      <c r="V1734" s="91"/>
      <c r="W1734" s="91"/>
      <c r="X1734" s="91"/>
      <c r="Y1734" s="91"/>
      <c r="Z1734" s="91"/>
      <c r="AA1734" s="91"/>
      <c r="AB1734" s="91"/>
      <c r="AC1734" s="91"/>
      <c r="AD1734" s="91"/>
      <c r="AE1734" s="91"/>
      <c r="AF1734" s="91"/>
      <c r="AG1734" s="91"/>
      <c r="AH1734" s="91"/>
      <c r="AI1734" s="91"/>
      <c r="AJ1734" s="91"/>
      <c r="AK1734" s="91"/>
      <c r="AL1734" s="91"/>
      <c r="AM1734" s="91"/>
    </row>
    <row r="1735" spans="1:39" ht="20.25" hidden="1" customHeight="1">
      <c r="A1735" s="91"/>
      <c r="B1735" s="93" t="s">
        <v>11858</v>
      </c>
      <c r="C1735" s="91" t="s">
        <v>36</v>
      </c>
      <c r="D1735" s="107" t="s">
        <v>5744</v>
      </c>
      <c r="E1735" s="107" t="s">
        <v>5745</v>
      </c>
      <c r="F1735" s="91" t="s">
        <v>5746</v>
      </c>
      <c r="G1735" s="96">
        <v>21136</v>
      </c>
      <c r="H1735" s="97">
        <v>15719</v>
      </c>
      <c r="I1735" s="100" t="s">
        <v>58</v>
      </c>
      <c r="J1735" s="100" t="s">
        <v>5747</v>
      </c>
      <c r="K1735" s="91">
        <v>983963142</v>
      </c>
      <c r="L1735" s="91" t="s">
        <v>60</v>
      </c>
      <c r="M1735" s="98">
        <f ca="1">(TODAY()-H1735)/365</f>
        <v>82.967123287671228</v>
      </c>
      <c r="N1735" s="99">
        <f>(G1735-H1735)/365</f>
        <v>14.841095890410958</v>
      </c>
      <c r="O1735" s="98">
        <f ca="1">(TODAY()-G1735)/365</f>
        <v>68.126027397260273</v>
      </c>
      <c r="P1735" s="91" t="s">
        <v>43</v>
      </c>
      <c r="Q1735" s="91">
        <v>0</v>
      </c>
      <c r="R1735" s="91">
        <v>0</v>
      </c>
      <c r="S1735" s="91">
        <v>0</v>
      </c>
      <c r="T1735" s="91"/>
      <c r="U1735" s="91"/>
      <c r="V1735" s="91"/>
      <c r="W1735" s="91"/>
      <c r="X1735" s="91"/>
      <c r="Y1735" s="91"/>
      <c r="Z1735" s="91"/>
      <c r="AA1735" s="91"/>
      <c r="AB1735" s="91"/>
      <c r="AC1735" s="91"/>
      <c r="AD1735" s="91"/>
      <c r="AE1735" s="91"/>
      <c r="AF1735" s="91"/>
      <c r="AG1735" s="91"/>
      <c r="AH1735" s="91"/>
      <c r="AI1735" s="91"/>
      <c r="AJ1735" s="91"/>
      <c r="AK1735" s="91"/>
      <c r="AL1735" s="91"/>
      <c r="AM1735" s="91"/>
    </row>
    <row r="1736" spans="1:39" ht="20.25" hidden="1" customHeight="1">
      <c r="A1736" s="91"/>
      <c r="B1736" s="93" t="s">
        <v>11858</v>
      </c>
      <c r="C1736" s="91" t="s">
        <v>36</v>
      </c>
      <c r="D1736" s="107" t="s">
        <v>5748</v>
      </c>
      <c r="E1736" s="107" t="s">
        <v>5749</v>
      </c>
      <c r="F1736" s="91" t="s">
        <v>5750</v>
      </c>
      <c r="G1736" s="96">
        <v>23907</v>
      </c>
      <c r="H1736" s="97">
        <v>10722</v>
      </c>
      <c r="I1736" s="100" t="s">
        <v>58</v>
      </c>
      <c r="J1736" s="100" t="s">
        <v>5751</v>
      </c>
      <c r="K1736" s="91">
        <v>963315006</v>
      </c>
      <c r="L1736" s="91" t="s">
        <v>60</v>
      </c>
      <c r="M1736" s="98">
        <f ca="1">(TODAY()-H1736)/365</f>
        <v>96.657534246575338</v>
      </c>
      <c r="N1736" s="99">
        <f>(G1736-H1736)/365</f>
        <v>36.123287671232873</v>
      </c>
      <c r="O1736" s="98">
        <f ca="1">(TODAY()-G1736)/365</f>
        <v>60.534246575342465</v>
      </c>
      <c r="P1736" s="91" t="s">
        <v>43</v>
      </c>
      <c r="Q1736" s="91">
        <v>0</v>
      </c>
      <c r="R1736" s="91">
        <v>0</v>
      </c>
      <c r="S1736" s="91">
        <v>0</v>
      </c>
      <c r="T1736" s="91"/>
      <c r="U1736" s="91"/>
      <c r="V1736" s="91"/>
      <c r="W1736" s="91"/>
      <c r="X1736" s="91"/>
      <c r="Y1736" s="91"/>
      <c r="Z1736" s="91"/>
      <c r="AA1736" s="91"/>
      <c r="AB1736" s="91"/>
      <c r="AC1736" s="91"/>
      <c r="AD1736" s="91"/>
      <c r="AE1736" s="91"/>
      <c r="AF1736" s="91"/>
      <c r="AG1736" s="91"/>
      <c r="AH1736" s="91"/>
      <c r="AI1736" s="91"/>
      <c r="AJ1736" s="91"/>
      <c r="AK1736" s="91"/>
      <c r="AL1736" s="91"/>
      <c r="AM1736" s="91"/>
    </row>
    <row r="1737" spans="1:39" ht="20.25" hidden="1" customHeight="1">
      <c r="A1737" s="91"/>
      <c r="B1737" s="93" t="s">
        <v>11858</v>
      </c>
      <c r="C1737" s="91" t="s">
        <v>36</v>
      </c>
      <c r="D1737" s="107" t="s">
        <v>5752</v>
      </c>
      <c r="E1737" s="107" t="s">
        <v>5753</v>
      </c>
      <c r="F1737" s="91" t="s">
        <v>5754</v>
      </c>
      <c r="G1737" s="96">
        <v>22859</v>
      </c>
      <c r="H1737" s="103">
        <v>17929</v>
      </c>
      <c r="I1737" s="100" t="s">
        <v>58</v>
      </c>
      <c r="J1737" s="100" t="s">
        <v>5755</v>
      </c>
      <c r="K1737" s="91">
        <v>930208778</v>
      </c>
      <c r="L1737" s="91" t="s">
        <v>60</v>
      </c>
      <c r="M1737" s="98">
        <f ca="1">(TODAY()-H1737)/365</f>
        <v>76.912328767123284</v>
      </c>
      <c r="N1737" s="99">
        <f>(G1737-H1737)/365</f>
        <v>13.506849315068493</v>
      </c>
      <c r="O1737" s="98">
        <f ca="1">(TODAY()-G1737)/365</f>
        <v>63.405479452054792</v>
      </c>
      <c r="P1737" s="91" t="s">
        <v>43</v>
      </c>
      <c r="Q1737" s="91">
        <v>0</v>
      </c>
      <c r="R1737" s="91">
        <v>0</v>
      </c>
      <c r="S1737" s="91">
        <v>0</v>
      </c>
      <c r="T1737" s="91"/>
      <c r="U1737" s="91"/>
      <c r="V1737" s="91"/>
      <c r="W1737" s="91"/>
      <c r="X1737" s="91"/>
      <c r="Y1737" s="91"/>
      <c r="Z1737" s="91"/>
      <c r="AA1737" s="91"/>
      <c r="AB1737" s="91"/>
      <c r="AC1737" s="91"/>
      <c r="AD1737" s="91"/>
      <c r="AE1737" s="91"/>
      <c r="AF1737" s="91"/>
      <c r="AG1737" s="91"/>
      <c r="AH1737" s="91"/>
      <c r="AI1737" s="91"/>
      <c r="AJ1737" s="91"/>
      <c r="AK1737" s="91"/>
      <c r="AL1737" s="91"/>
      <c r="AM1737" s="91"/>
    </row>
    <row r="1738" spans="1:39" ht="20.25" hidden="1" customHeight="1">
      <c r="A1738" s="91"/>
      <c r="B1738" s="93" t="s">
        <v>11858</v>
      </c>
      <c r="C1738" s="91" t="s">
        <v>36</v>
      </c>
      <c r="D1738" s="107" t="s">
        <v>5756</v>
      </c>
      <c r="E1738" s="107" t="s">
        <v>5757</v>
      </c>
      <c r="F1738" s="91" t="s">
        <v>5758</v>
      </c>
      <c r="G1738" s="96">
        <v>38540</v>
      </c>
      <c r="H1738" s="97">
        <v>15351</v>
      </c>
      <c r="I1738" s="100" t="s">
        <v>58</v>
      </c>
      <c r="J1738" s="100" t="s">
        <v>5759</v>
      </c>
      <c r="K1738" s="91">
        <v>942405844</v>
      </c>
      <c r="L1738" s="91" t="s">
        <v>60</v>
      </c>
      <c r="M1738" s="98">
        <f ca="1">(TODAY()-H1738)/365</f>
        <v>83.975342465753428</v>
      </c>
      <c r="N1738" s="99">
        <f>(G1738-H1738)/365</f>
        <v>63.531506849315072</v>
      </c>
      <c r="O1738" s="98">
        <f ca="1">(TODAY()-G1738)/365</f>
        <v>20.443835616438356</v>
      </c>
      <c r="P1738" s="91" t="s">
        <v>43</v>
      </c>
      <c r="Q1738" s="91">
        <v>0</v>
      </c>
      <c r="R1738" s="91">
        <v>0</v>
      </c>
      <c r="S1738" s="91">
        <v>0</v>
      </c>
      <c r="T1738" s="91"/>
      <c r="U1738" s="91"/>
      <c r="V1738" s="91"/>
      <c r="W1738" s="91"/>
      <c r="X1738" s="91"/>
      <c r="Y1738" s="91"/>
      <c r="Z1738" s="91"/>
      <c r="AA1738" s="91"/>
      <c r="AB1738" s="91"/>
      <c r="AC1738" s="91"/>
      <c r="AD1738" s="91"/>
      <c r="AE1738" s="91"/>
      <c r="AF1738" s="91"/>
      <c r="AG1738" s="91"/>
      <c r="AH1738" s="91"/>
      <c r="AI1738" s="91"/>
      <c r="AJ1738" s="91"/>
      <c r="AK1738" s="91"/>
      <c r="AL1738" s="91"/>
      <c r="AM1738" s="91"/>
    </row>
    <row r="1739" spans="1:39" ht="20.25" hidden="1" customHeight="1">
      <c r="A1739" s="91"/>
      <c r="B1739" s="93" t="s">
        <v>11858</v>
      </c>
      <c r="C1739" s="91" t="s">
        <v>36</v>
      </c>
      <c r="D1739" s="107" t="s">
        <v>5760</v>
      </c>
      <c r="E1739" s="107" t="s">
        <v>5761</v>
      </c>
      <c r="F1739" s="91" t="s">
        <v>5762</v>
      </c>
      <c r="G1739" s="96">
        <v>43647</v>
      </c>
      <c r="H1739" s="97">
        <v>25732</v>
      </c>
      <c r="I1739" s="100" t="s">
        <v>5763</v>
      </c>
      <c r="J1739" s="100" t="s">
        <v>58</v>
      </c>
      <c r="K1739" s="91">
        <v>978063325</v>
      </c>
      <c r="L1739" s="91" t="s">
        <v>72</v>
      </c>
      <c r="M1739" s="98">
        <f ca="1">(TODAY()-H1739)/365</f>
        <v>55.534246575342465</v>
      </c>
      <c r="N1739" s="99">
        <f>(G1739-H1739)/365</f>
        <v>49.082191780821915</v>
      </c>
      <c r="O1739" s="98">
        <f ca="1">(TODAY()-G1739)/365</f>
        <v>6.4520547945205475</v>
      </c>
      <c r="P1739" s="91" t="s">
        <v>43</v>
      </c>
      <c r="Q1739" s="91">
        <v>0</v>
      </c>
      <c r="R1739" s="91">
        <v>0</v>
      </c>
      <c r="S1739" s="91">
        <v>0</v>
      </c>
      <c r="T1739" s="91"/>
      <c r="U1739" s="91"/>
      <c r="V1739" s="91"/>
      <c r="W1739" s="91"/>
      <c r="X1739" s="91"/>
      <c r="Y1739" s="91"/>
      <c r="Z1739" s="91"/>
      <c r="AA1739" s="91"/>
      <c r="AB1739" s="91"/>
      <c r="AC1739" s="91"/>
      <c r="AD1739" s="91"/>
      <c r="AE1739" s="91"/>
      <c r="AF1739" s="91"/>
      <c r="AG1739" s="91"/>
      <c r="AH1739" s="91"/>
      <c r="AI1739" s="91"/>
      <c r="AJ1739" s="91"/>
      <c r="AK1739" s="91"/>
      <c r="AL1739" s="91"/>
      <c r="AM1739" s="91"/>
    </row>
    <row r="1740" spans="1:39" ht="20.25" hidden="1" customHeight="1">
      <c r="A1740" s="91"/>
      <c r="B1740" s="93" t="s">
        <v>11858</v>
      </c>
      <c r="C1740" s="91" t="s">
        <v>36</v>
      </c>
      <c r="D1740" s="107" t="s">
        <v>5764</v>
      </c>
      <c r="E1740" s="107" t="s">
        <v>5765</v>
      </c>
      <c r="F1740" s="91" t="s">
        <v>5766</v>
      </c>
      <c r="G1740" s="96">
        <v>37097</v>
      </c>
      <c r="H1740" s="97">
        <v>24513</v>
      </c>
      <c r="I1740" s="100" t="s">
        <v>5767</v>
      </c>
      <c r="J1740" s="100" t="s">
        <v>5768</v>
      </c>
      <c r="K1740" s="91">
        <v>959432778</v>
      </c>
      <c r="L1740" s="91" t="s">
        <v>60</v>
      </c>
      <c r="M1740" s="98">
        <f ca="1">(TODAY()-H1740)/365</f>
        <v>58.873972602739727</v>
      </c>
      <c r="N1740" s="99">
        <f>(G1740-H1740)/365</f>
        <v>34.476712328767121</v>
      </c>
      <c r="O1740" s="98">
        <f ca="1">(TODAY()-G1740)/365</f>
        <v>24.397260273972602</v>
      </c>
      <c r="P1740" s="91" t="s">
        <v>43</v>
      </c>
      <c r="Q1740" s="91">
        <v>0</v>
      </c>
      <c r="R1740" s="91">
        <v>0</v>
      </c>
      <c r="S1740" s="91">
        <v>0</v>
      </c>
      <c r="T1740" s="91"/>
      <c r="U1740" s="91"/>
      <c r="V1740" s="91"/>
      <c r="W1740" s="91"/>
      <c r="X1740" s="91"/>
      <c r="Y1740" s="91"/>
      <c r="Z1740" s="91"/>
      <c r="AA1740" s="91"/>
      <c r="AB1740" s="91"/>
      <c r="AC1740" s="91"/>
      <c r="AD1740" s="91"/>
      <c r="AE1740" s="91"/>
      <c r="AF1740" s="91"/>
      <c r="AG1740" s="91"/>
      <c r="AH1740" s="91"/>
      <c r="AI1740" s="91"/>
      <c r="AJ1740" s="91"/>
      <c r="AK1740" s="91"/>
      <c r="AL1740" s="91"/>
      <c r="AM1740" s="91"/>
    </row>
    <row r="1741" spans="1:39" ht="20.25" hidden="1" customHeight="1">
      <c r="A1741" s="91"/>
      <c r="B1741" s="93" t="s">
        <v>11858</v>
      </c>
      <c r="C1741" s="91" t="s">
        <v>36</v>
      </c>
      <c r="D1741" s="107" t="s">
        <v>5769</v>
      </c>
      <c r="E1741" s="107" t="s">
        <v>5770</v>
      </c>
      <c r="F1741" s="91" t="s">
        <v>5771</v>
      </c>
      <c r="G1741" s="96">
        <v>43589</v>
      </c>
      <c r="H1741" s="97">
        <v>22994</v>
      </c>
      <c r="I1741" s="100" t="s">
        <v>5772</v>
      </c>
      <c r="J1741" s="100" t="s">
        <v>5773</v>
      </c>
      <c r="K1741" s="91">
        <v>975288958</v>
      </c>
      <c r="L1741" s="91" t="s">
        <v>49</v>
      </c>
      <c r="M1741" s="98">
        <f ca="1">(TODAY()-H1741)/365</f>
        <v>63.035616438356165</v>
      </c>
      <c r="N1741" s="99">
        <f>(G1741-H1741)/365</f>
        <v>56.424657534246577</v>
      </c>
      <c r="O1741" s="98">
        <f ca="1">(TODAY()-G1741)/365</f>
        <v>6.6109589041095891</v>
      </c>
      <c r="P1741" s="91" t="s">
        <v>43</v>
      </c>
      <c r="Q1741" s="91">
        <v>0</v>
      </c>
      <c r="R1741" s="91">
        <v>0</v>
      </c>
      <c r="S1741" s="91">
        <v>0</v>
      </c>
      <c r="T1741" s="91"/>
      <c r="U1741" s="91"/>
      <c r="V1741" s="91"/>
      <c r="W1741" s="91"/>
      <c r="X1741" s="91"/>
      <c r="Y1741" s="91"/>
      <c r="Z1741" s="91"/>
      <c r="AA1741" s="91"/>
      <c r="AB1741" s="91"/>
      <c r="AC1741" s="91"/>
      <c r="AD1741" s="91"/>
      <c r="AE1741" s="91"/>
      <c r="AF1741" s="91"/>
      <c r="AG1741" s="91"/>
      <c r="AH1741" s="91"/>
      <c r="AI1741" s="91"/>
      <c r="AJ1741" s="91"/>
      <c r="AK1741" s="91"/>
      <c r="AL1741" s="91"/>
      <c r="AM1741" s="91"/>
    </row>
    <row r="1742" spans="1:39" ht="20.25" hidden="1" customHeight="1">
      <c r="A1742" s="91"/>
      <c r="B1742" s="93" t="s">
        <v>11858</v>
      </c>
      <c r="C1742" s="91" t="s">
        <v>36</v>
      </c>
      <c r="D1742" s="107" t="s">
        <v>5774</v>
      </c>
      <c r="E1742" s="107" t="s">
        <v>5775</v>
      </c>
      <c r="F1742" s="91" t="s">
        <v>5776</v>
      </c>
      <c r="G1742" s="96">
        <v>40749</v>
      </c>
      <c r="H1742" s="97">
        <v>22811</v>
      </c>
      <c r="I1742" s="100" t="s">
        <v>5777</v>
      </c>
      <c r="J1742" s="100" t="s">
        <v>5778</v>
      </c>
      <c r="K1742" s="91">
        <v>998608769</v>
      </c>
      <c r="L1742" s="91" t="s">
        <v>151</v>
      </c>
      <c r="M1742" s="98">
        <f ca="1">(TODAY()-H1742)/365</f>
        <v>63.536986301369865</v>
      </c>
      <c r="N1742" s="99">
        <f>(G1742-H1742)/365</f>
        <v>49.145205479452052</v>
      </c>
      <c r="O1742" s="98">
        <f ca="1">(TODAY()-G1742)/365</f>
        <v>14.391780821917807</v>
      </c>
      <c r="P1742" s="91" t="s">
        <v>43</v>
      </c>
      <c r="Q1742" s="91">
        <v>0</v>
      </c>
      <c r="R1742" s="91">
        <v>0</v>
      </c>
      <c r="S1742" s="91">
        <v>0</v>
      </c>
      <c r="T1742" s="91"/>
      <c r="U1742" s="91"/>
      <c r="V1742" s="91"/>
      <c r="W1742" s="91"/>
      <c r="X1742" s="91"/>
      <c r="Y1742" s="91"/>
      <c r="Z1742" s="91"/>
      <c r="AA1742" s="91"/>
      <c r="AB1742" s="91"/>
      <c r="AC1742" s="91"/>
      <c r="AD1742" s="91"/>
      <c r="AE1742" s="91"/>
      <c r="AF1742" s="91"/>
      <c r="AG1742" s="91"/>
      <c r="AH1742" s="91"/>
      <c r="AI1742" s="91"/>
      <c r="AJ1742" s="91"/>
      <c r="AK1742" s="91"/>
      <c r="AL1742" s="91"/>
      <c r="AM1742" s="91"/>
    </row>
    <row r="1743" spans="1:39" ht="20.25" hidden="1" customHeight="1">
      <c r="A1743" s="91"/>
      <c r="B1743" s="93" t="s">
        <v>11858</v>
      </c>
      <c r="C1743" s="91" t="s">
        <v>36</v>
      </c>
      <c r="D1743" s="107" t="s">
        <v>5779</v>
      </c>
      <c r="E1743" s="107" t="s">
        <v>5780</v>
      </c>
      <c r="F1743" s="91" t="s">
        <v>5781</v>
      </c>
      <c r="G1743" s="96">
        <v>40140</v>
      </c>
      <c r="H1743" s="97">
        <v>20760</v>
      </c>
      <c r="I1743" s="100" t="s">
        <v>5782</v>
      </c>
      <c r="J1743" s="100" t="s">
        <v>5783</v>
      </c>
      <c r="K1743" s="91">
        <v>990195817</v>
      </c>
      <c r="L1743" s="91" t="s">
        <v>54</v>
      </c>
      <c r="M1743" s="98">
        <f ca="1">(TODAY()-H1743)/365</f>
        <v>69.156164383561645</v>
      </c>
      <c r="N1743" s="99">
        <f>(G1743-H1743)/365</f>
        <v>53.095890410958901</v>
      </c>
      <c r="O1743" s="98">
        <f ca="1">(TODAY()-G1743)/365</f>
        <v>16.06027397260274</v>
      </c>
      <c r="P1743" s="91" t="s">
        <v>43</v>
      </c>
      <c r="Q1743" s="91">
        <v>0</v>
      </c>
      <c r="R1743" s="91">
        <v>0</v>
      </c>
      <c r="S1743" s="91">
        <v>0</v>
      </c>
      <c r="T1743" s="91"/>
      <c r="U1743" s="91"/>
      <c r="V1743" s="91"/>
      <c r="W1743" s="91"/>
      <c r="X1743" s="91"/>
      <c r="Y1743" s="91"/>
      <c r="Z1743" s="91"/>
      <c r="AA1743" s="91"/>
      <c r="AB1743" s="91"/>
      <c r="AC1743" s="91"/>
      <c r="AD1743" s="91"/>
      <c r="AE1743" s="91"/>
      <c r="AF1743" s="91"/>
      <c r="AG1743" s="91"/>
      <c r="AH1743" s="91"/>
      <c r="AI1743" s="91"/>
      <c r="AJ1743" s="91"/>
      <c r="AK1743" s="91"/>
      <c r="AL1743" s="91"/>
      <c r="AM1743" s="91"/>
    </row>
    <row r="1744" spans="1:39" ht="20.25" hidden="1" customHeight="1">
      <c r="A1744" s="91"/>
      <c r="B1744" s="93" t="s">
        <v>11858</v>
      </c>
      <c r="C1744" s="91" t="s">
        <v>36</v>
      </c>
      <c r="D1744" s="107" t="s">
        <v>5784</v>
      </c>
      <c r="E1744" s="107" t="s">
        <v>5785</v>
      </c>
      <c r="F1744" s="91" t="s">
        <v>5786</v>
      </c>
      <c r="G1744" s="96">
        <v>39995</v>
      </c>
      <c r="H1744" s="97">
        <v>19217</v>
      </c>
      <c r="I1744" s="100" t="s">
        <v>58</v>
      </c>
      <c r="J1744" s="100" t="s">
        <v>5787</v>
      </c>
      <c r="K1744" s="91">
        <v>998924750</v>
      </c>
      <c r="L1744" s="91" t="s">
        <v>60</v>
      </c>
      <c r="M1744" s="98">
        <f ca="1">(TODAY()-H1744)/365</f>
        <v>73.38356164383562</v>
      </c>
      <c r="N1744" s="99">
        <f>(G1744-H1744)/365</f>
        <v>56.926027397260277</v>
      </c>
      <c r="O1744" s="98">
        <f ca="1">(TODAY()-G1744)/365</f>
        <v>16.457534246575342</v>
      </c>
      <c r="P1744" s="91" t="s">
        <v>43</v>
      </c>
      <c r="Q1744" s="91">
        <v>0</v>
      </c>
      <c r="R1744" s="91">
        <v>0</v>
      </c>
      <c r="S1744" s="91">
        <v>0</v>
      </c>
      <c r="T1744" s="91"/>
      <c r="U1744" s="91"/>
      <c r="V1744" s="91"/>
      <c r="W1744" s="91"/>
      <c r="X1744" s="91"/>
      <c r="Y1744" s="91"/>
      <c r="Z1744" s="91"/>
      <c r="AA1744" s="91"/>
      <c r="AB1744" s="91"/>
      <c r="AC1744" s="91"/>
      <c r="AD1744" s="91"/>
      <c r="AE1744" s="91"/>
      <c r="AF1744" s="91"/>
      <c r="AG1744" s="91"/>
      <c r="AH1744" s="91"/>
      <c r="AI1744" s="91"/>
      <c r="AJ1744" s="91"/>
      <c r="AK1744" s="91"/>
      <c r="AL1744" s="91"/>
      <c r="AM1744" s="91"/>
    </row>
    <row r="1745" spans="1:39" ht="20.25" hidden="1" customHeight="1">
      <c r="A1745" s="91"/>
      <c r="B1745" s="93" t="s">
        <v>5788</v>
      </c>
      <c r="C1745" s="91" t="s">
        <v>36</v>
      </c>
      <c r="D1745" s="106" t="s">
        <v>5296</v>
      </c>
      <c r="E1745" s="106" t="s">
        <v>5789</v>
      </c>
      <c r="F1745" s="92" t="s">
        <v>5790</v>
      </c>
      <c r="G1745" s="103">
        <v>45569</v>
      </c>
      <c r="H1745" s="103">
        <v>17028</v>
      </c>
      <c r="I1745" s="94" t="s">
        <v>58</v>
      </c>
      <c r="J1745" s="94" t="s">
        <v>5791</v>
      </c>
      <c r="K1745" s="92">
        <v>642235939</v>
      </c>
      <c r="L1745" s="91" t="s">
        <v>60</v>
      </c>
      <c r="M1745" s="98">
        <f ca="1">(TODAY()-H1745)/365</f>
        <v>79.38082191780822</v>
      </c>
      <c r="N1745" s="99">
        <f>(G1745-H1745)/365</f>
        <v>78.194520547945203</v>
      </c>
      <c r="O1745" s="98">
        <f ca="1">(TODAY()-G1745)/365</f>
        <v>1.1863013698630136</v>
      </c>
      <c r="P1745" s="91" t="s">
        <v>43</v>
      </c>
      <c r="Q1745" s="91">
        <v>0</v>
      </c>
      <c r="R1745" s="91">
        <v>0</v>
      </c>
      <c r="S1745" s="91">
        <v>0</v>
      </c>
      <c r="T1745" s="91"/>
      <c r="U1745" s="91"/>
      <c r="V1745" s="91"/>
      <c r="W1745" s="91"/>
      <c r="X1745" s="91"/>
      <c r="Y1745" s="91"/>
      <c r="Z1745" s="91"/>
      <c r="AA1745" s="91"/>
      <c r="AB1745" s="91"/>
      <c r="AC1745" s="91"/>
      <c r="AD1745" s="91"/>
      <c r="AE1745" s="91"/>
      <c r="AF1745" s="91"/>
      <c r="AG1745" s="91"/>
      <c r="AH1745" s="91"/>
      <c r="AI1745" s="91"/>
      <c r="AJ1745" s="91"/>
      <c r="AK1745" s="91"/>
      <c r="AL1745" s="91"/>
      <c r="AM1745" s="91"/>
    </row>
    <row r="1746" spans="1:39" ht="20.25" hidden="1" customHeight="1">
      <c r="A1746" s="91"/>
      <c r="B1746" s="93" t="s">
        <v>5788</v>
      </c>
      <c r="C1746" s="91" t="s">
        <v>36</v>
      </c>
      <c r="D1746" s="106" t="s">
        <v>3811</v>
      </c>
      <c r="E1746" s="106" t="s">
        <v>5792</v>
      </c>
      <c r="F1746" s="92" t="s">
        <v>5793</v>
      </c>
      <c r="G1746" s="103">
        <v>39372</v>
      </c>
      <c r="H1746" s="103">
        <v>19343</v>
      </c>
      <c r="I1746" s="94" t="s">
        <v>58</v>
      </c>
      <c r="J1746" s="94" t="s">
        <v>5794</v>
      </c>
      <c r="K1746" s="92">
        <v>983387764</v>
      </c>
      <c r="L1746" s="91" t="s">
        <v>54</v>
      </c>
      <c r="M1746" s="98">
        <f ca="1">(TODAY()-H1746)/365</f>
        <v>73.038356164383558</v>
      </c>
      <c r="N1746" s="99">
        <f>(G1746-H1746)/365</f>
        <v>54.873972602739727</v>
      </c>
      <c r="O1746" s="98">
        <f ca="1">(TODAY()-G1746)/365</f>
        <v>18.164383561643834</v>
      </c>
      <c r="P1746" s="91" t="s">
        <v>43</v>
      </c>
      <c r="Q1746" s="91">
        <v>0</v>
      </c>
      <c r="R1746" s="91">
        <v>0</v>
      </c>
      <c r="S1746" s="91">
        <v>0</v>
      </c>
      <c r="T1746" s="91"/>
      <c r="U1746" s="91"/>
      <c r="V1746" s="91"/>
      <c r="W1746" s="91"/>
      <c r="X1746" s="91"/>
      <c r="Y1746" s="91"/>
      <c r="Z1746" s="91"/>
      <c r="AA1746" s="91"/>
      <c r="AB1746" s="91"/>
      <c r="AC1746" s="91"/>
      <c r="AD1746" s="91"/>
      <c r="AE1746" s="91"/>
      <c r="AF1746" s="91"/>
      <c r="AG1746" s="91"/>
      <c r="AH1746" s="91"/>
      <c r="AI1746" s="91"/>
      <c r="AJ1746" s="91"/>
      <c r="AK1746" s="91"/>
      <c r="AL1746" s="91"/>
      <c r="AM1746" s="91"/>
    </row>
    <row r="1747" spans="1:39" ht="20.25" hidden="1" customHeight="1">
      <c r="A1747" s="91"/>
      <c r="B1747" s="93" t="s">
        <v>5788</v>
      </c>
      <c r="C1747" s="91" t="s">
        <v>36</v>
      </c>
      <c r="D1747" s="106" t="s">
        <v>431</v>
      </c>
      <c r="E1747" s="106" t="s">
        <v>5795</v>
      </c>
      <c r="F1747" s="92" t="s">
        <v>5796</v>
      </c>
      <c r="G1747" s="103">
        <v>45572</v>
      </c>
      <c r="H1747" s="103">
        <v>31611</v>
      </c>
      <c r="I1747" s="94" t="s">
        <v>58</v>
      </c>
      <c r="J1747" s="94" t="s">
        <v>5797</v>
      </c>
      <c r="K1747" s="92">
        <v>957716044</v>
      </c>
      <c r="L1747" s="91" t="s">
        <v>60</v>
      </c>
      <c r="M1747" s="98">
        <f ca="1">(TODAY()-H1747)/365</f>
        <v>39.42739726027397</v>
      </c>
      <c r="N1747" s="99">
        <f>(G1747-H1747)/365</f>
        <v>38.249315068493154</v>
      </c>
      <c r="O1747" s="98">
        <f ca="1">(TODAY()-G1747)/365</f>
        <v>1.178082191780822</v>
      </c>
      <c r="P1747" s="91" t="s">
        <v>272</v>
      </c>
      <c r="Q1747" s="91">
        <v>0</v>
      </c>
      <c r="R1747" s="91">
        <v>0</v>
      </c>
      <c r="S1747" s="91">
        <v>0</v>
      </c>
      <c r="T1747" s="91"/>
      <c r="U1747" s="91"/>
      <c r="V1747" s="91"/>
      <c r="W1747" s="91"/>
      <c r="X1747" s="91"/>
      <c r="Y1747" s="91"/>
      <c r="Z1747" s="91"/>
      <c r="AA1747" s="91"/>
      <c r="AB1747" s="91"/>
      <c r="AC1747" s="91"/>
      <c r="AD1747" s="91"/>
      <c r="AE1747" s="91"/>
      <c r="AF1747" s="91"/>
      <c r="AG1747" s="91"/>
      <c r="AH1747" s="91"/>
      <c r="AI1747" s="91"/>
      <c r="AJ1747" s="91"/>
      <c r="AK1747" s="91"/>
      <c r="AL1747" s="91"/>
      <c r="AM1747" s="91"/>
    </row>
    <row r="1748" spans="1:39" ht="20.25" hidden="1" customHeight="1">
      <c r="A1748" s="91"/>
      <c r="B1748" s="93" t="s">
        <v>5788</v>
      </c>
      <c r="C1748" s="91" t="s">
        <v>36</v>
      </c>
      <c r="D1748" s="106" t="s">
        <v>361</v>
      </c>
      <c r="E1748" s="106" t="s">
        <v>5798</v>
      </c>
      <c r="F1748" s="92" t="s">
        <v>5799</v>
      </c>
      <c r="G1748" s="103">
        <v>45561</v>
      </c>
      <c r="H1748" s="103">
        <v>16193</v>
      </c>
      <c r="I1748" s="94" t="s">
        <v>5800</v>
      </c>
      <c r="J1748" s="94" t="s">
        <v>5801</v>
      </c>
      <c r="K1748" s="92">
        <v>991295138</v>
      </c>
      <c r="L1748" s="91" t="s">
        <v>60</v>
      </c>
      <c r="M1748" s="98">
        <f ca="1">(TODAY()-H1748)/365</f>
        <v>81.668493150684938</v>
      </c>
      <c r="N1748" s="99">
        <f>(G1748-H1748)/365</f>
        <v>80.460273972602735</v>
      </c>
      <c r="O1748" s="98">
        <f ca="1">(TODAY()-G1748)/365</f>
        <v>1.2082191780821918</v>
      </c>
      <c r="P1748" s="91" t="s">
        <v>43</v>
      </c>
      <c r="Q1748" s="91">
        <v>0</v>
      </c>
      <c r="R1748" s="91">
        <v>0</v>
      </c>
      <c r="S1748" s="91">
        <v>0</v>
      </c>
      <c r="T1748" s="91"/>
      <c r="U1748" s="91"/>
      <c r="V1748" s="91"/>
      <c r="W1748" s="91"/>
      <c r="X1748" s="91"/>
      <c r="Y1748" s="91"/>
      <c r="Z1748" s="91"/>
      <c r="AA1748" s="91"/>
      <c r="AB1748" s="91"/>
      <c r="AC1748" s="91"/>
      <c r="AD1748" s="91"/>
      <c r="AE1748" s="91"/>
      <c r="AF1748" s="91"/>
      <c r="AG1748" s="91"/>
      <c r="AH1748" s="91"/>
      <c r="AI1748" s="91"/>
      <c r="AJ1748" s="91"/>
      <c r="AK1748" s="91"/>
      <c r="AL1748" s="91"/>
      <c r="AM1748" s="91"/>
    </row>
    <row r="1749" spans="1:39" ht="20.25" hidden="1" customHeight="1">
      <c r="A1749" s="91"/>
      <c r="B1749" s="93" t="s">
        <v>5788</v>
      </c>
      <c r="C1749" s="91" t="s">
        <v>36</v>
      </c>
      <c r="D1749" s="106" t="s">
        <v>5802</v>
      </c>
      <c r="E1749" s="106" t="s">
        <v>5803</v>
      </c>
      <c r="F1749" s="92" t="s">
        <v>5804</v>
      </c>
      <c r="G1749" s="103">
        <v>45618</v>
      </c>
      <c r="H1749" s="103">
        <v>23302</v>
      </c>
      <c r="I1749" s="105" t="s">
        <v>5805</v>
      </c>
      <c r="J1749" s="94" t="s">
        <v>5806</v>
      </c>
      <c r="K1749" s="92">
        <v>957239967</v>
      </c>
      <c r="L1749" s="91" t="s">
        <v>54</v>
      </c>
      <c r="M1749" s="98">
        <f ca="1">(TODAY()-H1749)/365</f>
        <v>62.19178082191781</v>
      </c>
      <c r="N1749" s="99">
        <f>(G1749-H1749)/365</f>
        <v>61.139726027397259</v>
      </c>
      <c r="O1749" s="98">
        <f ca="1">(TODAY()-G1749)/365</f>
        <v>1.0520547945205478</v>
      </c>
      <c r="P1749" s="91" t="s">
        <v>272</v>
      </c>
      <c r="Q1749" s="91">
        <v>0</v>
      </c>
      <c r="R1749" s="91">
        <v>0</v>
      </c>
      <c r="S1749" s="91">
        <v>0</v>
      </c>
      <c r="T1749" s="91"/>
      <c r="U1749" s="91"/>
      <c r="V1749" s="91"/>
      <c r="W1749" s="91"/>
      <c r="X1749" s="91"/>
      <c r="Y1749" s="91"/>
      <c r="Z1749" s="91"/>
      <c r="AA1749" s="91"/>
      <c r="AB1749" s="91"/>
      <c r="AC1749" s="91"/>
      <c r="AD1749" s="91"/>
      <c r="AE1749" s="91"/>
      <c r="AF1749" s="91"/>
      <c r="AG1749" s="91"/>
      <c r="AH1749" s="91"/>
      <c r="AI1749" s="91"/>
      <c r="AJ1749" s="91"/>
      <c r="AK1749" s="91"/>
      <c r="AL1749" s="91"/>
      <c r="AM1749" s="91"/>
    </row>
    <row r="1750" spans="1:39" ht="20.25" hidden="1" customHeight="1">
      <c r="A1750" s="91"/>
      <c r="B1750" s="93" t="s">
        <v>5788</v>
      </c>
      <c r="C1750" s="91" t="s">
        <v>36</v>
      </c>
      <c r="D1750" s="106" t="s">
        <v>5807</v>
      </c>
      <c r="E1750" s="106" t="s">
        <v>5808</v>
      </c>
      <c r="F1750" s="92" t="s">
        <v>5809</v>
      </c>
      <c r="G1750" s="103">
        <v>45546</v>
      </c>
      <c r="H1750" s="103">
        <v>31061</v>
      </c>
      <c r="I1750" s="94" t="s">
        <v>5810</v>
      </c>
      <c r="J1750" s="94" t="s">
        <v>5811</v>
      </c>
      <c r="K1750" s="92">
        <v>972965301</v>
      </c>
      <c r="L1750" s="91" t="s">
        <v>60</v>
      </c>
      <c r="M1750" s="98">
        <f ca="1">(TODAY()-H1750)/365</f>
        <v>40.934246575342463</v>
      </c>
      <c r="N1750" s="99">
        <f>(G1750-H1750)/365</f>
        <v>39.684931506849317</v>
      </c>
      <c r="O1750" s="98">
        <f ca="1">(TODAY()-G1750)/365</f>
        <v>1.2493150684931507</v>
      </c>
      <c r="P1750" s="91" t="s">
        <v>272</v>
      </c>
      <c r="Q1750" s="91">
        <v>0</v>
      </c>
      <c r="R1750" s="91">
        <v>0</v>
      </c>
      <c r="S1750" s="91">
        <v>0</v>
      </c>
      <c r="T1750" s="91"/>
      <c r="U1750" s="91"/>
      <c r="V1750" s="91"/>
      <c r="W1750" s="91"/>
      <c r="X1750" s="91"/>
      <c r="Y1750" s="91"/>
      <c r="Z1750" s="91"/>
      <c r="AA1750" s="91"/>
      <c r="AB1750" s="91"/>
      <c r="AC1750" s="91"/>
      <c r="AD1750" s="91"/>
      <c r="AE1750" s="91"/>
      <c r="AF1750" s="91"/>
      <c r="AG1750" s="91"/>
      <c r="AH1750" s="91"/>
      <c r="AI1750" s="91"/>
      <c r="AJ1750" s="91"/>
      <c r="AK1750" s="91"/>
      <c r="AL1750" s="91"/>
      <c r="AM1750" s="91"/>
    </row>
    <row r="1751" spans="1:39" ht="20.25" hidden="1" customHeight="1">
      <c r="A1751" s="91"/>
      <c r="B1751" s="93" t="s">
        <v>5788</v>
      </c>
      <c r="C1751" s="91" t="s">
        <v>36</v>
      </c>
      <c r="D1751" s="106" t="s">
        <v>513</v>
      </c>
      <c r="E1751" s="106" t="s">
        <v>5812</v>
      </c>
      <c r="F1751" s="92" t="s">
        <v>5813</v>
      </c>
      <c r="G1751" s="103">
        <v>22767</v>
      </c>
      <c r="H1751" s="103">
        <v>17106</v>
      </c>
      <c r="I1751" s="105" t="s">
        <v>5814</v>
      </c>
      <c r="J1751" s="94" t="s">
        <v>5815</v>
      </c>
      <c r="K1751" s="92">
        <v>994448225</v>
      </c>
      <c r="L1751" s="91" t="s">
        <v>42</v>
      </c>
      <c r="M1751" s="98">
        <f ca="1">(TODAY()-H1751)/365</f>
        <v>79.167123287671231</v>
      </c>
      <c r="N1751" s="99">
        <f>(G1751-H1751)/365</f>
        <v>15.509589041095891</v>
      </c>
      <c r="O1751" s="98">
        <f ca="1">(TODAY()-G1751)/365</f>
        <v>63.657534246575345</v>
      </c>
      <c r="P1751" s="91" t="s">
        <v>43</v>
      </c>
      <c r="Q1751" s="91">
        <v>0</v>
      </c>
      <c r="R1751" s="91">
        <v>0</v>
      </c>
      <c r="S1751" s="91">
        <v>0</v>
      </c>
      <c r="T1751" s="91"/>
      <c r="U1751" s="91"/>
      <c r="V1751" s="91">
        <v>1</v>
      </c>
      <c r="W1751" s="91"/>
      <c r="X1751" s="91"/>
      <c r="Y1751" s="91"/>
      <c r="Z1751" s="91"/>
      <c r="AA1751" s="91"/>
      <c r="AB1751" s="91"/>
      <c r="AC1751" s="91"/>
      <c r="AD1751" s="91"/>
      <c r="AE1751" s="91"/>
      <c r="AF1751" s="91"/>
      <c r="AG1751" s="91"/>
      <c r="AH1751" s="91"/>
      <c r="AI1751" s="91"/>
      <c r="AJ1751" s="91"/>
      <c r="AK1751" s="91"/>
      <c r="AL1751" s="91"/>
      <c r="AM1751" s="91"/>
    </row>
    <row r="1752" spans="1:39" ht="20.25" hidden="1" customHeight="1">
      <c r="A1752" s="91"/>
      <c r="B1752" s="93" t="s">
        <v>5788</v>
      </c>
      <c r="C1752" s="91" t="s">
        <v>36</v>
      </c>
      <c r="D1752" s="106" t="s">
        <v>5816</v>
      </c>
      <c r="E1752" s="106" t="s">
        <v>5817</v>
      </c>
      <c r="F1752" s="92" t="s">
        <v>5818</v>
      </c>
      <c r="G1752" s="103">
        <v>39415</v>
      </c>
      <c r="H1752" s="103">
        <v>15947</v>
      </c>
      <c r="I1752" s="94" t="s">
        <v>58</v>
      </c>
      <c r="J1752" s="94" t="s">
        <v>5819</v>
      </c>
      <c r="K1752" s="92">
        <v>979940863</v>
      </c>
      <c r="L1752" s="91" t="s">
        <v>60</v>
      </c>
      <c r="M1752" s="98">
        <f ca="1">(TODAY()-H1752)/365</f>
        <v>82.342465753424662</v>
      </c>
      <c r="N1752" s="99">
        <f>(G1752-H1752)/365</f>
        <v>64.295890410958904</v>
      </c>
      <c r="O1752" s="98">
        <f ca="1">(TODAY()-G1752)/365</f>
        <v>18.046575342465754</v>
      </c>
      <c r="P1752" s="91" t="s">
        <v>43</v>
      </c>
      <c r="Q1752" s="91">
        <v>0</v>
      </c>
      <c r="R1752" s="91">
        <v>0</v>
      </c>
      <c r="S1752" s="91">
        <v>0</v>
      </c>
      <c r="T1752" s="91"/>
      <c r="U1752" s="91"/>
      <c r="V1752" s="91"/>
      <c r="W1752" s="91"/>
      <c r="X1752" s="91"/>
      <c r="Y1752" s="91"/>
      <c r="Z1752" s="91"/>
      <c r="AA1752" s="91"/>
      <c r="AB1752" s="91"/>
      <c r="AC1752" s="91"/>
      <c r="AD1752" s="91"/>
      <c r="AE1752" s="91"/>
      <c r="AF1752" s="91"/>
      <c r="AG1752" s="91"/>
      <c r="AH1752" s="91"/>
      <c r="AI1752" s="91"/>
      <c r="AJ1752" s="91"/>
      <c r="AK1752" s="91"/>
      <c r="AL1752" s="91"/>
      <c r="AM1752" s="91"/>
    </row>
    <row r="1753" spans="1:39" ht="20.25" hidden="1" customHeight="1">
      <c r="A1753" s="91"/>
      <c r="B1753" s="93" t="s">
        <v>5788</v>
      </c>
      <c r="C1753" s="91" t="s">
        <v>36</v>
      </c>
      <c r="D1753" s="106" t="s">
        <v>5820</v>
      </c>
      <c r="E1753" s="106" t="s">
        <v>5821</v>
      </c>
      <c r="F1753" s="92" t="s">
        <v>5822</v>
      </c>
      <c r="G1753" s="103">
        <v>45519</v>
      </c>
      <c r="H1753" s="103" t="s">
        <v>58</v>
      </c>
      <c r="I1753" s="94" t="s">
        <v>58</v>
      </c>
      <c r="J1753" s="94" t="s">
        <v>5823</v>
      </c>
      <c r="K1753" s="92">
        <v>976414546</v>
      </c>
      <c r="L1753" s="91" t="s">
        <v>60</v>
      </c>
      <c r="M1753" s="98" t="e">
        <f ca="1">(TODAY()-H1753)/365</f>
        <v>#VALUE!</v>
      </c>
      <c r="N1753" s="99" t="e">
        <f>(G1753-H1753)/365</f>
        <v>#VALUE!</v>
      </c>
      <c r="O1753" s="98">
        <f ca="1">(TODAY()-G1753)/365</f>
        <v>1.3232876712328767</v>
      </c>
      <c r="P1753" s="91" t="s">
        <v>43</v>
      </c>
      <c r="Q1753" s="91">
        <v>0</v>
      </c>
      <c r="R1753" s="91">
        <v>0</v>
      </c>
      <c r="S1753" s="91">
        <v>0</v>
      </c>
      <c r="T1753" s="91"/>
      <c r="U1753" s="91"/>
      <c r="V1753" s="91"/>
      <c r="W1753" s="91"/>
      <c r="X1753" s="91"/>
      <c r="Y1753" s="91"/>
      <c r="Z1753" s="91"/>
      <c r="AA1753" s="91"/>
      <c r="AB1753" s="91"/>
      <c r="AC1753" s="91"/>
      <c r="AD1753" s="91"/>
      <c r="AE1753" s="91"/>
      <c r="AF1753" s="91"/>
      <c r="AG1753" s="91"/>
      <c r="AH1753" s="91"/>
      <c r="AI1753" s="91"/>
      <c r="AJ1753" s="91"/>
      <c r="AK1753" s="91"/>
      <c r="AL1753" s="91"/>
      <c r="AM1753" s="91"/>
    </row>
    <row r="1754" spans="1:39" ht="20.25" hidden="1" customHeight="1">
      <c r="A1754" s="91"/>
      <c r="B1754" s="93" t="s">
        <v>5824</v>
      </c>
      <c r="C1754" s="91" t="s">
        <v>36</v>
      </c>
      <c r="D1754" s="94" t="s">
        <v>2648</v>
      </c>
      <c r="E1754" s="94" t="s">
        <v>5825</v>
      </c>
      <c r="F1754" s="95" t="s">
        <v>5826</v>
      </c>
      <c r="G1754" s="96">
        <v>24398</v>
      </c>
      <c r="H1754" s="97">
        <v>15680</v>
      </c>
      <c r="I1754" s="100" t="s">
        <v>58</v>
      </c>
      <c r="J1754" s="100" t="s">
        <v>58</v>
      </c>
      <c r="K1754" s="95">
        <v>993143077</v>
      </c>
      <c r="L1754" s="91" t="s">
        <v>60</v>
      </c>
      <c r="M1754" s="98">
        <f ca="1">(TODAY()-H1754)/365</f>
        <v>83.07397260273973</v>
      </c>
      <c r="N1754" s="99">
        <f>(G1754-H1754)/365</f>
        <v>23.884931506849316</v>
      </c>
      <c r="O1754" s="98">
        <f ca="1">(TODAY()-G1754)/365</f>
        <v>59.18904109589041</v>
      </c>
      <c r="P1754" s="91" t="s">
        <v>43</v>
      </c>
      <c r="Q1754" s="91">
        <v>0</v>
      </c>
      <c r="R1754" s="91">
        <v>0</v>
      </c>
      <c r="S1754" s="91">
        <v>0</v>
      </c>
      <c r="T1754" s="91"/>
      <c r="U1754" s="91"/>
      <c r="V1754" s="91"/>
      <c r="W1754" s="91"/>
      <c r="X1754" s="91"/>
      <c r="Y1754" s="91"/>
      <c r="Z1754" s="91"/>
      <c r="AA1754" s="91"/>
      <c r="AB1754" s="91"/>
      <c r="AC1754" s="91"/>
      <c r="AD1754" s="91"/>
      <c r="AE1754" s="91"/>
      <c r="AF1754" s="91"/>
      <c r="AG1754" s="91"/>
      <c r="AH1754" s="91"/>
      <c r="AI1754" s="91"/>
      <c r="AJ1754" s="91"/>
      <c r="AK1754" s="91"/>
      <c r="AL1754" s="91"/>
      <c r="AM1754" s="91"/>
    </row>
    <row r="1755" spans="1:39" ht="20.25" customHeight="1">
      <c r="A1755" s="91"/>
      <c r="B1755" s="93" t="s">
        <v>77</v>
      </c>
      <c r="C1755" s="91" t="s">
        <v>73</v>
      </c>
      <c r="D1755" s="94" t="s">
        <v>252</v>
      </c>
      <c r="E1755" s="94" t="s">
        <v>253</v>
      </c>
      <c r="F1755" s="95" t="s">
        <v>254</v>
      </c>
      <c r="G1755" s="96">
        <v>43257</v>
      </c>
      <c r="H1755" s="97">
        <v>15646</v>
      </c>
      <c r="I1755" s="94" t="s">
        <v>255</v>
      </c>
      <c r="J1755" s="100" t="s">
        <v>58</v>
      </c>
      <c r="K1755" s="91" t="s">
        <v>58</v>
      </c>
      <c r="L1755" s="91" t="s">
        <v>60</v>
      </c>
      <c r="M1755" s="98">
        <f ca="1">(TODAY()-H1755)/365</f>
        <v>83.167123287671231</v>
      </c>
      <c r="N1755" s="99">
        <f>(G1755-H1755)/365</f>
        <v>75.646575342465752</v>
      </c>
      <c r="O1755" s="98">
        <f ca="1">(TODAY()-G1755)/365</f>
        <v>7.5205479452054798</v>
      </c>
      <c r="P1755" s="91" t="s">
        <v>43</v>
      </c>
      <c r="Q1755" s="91">
        <v>0</v>
      </c>
      <c r="R1755" s="91">
        <v>0</v>
      </c>
      <c r="S1755" s="91">
        <v>0</v>
      </c>
      <c r="T1755" s="91"/>
      <c r="U1755" s="91"/>
      <c r="V1755" s="91"/>
      <c r="W1755" s="91"/>
      <c r="X1755" s="91"/>
      <c r="Y1755" s="91"/>
      <c r="Z1755" s="91"/>
      <c r="AA1755" s="91"/>
      <c r="AB1755" s="91"/>
      <c r="AC1755" s="91"/>
      <c r="AD1755" s="91"/>
      <c r="AE1755" s="91"/>
      <c r="AF1755" s="91"/>
      <c r="AG1755" s="91"/>
      <c r="AH1755" s="91"/>
      <c r="AI1755" s="91"/>
      <c r="AJ1755" s="91"/>
      <c r="AK1755" s="91"/>
      <c r="AL1755" s="91"/>
      <c r="AM1755" s="91"/>
    </row>
    <row r="1756" spans="1:39" ht="20.25" hidden="1" customHeight="1">
      <c r="A1756" s="91"/>
      <c r="B1756" s="93" t="s">
        <v>5824</v>
      </c>
      <c r="C1756" s="91" t="s">
        <v>36</v>
      </c>
      <c r="D1756" s="94" t="s">
        <v>306</v>
      </c>
      <c r="E1756" s="94" t="s">
        <v>5829</v>
      </c>
      <c r="F1756" s="95" t="s">
        <v>5830</v>
      </c>
      <c r="G1756" s="96">
        <v>30179</v>
      </c>
      <c r="H1756" s="97">
        <v>16978</v>
      </c>
      <c r="I1756" s="94" t="s">
        <v>5831</v>
      </c>
      <c r="J1756" s="100" t="s">
        <v>58</v>
      </c>
      <c r="K1756" s="95">
        <v>97661179</v>
      </c>
      <c r="L1756" s="91" t="s">
        <v>60</v>
      </c>
      <c r="M1756" s="98">
        <f ca="1">(TODAY()-H1756)/365</f>
        <v>79.517808219178079</v>
      </c>
      <c r="N1756" s="99">
        <f>(G1756-H1756)/365</f>
        <v>36.167123287671231</v>
      </c>
      <c r="O1756" s="98">
        <f ca="1">(TODAY()-G1756)/365</f>
        <v>43.350684931506848</v>
      </c>
      <c r="P1756" s="91" t="s">
        <v>43</v>
      </c>
      <c r="Q1756" s="91">
        <v>0</v>
      </c>
      <c r="R1756" s="91">
        <v>0</v>
      </c>
      <c r="S1756" s="91">
        <v>0</v>
      </c>
      <c r="T1756" s="91"/>
      <c r="U1756" s="91"/>
      <c r="V1756" s="91"/>
      <c r="W1756" s="91"/>
      <c r="X1756" s="91"/>
      <c r="Y1756" s="91"/>
      <c r="Z1756" s="91"/>
      <c r="AA1756" s="91"/>
      <c r="AB1756" s="91"/>
      <c r="AC1756" s="91"/>
      <c r="AD1756" s="91"/>
      <c r="AE1756" s="91"/>
      <c r="AF1756" s="91"/>
      <c r="AG1756" s="91"/>
      <c r="AH1756" s="91"/>
      <c r="AI1756" s="91"/>
      <c r="AJ1756" s="91"/>
      <c r="AK1756" s="91"/>
      <c r="AL1756" s="91"/>
      <c r="AM1756" s="91"/>
    </row>
    <row r="1757" spans="1:39" ht="20.25" hidden="1" customHeight="1">
      <c r="A1757" s="91"/>
      <c r="B1757" s="93" t="s">
        <v>5824</v>
      </c>
      <c r="C1757" s="91" t="s">
        <v>36</v>
      </c>
      <c r="D1757" s="94" t="s">
        <v>5832</v>
      </c>
      <c r="E1757" s="94" t="s">
        <v>5833</v>
      </c>
      <c r="F1757" s="95" t="s">
        <v>5834</v>
      </c>
      <c r="G1757" s="96">
        <v>36255</v>
      </c>
      <c r="H1757" s="97">
        <v>20147</v>
      </c>
      <c r="I1757" s="100" t="s">
        <v>58</v>
      </c>
      <c r="J1757" s="100" t="s">
        <v>58</v>
      </c>
      <c r="K1757" s="95">
        <v>985068834</v>
      </c>
      <c r="L1757" s="91" t="s">
        <v>60</v>
      </c>
      <c r="M1757" s="98">
        <f ca="1">(TODAY()-H1757)/365</f>
        <v>70.835616438356169</v>
      </c>
      <c r="N1757" s="99">
        <f>(G1757-H1757)/365</f>
        <v>44.131506849315066</v>
      </c>
      <c r="O1757" s="98">
        <f ca="1">(TODAY()-G1757)/365</f>
        <v>26.704109589041096</v>
      </c>
      <c r="P1757" s="91" t="s">
        <v>43</v>
      </c>
      <c r="Q1757" s="91">
        <v>0</v>
      </c>
      <c r="R1757" s="91">
        <v>0</v>
      </c>
      <c r="S1757" s="91">
        <v>0</v>
      </c>
      <c r="T1757" s="91"/>
      <c r="U1757" s="91"/>
      <c r="V1757" s="91"/>
      <c r="W1757" s="91"/>
      <c r="X1757" s="91"/>
      <c r="Y1757" s="91"/>
      <c r="Z1757" s="91"/>
      <c r="AA1757" s="91"/>
      <c r="AB1757" s="91"/>
      <c r="AC1757" s="91"/>
      <c r="AD1757" s="91"/>
      <c r="AE1757" s="91"/>
      <c r="AF1757" s="91"/>
      <c r="AG1757" s="91"/>
      <c r="AH1757" s="91"/>
      <c r="AI1757" s="91"/>
      <c r="AJ1757" s="91"/>
      <c r="AK1757" s="91"/>
      <c r="AL1757" s="91"/>
      <c r="AM1757" s="91"/>
    </row>
    <row r="1758" spans="1:39" ht="20.25" hidden="1" customHeight="1">
      <c r="A1758" s="91"/>
      <c r="B1758" s="93" t="s">
        <v>5824</v>
      </c>
      <c r="C1758" s="91" t="s">
        <v>36</v>
      </c>
      <c r="D1758" s="94" t="s">
        <v>5835</v>
      </c>
      <c r="E1758" s="94" t="s">
        <v>5836</v>
      </c>
      <c r="F1758" s="95" t="s">
        <v>5837</v>
      </c>
      <c r="G1758" s="96">
        <v>36255</v>
      </c>
      <c r="H1758" s="97">
        <v>14652</v>
      </c>
      <c r="I1758" s="100" t="s">
        <v>58</v>
      </c>
      <c r="J1758" s="100" t="s">
        <v>58</v>
      </c>
      <c r="K1758" s="95">
        <v>532622105</v>
      </c>
      <c r="L1758" s="91" t="s">
        <v>60</v>
      </c>
      <c r="M1758" s="98">
        <f ca="1">(TODAY()-H1758)/365</f>
        <v>85.890410958904113</v>
      </c>
      <c r="N1758" s="99">
        <f>(G1758-H1758)/365</f>
        <v>59.186301369863017</v>
      </c>
      <c r="O1758" s="98">
        <f ca="1">(TODAY()-G1758)/365</f>
        <v>26.704109589041096</v>
      </c>
      <c r="P1758" s="91" t="s">
        <v>43</v>
      </c>
      <c r="Q1758" s="91">
        <v>0</v>
      </c>
      <c r="R1758" s="91">
        <v>0</v>
      </c>
      <c r="S1758" s="91">
        <v>0</v>
      </c>
      <c r="T1758" s="91"/>
      <c r="U1758" s="91"/>
      <c r="V1758" s="91"/>
      <c r="W1758" s="91"/>
      <c r="X1758" s="91"/>
      <c r="Y1758" s="91"/>
      <c r="Z1758" s="91"/>
      <c r="AA1758" s="91"/>
      <c r="AB1758" s="91"/>
      <c r="AC1758" s="91"/>
      <c r="AD1758" s="91"/>
      <c r="AE1758" s="91"/>
      <c r="AF1758" s="91"/>
      <c r="AG1758" s="91"/>
      <c r="AH1758" s="91"/>
      <c r="AI1758" s="91"/>
      <c r="AJ1758" s="91"/>
      <c r="AK1758" s="91"/>
      <c r="AL1758" s="91"/>
      <c r="AM1758" s="91"/>
    </row>
    <row r="1759" spans="1:39" ht="20.25" hidden="1" customHeight="1">
      <c r="A1759" s="91"/>
      <c r="B1759" s="93" t="s">
        <v>5824</v>
      </c>
      <c r="C1759" s="91" t="s">
        <v>36</v>
      </c>
      <c r="D1759" s="94" t="s">
        <v>2695</v>
      </c>
      <c r="E1759" s="94" t="s">
        <v>5838</v>
      </c>
      <c r="F1759" s="95" t="s">
        <v>5839</v>
      </c>
      <c r="G1759" s="96">
        <v>38849</v>
      </c>
      <c r="H1759" s="97">
        <v>16583</v>
      </c>
      <c r="I1759" s="100" t="s">
        <v>58</v>
      </c>
      <c r="J1759" s="100" t="s">
        <v>58</v>
      </c>
      <c r="K1759" s="95">
        <v>966395606</v>
      </c>
      <c r="L1759" s="91" t="s">
        <v>60</v>
      </c>
      <c r="M1759" s="98">
        <f ca="1">(TODAY()-H1759)/365</f>
        <v>80.599999999999994</v>
      </c>
      <c r="N1759" s="99">
        <f>(G1759-H1759)/365</f>
        <v>61.0027397260274</v>
      </c>
      <c r="O1759" s="98">
        <f ca="1">(TODAY()-G1759)/365</f>
        <v>19.597260273972601</v>
      </c>
      <c r="P1759" s="91" t="s">
        <v>43</v>
      </c>
      <c r="Q1759" s="91">
        <v>0</v>
      </c>
      <c r="R1759" s="91">
        <v>0</v>
      </c>
      <c r="S1759" s="91">
        <v>0</v>
      </c>
      <c r="T1759" s="91"/>
      <c r="U1759" s="91"/>
      <c r="V1759" s="91"/>
      <c r="W1759" s="91"/>
      <c r="X1759" s="91"/>
      <c r="Y1759" s="91"/>
      <c r="Z1759" s="91"/>
      <c r="AA1759" s="91"/>
      <c r="AB1759" s="91"/>
      <c r="AC1759" s="91"/>
      <c r="AD1759" s="91"/>
      <c r="AE1759" s="91"/>
      <c r="AF1759" s="91"/>
      <c r="AG1759" s="91"/>
      <c r="AH1759" s="91"/>
      <c r="AI1759" s="91"/>
      <c r="AJ1759" s="91"/>
      <c r="AK1759" s="91"/>
      <c r="AL1759" s="91"/>
      <c r="AM1759" s="91"/>
    </row>
    <row r="1760" spans="1:39" ht="20.25" hidden="1" customHeight="1">
      <c r="A1760" s="91"/>
      <c r="B1760" s="93" t="s">
        <v>5824</v>
      </c>
      <c r="C1760" s="91" t="s">
        <v>36</v>
      </c>
      <c r="D1760" s="94" t="s">
        <v>5537</v>
      </c>
      <c r="E1760" s="94" t="s">
        <v>5840</v>
      </c>
      <c r="F1760" s="95" t="s">
        <v>5841</v>
      </c>
      <c r="G1760" s="96">
        <v>43201</v>
      </c>
      <c r="H1760" s="97">
        <v>20117</v>
      </c>
      <c r="I1760" s="100" t="s">
        <v>58</v>
      </c>
      <c r="J1760" s="100" t="s">
        <v>58</v>
      </c>
      <c r="K1760" s="95">
        <v>981241973</v>
      </c>
      <c r="L1760" s="91" t="s">
        <v>60</v>
      </c>
      <c r="M1760" s="98">
        <f ca="1">(TODAY()-H1760)/365</f>
        <v>70.917808219178085</v>
      </c>
      <c r="N1760" s="99">
        <f>(G1760-H1760)/365</f>
        <v>63.243835616438353</v>
      </c>
      <c r="O1760" s="98">
        <f ca="1">(TODAY()-G1760)/365</f>
        <v>7.6739726027397257</v>
      </c>
      <c r="P1760" s="91" t="s">
        <v>43</v>
      </c>
      <c r="Q1760" s="91">
        <v>0</v>
      </c>
      <c r="R1760" s="91">
        <v>0</v>
      </c>
      <c r="S1760" s="91">
        <v>0</v>
      </c>
      <c r="T1760" s="91"/>
      <c r="U1760" s="91"/>
      <c r="V1760" s="91"/>
      <c r="W1760" s="91"/>
      <c r="X1760" s="91"/>
      <c r="Y1760" s="91"/>
      <c r="Z1760" s="91"/>
      <c r="AA1760" s="91"/>
      <c r="AB1760" s="91"/>
      <c r="AC1760" s="91"/>
      <c r="AD1760" s="91"/>
      <c r="AE1760" s="91"/>
      <c r="AF1760" s="91"/>
      <c r="AG1760" s="91"/>
      <c r="AH1760" s="91"/>
      <c r="AI1760" s="91"/>
      <c r="AJ1760" s="91"/>
      <c r="AK1760" s="91"/>
      <c r="AL1760" s="91"/>
      <c r="AM1760" s="91"/>
    </row>
    <row r="1761" spans="1:39" ht="20.25" hidden="1" customHeight="1">
      <c r="A1761" s="91"/>
      <c r="B1761" s="93" t="s">
        <v>5824</v>
      </c>
      <c r="C1761" s="91" t="s">
        <v>36</v>
      </c>
      <c r="D1761" s="94" t="s">
        <v>5842</v>
      </c>
      <c r="E1761" s="94" t="s">
        <v>5836</v>
      </c>
      <c r="F1761" s="95" t="s">
        <v>5843</v>
      </c>
      <c r="G1761" s="96">
        <v>36255</v>
      </c>
      <c r="H1761" s="97">
        <v>12934</v>
      </c>
      <c r="I1761" s="100" t="s">
        <v>58</v>
      </c>
      <c r="J1761" s="100" t="s">
        <v>58</v>
      </c>
      <c r="K1761" s="95">
        <v>532633900</v>
      </c>
      <c r="L1761" s="91" t="s">
        <v>60</v>
      </c>
      <c r="M1761" s="98">
        <f ca="1">(TODAY()-H1761)/365</f>
        <v>90.597260273972609</v>
      </c>
      <c r="N1761" s="99">
        <f>(G1761-H1761)/365</f>
        <v>63.893150684931506</v>
      </c>
      <c r="O1761" s="98">
        <f ca="1">(TODAY()-G1761)/365</f>
        <v>26.704109589041096</v>
      </c>
      <c r="P1761" s="91" t="s">
        <v>43</v>
      </c>
      <c r="Q1761" s="91">
        <v>0</v>
      </c>
      <c r="R1761" s="91">
        <v>0</v>
      </c>
      <c r="S1761" s="91">
        <v>0</v>
      </c>
      <c r="T1761" s="91"/>
      <c r="U1761" s="91"/>
      <c r="V1761" s="91"/>
      <c r="W1761" s="91"/>
      <c r="X1761" s="91"/>
      <c r="Y1761" s="91"/>
      <c r="Z1761" s="91"/>
      <c r="AA1761" s="91"/>
      <c r="AB1761" s="91"/>
      <c r="AC1761" s="91"/>
      <c r="AD1761" s="91"/>
      <c r="AE1761" s="91"/>
      <c r="AF1761" s="91"/>
      <c r="AG1761" s="91"/>
      <c r="AH1761" s="91"/>
      <c r="AI1761" s="91"/>
      <c r="AJ1761" s="91"/>
      <c r="AK1761" s="91"/>
      <c r="AL1761" s="91"/>
      <c r="AM1761" s="91"/>
    </row>
    <row r="1762" spans="1:39" ht="20.25" hidden="1" customHeight="1">
      <c r="A1762" s="91"/>
      <c r="B1762" s="93" t="s">
        <v>5824</v>
      </c>
      <c r="C1762" s="91" t="s">
        <v>36</v>
      </c>
      <c r="D1762" s="94" t="s">
        <v>5844</v>
      </c>
      <c r="E1762" s="94" t="s">
        <v>5845</v>
      </c>
      <c r="F1762" s="91" t="s">
        <v>58</v>
      </c>
      <c r="G1762" s="96">
        <v>42433</v>
      </c>
      <c r="H1762" s="97">
        <v>17987</v>
      </c>
      <c r="I1762" s="100" t="s">
        <v>58</v>
      </c>
      <c r="J1762" s="100" t="s">
        <v>58</v>
      </c>
      <c r="K1762" s="95">
        <v>995204649</v>
      </c>
      <c r="L1762" s="91" t="s">
        <v>60</v>
      </c>
      <c r="M1762" s="98">
        <f ca="1">(TODAY()-H1762)/365</f>
        <v>76.753424657534254</v>
      </c>
      <c r="N1762" s="99">
        <f>(G1762-H1762)/365</f>
        <v>66.975342465753428</v>
      </c>
      <c r="O1762" s="98">
        <f ca="1">(TODAY()-G1762)/365</f>
        <v>9.7780821917808218</v>
      </c>
      <c r="P1762" s="91" t="s">
        <v>43</v>
      </c>
      <c r="Q1762" s="91">
        <v>0</v>
      </c>
      <c r="R1762" s="91">
        <v>0</v>
      </c>
      <c r="S1762" s="91">
        <v>0</v>
      </c>
      <c r="T1762" s="91"/>
      <c r="U1762" s="91"/>
      <c r="V1762" s="91"/>
      <c r="W1762" s="91"/>
      <c r="X1762" s="91"/>
      <c r="Y1762" s="91"/>
      <c r="Z1762" s="91"/>
      <c r="AA1762" s="91"/>
      <c r="AB1762" s="91"/>
      <c r="AC1762" s="91"/>
      <c r="AD1762" s="91"/>
      <c r="AE1762" s="91"/>
      <c r="AF1762" s="91"/>
      <c r="AG1762" s="91"/>
      <c r="AH1762" s="91"/>
      <c r="AI1762" s="91"/>
      <c r="AJ1762" s="91"/>
      <c r="AK1762" s="91"/>
      <c r="AL1762" s="91"/>
      <c r="AM1762" s="91"/>
    </row>
    <row r="1763" spans="1:39" ht="20.25" hidden="1" customHeight="1">
      <c r="A1763" s="91"/>
      <c r="B1763" s="93" t="s">
        <v>5846</v>
      </c>
      <c r="C1763" s="91" t="s">
        <v>36</v>
      </c>
      <c r="D1763" s="94" t="s">
        <v>5847</v>
      </c>
      <c r="E1763" s="94" t="s">
        <v>5848</v>
      </c>
      <c r="F1763" s="95" t="s">
        <v>5849</v>
      </c>
      <c r="G1763" s="96">
        <v>36823</v>
      </c>
      <c r="H1763" s="96">
        <v>33606</v>
      </c>
      <c r="I1763" s="94" t="s">
        <v>5850</v>
      </c>
      <c r="J1763" s="94" t="s">
        <v>5851</v>
      </c>
      <c r="K1763" s="95">
        <v>979738742</v>
      </c>
      <c r="L1763" s="91" t="s">
        <v>60</v>
      </c>
      <c r="M1763" s="98">
        <f ca="1">(TODAY()-H1763)/365</f>
        <v>33.961643835616435</v>
      </c>
      <c r="N1763" s="99">
        <f>(G1763-H1763)/365</f>
        <v>8.8136986301369866</v>
      </c>
      <c r="O1763" s="98">
        <f ca="1">(TODAY()-G1763)/365</f>
        <v>25.147945205479452</v>
      </c>
      <c r="P1763" s="91" t="s">
        <v>43</v>
      </c>
      <c r="Q1763" s="91">
        <v>0</v>
      </c>
      <c r="R1763" s="91">
        <v>0</v>
      </c>
      <c r="S1763" s="91">
        <v>0</v>
      </c>
      <c r="T1763" s="91"/>
      <c r="U1763" s="91"/>
      <c r="V1763" s="91"/>
      <c r="W1763" s="91"/>
      <c r="X1763" s="91"/>
      <c r="Y1763" s="91"/>
      <c r="Z1763" s="91"/>
      <c r="AA1763" s="91"/>
      <c r="AB1763" s="91"/>
      <c r="AC1763" s="91"/>
      <c r="AD1763" s="91"/>
      <c r="AE1763" s="91"/>
      <c r="AF1763" s="91"/>
      <c r="AG1763" s="91"/>
      <c r="AH1763" s="91"/>
      <c r="AI1763" s="91"/>
      <c r="AJ1763" s="91"/>
      <c r="AK1763" s="91"/>
      <c r="AL1763" s="91"/>
      <c r="AM1763" s="91"/>
    </row>
    <row r="1764" spans="1:39" ht="20.25" hidden="1" customHeight="1">
      <c r="A1764" s="91"/>
      <c r="B1764" s="93" t="s">
        <v>5846</v>
      </c>
      <c r="C1764" s="91" t="s">
        <v>36</v>
      </c>
      <c r="D1764" s="94" t="s">
        <v>5852</v>
      </c>
      <c r="E1764" s="94" t="s">
        <v>5853</v>
      </c>
      <c r="F1764" s="95" t="s">
        <v>5854</v>
      </c>
      <c r="G1764" s="96">
        <v>42743</v>
      </c>
      <c r="H1764" s="97">
        <v>38080</v>
      </c>
      <c r="I1764" s="94" t="s">
        <v>5855</v>
      </c>
      <c r="J1764" s="94" t="s">
        <v>5856</v>
      </c>
      <c r="K1764" s="95">
        <v>928579866</v>
      </c>
      <c r="L1764" s="91" t="s">
        <v>60</v>
      </c>
      <c r="M1764" s="98">
        <f ca="1">(TODAY()-H1764)/365</f>
        <v>21.704109589041096</v>
      </c>
      <c r="N1764" s="99">
        <f>(G1764-H1764)/365</f>
        <v>12.775342465753425</v>
      </c>
      <c r="O1764" s="98">
        <f ca="1">(TODAY()-G1764)/365</f>
        <v>8.9287671232876704</v>
      </c>
      <c r="P1764" s="91" t="s">
        <v>43</v>
      </c>
      <c r="Q1764" s="91">
        <v>0</v>
      </c>
      <c r="R1764" s="91">
        <v>0</v>
      </c>
      <c r="S1764" s="91">
        <v>0</v>
      </c>
      <c r="T1764" s="91"/>
      <c r="U1764" s="91"/>
      <c r="V1764" s="91"/>
      <c r="W1764" s="91"/>
      <c r="X1764" s="91"/>
      <c r="Y1764" s="91"/>
      <c r="Z1764" s="91"/>
      <c r="AA1764" s="91"/>
      <c r="AB1764" s="91"/>
      <c r="AC1764" s="91"/>
      <c r="AD1764" s="91"/>
      <c r="AE1764" s="91"/>
      <c r="AF1764" s="91"/>
      <c r="AG1764" s="91"/>
      <c r="AH1764" s="91"/>
      <c r="AI1764" s="91"/>
      <c r="AJ1764" s="91"/>
      <c r="AK1764" s="91"/>
      <c r="AL1764" s="91"/>
      <c r="AM1764" s="91"/>
    </row>
    <row r="1765" spans="1:39" ht="20.25" hidden="1" customHeight="1">
      <c r="A1765" s="91"/>
      <c r="B1765" s="93" t="s">
        <v>5846</v>
      </c>
      <c r="C1765" s="91" t="s">
        <v>36</v>
      </c>
      <c r="D1765" s="94" t="s">
        <v>5857</v>
      </c>
      <c r="E1765" s="94" t="s">
        <v>5858</v>
      </c>
      <c r="F1765" s="95" t="s">
        <v>5859</v>
      </c>
      <c r="G1765" s="96">
        <v>42876</v>
      </c>
      <c r="H1765" s="97">
        <v>38065</v>
      </c>
      <c r="I1765" s="94" t="s">
        <v>58</v>
      </c>
      <c r="J1765" s="94" t="s">
        <v>5860</v>
      </c>
      <c r="K1765" s="91" t="s">
        <v>58</v>
      </c>
      <c r="L1765" s="91" t="s">
        <v>60</v>
      </c>
      <c r="M1765" s="98">
        <f ca="1">(TODAY()-H1765)/365</f>
        <v>21.745205479452054</v>
      </c>
      <c r="N1765" s="99">
        <f>(G1765-H1765)/365</f>
        <v>13.180821917808219</v>
      </c>
      <c r="O1765" s="98">
        <f ca="1">(TODAY()-G1765)/365</f>
        <v>8.5643835616438349</v>
      </c>
      <c r="P1765" s="91" t="s">
        <v>272</v>
      </c>
      <c r="Q1765" s="91">
        <v>0</v>
      </c>
      <c r="R1765" s="91">
        <v>0</v>
      </c>
      <c r="S1765" s="91">
        <v>0</v>
      </c>
      <c r="T1765" s="91"/>
      <c r="U1765" s="91"/>
      <c r="V1765" s="91"/>
      <c r="W1765" s="91"/>
      <c r="X1765" s="91"/>
      <c r="Y1765" s="91"/>
      <c r="Z1765" s="91"/>
      <c r="AA1765" s="91"/>
      <c r="AB1765" s="91"/>
      <c r="AC1765" s="91"/>
      <c r="AD1765" s="91"/>
      <c r="AE1765" s="91"/>
      <c r="AF1765" s="91"/>
      <c r="AG1765" s="91"/>
      <c r="AH1765" s="91"/>
      <c r="AI1765" s="91"/>
      <c r="AJ1765" s="91"/>
      <c r="AK1765" s="91"/>
      <c r="AL1765" s="91"/>
      <c r="AM1765" s="91"/>
    </row>
    <row r="1766" spans="1:39" ht="20.25" hidden="1" customHeight="1">
      <c r="A1766" s="91"/>
      <c r="B1766" s="93" t="s">
        <v>5846</v>
      </c>
      <c r="C1766" s="91" t="s">
        <v>36</v>
      </c>
      <c r="D1766" s="106" t="s">
        <v>5861</v>
      </c>
      <c r="E1766" s="107" t="s">
        <v>5862</v>
      </c>
      <c r="F1766" s="92" t="s">
        <v>5863</v>
      </c>
      <c r="G1766" s="96">
        <v>43282</v>
      </c>
      <c r="H1766" s="97">
        <v>37165</v>
      </c>
      <c r="I1766" s="94" t="s">
        <v>5864</v>
      </c>
      <c r="J1766" s="94" t="s">
        <v>5865</v>
      </c>
      <c r="K1766" s="92">
        <v>931342681</v>
      </c>
      <c r="L1766" s="91" t="s">
        <v>60</v>
      </c>
      <c r="M1766" s="98">
        <f ca="1">(TODAY()-H1766)/365</f>
        <v>24.210958904109589</v>
      </c>
      <c r="N1766" s="99">
        <f>(G1766-H1766)/365</f>
        <v>16.758904109589039</v>
      </c>
      <c r="O1766" s="98">
        <f ca="1">(TODAY()-G1766)/365</f>
        <v>7.4520547945205475</v>
      </c>
      <c r="P1766" s="91" t="s">
        <v>43</v>
      </c>
      <c r="Q1766" s="91">
        <v>0</v>
      </c>
      <c r="R1766" s="91">
        <v>0</v>
      </c>
      <c r="S1766" s="91">
        <v>0</v>
      </c>
      <c r="T1766" s="91"/>
      <c r="U1766" s="91"/>
      <c r="V1766" s="91"/>
      <c r="W1766" s="91"/>
      <c r="X1766" s="91"/>
      <c r="Y1766" s="91"/>
      <c r="Z1766" s="91"/>
      <c r="AA1766" s="91"/>
      <c r="AB1766" s="91"/>
      <c r="AC1766" s="91"/>
      <c r="AD1766" s="91"/>
      <c r="AE1766" s="91"/>
      <c r="AF1766" s="91"/>
      <c r="AG1766" s="91"/>
      <c r="AH1766" s="91"/>
      <c r="AI1766" s="91"/>
      <c r="AJ1766" s="91"/>
      <c r="AK1766" s="91"/>
      <c r="AL1766" s="91"/>
      <c r="AM1766" s="91"/>
    </row>
    <row r="1767" spans="1:39" ht="20.25" hidden="1" customHeight="1">
      <c r="A1767" s="91"/>
      <c r="B1767" s="93" t="s">
        <v>5846</v>
      </c>
      <c r="C1767" s="91" t="s">
        <v>36</v>
      </c>
      <c r="D1767" s="94" t="s">
        <v>5866</v>
      </c>
      <c r="E1767" s="94" t="s">
        <v>5867</v>
      </c>
      <c r="F1767" s="95" t="s">
        <v>5868</v>
      </c>
      <c r="G1767" s="96">
        <v>40802</v>
      </c>
      <c r="H1767" s="97">
        <v>33464</v>
      </c>
      <c r="I1767" s="94" t="s">
        <v>5869</v>
      </c>
      <c r="J1767" s="94" t="s">
        <v>5870</v>
      </c>
      <c r="K1767" s="95">
        <v>977832208</v>
      </c>
      <c r="L1767" s="91" t="s">
        <v>60</v>
      </c>
      <c r="M1767" s="98">
        <f ca="1">(TODAY()-H1767)/365</f>
        <v>34.350684931506848</v>
      </c>
      <c r="N1767" s="99">
        <f>(G1767-H1767)/365</f>
        <v>20.104109589041094</v>
      </c>
      <c r="O1767" s="98">
        <f ca="1">(TODAY()-G1767)/365</f>
        <v>14.246575342465754</v>
      </c>
      <c r="P1767" s="91" t="s">
        <v>43</v>
      </c>
      <c r="Q1767" s="91">
        <v>0</v>
      </c>
      <c r="R1767" s="91">
        <v>0</v>
      </c>
      <c r="S1767" s="91">
        <v>0</v>
      </c>
      <c r="T1767" s="91"/>
      <c r="U1767" s="91"/>
      <c r="V1767" s="91"/>
      <c r="W1767" s="91"/>
      <c r="X1767" s="91"/>
      <c r="Y1767" s="91"/>
      <c r="Z1767" s="91"/>
      <c r="AA1767" s="91"/>
      <c r="AB1767" s="91"/>
      <c r="AC1767" s="91"/>
      <c r="AD1767" s="91"/>
      <c r="AE1767" s="91"/>
      <c r="AF1767" s="91"/>
      <c r="AG1767" s="91"/>
      <c r="AH1767" s="91"/>
      <c r="AI1767" s="91"/>
      <c r="AJ1767" s="91"/>
      <c r="AK1767" s="91"/>
      <c r="AL1767" s="91"/>
      <c r="AM1767" s="91"/>
    </row>
    <row r="1768" spans="1:39" ht="20.25" hidden="1" customHeight="1">
      <c r="A1768" s="91"/>
      <c r="B1768" s="93" t="s">
        <v>5846</v>
      </c>
      <c r="C1768" s="91" t="s">
        <v>36</v>
      </c>
      <c r="D1768" s="94" t="s">
        <v>5871</v>
      </c>
      <c r="E1768" s="94" t="s">
        <v>5872</v>
      </c>
      <c r="F1768" s="95" t="s">
        <v>5873</v>
      </c>
      <c r="G1768" s="96">
        <v>44003</v>
      </c>
      <c r="H1768" s="97">
        <v>36181</v>
      </c>
      <c r="I1768" s="94" t="s">
        <v>5874</v>
      </c>
      <c r="J1768" s="94" t="s">
        <v>5875</v>
      </c>
      <c r="K1768" s="95">
        <v>949515297</v>
      </c>
      <c r="L1768" s="91" t="s">
        <v>60</v>
      </c>
      <c r="M1768" s="98">
        <f ca="1">(TODAY()-H1768)/365</f>
        <v>26.906849315068492</v>
      </c>
      <c r="N1768" s="99">
        <f>(G1768-H1768)/365</f>
        <v>21.43013698630137</v>
      </c>
      <c r="O1768" s="98">
        <f ca="1">(TODAY()-G1768)/365</f>
        <v>5.4767123287671229</v>
      </c>
      <c r="P1768" s="91" t="s">
        <v>43</v>
      </c>
      <c r="Q1768" s="91">
        <v>0</v>
      </c>
      <c r="R1768" s="91">
        <v>0</v>
      </c>
      <c r="S1768" s="91">
        <v>0</v>
      </c>
      <c r="T1768" s="91"/>
      <c r="U1768" s="91"/>
      <c r="V1768" s="91"/>
      <c r="W1768" s="91"/>
      <c r="X1768" s="91"/>
      <c r="Y1768" s="91"/>
      <c r="Z1768" s="91"/>
      <c r="AA1768" s="91"/>
      <c r="AB1768" s="91"/>
      <c r="AC1768" s="91"/>
      <c r="AD1768" s="91"/>
      <c r="AE1768" s="91"/>
      <c r="AF1768" s="91"/>
      <c r="AG1768" s="91"/>
      <c r="AH1768" s="91"/>
      <c r="AI1768" s="91"/>
      <c r="AJ1768" s="91"/>
      <c r="AK1768" s="91"/>
      <c r="AL1768" s="91"/>
      <c r="AM1768" s="91"/>
    </row>
    <row r="1769" spans="1:39" ht="20.25" hidden="1" customHeight="1">
      <c r="A1769" s="91"/>
      <c r="B1769" s="93" t="s">
        <v>5846</v>
      </c>
      <c r="C1769" s="91" t="s">
        <v>36</v>
      </c>
      <c r="D1769" s="106" t="s">
        <v>494</v>
      </c>
      <c r="E1769" s="107" t="s">
        <v>5876</v>
      </c>
      <c r="F1769" s="92" t="s">
        <v>5877</v>
      </c>
      <c r="G1769" s="96">
        <v>41522</v>
      </c>
      <c r="H1769" s="97">
        <v>33618</v>
      </c>
      <c r="I1769" s="100" t="s">
        <v>58</v>
      </c>
      <c r="J1769" s="94" t="s">
        <v>5870</v>
      </c>
      <c r="K1769" s="92">
        <v>965498822</v>
      </c>
      <c r="L1769" s="91" t="s">
        <v>60</v>
      </c>
      <c r="M1769" s="98">
        <f ca="1">(TODAY()-H1769)/365</f>
        <v>33.92876712328767</v>
      </c>
      <c r="N1769" s="99">
        <f>(G1769-H1769)/365</f>
        <v>21.654794520547945</v>
      </c>
      <c r="O1769" s="98">
        <f ca="1">(TODAY()-G1769)/365</f>
        <v>12.273972602739725</v>
      </c>
      <c r="P1769" s="91" t="s">
        <v>272</v>
      </c>
      <c r="Q1769" s="91">
        <v>0</v>
      </c>
      <c r="R1769" s="91">
        <v>0</v>
      </c>
      <c r="S1769" s="91">
        <v>0</v>
      </c>
      <c r="T1769" s="91"/>
      <c r="U1769" s="91"/>
      <c r="V1769" s="91"/>
      <c r="W1769" s="91"/>
      <c r="X1769" s="91"/>
      <c r="Y1769" s="91"/>
      <c r="Z1769" s="91"/>
      <c r="AA1769" s="91"/>
      <c r="AB1769" s="91"/>
      <c r="AC1769" s="91"/>
      <c r="AD1769" s="91"/>
      <c r="AE1769" s="91"/>
      <c r="AF1769" s="91"/>
      <c r="AG1769" s="91"/>
      <c r="AH1769" s="91"/>
      <c r="AI1769" s="91"/>
      <c r="AJ1769" s="91"/>
      <c r="AK1769" s="91"/>
      <c r="AL1769" s="91"/>
      <c r="AM1769" s="91"/>
    </row>
    <row r="1770" spans="1:39" ht="20.25" hidden="1" customHeight="1">
      <c r="A1770" s="91"/>
      <c r="B1770" s="93" t="s">
        <v>5846</v>
      </c>
      <c r="C1770" s="91" t="s">
        <v>36</v>
      </c>
      <c r="D1770" s="94" t="s">
        <v>5878</v>
      </c>
      <c r="E1770" s="94" t="s">
        <v>5879</v>
      </c>
      <c r="F1770" s="95" t="s">
        <v>5880</v>
      </c>
      <c r="G1770" s="96">
        <v>35647</v>
      </c>
      <c r="H1770" s="97">
        <v>24042</v>
      </c>
      <c r="I1770" s="94" t="s">
        <v>5881</v>
      </c>
      <c r="J1770" s="94" t="s">
        <v>5851</v>
      </c>
      <c r="K1770" s="95">
        <v>990451670</v>
      </c>
      <c r="L1770" s="91" t="s">
        <v>42</v>
      </c>
      <c r="M1770" s="98">
        <f ca="1">(TODAY()-H1770)/365</f>
        <v>60.164383561643838</v>
      </c>
      <c r="N1770" s="99">
        <f>(G1770-H1770)/365</f>
        <v>31.794520547945204</v>
      </c>
      <c r="O1770" s="98">
        <f ca="1">(TODAY()-G1770)/365</f>
        <v>28.36986301369863</v>
      </c>
      <c r="P1770" s="91" t="s">
        <v>43</v>
      </c>
      <c r="Q1770" s="91">
        <v>0</v>
      </c>
      <c r="R1770" s="91">
        <v>0</v>
      </c>
      <c r="S1770" s="91">
        <v>0</v>
      </c>
      <c r="T1770" s="91"/>
      <c r="U1770" s="91"/>
      <c r="V1770" s="91"/>
      <c r="W1770" s="91"/>
      <c r="X1770" s="91"/>
      <c r="Y1770" s="91"/>
      <c r="Z1770" s="91"/>
      <c r="AA1770" s="91"/>
      <c r="AB1770" s="91"/>
      <c r="AC1770" s="91"/>
      <c r="AD1770" s="91"/>
      <c r="AE1770" s="91"/>
      <c r="AF1770" s="91"/>
      <c r="AG1770" s="91"/>
      <c r="AH1770" s="91"/>
      <c r="AI1770" s="91"/>
      <c r="AJ1770" s="91"/>
      <c r="AK1770" s="91"/>
      <c r="AL1770" s="91"/>
      <c r="AM1770" s="91"/>
    </row>
    <row r="1771" spans="1:39" ht="20.25" hidden="1" customHeight="1">
      <c r="A1771" s="91"/>
      <c r="B1771" s="93" t="s">
        <v>5846</v>
      </c>
      <c r="C1771" s="91" t="s">
        <v>36</v>
      </c>
      <c r="D1771" s="94" t="s">
        <v>5882</v>
      </c>
      <c r="E1771" s="94" t="s">
        <v>5883</v>
      </c>
      <c r="F1771" s="95" t="s">
        <v>5884</v>
      </c>
      <c r="G1771" s="96">
        <v>35651</v>
      </c>
      <c r="H1771" s="97">
        <v>23598</v>
      </c>
      <c r="I1771" s="94" t="s">
        <v>58</v>
      </c>
      <c r="J1771" s="94" t="s">
        <v>5885</v>
      </c>
      <c r="K1771" s="95">
        <v>992175664</v>
      </c>
      <c r="L1771" s="91" t="s">
        <v>60</v>
      </c>
      <c r="M1771" s="98">
        <f ca="1">(TODAY()-H1771)/365</f>
        <v>61.38082191780822</v>
      </c>
      <c r="N1771" s="99">
        <f>(G1771-H1771)/365</f>
        <v>33.021917808219179</v>
      </c>
      <c r="O1771" s="98">
        <f ca="1">(TODAY()-G1771)/365</f>
        <v>28.358904109589041</v>
      </c>
      <c r="P1771" s="91" t="s">
        <v>43</v>
      </c>
      <c r="Q1771" s="91">
        <v>0</v>
      </c>
      <c r="R1771" s="91">
        <v>0</v>
      </c>
      <c r="S1771" s="91">
        <v>0</v>
      </c>
      <c r="T1771" s="91"/>
      <c r="U1771" s="91"/>
      <c r="V1771" s="91"/>
      <c r="W1771" s="91"/>
      <c r="X1771" s="91"/>
      <c r="Y1771" s="91"/>
      <c r="Z1771" s="91"/>
      <c r="AA1771" s="91"/>
      <c r="AB1771" s="91"/>
      <c r="AC1771" s="91"/>
      <c r="AD1771" s="91"/>
      <c r="AE1771" s="91"/>
      <c r="AF1771" s="91"/>
      <c r="AG1771" s="91"/>
      <c r="AH1771" s="91"/>
      <c r="AI1771" s="91"/>
      <c r="AJ1771" s="91"/>
      <c r="AK1771" s="91"/>
      <c r="AL1771" s="91"/>
      <c r="AM1771" s="91"/>
    </row>
    <row r="1772" spans="1:39" ht="20.25" hidden="1" customHeight="1">
      <c r="A1772" s="91"/>
      <c r="B1772" s="93" t="s">
        <v>5846</v>
      </c>
      <c r="C1772" s="91" t="s">
        <v>36</v>
      </c>
      <c r="D1772" s="94" t="s">
        <v>5886</v>
      </c>
      <c r="E1772" s="94" t="s">
        <v>5887</v>
      </c>
      <c r="F1772" s="95" t="s">
        <v>5888</v>
      </c>
      <c r="G1772" s="96">
        <v>42522</v>
      </c>
      <c r="H1772" s="97">
        <v>29164</v>
      </c>
      <c r="I1772" s="94" t="s">
        <v>5889</v>
      </c>
      <c r="J1772" s="94" t="s">
        <v>5856</v>
      </c>
      <c r="K1772" s="95">
        <v>952532011</v>
      </c>
      <c r="L1772" s="91" t="s">
        <v>60</v>
      </c>
      <c r="M1772" s="98">
        <f ca="1">(TODAY()-H1772)/365</f>
        <v>46.131506849315066</v>
      </c>
      <c r="N1772" s="99">
        <f>(G1772-H1772)/365</f>
        <v>36.597260273972601</v>
      </c>
      <c r="O1772" s="98">
        <f ca="1">(TODAY()-G1772)/365</f>
        <v>9.5342465753424666</v>
      </c>
      <c r="P1772" s="91" t="s">
        <v>43</v>
      </c>
      <c r="Q1772" s="91">
        <v>0</v>
      </c>
      <c r="R1772" s="91">
        <v>0</v>
      </c>
      <c r="S1772" s="91">
        <v>0</v>
      </c>
      <c r="T1772" s="91"/>
      <c r="U1772" s="91"/>
      <c r="V1772" s="91"/>
      <c r="W1772" s="91"/>
      <c r="X1772" s="91"/>
      <c r="Y1772" s="91"/>
      <c r="Z1772" s="91"/>
      <c r="AA1772" s="91"/>
      <c r="AB1772" s="91"/>
      <c r="AC1772" s="91"/>
      <c r="AD1772" s="91"/>
      <c r="AE1772" s="91"/>
      <c r="AF1772" s="91"/>
      <c r="AG1772" s="91"/>
      <c r="AH1772" s="91"/>
      <c r="AI1772" s="91"/>
      <c r="AJ1772" s="91"/>
      <c r="AK1772" s="91"/>
      <c r="AL1772" s="91"/>
      <c r="AM1772" s="91"/>
    </row>
    <row r="1773" spans="1:39" ht="20.25" hidden="1" customHeight="1">
      <c r="A1773" s="91"/>
      <c r="B1773" s="93" t="s">
        <v>5846</v>
      </c>
      <c r="C1773" s="91" t="s">
        <v>36</v>
      </c>
      <c r="D1773" s="94" t="s">
        <v>142</v>
      </c>
      <c r="E1773" s="94" t="s">
        <v>5858</v>
      </c>
      <c r="F1773" s="95" t="s">
        <v>5890</v>
      </c>
      <c r="G1773" s="96">
        <v>43269</v>
      </c>
      <c r="H1773" s="96" t="s">
        <v>58</v>
      </c>
      <c r="I1773" s="94" t="s">
        <v>58</v>
      </c>
      <c r="J1773" s="94" t="s">
        <v>5860</v>
      </c>
      <c r="K1773" s="95">
        <v>972867939</v>
      </c>
      <c r="L1773" s="91" t="s">
        <v>60</v>
      </c>
      <c r="M1773" s="98"/>
      <c r="N1773" s="95"/>
      <c r="O1773" s="98">
        <f ca="1">(TODAY()-G1773)/365</f>
        <v>7.4876712328767123</v>
      </c>
      <c r="P1773" s="91" t="s">
        <v>272</v>
      </c>
      <c r="Q1773" s="91">
        <v>0</v>
      </c>
      <c r="R1773" s="91">
        <v>0</v>
      </c>
      <c r="S1773" s="91">
        <v>0</v>
      </c>
      <c r="T1773" s="91"/>
      <c r="U1773" s="91"/>
      <c r="V1773" s="91"/>
      <c r="W1773" s="91"/>
      <c r="X1773" s="91"/>
      <c r="Y1773" s="91"/>
      <c r="Z1773" s="91"/>
      <c r="AA1773" s="91"/>
      <c r="AB1773" s="91"/>
      <c r="AC1773" s="91"/>
      <c r="AD1773" s="91"/>
      <c r="AE1773" s="91"/>
      <c r="AF1773" s="91"/>
      <c r="AG1773" s="91"/>
      <c r="AH1773" s="91"/>
      <c r="AI1773" s="91"/>
      <c r="AJ1773" s="91"/>
      <c r="AK1773" s="91"/>
      <c r="AL1773" s="91"/>
      <c r="AM1773" s="91"/>
    </row>
    <row r="1774" spans="1:39" ht="20.25" customHeight="1">
      <c r="A1774" s="91"/>
      <c r="B1774" s="93" t="s">
        <v>7961</v>
      </c>
      <c r="C1774" s="91" t="s">
        <v>73</v>
      </c>
      <c r="D1774" s="94" t="s">
        <v>2683</v>
      </c>
      <c r="E1774" s="94" t="s">
        <v>7962</v>
      </c>
      <c r="F1774" s="95" t="s">
        <v>7963</v>
      </c>
      <c r="G1774" s="96">
        <v>42552</v>
      </c>
      <c r="H1774" s="97">
        <v>37063</v>
      </c>
      <c r="I1774" s="100" t="s">
        <v>58</v>
      </c>
      <c r="J1774" s="100" t="s">
        <v>58</v>
      </c>
      <c r="K1774" s="91" t="s">
        <v>58</v>
      </c>
      <c r="L1774" s="91" t="s">
        <v>60</v>
      </c>
      <c r="M1774" s="98">
        <f ca="1">(TODAY()-H1774)/365</f>
        <v>24.490410958904111</v>
      </c>
      <c r="N1774" s="99">
        <f>(G1774-H1774)/365</f>
        <v>15.038356164383561</v>
      </c>
      <c r="O1774" s="98">
        <f ca="1">(TODAY()-G1774)/365</f>
        <v>9.4520547945205475</v>
      </c>
      <c r="P1774" s="91" t="s">
        <v>43</v>
      </c>
      <c r="Q1774" s="91">
        <v>0</v>
      </c>
      <c r="R1774" s="91">
        <v>0</v>
      </c>
      <c r="S1774" s="91">
        <v>0</v>
      </c>
      <c r="T1774" s="91"/>
      <c r="U1774" s="91"/>
      <c r="V1774" s="91"/>
      <c r="W1774" s="91"/>
      <c r="X1774" s="91"/>
      <c r="Y1774" s="91"/>
      <c r="Z1774" s="91"/>
      <c r="AA1774" s="91"/>
      <c r="AB1774" s="91"/>
      <c r="AC1774" s="91"/>
      <c r="AD1774" s="91"/>
      <c r="AE1774" s="91"/>
      <c r="AF1774" s="91"/>
      <c r="AG1774" s="91"/>
      <c r="AH1774" s="91"/>
      <c r="AI1774" s="91"/>
      <c r="AJ1774" s="91"/>
      <c r="AK1774" s="91"/>
      <c r="AL1774" s="91"/>
      <c r="AM1774" s="91"/>
    </row>
    <row r="1775" spans="1:39" ht="20.25" hidden="1" customHeight="1">
      <c r="A1775" s="91"/>
      <c r="B1775" s="93" t="s">
        <v>5846</v>
      </c>
      <c r="C1775" s="91" t="s">
        <v>36</v>
      </c>
      <c r="D1775" s="106" t="s">
        <v>5893</v>
      </c>
      <c r="E1775" s="106" t="s">
        <v>5894</v>
      </c>
      <c r="F1775" s="92" t="s">
        <v>5895</v>
      </c>
      <c r="G1775" s="96">
        <v>42924</v>
      </c>
      <c r="H1775" s="97">
        <v>27193</v>
      </c>
      <c r="I1775" s="105" t="s">
        <v>12373</v>
      </c>
      <c r="J1775" s="100" t="s">
        <v>58</v>
      </c>
      <c r="K1775" s="92">
        <v>933416315</v>
      </c>
      <c r="L1775" s="91" t="s">
        <v>60</v>
      </c>
      <c r="M1775" s="98">
        <f ca="1">(TODAY()-H1775)/365</f>
        <v>51.531506849315072</v>
      </c>
      <c r="N1775" s="99">
        <f>(G1775-H1775)/365</f>
        <v>43.098630136986301</v>
      </c>
      <c r="O1775" s="98">
        <f ca="1">(TODAY()-G1775)/365</f>
        <v>8.4328767123287669</v>
      </c>
      <c r="P1775" s="91" t="s">
        <v>43</v>
      </c>
      <c r="Q1775" s="91">
        <v>0</v>
      </c>
      <c r="R1775" s="91">
        <v>0</v>
      </c>
      <c r="S1775" s="91">
        <v>0</v>
      </c>
      <c r="T1775" s="91"/>
      <c r="U1775" s="91"/>
      <c r="V1775" s="91"/>
      <c r="W1775" s="91"/>
      <c r="X1775" s="91"/>
      <c r="Y1775" s="91"/>
      <c r="Z1775" s="91"/>
      <c r="AA1775" s="91"/>
      <c r="AB1775" s="91"/>
      <c r="AC1775" s="91"/>
      <c r="AD1775" s="91"/>
      <c r="AE1775" s="91"/>
      <c r="AF1775" s="91"/>
      <c r="AG1775" s="91"/>
      <c r="AH1775" s="91"/>
      <c r="AI1775" s="91"/>
      <c r="AJ1775" s="91"/>
      <c r="AK1775" s="91"/>
      <c r="AL1775" s="91"/>
      <c r="AM1775" s="91"/>
    </row>
    <row r="1776" spans="1:39" ht="20.25" customHeight="1">
      <c r="A1776" s="91"/>
      <c r="B1776" s="93" t="s">
        <v>260</v>
      </c>
      <c r="C1776" s="91" t="s">
        <v>73</v>
      </c>
      <c r="D1776" s="106" t="s">
        <v>269</v>
      </c>
      <c r="E1776" s="106" t="s">
        <v>270</v>
      </c>
      <c r="F1776" s="92" t="s">
        <v>271</v>
      </c>
      <c r="G1776" s="103">
        <v>43543</v>
      </c>
      <c r="H1776" s="97">
        <v>35820</v>
      </c>
      <c r="I1776" s="100" t="s">
        <v>58</v>
      </c>
      <c r="J1776" s="100" t="s">
        <v>58</v>
      </c>
      <c r="K1776" s="91" t="s">
        <v>58</v>
      </c>
      <c r="L1776" s="91" t="s">
        <v>60</v>
      </c>
      <c r="M1776" s="98">
        <f ca="1">(TODAY()-H1776)/365</f>
        <v>27.895890410958906</v>
      </c>
      <c r="N1776" s="99">
        <f>(G1776-H1776)/365</f>
        <v>21.158904109589042</v>
      </c>
      <c r="O1776" s="98">
        <f ca="1">(TODAY()-G1776)/365</f>
        <v>6.7369863013698632</v>
      </c>
      <c r="P1776" s="91" t="s">
        <v>272</v>
      </c>
      <c r="Q1776" s="91">
        <v>0</v>
      </c>
      <c r="R1776" s="91">
        <v>0</v>
      </c>
      <c r="S1776" s="91">
        <v>0</v>
      </c>
      <c r="T1776" s="91"/>
      <c r="U1776" s="91"/>
      <c r="V1776" s="91"/>
      <c r="W1776" s="91"/>
      <c r="X1776" s="91"/>
      <c r="Y1776" s="91"/>
      <c r="Z1776" s="91"/>
      <c r="AA1776" s="91"/>
      <c r="AB1776" s="91"/>
      <c r="AC1776" s="91"/>
      <c r="AD1776" s="91"/>
      <c r="AE1776" s="91"/>
      <c r="AF1776" s="91"/>
      <c r="AG1776" s="91"/>
      <c r="AH1776" s="91"/>
      <c r="AI1776" s="91"/>
      <c r="AJ1776" s="91"/>
      <c r="AK1776" s="91"/>
      <c r="AL1776" s="91"/>
      <c r="AM1776" s="91"/>
    </row>
    <row r="1777" spans="1:39" ht="20.25" hidden="1" customHeight="1">
      <c r="A1777" s="91"/>
      <c r="B1777" s="93" t="s">
        <v>5846</v>
      </c>
      <c r="C1777" s="91" t="s">
        <v>36</v>
      </c>
      <c r="D1777" s="94" t="s">
        <v>3740</v>
      </c>
      <c r="E1777" s="94" t="s">
        <v>5899</v>
      </c>
      <c r="F1777" s="95" t="s">
        <v>5900</v>
      </c>
      <c r="G1777" s="96">
        <v>42491</v>
      </c>
      <c r="H1777" s="97">
        <v>22371</v>
      </c>
      <c r="I1777" s="94" t="s">
        <v>5901</v>
      </c>
      <c r="J1777" s="94" t="s">
        <v>5902</v>
      </c>
      <c r="K1777" s="95">
        <v>932917536</v>
      </c>
      <c r="L1777" s="91" t="s">
        <v>49</v>
      </c>
      <c r="M1777" s="98">
        <f ca="1">(TODAY()-H1777)/365</f>
        <v>64.742465753424653</v>
      </c>
      <c r="N1777" s="99">
        <f>(G1777-H1777)/365</f>
        <v>55.123287671232873</v>
      </c>
      <c r="O1777" s="98">
        <f ca="1">(TODAY()-G1777)/365</f>
        <v>9.6191780821917803</v>
      </c>
      <c r="P1777" s="91" t="s">
        <v>272</v>
      </c>
      <c r="Q1777" s="91">
        <v>0</v>
      </c>
      <c r="R1777" s="91">
        <v>0</v>
      </c>
      <c r="S1777" s="91">
        <v>0</v>
      </c>
      <c r="T1777" s="91"/>
      <c r="U1777" s="91"/>
      <c r="V1777" s="91"/>
      <c r="W1777" s="91"/>
      <c r="X1777" s="91"/>
      <c r="Y1777" s="91"/>
      <c r="Z1777" s="91"/>
      <c r="AA1777" s="91"/>
      <c r="AB1777" s="91"/>
      <c r="AC1777" s="91"/>
      <c r="AD1777" s="91"/>
      <c r="AE1777" s="91"/>
      <c r="AF1777" s="91"/>
      <c r="AG1777" s="91"/>
      <c r="AH1777" s="91"/>
      <c r="AI1777" s="91"/>
      <c r="AJ1777" s="91"/>
      <c r="AK1777" s="91"/>
      <c r="AL1777" s="91"/>
      <c r="AM1777" s="91"/>
    </row>
    <row r="1778" spans="1:39" ht="20.25" customHeight="1">
      <c r="A1778" s="91"/>
      <c r="B1778" s="93" t="s">
        <v>4214</v>
      </c>
      <c r="C1778" s="91" t="s">
        <v>73</v>
      </c>
      <c r="D1778" s="94" t="s">
        <v>4225</v>
      </c>
      <c r="E1778" s="94" t="s">
        <v>4226</v>
      </c>
      <c r="F1778" s="95" t="s">
        <v>4227</v>
      </c>
      <c r="G1778" s="96">
        <v>31317</v>
      </c>
      <c r="H1778" s="97">
        <v>18537</v>
      </c>
      <c r="I1778" s="100" t="s">
        <v>58</v>
      </c>
      <c r="J1778" s="100" t="s">
        <v>58</v>
      </c>
      <c r="K1778" s="91" t="s">
        <v>58</v>
      </c>
      <c r="L1778" s="91" t="s">
        <v>60</v>
      </c>
      <c r="M1778" s="98">
        <f ca="1">(TODAY()-H1778)/365</f>
        <v>75.246575342465746</v>
      </c>
      <c r="N1778" s="99">
        <f>(G1778-H1778)/365</f>
        <v>35.013698630136986</v>
      </c>
      <c r="O1778" s="98">
        <f ca="1">(TODAY()-G1778)/365</f>
        <v>40.232876712328768</v>
      </c>
      <c r="P1778" s="91" t="s">
        <v>43</v>
      </c>
      <c r="Q1778" s="91">
        <v>0</v>
      </c>
      <c r="R1778" s="91">
        <v>0</v>
      </c>
      <c r="S1778" s="91">
        <v>0</v>
      </c>
      <c r="T1778" s="91"/>
      <c r="U1778" s="91"/>
      <c r="V1778" s="91"/>
      <c r="W1778" s="91"/>
      <c r="X1778" s="91"/>
      <c r="Y1778" s="91"/>
      <c r="Z1778" s="91"/>
      <c r="AA1778" s="91"/>
      <c r="AB1778" s="91"/>
      <c r="AC1778" s="91"/>
      <c r="AD1778" s="91"/>
      <c r="AE1778" s="91"/>
      <c r="AF1778" s="91"/>
      <c r="AG1778" s="91"/>
      <c r="AH1778" s="91"/>
      <c r="AI1778" s="91"/>
      <c r="AJ1778" s="91"/>
      <c r="AK1778" s="91"/>
      <c r="AL1778" s="91"/>
      <c r="AM1778" s="91"/>
    </row>
    <row r="1779" spans="1:39" ht="20.25" hidden="1" customHeight="1">
      <c r="A1779" s="91"/>
      <c r="B1779" s="93" t="s">
        <v>5846</v>
      </c>
      <c r="C1779" s="91" t="s">
        <v>36</v>
      </c>
      <c r="D1779" s="94" t="s">
        <v>5906</v>
      </c>
      <c r="E1779" s="94" t="s">
        <v>5907</v>
      </c>
      <c r="F1779" s="95" t="s">
        <v>5908</v>
      </c>
      <c r="G1779" s="96" t="s">
        <v>58</v>
      </c>
      <c r="H1779" s="97">
        <v>17855</v>
      </c>
      <c r="I1779" s="94" t="s">
        <v>58</v>
      </c>
      <c r="J1779" s="94" t="s">
        <v>5909</v>
      </c>
      <c r="K1779" s="95">
        <v>91092439</v>
      </c>
      <c r="L1779" s="91" t="s">
        <v>54</v>
      </c>
      <c r="M1779" s="98">
        <f ca="1">(TODAY()-H1779)/365</f>
        <v>77.115068493150687</v>
      </c>
      <c r="N1779" s="95" t="s">
        <v>58</v>
      </c>
      <c r="O1779" s="98" t="e">
        <f ca="1">(TODAY()-G1779)/365</f>
        <v>#VALUE!</v>
      </c>
      <c r="P1779" s="91" t="s">
        <v>272</v>
      </c>
      <c r="Q1779" s="91">
        <v>0</v>
      </c>
      <c r="R1779" s="91">
        <v>0</v>
      </c>
      <c r="S1779" s="91">
        <v>0</v>
      </c>
      <c r="T1779" s="91"/>
      <c r="U1779" s="91"/>
      <c r="V1779" s="91"/>
      <c r="W1779" s="91"/>
      <c r="X1779" s="91"/>
      <c r="Y1779" s="91"/>
      <c r="Z1779" s="91"/>
      <c r="AA1779" s="91"/>
      <c r="AB1779" s="91"/>
      <c r="AC1779" s="91"/>
      <c r="AD1779" s="91"/>
      <c r="AE1779" s="91"/>
      <c r="AF1779" s="91"/>
      <c r="AG1779" s="91"/>
      <c r="AH1779" s="91"/>
      <c r="AI1779" s="91"/>
      <c r="AJ1779" s="91"/>
      <c r="AK1779" s="91"/>
      <c r="AL1779" s="91"/>
      <c r="AM1779" s="91"/>
    </row>
    <row r="1780" spans="1:39" ht="20.25" hidden="1" customHeight="1">
      <c r="A1780" s="91"/>
      <c r="B1780" s="93" t="s">
        <v>5846</v>
      </c>
      <c r="C1780" s="91" t="s">
        <v>36</v>
      </c>
      <c r="D1780" s="106" t="s">
        <v>5910</v>
      </c>
      <c r="E1780" s="107" t="s">
        <v>5862</v>
      </c>
      <c r="F1780" s="92" t="s">
        <v>5911</v>
      </c>
      <c r="G1780" s="97" t="s">
        <v>58</v>
      </c>
      <c r="H1780" s="97">
        <v>37530</v>
      </c>
      <c r="I1780" s="108" t="s">
        <v>12374</v>
      </c>
      <c r="J1780" s="94" t="s">
        <v>5902</v>
      </c>
      <c r="K1780" s="92">
        <v>931301958</v>
      </c>
      <c r="L1780" s="91" t="s">
        <v>60</v>
      </c>
      <c r="M1780" s="98">
        <f ca="1">(TODAY()-H1780)/365</f>
        <v>23.210958904109589</v>
      </c>
      <c r="N1780" s="95" t="s">
        <v>58</v>
      </c>
      <c r="O1780" s="98" t="e">
        <f ca="1">(TODAY()-G1780)/365</f>
        <v>#VALUE!</v>
      </c>
      <c r="P1780" s="91" t="s">
        <v>272</v>
      </c>
      <c r="Q1780" s="91">
        <v>0</v>
      </c>
      <c r="R1780" s="91">
        <v>0</v>
      </c>
      <c r="S1780" s="91">
        <v>0</v>
      </c>
      <c r="T1780" s="91"/>
      <c r="U1780" s="91"/>
      <c r="V1780" s="91"/>
      <c r="W1780" s="91"/>
      <c r="X1780" s="91"/>
      <c r="Y1780" s="91"/>
      <c r="Z1780" s="91"/>
      <c r="AA1780" s="91"/>
      <c r="AB1780" s="91"/>
      <c r="AC1780" s="91"/>
      <c r="AD1780" s="91"/>
      <c r="AE1780" s="91"/>
      <c r="AF1780" s="91"/>
      <c r="AG1780" s="91"/>
      <c r="AH1780" s="91"/>
      <c r="AI1780" s="91"/>
      <c r="AJ1780" s="91"/>
      <c r="AK1780" s="91"/>
      <c r="AL1780" s="91"/>
      <c r="AM1780" s="91"/>
    </row>
    <row r="1781" spans="1:39" ht="20.25" hidden="1" customHeight="1">
      <c r="A1781" s="91"/>
      <c r="B1781" s="93" t="s">
        <v>12269</v>
      </c>
      <c r="C1781" s="91" t="s">
        <v>36</v>
      </c>
      <c r="D1781" s="106" t="s">
        <v>10941</v>
      </c>
      <c r="E1781" s="106" t="s">
        <v>10942</v>
      </c>
      <c r="F1781" s="92" t="s">
        <v>10943</v>
      </c>
      <c r="G1781" s="103">
        <v>35880</v>
      </c>
      <c r="H1781" s="103">
        <v>22408</v>
      </c>
      <c r="I1781" s="100" t="s">
        <v>10944</v>
      </c>
      <c r="J1781" s="100" t="s">
        <v>58</v>
      </c>
      <c r="K1781" s="95" t="s">
        <v>58</v>
      </c>
      <c r="L1781" s="91"/>
      <c r="M1781" s="98">
        <f ca="1">(TODAY()-H1781)/365</f>
        <v>64.641095890410952</v>
      </c>
      <c r="N1781" s="99">
        <f>(G1781-H1781)/365</f>
        <v>36.909589041095892</v>
      </c>
      <c r="O1781" s="98">
        <f ca="1">(TODAY()-G1781)/365</f>
        <v>27.731506849315068</v>
      </c>
      <c r="P1781" s="91" t="s">
        <v>43</v>
      </c>
      <c r="Q1781" s="91"/>
      <c r="R1781" s="91"/>
      <c r="S1781" s="91"/>
      <c r="T1781" s="91"/>
      <c r="U1781" s="91"/>
      <c r="V1781" s="91"/>
      <c r="W1781" s="91"/>
      <c r="X1781" s="91"/>
      <c r="Y1781" s="91"/>
      <c r="Z1781" s="91"/>
      <c r="AA1781" s="91"/>
      <c r="AB1781" s="91"/>
      <c r="AC1781" s="91"/>
      <c r="AD1781" s="91"/>
      <c r="AE1781" s="91"/>
      <c r="AF1781" s="91"/>
      <c r="AG1781" s="91"/>
      <c r="AH1781" s="91"/>
      <c r="AI1781" s="91"/>
      <c r="AJ1781" s="91"/>
      <c r="AK1781" s="91"/>
      <c r="AL1781" s="91"/>
      <c r="AM1781" s="91"/>
    </row>
    <row r="1782" spans="1:39" ht="20.25" hidden="1" customHeight="1">
      <c r="A1782" s="91"/>
      <c r="B1782" s="93" t="s">
        <v>12269</v>
      </c>
      <c r="C1782" s="91" t="s">
        <v>36</v>
      </c>
      <c r="D1782" s="106" t="s">
        <v>3978</v>
      </c>
      <c r="E1782" s="106" t="s">
        <v>10945</v>
      </c>
      <c r="F1782" s="92" t="s">
        <v>10946</v>
      </c>
      <c r="G1782" s="103">
        <v>36962</v>
      </c>
      <c r="H1782" s="103">
        <v>24576</v>
      </c>
      <c r="I1782" s="100" t="s">
        <v>10947</v>
      </c>
      <c r="J1782" s="100" t="s">
        <v>58</v>
      </c>
      <c r="K1782" s="95" t="s">
        <v>58</v>
      </c>
      <c r="L1782" s="91"/>
      <c r="M1782" s="98">
        <f ca="1">(TODAY()-H1782)/365</f>
        <v>58.701369863013696</v>
      </c>
      <c r="N1782" s="99">
        <f>(G1782-H1782)/365</f>
        <v>33.934246575342463</v>
      </c>
      <c r="O1782" s="98">
        <f ca="1">(TODAY()-G1782)/365</f>
        <v>24.767123287671232</v>
      </c>
      <c r="P1782" s="91" t="s">
        <v>43</v>
      </c>
      <c r="Q1782" s="91"/>
      <c r="R1782" s="91"/>
      <c r="S1782" s="91"/>
      <c r="T1782" s="91"/>
      <c r="U1782" s="91"/>
      <c r="V1782" s="91"/>
      <c r="W1782" s="91"/>
      <c r="X1782" s="91"/>
      <c r="Y1782" s="91"/>
      <c r="Z1782" s="91"/>
      <c r="AA1782" s="91"/>
      <c r="AB1782" s="91"/>
      <c r="AC1782" s="91"/>
      <c r="AD1782" s="91"/>
      <c r="AE1782" s="91"/>
      <c r="AF1782" s="91"/>
      <c r="AG1782" s="91"/>
      <c r="AH1782" s="91"/>
      <c r="AI1782" s="91"/>
      <c r="AJ1782" s="91"/>
      <c r="AK1782" s="91"/>
      <c r="AL1782" s="91"/>
      <c r="AM1782" s="91"/>
    </row>
    <row r="1783" spans="1:39" ht="20.25" hidden="1" customHeight="1">
      <c r="A1783" s="91"/>
      <c r="B1783" s="93" t="s">
        <v>12269</v>
      </c>
      <c r="C1783" s="91" t="s">
        <v>36</v>
      </c>
      <c r="D1783" s="106" t="s">
        <v>6938</v>
      </c>
      <c r="E1783" s="106" t="s">
        <v>10948</v>
      </c>
      <c r="F1783" s="92" t="s">
        <v>10949</v>
      </c>
      <c r="G1783" s="103">
        <v>35557</v>
      </c>
      <c r="H1783" s="103">
        <v>20417</v>
      </c>
      <c r="I1783" s="100" t="s">
        <v>10950</v>
      </c>
      <c r="J1783" s="100" t="s">
        <v>58</v>
      </c>
      <c r="K1783" s="95" t="s">
        <v>58</v>
      </c>
      <c r="L1783" s="91"/>
      <c r="M1783" s="98">
        <f ca="1">(TODAY()-H1783)/365</f>
        <v>70.095890410958901</v>
      </c>
      <c r="N1783" s="99">
        <f>(G1783-H1783)/365</f>
        <v>41.479452054794521</v>
      </c>
      <c r="O1783" s="98">
        <f ca="1">(TODAY()-G1783)/365</f>
        <v>28.616438356164384</v>
      </c>
      <c r="P1783" s="91" t="s">
        <v>43</v>
      </c>
      <c r="Q1783" s="91"/>
      <c r="R1783" s="91"/>
      <c r="S1783" s="91"/>
      <c r="T1783" s="91"/>
      <c r="U1783" s="91"/>
      <c r="V1783" s="91"/>
      <c r="W1783" s="91"/>
      <c r="X1783" s="91"/>
      <c r="Y1783" s="91"/>
      <c r="Z1783" s="91"/>
      <c r="AA1783" s="91"/>
      <c r="AB1783" s="91"/>
      <c r="AC1783" s="91"/>
      <c r="AD1783" s="91"/>
      <c r="AE1783" s="91"/>
      <c r="AF1783" s="91"/>
      <c r="AG1783" s="91"/>
      <c r="AH1783" s="91"/>
      <c r="AI1783" s="91"/>
      <c r="AJ1783" s="91"/>
      <c r="AK1783" s="91"/>
      <c r="AL1783" s="91"/>
      <c r="AM1783" s="91"/>
    </row>
    <row r="1784" spans="1:39" ht="20.25" hidden="1" customHeight="1">
      <c r="A1784" s="91"/>
      <c r="B1784" s="93" t="s">
        <v>12269</v>
      </c>
      <c r="C1784" s="91" t="s">
        <v>36</v>
      </c>
      <c r="D1784" s="106" t="s">
        <v>346</v>
      </c>
      <c r="E1784" s="106" t="s">
        <v>10945</v>
      </c>
      <c r="F1784" s="92" t="s">
        <v>10951</v>
      </c>
      <c r="G1784" s="103">
        <v>29477</v>
      </c>
      <c r="H1784" s="103">
        <v>18171</v>
      </c>
      <c r="I1784" s="94" t="s">
        <v>58</v>
      </c>
      <c r="J1784" s="100" t="s">
        <v>58</v>
      </c>
      <c r="K1784" s="95" t="s">
        <v>58</v>
      </c>
      <c r="L1784" s="91"/>
      <c r="M1784" s="98">
        <f ca="1">(TODAY()-H1784)/365</f>
        <v>76.249315068493146</v>
      </c>
      <c r="N1784" s="99">
        <f>(G1784-H1784)/365</f>
        <v>30.975342465753425</v>
      </c>
      <c r="O1784" s="98">
        <f ca="1">(TODAY()-G1784)/365</f>
        <v>45.273972602739725</v>
      </c>
      <c r="P1784" s="91" t="s">
        <v>43</v>
      </c>
      <c r="Q1784" s="91"/>
      <c r="R1784" s="91"/>
      <c r="S1784" s="91"/>
      <c r="T1784" s="91"/>
      <c r="U1784" s="91"/>
      <c r="V1784" s="91"/>
      <c r="W1784" s="91"/>
      <c r="X1784" s="91"/>
      <c r="Y1784" s="91"/>
      <c r="Z1784" s="91"/>
      <c r="AA1784" s="91"/>
      <c r="AB1784" s="91"/>
      <c r="AC1784" s="91"/>
      <c r="AD1784" s="91"/>
      <c r="AE1784" s="91"/>
      <c r="AF1784" s="91"/>
      <c r="AG1784" s="91"/>
      <c r="AH1784" s="91"/>
      <c r="AI1784" s="91"/>
      <c r="AJ1784" s="91"/>
      <c r="AK1784" s="91"/>
      <c r="AL1784" s="91"/>
      <c r="AM1784" s="91"/>
    </row>
    <row r="1785" spans="1:39" ht="20.25" hidden="1" customHeight="1">
      <c r="A1785" s="91"/>
      <c r="B1785" s="93" t="s">
        <v>12269</v>
      </c>
      <c r="C1785" s="91" t="s">
        <v>36</v>
      </c>
      <c r="D1785" s="106" t="s">
        <v>1221</v>
      </c>
      <c r="E1785" s="106" t="s">
        <v>10952</v>
      </c>
      <c r="F1785" s="92" t="s">
        <v>10953</v>
      </c>
      <c r="G1785" s="103">
        <v>22190</v>
      </c>
      <c r="H1785" s="103">
        <v>15035</v>
      </c>
      <c r="I1785" s="94" t="s">
        <v>58</v>
      </c>
      <c r="J1785" s="100" t="s">
        <v>58</v>
      </c>
      <c r="K1785" s="95" t="s">
        <v>58</v>
      </c>
      <c r="L1785" s="91"/>
      <c r="M1785" s="98">
        <f ca="1">(TODAY()-H1785)/365</f>
        <v>84.841095890410955</v>
      </c>
      <c r="N1785" s="99">
        <f>(G1785-H1785)/365</f>
        <v>19.602739726027398</v>
      </c>
      <c r="O1785" s="98">
        <f ca="1">(TODAY()-G1785)/365</f>
        <v>65.238356164383561</v>
      </c>
      <c r="P1785" s="91" t="s">
        <v>43</v>
      </c>
      <c r="Q1785" s="91"/>
      <c r="R1785" s="91"/>
      <c r="S1785" s="91"/>
      <c r="T1785" s="91"/>
      <c r="U1785" s="91"/>
      <c r="V1785" s="91"/>
      <c r="W1785" s="91"/>
      <c r="X1785" s="91"/>
      <c r="Y1785" s="91"/>
      <c r="Z1785" s="91"/>
      <c r="AA1785" s="91"/>
      <c r="AB1785" s="91"/>
      <c r="AC1785" s="91"/>
      <c r="AD1785" s="91"/>
      <c r="AE1785" s="91"/>
      <c r="AF1785" s="91"/>
      <c r="AG1785" s="91"/>
      <c r="AH1785" s="91"/>
      <c r="AI1785" s="91"/>
      <c r="AJ1785" s="91"/>
      <c r="AK1785" s="91"/>
      <c r="AL1785" s="91"/>
      <c r="AM1785" s="91"/>
    </row>
    <row r="1786" spans="1:39" ht="20.25" hidden="1" customHeight="1">
      <c r="A1786" s="91"/>
      <c r="B1786" s="93" t="s">
        <v>12269</v>
      </c>
      <c r="C1786" s="91" t="s">
        <v>36</v>
      </c>
      <c r="D1786" s="106" t="s">
        <v>3692</v>
      </c>
      <c r="E1786" s="106" t="s">
        <v>8502</v>
      </c>
      <c r="F1786" s="92" t="s">
        <v>10954</v>
      </c>
      <c r="G1786" s="103">
        <v>34040</v>
      </c>
      <c r="H1786" s="103">
        <v>24118</v>
      </c>
      <c r="I1786" s="100" t="s">
        <v>10955</v>
      </c>
      <c r="J1786" s="100" t="s">
        <v>58</v>
      </c>
      <c r="K1786" s="95" t="s">
        <v>58</v>
      </c>
      <c r="L1786" s="91"/>
      <c r="M1786" s="98">
        <f ca="1">(TODAY()-H1786)/365</f>
        <v>59.956164383561642</v>
      </c>
      <c r="N1786" s="99">
        <f>(G1786-H1786)/365</f>
        <v>27.183561643835617</v>
      </c>
      <c r="O1786" s="98">
        <f ca="1">(TODAY()-G1786)/365</f>
        <v>32.772602739726025</v>
      </c>
      <c r="P1786" s="91" t="s">
        <v>43</v>
      </c>
      <c r="Q1786" s="91"/>
      <c r="R1786" s="91"/>
      <c r="S1786" s="91"/>
      <c r="T1786" s="91"/>
      <c r="U1786" s="91"/>
      <c r="V1786" s="91"/>
      <c r="W1786" s="91"/>
      <c r="X1786" s="91"/>
      <c r="Y1786" s="91"/>
      <c r="Z1786" s="91"/>
      <c r="AA1786" s="91"/>
      <c r="AB1786" s="91"/>
      <c r="AC1786" s="91"/>
      <c r="AD1786" s="91"/>
      <c r="AE1786" s="91"/>
      <c r="AF1786" s="91"/>
      <c r="AG1786" s="91"/>
      <c r="AH1786" s="91"/>
      <c r="AI1786" s="91"/>
      <c r="AJ1786" s="91"/>
      <c r="AK1786" s="91"/>
      <c r="AL1786" s="91"/>
      <c r="AM1786" s="91"/>
    </row>
    <row r="1787" spans="1:39" ht="20.25" hidden="1" customHeight="1">
      <c r="A1787" s="91"/>
      <c r="B1787" s="93" t="s">
        <v>12269</v>
      </c>
      <c r="C1787" s="91" t="s">
        <v>36</v>
      </c>
      <c r="D1787" s="106" t="s">
        <v>1386</v>
      </c>
      <c r="E1787" s="106" t="s">
        <v>8499</v>
      </c>
      <c r="F1787" s="92" t="s">
        <v>8500</v>
      </c>
      <c r="G1787" s="103">
        <v>36778</v>
      </c>
      <c r="H1787" s="103">
        <v>24913</v>
      </c>
      <c r="I1787" s="100" t="s">
        <v>10956</v>
      </c>
      <c r="J1787" s="100" t="s">
        <v>58</v>
      </c>
      <c r="K1787" s="95" t="s">
        <v>58</v>
      </c>
      <c r="L1787" s="91"/>
      <c r="M1787" s="98">
        <f ca="1">(TODAY()-H1787)/365</f>
        <v>57.778082191780825</v>
      </c>
      <c r="N1787" s="99">
        <f>(G1787-H1787)/365</f>
        <v>32.506849315068493</v>
      </c>
      <c r="O1787" s="98">
        <f ca="1">(TODAY()-G1787)/365</f>
        <v>25.271232876712329</v>
      </c>
      <c r="P1787" s="91" t="s">
        <v>43</v>
      </c>
      <c r="Q1787" s="91"/>
      <c r="R1787" s="91">
        <v>1</v>
      </c>
      <c r="S1787" s="91">
        <v>1</v>
      </c>
      <c r="T1787" s="91"/>
      <c r="U1787" s="91"/>
      <c r="V1787" s="91">
        <v>1</v>
      </c>
      <c r="W1787" s="91"/>
      <c r="X1787" s="91"/>
      <c r="Y1787" s="91"/>
      <c r="Z1787" s="91"/>
      <c r="AA1787" s="91"/>
      <c r="AB1787" s="91"/>
      <c r="AC1787" s="91"/>
      <c r="AD1787" s="91"/>
      <c r="AE1787" s="91"/>
      <c r="AF1787" s="91"/>
      <c r="AG1787" s="91"/>
      <c r="AH1787" s="91"/>
      <c r="AI1787" s="91"/>
      <c r="AJ1787" s="91"/>
      <c r="AK1787" s="91"/>
      <c r="AL1787" s="91"/>
      <c r="AM1787" s="91"/>
    </row>
    <row r="1788" spans="1:39" ht="20.25" hidden="1" customHeight="1">
      <c r="A1788" s="91"/>
      <c r="B1788" s="93" t="s">
        <v>5912</v>
      </c>
      <c r="C1788" s="91" t="s">
        <v>36</v>
      </c>
      <c r="D1788" s="94" t="s">
        <v>5913</v>
      </c>
      <c r="E1788" s="94" t="s">
        <v>5914</v>
      </c>
      <c r="F1788" s="95" t="s">
        <v>5915</v>
      </c>
      <c r="G1788" s="96">
        <v>43855</v>
      </c>
      <c r="H1788" s="97">
        <v>39692</v>
      </c>
      <c r="I1788" s="105" t="s">
        <v>12291</v>
      </c>
      <c r="J1788" s="94" t="s">
        <v>5916</v>
      </c>
      <c r="K1788" s="95">
        <v>941205644</v>
      </c>
      <c r="L1788" s="91" t="s">
        <v>60</v>
      </c>
      <c r="M1788" s="98">
        <f ca="1">(TODAY()-H1788)/365</f>
        <v>17.287671232876711</v>
      </c>
      <c r="N1788" s="99">
        <f>(G1788-H1788)/365</f>
        <v>11.405479452054795</v>
      </c>
      <c r="O1788" s="98">
        <f ca="1">(TODAY()-G1788)/365</f>
        <v>5.882191780821918</v>
      </c>
      <c r="P1788" s="91" t="s">
        <v>272</v>
      </c>
      <c r="Q1788" s="91">
        <v>0</v>
      </c>
      <c r="R1788" s="91">
        <v>0</v>
      </c>
      <c r="S1788" s="91">
        <v>0</v>
      </c>
      <c r="T1788" s="91"/>
      <c r="U1788" s="91"/>
      <c r="V1788" s="91"/>
      <c r="W1788" s="91"/>
      <c r="X1788" s="91"/>
      <c r="Y1788" s="91"/>
      <c r="Z1788" s="91"/>
      <c r="AA1788" s="91"/>
      <c r="AB1788" s="91"/>
      <c r="AC1788" s="91"/>
      <c r="AD1788" s="91"/>
      <c r="AE1788" s="91"/>
      <c r="AF1788" s="91"/>
      <c r="AG1788" s="91"/>
      <c r="AH1788" s="91"/>
      <c r="AI1788" s="91"/>
      <c r="AJ1788" s="91"/>
      <c r="AK1788" s="91"/>
      <c r="AL1788" s="91"/>
      <c r="AM1788" s="91"/>
    </row>
    <row r="1789" spans="1:39" ht="20.25" hidden="1" customHeight="1">
      <c r="A1789" s="91"/>
      <c r="B1789" s="93" t="s">
        <v>5912</v>
      </c>
      <c r="C1789" s="91" t="s">
        <v>36</v>
      </c>
      <c r="D1789" s="94" t="s">
        <v>5917</v>
      </c>
      <c r="E1789" s="94" t="s">
        <v>5918</v>
      </c>
      <c r="F1789" s="95" t="s">
        <v>5919</v>
      </c>
      <c r="G1789" s="96">
        <v>43855</v>
      </c>
      <c r="H1789" s="97">
        <v>39244</v>
      </c>
      <c r="I1789" s="105" t="s">
        <v>8409</v>
      </c>
      <c r="J1789" s="94" t="s">
        <v>5920</v>
      </c>
      <c r="K1789" s="95">
        <v>957662446</v>
      </c>
      <c r="L1789" s="91" t="s">
        <v>167</v>
      </c>
      <c r="M1789" s="98">
        <f ca="1">(TODAY()-H1789)/365</f>
        <v>18.515068493150686</v>
      </c>
      <c r="N1789" s="99">
        <f>(G1789-H1789)/365</f>
        <v>12.632876712328768</v>
      </c>
      <c r="O1789" s="98">
        <f ca="1">(TODAY()-G1789)/365</f>
        <v>5.882191780821918</v>
      </c>
      <c r="P1789" s="91" t="s">
        <v>272</v>
      </c>
      <c r="Q1789" s="91">
        <v>0</v>
      </c>
      <c r="R1789" s="91">
        <v>0</v>
      </c>
      <c r="S1789" s="91">
        <v>0</v>
      </c>
      <c r="T1789" s="91"/>
      <c r="U1789" s="91"/>
      <c r="V1789" s="91"/>
      <c r="W1789" s="91"/>
      <c r="X1789" s="91"/>
      <c r="Y1789" s="91">
        <v>2023</v>
      </c>
      <c r="Z1789" s="91"/>
      <c r="AA1789" s="91"/>
      <c r="AB1789" s="91"/>
      <c r="AC1789" s="91"/>
      <c r="AD1789" s="91"/>
      <c r="AE1789" s="91"/>
      <c r="AF1789" s="91"/>
      <c r="AG1789" s="91"/>
      <c r="AH1789" s="91"/>
      <c r="AI1789" s="91"/>
      <c r="AJ1789" s="91"/>
      <c r="AK1789" s="91"/>
      <c r="AL1789" s="91"/>
      <c r="AM1789" s="91"/>
    </row>
    <row r="1790" spans="1:39" ht="20.25" hidden="1" customHeight="1">
      <c r="A1790" s="91"/>
      <c r="B1790" s="93" t="s">
        <v>5912</v>
      </c>
      <c r="C1790" s="91" t="s">
        <v>36</v>
      </c>
      <c r="D1790" s="94" t="s">
        <v>5921</v>
      </c>
      <c r="E1790" s="94" t="s">
        <v>5922</v>
      </c>
      <c r="F1790" s="95" t="s">
        <v>5923</v>
      </c>
      <c r="G1790" s="96">
        <v>43800</v>
      </c>
      <c r="H1790" s="97">
        <v>38647</v>
      </c>
      <c r="I1790" s="94" t="s">
        <v>12375</v>
      </c>
      <c r="J1790" s="94" t="s">
        <v>5924</v>
      </c>
      <c r="K1790" s="95">
        <v>931873704</v>
      </c>
      <c r="L1790" s="91" t="s">
        <v>60</v>
      </c>
      <c r="M1790" s="98">
        <f ca="1">(TODAY()-H1790)/365</f>
        <v>20.150684931506849</v>
      </c>
      <c r="N1790" s="99">
        <f>(G1790-H1790)/365</f>
        <v>14.117808219178082</v>
      </c>
      <c r="O1790" s="98">
        <f ca="1">(TODAY()-G1790)/365</f>
        <v>6.0328767123287674</v>
      </c>
      <c r="P1790" s="91" t="s">
        <v>43</v>
      </c>
      <c r="Q1790" s="91">
        <v>0</v>
      </c>
      <c r="R1790" s="91">
        <v>0</v>
      </c>
      <c r="S1790" s="91">
        <v>0</v>
      </c>
      <c r="T1790" s="91"/>
      <c r="U1790" s="91"/>
      <c r="V1790" s="91"/>
      <c r="W1790" s="91"/>
      <c r="X1790" s="91"/>
      <c r="Y1790" s="91"/>
      <c r="Z1790" s="91"/>
      <c r="AA1790" s="91"/>
      <c r="AB1790" s="91"/>
      <c r="AC1790" s="91"/>
      <c r="AD1790" s="91"/>
      <c r="AE1790" s="91"/>
      <c r="AF1790" s="91"/>
      <c r="AG1790" s="91"/>
      <c r="AH1790" s="91"/>
      <c r="AI1790" s="91"/>
      <c r="AJ1790" s="91"/>
      <c r="AK1790" s="91"/>
      <c r="AL1790" s="91"/>
      <c r="AM1790" s="91"/>
    </row>
    <row r="1791" spans="1:39" ht="20.25" hidden="1" customHeight="1">
      <c r="A1791" s="91"/>
      <c r="B1791" s="93" t="s">
        <v>5912</v>
      </c>
      <c r="C1791" s="91" t="s">
        <v>36</v>
      </c>
      <c r="D1791" s="94" t="s">
        <v>5925</v>
      </c>
      <c r="E1791" s="94" t="s">
        <v>5926</v>
      </c>
      <c r="F1791" s="95" t="s">
        <v>5927</v>
      </c>
      <c r="G1791" s="96">
        <v>44959</v>
      </c>
      <c r="H1791" s="97">
        <v>39309</v>
      </c>
      <c r="I1791" s="105" t="s">
        <v>12292</v>
      </c>
      <c r="J1791" s="94" t="s">
        <v>5928</v>
      </c>
      <c r="K1791" s="95">
        <v>965041723</v>
      </c>
      <c r="L1791" s="91" t="s">
        <v>121</v>
      </c>
      <c r="M1791" s="98">
        <f ca="1">(TODAY()-H1791)/365</f>
        <v>18.336986301369862</v>
      </c>
      <c r="N1791" s="99">
        <f>(G1791-H1791)/365</f>
        <v>15.479452054794521</v>
      </c>
      <c r="O1791" s="98">
        <f ca="1">(TODAY()-G1791)/365</f>
        <v>2.8575342465753426</v>
      </c>
      <c r="P1791" s="91" t="s">
        <v>43</v>
      </c>
      <c r="Q1791" s="91">
        <v>0</v>
      </c>
      <c r="R1791" s="91">
        <v>0</v>
      </c>
      <c r="S1791" s="91">
        <v>0</v>
      </c>
      <c r="T1791" s="91"/>
      <c r="U1791" s="91"/>
      <c r="V1791" s="91"/>
      <c r="W1791" s="91"/>
      <c r="X1791" s="91"/>
      <c r="Y1791" s="91"/>
      <c r="Z1791" s="91"/>
      <c r="AA1791" s="91"/>
      <c r="AB1791" s="91"/>
      <c r="AC1791" s="91"/>
      <c r="AD1791" s="91"/>
      <c r="AE1791" s="91"/>
      <c r="AF1791" s="91"/>
      <c r="AG1791" s="91"/>
      <c r="AH1791" s="91"/>
      <c r="AI1791" s="91"/>
      <c r="AJ1791" s="91"/>
      <c r="AK1791" s="91"/>
      <c r="AL1791" s="91"/>
      <c r="AM1791" s="91"/>
    </row>
    <row r="1792" spans="1:39" ht="20.25" hidden="1" customHeight="1">
      <c r="A1792" s="91"/>
      <c r="B1792" s="93" t="s">
        <v>5912</v>
      </c>
      <c r="C1792" s="91" t="s">
        <v>36</v>
      </c>
      <c r="D1792" s="94" t="s">
        <v>5929</v>
      </c>
      <c r="E1792" s="94" t="s">
        <v>5930</v>
      </c>
      <c r="F1792" s="95" t="s">
        <v>5931</v>
      </c>
      <c r="G1792" s="96">
        <v>45264</v>
      </c>
      <c r="H1792" s="97">
        <v>39301</v>
      </c>
      <c r="I1792" s="105" t="s">
        <v>12293</v>
      </c>
      <c r="J1792" s="94" t="s">
        <v>5932</v>
      </c>
      <c r="K1792" s="95">
        <v>951868088</v>
      </c>
      <c r="L1792" s="91" t="s">
        <v>60</v>
      </c>
      <c r="M1792" s="98">
        <f ca="1">(TODAY()-H1792)/365</f>
        <v>18.358904109589041</v>
      </c>
      <c r="N1792" s="99">
        <f>(G1792-H1792)/365</f>
        <v>16.336986301369862</v>
      </c>
      <c r="O1792" s="98">
        <f ca="1">(TODAY()-G1792)/365</f>
        <v>2.021917808219178</v>
      </c>
      <c r="P1792" s="91" t="s">
        <v>43</v>
      </c>
      <c r="Q1792" s="91">
        <v>0</v>
      </c>
      <c r="R1792" s="91">
        <v>0</v>
      </c>
      <c r="S1792" s="91">
        <v>0</v>
      </c>
      <c r="T1792" s="91"/>
      <c r="U1792" s="91"/>
      <c r="V1792" s="91"/>
      <c r="W1792" s="91"/>
      <c r="X1792" s="91"/>
      <c r="Y1792" s="91"/>
      <c r="Z1792" s="91"/>
      <c r="AA1792" s="91"/>
      <c r="AB1792" s="91"/>
      <c r="AC1792" s="91"/>
      <c r="AD1792" s="91"/>
      <c r="AE1792" s="91"/>
      <c r="AF1792" s="91"/>
      <c r="AG1792" s="91"/>
      <c r="AH1792" s="91"/>
      <c r="AI1792" s="91"/>
      <c r="AJ1792" s="91"/>
      <c r="AK1792" s="91"/>
      <c r="AL1792" s="91"/>
      <c r="AM1792" s="91"/>
    </row>
    <row r="1793" spans="1:39" ht="20.25" hidden="1" customHeight="1">
      <c r="A1793" s="91"/>
      <c r="B1793" s="93" t="s">
        <v>5912</v>
      </c>
      <c r="C1793" s="91" t="s">
        <v>36</v>
      </c>
      <c r="D1793" s="94" t="s">
        <v>5933</v>
      </c>
      <c r="E1793" s="94" t="s">
        <v>5934</v>
      </c>
      <c r="F1793" s="95" t="s">
        <v>5935</v>
      </c>
      <c r="G1793" s="96">
        <v>45200</v>
      </c>
      <c r="H1793" s="97">
        <v>39232</v>
      </c>
      <c r="I1793" s="105" t="s">
        <v>12294</v>
      </c>
      <c r="J1793" s="94" t="s">
        <v>5936</v>
      </c>
      <c r="K1793" s="95">
        <v>966696932</v>
      </c>
      <c r="L1793" s="91" t="s">
        <v>60</v>
      </c>
      <c r="M1793" s="98">
        <f ca="1">(TODAY()-H1793)/365</f>
        <v>18.547945205479451</v>
      </c>
      <c r="N1793" s="99">
        <f>(G1793-H1793)/365</f>
        <v>16.350684931506848</v>
      </c>
      <c r="O1793" s="98">
        <f ca="1">(TODAY()-G1793)/365</f>
        <v>2.1972602739726028</v>
      </c>
      <c r="P1793" s="91" t="s">
        <v>43</v>
      </c>
      <c r="Q1793" s="91">
        <v>0</v>
      </c>
      <c r="R1793" s="91">
        <v>0</v>
      </c>
      <c r="S1793" s="91">
        <v>0</v>
      </c>
      <c r="T1793" s="91"/>
      <c r="U1793" s="91"/>
      <c r="V1793" s="91"/>
      <c r="W1793" s="91"/>
      <c r="X1793" s="91"/>
      <c r="Y1793" s="91"/>
      <c r="Z1793" s="91"/>
      <c r="AA1793" s="91"/>
      <c r="AB1793" s="91"/>
      <c r="AC1793" s="91"/>
      <c r="AD1793" s="91"/>
      <c r="AE1793" s="91"/>
      <c r="AF1793" s="91"/>
      <c r="AG1793" s="91"/>
      <c r="AH1793" s="91"/>
      <c r="AI1793" s="91"/>
      <c r="AJ1793" s="91"/>
      <c r="AK1793" s="91"/>
      <c r="AL1793" s="91"/>
      <c r="AM1793" s="91"/>
    </row>
    <row r="1794" spans="1:39" ht="20.25" hidden="1" customHeight="1">
      <c r="A1794" s="91"/>
      <c r="B1794" s="93" t="s">
        <v>5912</v>
      </c>
      <c r="C1794" s="91" t="s">
        <v>36</v>
      </c>
      <c r="D1794" s="94" t="s">
        <v>5937</v>
      </c>
      <c r="E1794" s="94" t="s">
        <v>5938</v>
      </c>
      <c r="F1794" s="95" t="s">
        <v>5939</v>
      </c>
      <c r="G1794" s="96">
        <v>45281</v>
      </c>
      <c r="H1794" s="97">
        <v>39066</v>
      </c>
      <c r="I1794" s="105" t="s">
        <v>12295</v>
      </c>
      <c r="J1794" s="94" t="s">
        <v>5940</v>
      </c>
      <c r="K1794" s="95">
        <v>996497745</v>
      </c>
      <c r="L1794" s="91" t="s">
        <v>60</v>
      </c>
      <c r="M1794" s="98">
        <f ca="1">(TODAY()-H1794)/365</f>
        <v>19.002739726027396</v>
      </c>
      <c r="N1794" s="99">
        <f>(G1794-H1794)/365</f>
        <v>17.027397260273972</v>
      </c>
      <c r="O1794" s="98">
        <f ca="1">(TODAY()-G1794)/365</f>
        <v>1.9753424657534246</v>
      </c>
      <c r="P1794" s="91" t="s">
        <v>43</v>
      </c>
      <c r="Q1794" s="91">
        <v>0</v>
      </c>
      <c r="R1794" s="91">
        <v>0</v>
      </c>
      <c r="S1794" s="91">
        <v>0</v>
      </c>
      <c r="T1794" s="91"/>
      <c r="U1794" s="91"/>
      <c r="V1794" s="91"/>
      <c r="W1794" s="91"/>
      <c r="X1794" s="91"/>
      <c r="Y1794" s="91"/>
      <c r="Z1794" s="91"/>
      <c r="AA1794" s="91"/>
      <c r="AB1794" s="91"/>
      <c r="AC1794" s="91"/>
      <c r="AD1794" s="91"/>
      <c r="AE1794" s="91"/>
      <c r="AF1794" s="91"/>
      <c r="AG1794" s="91"/>
      <c r="AH1794" s="91"/>
      <c r="AI1794" s="91"/>
      <c r="AJ1794" s="91"/>
      <c r="AK1794" s="91"/>
      <c r="AL1794" s="91"/>
      <c r="AM1794" s="91"/>
    </row>
    <row r="1795" spans="1:39" ht="20.25" hidden="1" customHeight="1">
      <c r="A1795" s="91"/>
      <c r="B1795" s="93" t="s">
        <v>5912</v>
      </c>
      <c r="C1795" s="91" t="s">
        <v>36</v>
      </c>
      <c r="D1795" s="94" t="s">
        <v>5941</v>
      </c>
      <c r="E1795" s="94" t="s">
        <v>5942</v>
      </c>
      <c r="F1795" s="95" t="s">
        <v>5943</v>
      </c>
      <c r="G1795" s="96">
        <v>45296</v>
      </c>
      <c r="H1795" s="97">
        <v>37749</v>
      </c>
      <c r="I1795" s="105" t="s">
        <v>12296</v>
      </c>
      <c r="J1795" s="94" t="s">
        <v>5944</v>
      </c>
      <c r="K1795" s="95">
        <v>991554702</v>
      </c>
      <c r="L1795" s="91" t="s">
        <v>60</v>
      </c>
      <c r="M1795" s="98">
        <f ca="1">(TODAY()-H1795)/365</f>
        <v>22.610958904109587</v>
      </c>
      <c r="N1795" s="99">
        <f>(G1795-H1795)/365</f>
        <v>20.676712328767124</v>
      </c>
      <c r="O1795" s="98">
        <f ca="1">(TODAY()-G1795)/365</f>
        <v>1.9342465753424658</v>
      </c>
      <c r="P1795" s="91" t="s">
        <v>43</v>
      </c>
      <c r="Q1795" s="91">
        <v>0</v>
      </c>
      <c r="R1795" s="91">
        <v>0</v>
      </c>
      <c r="S1795" s="91">
        <v>0</v>
      </c>
      <c r="T1795" s="91"/>
      <c r="U1795" s="91"/>
      <c r="V1795" s="91"/>
      <c r="W1795" s="91"/>
      <c r="X1795" s="91"/>
      <c r="Y1795" s="91"/>
      <c r="Z1795" s="91"/>
      <c r="AA1795" s="91"/>
      <c r="AB1795" s="91"/>
      <c r="AC1795" s="91"/>
      <c r="AD1795" s="91"/>
      <c r="AE1795" s="91"/>
      <c r="AF1795" s="91"/>
      <c r="AG1795" s="91"/>
      <c r="AH1795" s="91"/>
      <c r="AI1795" s="91"/>
      <c r="AJ1795" s="91"/>
      <c r="AK1795" s="91"/>
      <c r="AL1795" s="91"/>
      <c r="AM1795" s="91"/>
    </row>
    <row r="1796" spans="1:39" ht="20.25" hidden="1" customHeight="1">
      <c r="A1796" s="91"/>
      <c r="B1796" s="113" t="s">
        <v>5912</v>
      </c>
      <c r="C1796" s="91" t="s">
        <v>36</v>
      </c>
      <c r="D1796" s="94" t="s">
        <v>217</v>
      </c>
      <c r="E1796" s="94" t="s">
        <v>5945</v>
      </c>
      <c r="F1796" s="91" t="s">
        <v>58</v>
      </c>
      <c r="G1796" s="96" t="s">
        <v>58</v>
      </c>
      <c r="H1796" s="96" t="s">
        <v>58</v>
      </c>
      <c r="I1796" s="94" t="s">
        <v>58</v>
      </c>
      <c r="J1796" s="94" t="s">
        <v>58</v>
      </c>
      <c r="K1796" s="95" t="s">
        <v>58</v>
      </c>
      <c r="L1796" s="91" t="s">
        <v>72</v>
      </c>
      <c r="M1796" s="98"/>
      <c r="N1796" s="95"/>
      <c r="O1796" s="98" t="e">
        <f ca="1">(TODAY()-G1796)/365</f>
        <v>#VALUE!</v>
      </c>
      <c r="P1796" s="91" t="s">
        <v>43</v>
      </c>
      <c r="Q1796" s="91">
        <v>0</v>
      </c>
      <c r="R1796" s="91">
        <v>0</v>
      </c>
      <c r="S1796" s="91">
        <v>0</v>
      </c>
      <c r="T1796" s="91"/>
      <c r="U1796" s="91"/>
      <c r="V1796" s="91"/>
      <c r="W1796" s="91"/>
      <c r="X1796" s="91"/>
      <c r="Y1796" s="91"/>
      <c r="Z1796" s="91"/>
      <c r="AA1796" s="91"/>
      <c r="AB1796" s="91"/>
      <c r="AC1796" s="91"/>
      <c r="AD1796" s="91"/>
      <c r="AE1796" s="91"/>
      <c r="AF1796" s="91"/>
      <c r="AG1796" s="91"/>
      <c r="AH1796" s="91"/>
      <c r="AI1796" s="91"/>
      <c r="AJ1796" s="91"/>
      <c r="AK1796" s="91"/>
      <c r="AL1796" s="91"/>
      <c r="AM1796" s="91"/>
    </row>
    <row r="1797" spans="1:39" ht="20.25" hidden="1" customHeight="1">
      <c r="A1797" s="91"/>
      <c r="B1797" s="93" t="s">
        <v>5912</v>
      </c>
      <c r="C1797" s="91" t="s">
        <v>36</v>
      </c>
      <c r="D1797" s="94" t="s">
        <v>5946</v>
      </c>
      <c r="E1797" s="94" t="s">
        <v>5938</v>
      </c>
      <c r="F1797" s="95" t="s">
        <v>5947</v>
      </c>
      <c r="G1797" s="96">
        <v>44372</v>
      </c>
      <c r="H1797" s="97">
        <v>36255</v>
      </c>
      <c r="I1797" s="105" t="s">
        <v>12297</v>
      </c>
      <c r="J1797" s="94" t="s">
        <v>5948</v>
      </c>
      <c r="K1797" s="95">
        <v>978160427</v>
      </c>
      <c r="L1797" s="91" t="s">
        <v>60</v>
      </c>
      <c r="M1797" s="98">
        <f ca="1">(TODAY()-H1797)/365</f>
        <v>26.704109589041096</v>
      </c>
      <c r="N1797" s="99">
        <f>(G1797-H1797)/365</f>
        <v>22.238356164383561</v>
      </c>
      <c r="O1797" s="98">
        <f ca="1">(TODAY()-G1797)/365</f>
        <v>4.4657534246575343</v>
      </c>
      <c r="P1797" s="91" t="s">
        <v>43</v>
      </c>
      <c r="Q1797" s="91">
        <v>0</v>
      </c>
      <c r="R1797" s="91">
        <v>0</v>
      </c>
      <c r="S1797" s="91">
        <v>0</v>
      </c>
      <c r="T1797" s="91"/>
      <c r="U1797" s="91"/>
      <c r="V1797" s="91"/>
      <c r="W1797" s="91"/>
      <c r="X1797" s="91"/>
      <c r="Y1797" s="91"/>
      <c r="Z1797" s="91"/>
      <c r="AA1797" s="91"/>
      <c r="AB1797" s="91"/>
      <c r="AC1797" s="91"/>
      <c r="AD1797" s="91"/>
      <c r="AE1797" s="91"/>
      <c r="AF1797" s="91"/>
      <c r="AG1797" s="91"/>
      <c r="AH1797" s="91"/>
      <c r="AI1797" s="91"/>
      <c r="AJ1797" s="91"/>
      <c r="AK1797" s="91"/>
      <c r="AL1797" s="91"/>
      <c r="AM1797" s="91"/>
    </row>
    <row r="1798" spans="1:39" ht="20.25" customHeight="1">
      <c r="A1798" s="91"/>
      <c r="B1798" s="93" t="s">
        <v>8095</v>
      </c>
      <c r="C1798" s="91" t="s">
        <v>73</v>
      </c>
      <c r="D1798" s="94" t="s">
        <v>8104</v>
      </c>
      <c r="E1798" s="94" t="s">
        <v>8105</v>
      </c>
      <c r="F1798" s="95" t="s">
        <v>8106</v>
      </c>
      <c r="G1798" s="96">
        <v>41300</v>
      </c>
      <c r="H1798" s="97">
        <v>35502</v>
      </c>
      <c r="I1798" s="94" t="s">
        <v>8107</v>
      </c>
      <c r="J1798" s="100" t="s">
        <v>58</v>
      </c>
      <c r="K1798" s="91" t="s">
        <v>58</v>
      </c>
      <c r="L1798" s="91" t="s">
        <v>60</v>
      </c>
      <c r="M1798" s="98">
        <f ca="1">(TODAY()-H1798)/365</f>
        <v>28.767123287671232</v>
      </c>
      <c r="N1798" s="99">
        <f>(G1798-H1798)/365</f>
        <v>15.884931506849314</v>
      </c>
      <c r="O1798" s="98">
        <f ca="1">(TODAY()-G1798)/365</f>
        <v>12.882191780821918</v>
      </c>
      <c r="P1798" s="91" t="s">
        <v>272</v>
      </c>
      <c r="Q1798" s="91">
        <v>0</v>
      </c>
      <c r="R1798" s="91">
        <v>0</v>
      </c>
      <c r="S1798" s="91">
        <v>0</v>
      </c>
      <c r="T1798" s="91"/>
      <c r="U1798" s="91"/>
      <c r="V1798" s="91"/>
      <c r="W1798" s="91"/>
      <c r="X1798" s="91"/>
      <c r="Y1798" s="91"/>
      <c r="Z1798" s="91"/>
      <c r="AA1798" s="91"/>
      <c r="AB1798" s="91"/>
      <c r="AC1798" s="91"/>
      <c r="AD1798" s="91"/>
      <c r="AE1798" s="91"/>
      <c r="AF1798" s="91"/>
      <c r="AG1798" s="91"/>
      <c r="AH1798" s="91"/>
      <c r="AI1798" s="91"/>
      <c r="AJ1798" s="91"/>
      <c r="AK1798" s="91"/>
      <c r="AL1798" s="91"/>
      <c r="AM1798" s="91"/>
    </row>
    <row r="1799" spans="1:39" ht="20.25" hidden="1" customHeight="1">
      <c r="A1799" s="91"/>
      <c r="B1799" s="93" t="s">
        <v>5912</v>
      </c>
      <c r="C1799" s="91" t="s">
        <v>36</v>
      </c>
      <c r="D1799" s="94" t="s">
        <v>5952</v>
      </c>
      <c r="E1799" s="94" t="s">
        <v>5953</v>
      </c>
      <c r="F1799" s="95" t="s">
        <v>5954</v>
      </c>
      <c r="G1799" s="96">
        <v>43840</v>
      </c>
      <c r="H1799" s="97">
        <v>33225</v>
      </c>
      <c r="I1799" s="105" t="s">
        <v>12298</v>
      </c>
      <c r="J1799" s="94" t="s">
        <v>5955</v>
      </c>
      <c r="K1799" s="95">
        <v>971020090</v>
      </c>
      <c r="L1799" s="91" t="s">
        <v>60</v>
      </c>
      <c r="M1799" s="98">
        <f ca="1">(TODAY()-H1799)/365</f>
        <v>35.005479452054793</v>
      </c>
      <c r="N1799" s="99">
        <f>(G1799-H1799)/365</f>
        <v>29.082191780821919</v>
      </c>
      <c r="O1799" s="98">
        <f ca="1">(TODAY()-G1799)/365</f>
        <v>5.9232876712328766</v>
      </c>
      <c r="P1799" s="91" t="s">
        <v>43</v>
      </c>
      <c r="Q1799" s="91">
        <v>0</v>
      </c>
      <c r="R1799" s="91">
        <v>0</v>
      </c>
      <c r="S1799" s="91">
        <v>0</v>
      </c>
      <c r="T1799" s="91"/>
      <c r="U1799" s="91"/>
      <c r="V1799" s="91"/>
      <c r="W1799" s="91"/>
      <c r="X1799" s="91"/>
      <c r="Y1799" s="91"/>
      <c r="Z1799" s="91"/>
      <c r="AA1799" s="91"/>
      <c r="AB1799" s="91"/>
      <c r="AC1799" s="91"/>
      <c r="AD1799" s="91"/>
      <c r="AE1799" s="91"/>
      <c r="AF1799" s="91"/>
      <c r="AG1799" s="91"/>
      <c r="AH1799" s="91"/>
      <c r="AI1799" s="91"/>
      <c r="AJ1799" s="91"/>
      <c r="AK1799" s="91"/>
      <c r="AL1799" s="91"/>
      <c r="AM1799" s="91"/>
    </row>
    <row r="1800" spans="1:39" ht="20.25" hidden="1" customHeight="1">
      <c r="A1800" s="91"/>
      <c r="B1800" s="93" t="s">
        <v>5912</v>
      </c>
      <c r="C1800" s="91" t="s">
        <v>36</v>
      </c>
      <c r="D1800" s="94" t="s">
        <v>5956</v>
      </c>
      <c r="E1800" s="94" t="s">
        <v>5957</v>
      </c>
      <c r="F1800" s="95" t="s">
        <v>5958</v>
      </c>
      <c r="G1800" s="96">
        <v>45566</v>
      </c>
      <c r="H1800" s="97">
        <v>34147</v>
      </c>
      <c r="I1800" s="105" t="s">
        <v>12299</v>
      </c>
      <c r="J1800" s="94" t="s">
        <v>5959</v>
      </c>
      <c r="K1800" s="95">
        <v>962331308</v>
      </c>
      <c r="L1800" s="91" t="s">
        <v>60</v>
      </c>
      <c r="M1800" s="98">
        <f ca="1">(TODAY()-H1800)/365</f>
        <v>32.479452054794521</v>
      </c>
      <c r="N1800" s="99">
        <f>(G1800-H1800)/365</f>
        <v>31.284931506849315</v>
      </c>
      <c r="O1800" s="98">
        <f ca="1">(TODAY()-G1800)/365</f>
        <v>1.1945205479452055</v>
      </c>
      <c r="P1800" s="91" t="s">
        <v>43</v>
      </c>
      <c r="Q1800" s="91">
        <v>0</v>
      </c>
      <c r="R1800" s="91">
        <v>0</v>
      </c>
      <c r="S1800" s="91">
        <v>0</v>
      </c>
      <c r="T1800" s="91"/>
      <c r="U1800" s="91"/>
      <c r="V1800" s="91"/>
      <c r="W1800" s="91"/>
      <c r="X1800" s="91"/>
      <c r="Y1800" s="91"/>
      <c r="Z1800" s="91"/>
      <c r="AA1800" s="91"/>
      <c r="AB1800" s="91"/>
      <c r="AC1800" s="91"/>
      <c r="AD1800" s="91"/>
      <c r="AE1800" s="91"/>
      <c r="AF1800" s="91"/>
      <c r="AG1800" s="91"/>
      <c r="AH1800" s="91"/>
      <c r="AI1800" s="91"/>
      <c r="AJ1800" s="91"/>
      <c r="AK1800" s="91"/>
      <c r="AL1800" s="91"/>
      <c r="AM1800" s="91"/>
    </row>
    <row r="1801" spans="1:39" ht="20.25" hidden="1" customHeight="1">
      <c r="A1801" s="91"/>
      <c r="B1801" s="93" t="s">
        <v>5912</v>
      </c>
      <c r="C1801" s="91" t="s">
        <v>36</v>
      </c>
      <c r="D1801" s="94" t="s">
        <v>5960</v>
      </c>
      <c r="E1801" s="94" t="s">
        <v>5961</v>
      </c>
      <c r="F1801" s="95" t="s">
        <v>5962</v>
      </c>
      <c r="G1801" s="96">
        <v>45546</v>
      </c>
      <c r="H1801" s="97">
        <v>33614</v>
      </c>
      <c r="I1801" s="105" t="s">
        <v>12300</v>
      </c>
      <c r="J1801" s="94" t="s">
        <v>5963</v>
      </c>
      <c r="K1801" s="95">
        <v>975245304</v>
      </c>
      <c r="L1801" s="91" t="s">
        <v>60</v>
      </c>
      <c r="M1801" s="98">
        <f ca="1">(TODAY()-H1801)/365</f>
        <v>33.939726027397263</v>
      </c>
      <c r="N1801" s="99">
        <f>(G1801-H1801)/365</f>
        <v>32.69041095890411</v>
      </c>
      <c r="O1801" s="98">
        <f ca="1">(TODAY()-G1801)/365</f>
        <v>1.2493150684931507</v>
      </c>
      <c r="P1801" s="91" t="s">
        <v>43</v>
      </c>
      <c r="Q1801" s="91">
        <v>0</v>
      </c>
      <c r="R1801" s="91">
        <v>0</v>
      </c>
      <c r="S1801" s="91">
        <v>0</v>
      </c>
      <c r="T1801" s="91"/>
      <c r="U1801" s="91"/>
      <c r="V1801" s="91"/>
      <c r="W1801" s="91"/>
      <c r="X1801" s="91"/>
      <c r="Y1801" s="91"/>
      <c r="Z1801" s="91"/>
      <c r="AA1801" s="91"/>
      <c r="AB1801" s="91"/>
      <c r="AC1801" s="91"/>
      <c r="AD1801" s="91"/>
      <c r="AE1801" s="91"/>
      <c r="AF1801" s="91"/>
      <c r="AG1801" s="91"/>
      <c r="AH1801" s="91"/>
      <c r="AI1801" s="91"/>
      <c r="AJ1801" s="91"/>
      <c r="AK1801" s="91"/>
      <c r="AL1801" s="91"/>
      <c r="AM1801" s="91"/>
    </row>
    <row r="1802" spans="1:39" ht="20.25" hidden="1" customHeight="1">
      <c r="A1802" s="91"/>
      <c r="B1802" s="93" t="s">
        <v>5912</v>
      </c>
      <c r="C1802" s="91" t="s">
        <v>36</v>
      </c>
      <c r="D1802" s="94" t="s">
        <v>5964</v>
      </c>
      <c r="E1802" s="94" t="s">
        <v>5965</v>
      </c>
      <c r="F1802" s="95" t="s">
        <v>5966</v>
      </c>
      <c r="G1802" s="96">
        <v>45414</v>
      </c>
      <c r="H1802" s="97">
        <v>33363</v>
      </c>
      <c r="I1802" s="94" t="s">
        <v>12376</v>
      </c>
      <c r="J1802" s="94" t="s">
        <v>5967</v>
      </c>
      <c r="K1802" s="95">
        <v>965058883</v>
      </c>
      <c r="L1802" s="91" t="s">
        <v>60</v>
      </c>
      <c r="M1802" s="98">
        <f ca="1">(TODAY()-H1802)/365</f>
        <v>34.627397260273973</v>
      </c>
      <c r="N1802" s="99">
        <f>(G1802-H1802)/365</f>
        <v>33.016438356164386</v>
      </c>
      <c r="O1802" s="98">
        <f ca="1">(TODAY()-G1802)/365</f>
        <v>1.6109589041095891</v>
      </c>
      <c r="P1802" s="91" t="s">
        <v>43</v>
      </c>
      <c r="Q1802" s="91">
        <v>0</v>
      </c>
      <c r="R1802" s="91">
        <v>0</v>
      </c>
      <c r="S1802" s="91">
        <v>0</v>
      </c>
      <c r="T1802" s="91"/>
      <c r="U1802" s="91"/>
      <c r="V1802" s="91"/>
      <c r="W1802" s="91"/>
      <c r="X1802" s="91"/>
      <c r="Y1802" s="91"/>
      <c r="Z1802" s="91"/>
      <c r="AA1802" s="91"/>
      <c r="AB1802" s="91"/>
      <c r="AC1802" s="91"/>
      <c r="AD1802" s="91"/>
      <c r="AE1802" s="91"/>
      <c r="AF1802" s="91"/>
      <c r="AG1802" s="91"/>
      <c r="AH1802" s="91"/>
      <c r="AI1802" s="91"/>
      <c r="AJ1802" s="91"/>
      <c r="AK1802" s="91"/>
      <c r="AL1802" s="91"/>
      <c r="AM1802" s="91"/>
    </row>
    <row r="1803" spans="1:39" ht="20.25" customHeight="1">
      <c r="A1803" s="91"/>
      <c r="B1803" s="93" t="s">
        <v>4783</v>
      </c>
      <c r="C1803" s="91" t="s">
        <v>73</v>
      </c>
      <c r="D1803" s="94" t="s">
        <v>4829</v>
      </c>
      <c r="E1803" s="94" t="s">
        <v>4830</v>
      </c>
      <c r="F1803" s="95" t="s">
        <v>4831</v>
      </c>
      <c r="G1803" s="96">
        <v>40848</v>
      </c>
      <c r="H1803" s="97">
        <v>25930</v>
      </c>
      <c r="I1803" s="94" t="s">
        <v>4832</v>
      </c>
      <c r="J1803" s="94" t="s">
        <v>58</v>
      </c>
      <c r="K1803" s="95" t="s">
        <v>58</v>
      </c>
      <c r="L1803" s="91" t="s">
        <v>60</v>
      </c>
      <c r="M1803" s="98">
        <f ca="1">(TODAY()-H1803)/365</f>
        <v>54.991780821917807</v>
      </c>
      <c r="N1803" s="99">
        <f>(G1803-H1803)/365</f>
        <v>40.871232876712327</v>
      </c>
      <c r="O1803" s="98">
        <f ca="1">(TODAY()-G1803)/365</f>
        <v>14.12054794520548</v>
      </c>
      <c r="P1803" s="91" t="s">
        <v>272</v>
      </c>
      <c r="Q1803" s="91">
        <v>0</v>
      </c>
      <c r="R1803" s="91">
        <v>0</v>
      </c>
      <c r="S1803" s="91">
        <v>0</v>
      </c>
      <c r="T1803" s="91"/>
      <c r="U1803" s="91"/>
      <c r="V1803" s="91"/>
      <c r="W1803" s="91"/>
      <c r="X1803" s="91"/>
      <c r="Y1803" s="91"/>
      <c r="Z1803" s="91"/>
      <c r="AA1803" s="91"/>
      <c r="AB1803" s="91"/>
      <c r="AC1803" s="91"/>
      <c r="AD1803" s="91"/>
      <c r="AE1803" s="91"/>
      <c r="AF1803" s="91"/>
      <c r="AG1803" s="91"/>
      <c r="AH1803" s="91"/>
      <c r="AI1803" s="91"/>
      <c r="AJ1803" s="91"/>
      <c r="AK1803" s="91"/>
      <c r="AL1803" s="91"/>
      <c r="AM1803" s="91"/>
    </row>
    <row r="1804" spans="1:39" ht="20.25" hidden="1" customHeight="1">
      <c r="A1804" s="91"/>
      <c r="B1804" s="93" t="s">
        <v>5912</v>
      </c>
      <c r="C1804" s="91" t="s">
        <v>36</v>
      </c>
      <c r="D1804" s="94" t="s">
        <v>5972</v>
      </c>
      <c r="E1804" s="94" t="s">
        <v>5973</v>
      </c>
      <c r="F1804" s="95" t="s">
        <v>5974</v>
      </c>
      <c r="G1804" s="96">
        <v>43832</v>
      </c>
      <c r="H1804" s="97">
        <v>30330</v>
      </c>
      <c r="I1804" s="94" t="s">
        <v>5975</v>
      </c>
      <c r="J1804" s="94" t="s">
        <v>5976</v>
      </c>
      <c r="K1804" s="95">
        <v>966907162</v>
      </c>
      <c r="L1804" s="91" t="s">
        <v>216</v>
      </c>
      <c r="M1804" s="98">
        <f ca="1">(TODAY()-H1804)/365</f>
        <v>42.936986301369863</v>
      </c>
      <c r="N1804" s="99">
        <f>(G1804-H1804)/365</f>
        <v>36.991780821917807</v>
      </c>
      <c r="O1804" s="98">
        <f ca="1">(TODAY()-G1804)/365</f>
        <v>5.9452054794520546</v>
      </c>
      <c r="P1804" s="91" t="s">
        <v>43</v>
      </c>
      <c r="Q1804" s="91">
        <v>0</v>
      </c>
      <c r="R1804" s="91">
        <v>0</v>
      </c>
      <c r="S1804" s="91">
        <v>1</v>
      </c>
      <c r="T1804" s="91"/>
      <c r="U1804" s="91"/>
      <c r="V1804" s="91"/>
      <c r="W1804" s="91"/>
      <c r="X1804" s="91"/>
      <c r="Y1804" s="91"/>
      <c r="Z1804" s="91"/>
      <c r="AA1804" s="91"/>
      <c r="AB1804" s="91"/>
      <c r="AC1804" s="91"/>
      <c r="AD1804" s="91"/>
      <c r="AE1804" s="91"/>
      <c r="AF1804" s="91"/>
      <c r="AG1804" s="91"/>
      <c r="AH1804" s="91"/>
      <c r="AI1804" s="91"/>
      <c r="AJ1804" s="91"/>
      <c r="AK1804" s="91"/>
      <c r="AL1804" s="91"/>
      <c r="AM1804" s="91"/>
    </row>
    <row r="1805" spans="1:39" ht="20.25" hidden="1" customHeight="1">
      <c r="A1805" s="91"/>
      <c r="B1805" s="93" t="s">
        <v>5912</v>
      </c>
      <c r="C1805" s="91" t="s">
        <v>36</v>
      </c>
      <c r="D1805" s="94" t="s">
        <v>5977</v>
      </c>
      <c r="E1805" s="94" t="s">
        <v>5978</v>
      </c>
      <c r="F1805" s="95" t="s">
        <v>5979</v>
      </c>
      <c r="G1805" s="96">
        <v>44931</v>
      </c>
      <c r="H1805" s="97">
        <v>30757</v>
      </c>
      <c r="I1805" s="105" t="s">
        <v>12301</v>
      </c>
      <c r="J1805" s="94" t="s">
        <v>5980</v>
      </c>
      <c r="K1805" s="95">
        <v>967280243</v>
      </c>
      <c r="L1805" s="91" t="s">
        <v>197</v>
      </c>
      <c r="M1805" s="98">
        <f ca="1">(TODAY()-H1805)/365</f>
        <v>41.767123287671232</v>
      </c>
      <c r="N1805" s="99">
        <f>(G1805-H1805)/365</f>
        <v>38.832876712328769</v>
      </c>
      <c r="O1805" s="98">
        <f ca="1">(TODAY()-G1805)/365</f>
        <v>2.9342465753424656</v>
      </c>
      <c r="P1805" s="91" t="s">
        <v>272</v>
      </c>
      <c r="Q1805" s="91">
        <v>0</v>
      </c>
      <c r="R1805" s="91">
        <v>0</v>
      </c>
      <c r="S1805" s="91">
        <v>0</v>
      </c>
      <c r="T1805" s="91"/>
      <c r="U1805" s="91"/>
      <c r="V1805" s="91"/>
      <c r="W1805" s="91"/>
      <c r="X1805" s="91"/>
      <c r="Y1805" s="91"/>
      <c r="Z1805" s="91"/>
      <c r="AA1805" s="91"/>
      <c r="AB1805" s="91"/>
      <c r="AC1805" s="91"/>
      <c r="AD1805" s="91"/>
      <c r="AE1805" s="91"/>
      <c r="AF1805" s="91"/>
      <c r="AG1805" s="91"/>
      <c r="AH1805" s="91"/>
      <c r="AI1805" s="91"/>
      <c r="AJ1805" s="91"/>
      <c r="AK1805" s="91"/>
      <c r="AL1805" s="91"/>
      <c r="AM1805" s="91"/>
    </row>
    <row r="1806" spans="1:39" ht="20.25" hidden="1" customHeight="1">
      <c r="A1806" s="91"/>
      <c r="B1806" s="93" t="s">
        <v>5912</v>
      </c>
      <c r="C1806" s="91" t="s">
        <v>36</v>
      </c>
      <c r="D1806" s="94" t="s">
        <v>5981</v>
      </c>
      <c r="E1806" s="94" t="s">
        <v>5982</v>
      </c>
      <c r="F1806" s="95" t="s">
        <v>5983</v>
      </c>
      <c r="G1806" s="96">
        <v>44969</v>
      </c>
      <c r="H1806" s="97">
        <v>30661</v>
      </c>
      <c r="I1806" s="94" t="s">
        <v>5984</v>
      </c>
      <c r="J1806" s="94" t="s">
        <v>5985</v>
      </c>
      <c r="K1806" s="95">
        <v>934230775</v>
      </c>
      <c r="L1806" s="91" t="s">
        <v>66</v>
      </c>
      <c r="M1806" s="98">
        <f ca="1">(TODAY()-H1806)/365</f>
        <v>42.030136986301372</v>
      </c>
      <c r="N1806" s="99">
        <f>(G1806-H1806)/365</f>
        <v>39.200000000000003</v>
      </c>
      <c r="O1806" s="98">
        <f ca="1">(TODAY()-G1806)/365</f>
        <v>2.8301369863013699</v>
      </c>
      <c r="P1806" s="91" t="s">
        <v>43</v>
      </c>
      <c r="Q1806" s="91">
        <v>0</v>
      </c>
      <c r="R1806" s="91">
        <v>0</v>
      </c>
      <c r="S1806" s="91">
        <v>0</v>
      </c>
      <c r="T1806" s="91"/>
      <c r="U1806" s="91"/>
      <c r="V1806" s="91"/>
      <c r="W1806" s="91"/>
      <c r="X1806" s="91"/>
      <c r="Y1806" s="91"/>
      <c r="Z1806" s="91"/>
      <c r="AA1806" s="91"/>
      <c r="AB1806" s="91"/>
      <c r="AC1806" s="91"/>
      <c r="AD1806" s="91"/>
      <c r="AE1806" s="91"/>
      <c r="AF1806" s="91"/>
      <c r="AG1806" s="91"/>
      <c r="AH1806" s="91"/>
      <c r="AI1806" s="91"/>
      <c r="AJ1806" s="91"/>
      <c r="AK1806" s="91"/>
      <c r="AL1806" s="91"/>
      <c r="AM1806" s="91"/>
    </row>
    <row r="1807" spans="1:39" ht="20.25" customHeight="1">
      <c r="A1807" s="91"/>
      <c r="B1807" s="93" t="s">
        <v>8095</v>
      </c>
      <c r="C1807" s="91" t="s">
        <v>73</v>
      </c>
      <c r="D1807" s="94" t="s">
        <v>8191</v>
      </c>
      <c r="E1807" s="94" t="s">
        <v>8192</v>
      </c>
      <c r="F1807" s="95" t="s">
        <v>8193</v>
      </c>
      <c r="G1807" s="96">
        <v>44974</v>
      </c>
      <c r="H1807" s="97">
        <v>24603</v>
      </c>
      <c r="I1807" s="94" t="s">
        <v>8194</v>
      </c>
      <c r="J1807" s="100" t="s">
        <v>58</v>
      </c>
      <c r="K1807" s="91" t="s">
        <v>58</v>
      </c>
      <c r="L1807" s="91" t="s">
        <v>60</v>
      </c>
      <c r="M1807" s="98">
        <f ca="1">(TODAY()-H1807)/365</f>
        <v>58.627397260273973</v>
      </c>
      <c r="N1807" s="99">
        <f>(G1807-H1807)/365</f>
        <v>55.81095890410959</v>
      </c>
      <c r="O1807" s="98">
        <f ca="1">(TODAY()-G1807)/365</f>
        <v>2.8164383561643835</v>
      </c>
      <c r="P1807" s="91" t="s">
        <v>43</v>
      </c>
      <c r="Q1807" s="91">
        <v>0</v>
      </c>
      <c r="R1807" s="91">
        <v>0</v>
      </c>
      <c r="S1807" s="91">
        <v>0</v>
      </c>
      <c r="T1807" s="91"/>
      <c r="U1807" s="91"/>
      <c r="V1807" s="91"/>
      <c r="W1807" s="91"/>
      <c r="X1807" s="91"/>
      <c r="Y1807" s="91"/>
      <c r="Z1807" s="91"/>
      <c r="AA1807" s="91"/>
      <c r="AB1807" s="91"/>
      <c r="AC1807" s="91"/>
      <c r="AD1807" s="91"/>
      <c r="AE1807" s="91"/>
      <c r="AF1807" s="91"/>
      <c r="AG1807" s="91"/>
      <c r="AH1807" s="91"/>
      <c r="AI1807" s="91"/>
      <c r="AJ1807" s="91"/>
      <c r="AK1807" s="91"/>
      <c r="AL1807" s="91"/>
      <c r="AM1807" s="91"/>
    </row>
    <row r="1808" spans="1:39" ht="20.25" hidden="1" customHeight="1">
      <c r="A1808" s="91"/>
      <c r="B1808" s="93" t="s">
        <v>5912</v>
      </c>
      <c r="C1808" s="91" t="s">
        <v>36</v>
      </c>
      <c r="D1808" s="94" t="s">
        <v>5990</v>
      </c>
      <c r="E1808" s="94" t="s">
        <v>5991</v>
      </c>
      <c r="F1808" s="95" t="s">
        <v>5992</v>
      </c>
      <c r="G1808" s="96">
        <v>42163</v>
      </c>
      <c r="H1808" s="97">
        <v>23050</v>
      </c>
      <c r="I1808" s="94" t="s">
        <v>12377</v>
      </c>
      <c r="J1808" s="94" t="s">
        <v>5993</v>
      </c>
      <c r="K1808" s="95">
        <v>954896440</v>
      </c>
      <c r="L1808" s="91" t="s">
        <v>60</v>
      </c>
      <c r="M1808" s="98">
        <f ca="1">(TODAY()-H1808)/365</f>
        <v>62.88219178082192</v>
      </c>
      <c r="N1808" s="99">
        <f>(G1808-H1808)/365</f>
        <v>52.364383561643834</v>
      </c>
      <c r="O1808" s="98">
        <f ca="1">(TODAY()-G1808)/365</f>
        <v>10.517808219178082</v>
      </c>
      <c r="P1808" s="91" t="s">
        <v>43</v>
      </c>
      <c r="Q1808" s="91">
        <v>0</v>
      </c>
      <c r="R1808" s="91">
        <v>0</v>
      </c>
      <c r="S1808" s="91">
        <v>0</v>
      </c>
      <c r="T1808" s="91"/>
      <c r="U1808" s="91"/>
      <c r="V1808" s="91"/>
      <c r="W1808" s="91"/>
      <c r="X1808" s="91"/>
      <c r="Y1808" s="91"/>
      <c r="Z1808" s="91"/>
      <c r="AA1808" s="91"/>
      <c r="AB1808" s="91"/>
      <c r="AC1808" s="91"/>
      <c r="AD1808" s="91"/>
      <c r="AE1808" s="91"/>
      <c r="AF1808" s="91"/>
      <c r="AG1808" s="91"/>
      <c r="AH1808" s="91"/>
      <c r="AI1808" s="91"/>
      <c r="AJ1808" s="91"/>
      <c r="AK1808" s="91"/>
      <c r="AL1808" s="91"/>
      <c r="AM1808" s="91"/>
    </row>
    <row r="1809" spans="1:39" ht="20.25" hidden="1" customHeight="1">
      <c r="A1809" s="91"/>
      <c r="B1809" s="93" t="s">
        <v>5912</v>
      </c>
      <c r="C1809" s="91" t="s">
        <v>36</v>
      </c>
      <c r="D1809" s="94" t="s">
        <v>5994</v>
      </c>
      <c r="E1809" s="94" t="s">
        <v>5995</v>
      </c>
      <c r="F1809" s="95" t="s">
        <v>5996</v>
      </c>
      <c r="G1809" s="96">
        <v>42159</v>
      </c>
      <c r="H1809" s="97">
        <v>21998</v>
      </c>
      <c r="I1809" s="94" t="s">
        <v>5997</v>
      </c>
      <c r="J1809" s="94" t="s">
        <v>5998</v>
      </c>
      <c r="K1809" s="95">
        <v>965656641</v>
      </c>
      <c r="L1809" s="91" t="s">
        <v>54</v>
      </c>
      <c r="M1809" s="98">
        <f ca="1">(TODAY()-H1809)/365</f>
        <v>65.764383561643839</v>
      </c>
      <c r="N1809" s="99">
        <f>(G1809-H1809)/365</f>
        <v>55.235616438356168</v>
      </c>
      <c r="O1809" s="98">
        <f ca="1">(TODAY()-G1809)/365</f>
        <v>10.528767123287672</v>
      </c>
      <c r="P1809" s="91" t="s">
        <v>43</v>
      </c>
      <c r="Q1809" s="91">
        <v>0</v>
      </c>
      <c r="R1809" s="91">
        <v>0</v>
      </c>
      <c r="S1809" s="91">
        <v>0</v>
      </c>
      <c r="T1809" s="91"/>
      <c r="U1809" s="91"/>
      <c r="V1809" s="91"/>
      <c r="W1809" s="91"/>
      <c r="X1809" s="91"/>
      <c r="Y1809" s="91"/>
      <c r="Z1809" s="91"/>
      <c r="AA1809" s="91"/>
      <c r="AB1809" s="91"/>
      <c r="AC1809" s="91"/>
      <c r="AD1809" s="91"/>
      <c r="AE1809" s="91"/>
      <c r="AF1809" s="91"/>
      <c r="AG1809" s="91"/>
      <c r="AH1809" s="91"/>
      <c r="AI1809" s="91"/>
      <c r="AJ1809" s="91"/>
      <c r="AK1809" s="91"/>
      <c r="AL1809" s="91"/>
      <c r="AM1809" s="91"/>
    </row>
    <row r="1810" spans="1:39" ht="20.25" hidden="1" customHeight="1">
      <c r="A1810" s="91"/>
      <c r="B1810" s="93" t="s">
        <v>5912</v>
      </c>
      <c r="C1810" s="91" t="s">
        <v>36</v>
      </c>
      <c r="D1810" s="94" t="s">
        <v>5999</v>
      </c>
      <c r="E1810" s="94" t="s">
        <v>6000</v>
      </c>
      <c r="F1810" s="95" t="s">
        <v>6001</v>
      </c>
      <c r="G1810" s="96">
        <v>41600</v>
      </c>
      <c r="H1810" s="97">
        <v>20971</v>
      </c>
      <c r="I1810" s="105" t="s">
        <v>12302</v>
      </c>
      <c r="J1810" s="94" t="s">
        <v>5924</v>
      </c>
      <c r="K1810" s="95">
        <v>944544612</v>
      </c>
      <c r="L1810" s="91" t="s">
        <v>42</v>
      </c>
      <c r="M1810" s="98">
        <f ca="1">(TODAY()-H1810)/365</f>
        <v>68.578082191780823</v>
      </c>
      <c r="N1810" s="99">
        <f>(G1810-H1810)/365</f>
        <v>56.517808219178079</v>
      </c>
      <c r="O1810" s="98">
        <f ca="1">(TODAY()-G1810)/365</f>
        <v>12.06027397260274</v>
      </c>
      <c r="P1810" s="91" t="s">
        <v>43</v>
      </c>
      <c r="Q1810" s="91">
        <v>0</v>
      </c>
      <c r="R1810" s="91">
        <v>0</v>
      </c>
      <c r="S1810" s="91">
        <v>0</v>
      </c>
      <c r="T1810" s="91"/>
      <c r="U1810" s="91"/>
      <c r="V1810" s="91"/>
      <c r="W1810" s="91"/>
      <c r="X1810" s="91"/>
      <c r="Y1810" s="91"/>
      <c r="Z1810" s="91"/>
      <c r="AA1810" s="91"/>
      <c r="AB1810" s="91"/>
      <c r="AC1810" s="91"/>
      <c r="AD1810" s="91"/>
      <c r="AE1810" s="91"/>
      <c r="AF1810" s="91"/>
      <c r="AG1810" s="91"/>
      <c r="AH1810" s="91"/>
      <c r="AI1810" s="91"/>
      <c r="AJ1810" s="91"/>
      <c r="AK1810" s="91"/>
      <c r="AL1810" s="91"/>
      <c r="AM1810" s="91"/>
    </row>
    <row r="1811" spans="1:39" ht="20.25" hidden="1" customHeight="1">
      <c r="A1811" s="91"/>
      <c r="B1811" s="93" t="s">
        <v>5912</v>
      </c>
      <c r="C1811" s="91" t="s">
        <v>36</v>
      </c>
      <c r="D1811" s="94" t="s">
        <v>6002</v>
      </c>
      <c r="E1811" s="94" t="s">
        <v>6003</v>
      </c>
      <c r="F1811" s="95" t="s">
        <v>6004</v>
      </c>
      <c r="G1811" s="96">
        <v>36495</v>
      </c>
      <c r="H1811" s="97">
        <v>15462</v>
      </c>
      <c r="I1811" s="94" t="s">
        <v>58</v>
      </c>
      <c r="J1811" s="94" t="s">
        <v>6005</v>
      </c>
      <c r="K1811" s="95">
        <v>987343697</v>
      </c>
      <c r="L1811" s="91" t="s">
        <v>60</v>
      </c>
      <c r="M1811" s="98">
        <f ca="1">(TODAY()-H1811)/365</f>
        <v>83.671232876712324</v>
      </c>
      <c r="N1811" s="99">
        <f>(G1811-H1811)/365</f>
        <v>57.624657534246573</v>
      </c>
      <c r="O1811" s="98">
        <f ca="1">(TODAY()-G1811)/365</f>
        <v>26.046575342465754</v>
      </c>
      <c r="P1811" s="91" t="s">
        <v>43</v>
      </c>
      <c r="Q1811" s="91">
        <v>0</v>
      </c>
      <c r="R1811" s="91">
        <v>0</v>
      </c>
      <c r="S1811" s="91">
        <v>0</v>
      </c>
      <c r="T1811" s="91"/>
      <c r="U1811" s="91"/>
      <c r="V1811" s="91"/>
      <c r="W1811" s="91"/>
      <c r="X1811" s="91"/>
      <c r="Y1811" s="91"/>
      <c r="Z1811" s="91"/>
      <c r="AA1811" s="91"/>
      <c r="AB1811" s="91"/>
      <c r="AC1811" s="91"/>
      <c r="AD1811" s="91"/>
      <c r="AE1811" s="91"/>
      <c r="AF1811" s="91"/>
      <c r="AG1811" s="91"/>
      <c r="AH1811" s="91"/>
      <c r="AI1811" s="91"/>
      <c r="AJ1811" s="91"/>
      <c r="AK1811" s="91"/>
      <c r="AL1811" s="91"/>
      <c r="AM1811" s="91"/>
    </row>
    <row r="1812" spans="1:39" ht="20.25" hidden="1" customHeight="1">
      <c r="A1812" s="91"/>
      <c r="B1812" s="93" t="s">
        <v>5912</v>
      </c>
      <c r="C1812" s="91" t="s">
        <v>36</v>
      </c>
      <c r="D1812" s="94" t="s">
        <v>2063</v>
      </c>
      <c r="E1812" s="94" t="s">
        <v>6006</v>
      </c>
      <c r="F1812" s="95" t="s">
        <v>6007</v>
      </c>
      <c r="G1812" s="96">
        <v>37578</v>
      </c>
      <c r="H1812" s="97">
        <v>16245</v>
      </c>
      <c r="I1812" s="94" t="s">
        <v>58</v>
      </c>
      <c r="J1812" s="94" t="s">
        <v>6008</v>
      </c>
      <c r="K1812" s="95">
        <v>977709933</v>
      </c>
      <c r="L1812" s="91" t="s">
        <v>60</v>
      </c>
      <c r="M1812" s="98">
        <f ca="1">(TODAY()-H1812)/365</f>
        <v>81.526027397260279</v>
      </c>
      <c r="N1812" s="99">
        <f>(G1812-H1812)/365</f>
        <v>58.446575342465756</v>
      </c>
      <c r="O1812" s="98">
        <f ca="1">(TODAY()-G1812)/365</f>
        <v>23.079452054794519</v>
      </c>
      <c r="P1812" s="91" t="s">
        <v>43</v>
      </c>
      <c r="Q1812" s="91">
        <v>0</v>
      </c>
      <c r="R1812" s="91">
        <v>0</v>
      </c>
      <c r="S1812" s="91">
        <v>0</v>
      </c>
      <c r="T1812" s="91"/>
      <c r="U1812" s="91"/>
      <c r="V1812" s="91"/>
      <c r="W1812" s="91"/>
      <c r="X1812" s="91"/>
      <c r="Y1812" s="91"/>
      <c r="Z1812" s="91"/>
      <c r="AA1812" s="91"/>
      <c r="AB1812" s="91"/>
      <c r="AC1812" s="91"/>
      <c r="AD1812" s="91"/>
      <c r="AE1812" s="91"/>
      <c r="AF1812" s="91"/>
      <c r="AG1812" s="91"/>
      <c r="AH1812" s="91"/>
      <c r="AI1812" s="91"/>
      <c r="AJ1812" s="91"/>
      <c r="AK1812" s="91"/>
      <c r="AL1812" s="91"/>
      <c r="AM1812" s="91"/>
    </row>
    <row r="1813" spans="1:39" ht="20.25" hidden="1" customHeight="1">
      <c r="A1813" s="91"/>
      <c r="B1813" s="93" t="s">
        <v>5912</v>
      </c>
      <c r="C1813" s="91" t="s">
        <v>36</v>
      </c>
      <c r="D1813" s="94" t="s">
        <v>6009</v>
      </c>
      <c r="E1813" s="94" t="s">
        <v>6010</v>
      </c>
      <c r="F1813" s="95" t="s">
        <v>6011</v>
      </c>
      <c r="G1813" s="96">
        <v>44911</v>
      </c>
      <c r="H1813" s="97">
        <v>23217</v>
      </c>
      <c r="I1813" s="105" t="s">
        <v>12303</v>
      </c>
      <c r="J1813" s="94" t="s">
        <v>6012</v>
      </c>
      <c r="K1813" s="95">
        <v>994251348</v>
      </c>
      <c r="L1813" s="91" t="s">
        <v>49</v>
      </c>
      <c r="M1813" s="98">
        <f ca="1">(TODAY()-H1813)/365</f>
        <v>62.424657534246577</v>
      </c>
      <c r="N1813" s="99">
        <f>(G1813-H1813)/365</f>
        <v>59.435616438356163</v>
      </c>
      <c r="O1813" s="98">
        <f ca="1">(TODAY()-G1813)/365</f>
        <v>2.989041095890411</v>
      </c>
      <c r="P1813" s="91" t="s">
        <v>43</v>
      </c>
      <c r="Q1813" s="91">
        <v>0</v>
      </c>
      <c r="R1813" s="91">
        <v>0</v>
      </c>
      <c r="S1813" s="91">
        <v>0</v>
      </c>
      <c r="T1813" s="91"/>
      <c r="U1813" s="91"/>
      <c r="V1813" s="91"/>
      <c r="W1813" s="91"/>
      <c r="X1813" s="91"/>
      <c r="Y1813" s="91"/>
      <c r="Z1813" s="91"/>
      <c r="AA1813" s="91"/>
      <c r="AB1813" s="91"/>
      <c r="AC1813" s="91"/>
      <c r="AD1813" s="91"/>
      <c r="AE1813" s="91"/>
      <c r="AF1813" s="91"/>
      <c r="AG1813" s="91"/>
      <c r="AH1813" s="91"/>
      <c r="AI1813" s="91"/>
      <c r="AJ1813" s="91"/>
      <c r="AK1813" s="91"/>
      <c r="AL1813" s="91"/>
      <c r="AM1813" s="91"/>
    </row>
    <row r="1814" spans="1:39" ht="20.25" customHeight="1">
      <c r="A1814" s="91"/>
      <c r="B1814" s="93" t="s">
        <v>7270</v>
      </c>
      <c r="C1814" s="91" t="s">
        <v>73</v>
      </c>
      <c r="D1814" s="94" t="s">
        <v>7276</v>
      </c>
      <c r="E1814" s="94" t="s">
        <v>7277</v>
      </c>
      <c r="F1814" s="95" t="s">
        <v>7278</v>
      </c>
      <c r="G1814" s="96">
        <v>43217</v>
      </c>
      <c r="H1814" s="97">
        <v>36869</v>
      </c>
      <c r="I1814" s="100" t="s">
        <v>58</v>
      </c>
      <c r="J1814" s="100" t="s">
        <v>58</v>
      </c>
      <c r="K1814" s="91" t="s">
        <v>58</v>
      </c>
      <c r="L1814" s="91" t="s">
        <v>60</v>
      </c>
      <c r="M1814" s="98">
        <f ca="1">(TODAY()-H1814)/365</f>
        <v>25.021917808219179</v>
      </c>
      <c r="N1814" s="99">
        <f>(G1814-H1814)/365</f>
        <v>17.391780821917809</v>
      </c>
      <c r="O1814" s="98">
        <f ca="1">(TODAY()-G1814)/365</f>
        <v>7.6301369863013697</v>
      </c>
      <c r="P1814" s="91" t="s">
        <v>272</v>
      </c>
      <c r="Q1814" s="91">
        <v>0</v>
      </c>
      <c r="R1814" s="91">
        <v>0</v>
      </c>
      <c r="S1814" s="91">
        <v>0</v>
      </c>
      <c r="T1814" s="91"/>
      <c r="U1814" s="91"/>
      <c r="V1814" s="91"/>
      <c r="W1814" s="91"/>
      <c r="X1814" s="91"/>
      <c r="Y1814" s="91"/>
      <c r="Z1814" s="91"/>
      <c r="AA1814" s="91"/>
      <c r="AB1814" s="91"/>
      <c r="AC1814" s="91"/>
      <c r="AD1814" s="91"/>
      <c r="AE1814" s="91"/>
      <c r="AF1814" s="91"/>
      <c r="AG1814" s="91"/>
      <c r="AH1814" s="91"/>
      <c r="AI1814" s="91"/>
      <c r="AJ1814" s="91"/>
      <c r="AK1814" s="91"/>
      <c r="AL1814" s="91"/>
      <c r="AM1814" s="91"/>
    </row>
    <row r="1815" spans="1:39" ht="20.25" hidden="1" customHeight="1">
      <c r="A1815" s="91"/>
      <c r="B1815" s="93" t="s">
        <v>5912</v>
      </c>
      <c r="C1815" s="91" t="s">
        <v>36</v>
      </c>
      <c r="D1815" s="94" t="s">
        <v>6017</v>
      </c>
      <c r="E1815" s="94" t="s">
        <v>6018</v>
      </c>
      <c r="F1815" s="95" t="s">
        <v>6019</v>
      </c>
      <c r="G1815" s="96">
        <v>44911</v>
      </c>
      <c r="H1815" s="97">
        <v>21106</v>
      </c>
      <c r="I1815" s="94" t="s">
        <v>12378</v>
      </c>
      <c r="J1815" s="94" t="s">
        <v>6020</v>
      </c>
      <c r="K1815" s="95">
        <v>977968179</v>
      </c>
      <c r="L1815" s="91" t="s">
        <v>60</v>
      </c>
      <c r="M1815" s="98">
        <f ca="1">(TODAY()-H1815)/365</f>
        <v>68.208219178082189</v>
      </c>
      <c r="N1815" s="99">
        <f>(G1815-H1815)/365</f>
        <v>65.219178082191775</v>
      </c>
      <c r="O1815" s="98">
        <f ca="1">(TODAY()-G1815)/365</f>
        <v>2.989041095890411</v>
      </c>
      <c r="P1815" s="91" t="s">
        <v>43</v>
      </c>
      <c r="Q1815" s="91">
        <v>0</v>
      </c>
      <c r="R1815" s="91">
        <v>0</v>
      </c>
      <c r="S1815" s="91">
        <v>0</v>
      </c>
      <c r="T1815" s="91"/>
      <c r="U1815" s="91"/>
      <c r="V1815" s="91"/>
      <c r="W1815" s="91"/>
      <c r="X1815" s="91"/>
      <c r="Y1815" s="91"/>
      <c r="Z1815" s="91"/>
      <c r="AA1815" s="91"/>
      <c r="AB1815" s="91"/>
      <c r="AC1815" s="91"/>
      <c r="AD1815" s="91"/>
      <c r="AE1815" s="91"/>
      <c r="AF1815" s="91"/>
      <c r="AG1815" s="91"/>
      <c r="AH1815" s="91"/>
      <c r="AI1815" s="91"/>
      <c r="AJ1815" s="91"/>
      <c r="AK1815" s="91"/>
      <c r="AL1815" s="91"/>
      <c r="AM1815" s="91"/>
    </row>
    <row r="1816" spans="1:39" ht="20.25" hidden="1" customHeight="1">
      <c r="A1816" s="91"/>
      <c r="B1816" s="93" t="s">
        <v>5912</v>
      </c>
      <c r="C1816" s="91" t="s">
        <v>36</v>
      </c>
      <c r="D1816" s="94" t="s">
        <v>6021</v>
      </c>
      <c r="E1816" s="94" t="s">
        <v>6022</v>
      </c>
      <c r="F1816" s="95" t="s">
        <v>6023</v>
      </c>
      <c r="G1816" s="96">
        <v>44775</v>
      </c>
      <c r="H1816" s="97">
        <v>19803</v>
      </c>
      <c r="I1816" s="105" t="s">
        <v>12304</v>
      </c>
      <c r="J1816" s="94" t="s">
        <v>6024</v>
      </c>
      <c r="K1816" s="95">
        <v>955315800</v>
      </c>
      <c r="L1816" s="91" t="s">
        <v>60</v>
      </c>
      <c r="M1816" s="98">
        <f ca="1">(TODAY()-H1816)/365</f>
        <v>71.778082191780825</v>
      </c>
      <c r="N1816" s="99">
        <f>(G1816-H1816)/365</f>
        <v>68.416438356164377</v>
      </c>
      <c r="O1816" s="98">
        <f ca="1">(TODAY()-G1816)/365</f>
        <v>3.3616438356164382</v>
      </c>
      <c r="P1816" s="91" t="s">
        <v>43</v>
      </c>
      <c r="Q1816" s="91">
        <v>0</v>
      </c>
      <c r="R1816" s="91">
        <v>0</v>
      </c>
      <c r="S1816" s="91">
        <v>0</v>
      </c>
      <c r="T1816" s="91"/>
      <c r="U1816" s="91"/>
      <c r="V1816" s="91"/>
      <c r="W1816" s="91"/>
      <c r="X1816" s="91"/>
      <c r="Y1816" s="91"/>
      <c r="Z1816" s="91"/>
      <c r="AA1816" s="91"/>
      <c r="AB1816" s="91"/>
      <c r="AC1816" s="91"/>
      <c r="AD1816" s="91"/>
      <c r="AE1816" s="91"/>
      <c r="AF1816" s="91"/>
      <c r="AG1816" s="91"/>
      <c r="AH1816" s="91"/>
      <c r="AI1816" s="91"/>
      <c r="AJ1816" s="91"/>
      <c r="AK1816" s="91"/>
      <c r="AL1816" s="91"/>
      <c r="AM1816" s="91"/>
    </row>
    <row r="1817" spans="1:39" ht="20.25" hidden="1" customHeight="1">
      <c r="A1817" s="91"/>
      <c r="B1817" s="93" t="s">
        <v>5912</v>
      </c>
      <c r="C1817" s="91" t="s">
        <v>36</v>
      </c>
      <c r="D1817" s="94" t="s">
        <v>6025</v>
      </c>
      <c r="E1817" s="94" t="s">
        <v>6026</v>
      </c>
      <c r="F1817" s="95" t="s">
        <v>6027</v>
      </c>
      <c r="G1817" s="96">
        <v>44911</v>
      </c>
      <c r="H1817" s="97">
        <v>19885</v>
      </c>
      <c r="I1817" s="94" t="s">
        <v>58</v>
      </c>
      <c r="J1817" s="94" t="s">
        <v>6028</v>
      </c>
      <c r="K1817" s="95">
        <v>949389486</v>
      </c>
      <c r="L1817" s="91" t="s">
        <v>60</v>
      </c>
      <c r="M1817" s="98">
        <f ca="1">(TODAY()-H1817)/365</f>
        <v>71.553424657534251</v>
      </c>
      <c r="N1817" s="99">
        <f>(G1817-H1817)/365</f>
        <v>68.564383561643837</v>
      </c>
      <c r="O1817" s="98">
        <f ca="1">(TODAY()-G1817)/365</f>
        <v>2.989041095890411</v>
      </c>
      <c r="P1817" s="91" t="s">
        <v>272</v>
      </c>
      <c r="Q1817" s="91">
        <v>0</v>
      </c>
      <c r="R1817" s="91">
        <v>0</v>
      </c>
      <c r="S1817" s="91">
        <v>0</v>
      </c>
      <c r="T1817" s="91"/>
      <c r="U1817" s="91"/>
      <c r="V1817" s="91"/>
      <c r="W1817" s="91"/>
      <c r="X1817" s="91"/>
      <c r="Y1817" s="91"/>
      <c r="Z1817" s="91"/>
      <c r="AA1817" s="91"/>
      <c r="AB1817" s="91"/>
      <c r="AC1817" s="91"/>
      <c r="AD1817" s="91"/>
      <c r="AE1817" s="91"/>
      <c r="AF1817" s="91"/>
      <c r="AG1817" s="91"/>
      <c r="AH1817" s="91"/>
      <c r="AI1817" s="91"/>
      <c r="AJ1817" s="91"/>
      <c r="AK1817" s="91"/>
      <c r="AL1817" s="91"/>
      <c r="AM1817" s="91"/>
    </row>
    <row r="1818" spans="1:39" ht="20.25" hidden="1" customHeight="1">
      <c r="A1818" s="91"/>
      <c r="B1818" s="93" t="s">
        <v>5912</v>
      </c>
      <c r="C1818" s="91" t="s">
        <v>36</v>
      </c>
      <c r="D1818" s="94" t="s">
        <v>6029</v>
      </c>
      <c r="E1818" s="94" t="s">
        <v>6030</v>
      </c>
      <c r="F1818" s="95" t="s">
        <v>6031</v>
      </c>
      <c r="G1818" s="96">
        <v>43556</v>
      </c>
      <c r="H1818" s="97">
        <v>16931</v>
      </c>
      <c r="I1818" s="94" t="s">
        <v>58</v>
      </c>
      <c r="J1818" s="94" t="s">
        <v>6032</v>
      </c>
      <c r="K1818" s="95" t="s">
        <v>1823</v>
      </c>
      <c r="L1818" s="91" t="s">
        <v>60</v>
      </c>
      <c r="M1818" s="98">
        <f ca="1">(TODAY()-H1818)/365</f>
        <v>79.646575342465752</v>
      </c>
      <c r="N1818" s="99">
        <f>(G1818-H1818)/365</f>
        <v>72.945205479452056</v>
      </c>
      <c r="O1818" s="98">
        <f ca="1">(TODAY()-G1818)/365</f>
        <v>6.7013698630136984</v>
      </c>
      <c r="P1818" s="91" t="s">
        <v>43</v>
      </c>
      <c r="Q1818" s="91">
        <v>0</v>
      </c>
      <c r="R1818" s="91">
        <v>0</v>
      </c>
      <c r="S1818" s="91">
        <v>0</v>
      </c>
      <c r="T1818" s="91"/>
      <c r="U1818" s="91"/>
      <c r="V1818" s="91"/>
      <c r="W1818" s="91"/>
      <c r="X1818" s="91"/>
      <c r="Y1818" s="91"/>
      <c r="Z1818" s="91"/>
      <c r="AA1818" s="91"/>
      <c r="AB1818" s="91"/>
      <c r="AC1818" s="91"/>
      <c r="AD1818" s="91"/>
      <c r="AE1818" s="91"/>
      <c r="AF1818" s="91"/>
      <c r="AG1818" s="91"/>
      <c r="AH1818" s="91"/>
      <c r="AI1818" s="91"/>
      <c r="AJ1818" s="91"/>
      <c r="AK1818" s="91"/>
      <c r="AL1818" s="91"/>
      <c r="AM1818" s="91"/>
    </row>
    <row r="1819" spans="1:39" ht="20.25" hidden="1" customHeight="1">
      <c r="A1819" s="91"/>
      <c r="B1819" s="93" t="s">
        <v>5912</v>
      </c>
      <c r="C1819" s="91" t="s">
        <v>36</v>
      </c>
      <c r="D1819" s="94" t="s">
        <v>6033</v>
      </c>
      <c r="E1819" s="94" t="s">
        <v>6034</v>
      </c>
      <c r="F1819" s="95" t="s">
        <v>6035</v>
      </c>
      <c r="G1819" s="96">
        <v>44911</v>
      </c>
      <c r="H1819" s="97">
        <v>17076</v>
      </c>
      <c r="I1819" s="105" t="s">
        <v>12305</v>
      </c>
      <c r="J1819" s="94" t="s">
        <v>6036</v>
      </c>
      <c r="K1819" s="95">
        <v>987691995</v>
      </c>
      <c r="L1819" s="91" t="s">
        <v>60</v>
      </c>
      <c r="M1819" s="98">
        <f ca="1">(TODAY()-H1819)/365</f>
        <v>79.249315068493146</v>
      </c>
      <c r="N1819" s="99">
        <f>(G1819-H1819)/365</f>
        <v>76.260273972602747</v>
      </c>
      <c r="O1819" s="98">
        <f ca="1">(TODAY()-G1819)/365</f>
        <v>2.989041095890411</v>
      </c>
      <c r="P1819" s="91" t="s">
        <v>43</v>
      </c>
      <c r="Q1819" s="91">
        <v>0</v>
      </c>
      <c r="R1819" s="91">
        <v>0</v>
      </c>
      <c r="S1819" s="91">
        <v>0</v>
      </c>
      <c r="T1819" s="91"/>
      <c r="U1819" s="91"/>
      <c r="V1819" s="91"/>
      <c r="W1819" s="91"/>
      <c r="X1819" s="91"/>
      <c r="Y1819" s="91"/>
      <c r="Z1819" s="91"/>
      <c r="AA1819" s="91"/>
      <c r="AB1819" s="91"/>
      <c r="AC1819" s="91"/>
      <c r="AD1819" s="91"/>
      <c r="AE1819" s="91"/>
      <c r="AF1819" s="91"/>
      <c r="AG1819" s="91"/>
      <c r="AH1819" s="91"/>
      <c r="AI1819" s="91"/>
      <c r="AJ1819" s="91"/>
      <c r="AK1819" s="91"/>
      <c r="AL1819" s="91"/>
      <c r="AM1819" s="91"/>
    </row>
    <row r="1820" spans="1:39" ht="20.25" hidden="1" customHeight="1">
      <c r="A1820" s="91"/>
      <c r="B1820" s="93" t="s">
        <v>5912</v>
      </c>
      <c r="C1820" s="91" t="s">
        <v>36</v>
      </c>
      <c r="D1820" s="94" t="s">
        <v>6037</v>
      </c>
      <c r="E1820" s="94" t="s">
        <v>6038</v>
      </c>
      <c r="F1820" s="95" t="s">
        <v>6039</v>
      </c>
      <c r="G1820" s="96">
        <v>44911</v>
      </c>
      <c r="H1820" s="97">
        <v>16441</v>
      </c>
      <c r="I1820" s="105" t="s">
        <v>12306</v>
      </c>
      <c r="J1820" s="94" t="s">
        <v>6040</v>
      </c>
      <c r="K1820" s="95">
        <v>977631633</v>
      </c>
      <c r="L1820" s="91" t="s">
        <v>60</v>
      </c>
      <c r="M1820" s="98">
        <f ca="1">(TODAY()-H1820)/365</f>
        <v>80.989041095890414</v>
      </c>
      <c r="N1820" s="99">
        <f>(G1820-H1820)/365</f>
        <v>78</v>
      </c>
      <c r="O1820" s="98">
        <f ca="1">(TODAY()-G1820)/365</f>
        <v>2.989041095890411</v>
      </c>
      <c r="P1820" s="91" t="s">
        <v>43</v>
      </c>
      <c r="Q1820" s="91">
        <v>0</v>
      </c>
      <c r="R1820" s="91">
        <v>0</v>
      </c>
      <c r="S1820" s="91">
        <v>0</v>
      </c>
      <c r="T1820" s="91"/>
      <c r="U1820" s="91"/>
      <c r="V1820" s="91"/>
      <c r="W1820" s="91"/>
      <c r="X1820" s="91"/>
      <c r="Y1820" s="91"/>
      <c r="Z1820" s="91"/>
      <c r="AA1820" s="91"/>
      <c r="AB1820" s="91"/>
      <c r="AC1820" s="91"/>
      <c r="AD1820" s="91"/>
      <c r="AE1820" s="91"/>
      <c r="AF1820" s="91"/>
      <c r="AG1820" s="91"/>
      <c r="AH1820" s="91"/>
      <c r="AI1820" s="91"/>
      <c r="AJ1820" s="91"/>
      <c r="AK1820" s="91"/>
      <c r="AL1820" s="91"/>
      <c r="AM1820" s="91"/>
    </row>
    <row r="1821" spans="1:39" ht="20.25" customHeight="1">
      <c r="A1821" s="91"/>
      <c r="B1821" s="93" t="s">
        <v>2235</v>
      </c>
      <c r="C1821" s="91" t="s">
        <v>73</v>
      </c>
      <c r="D1821" s="107" t="s">
        <v>2305</v>
      </c>
      <c r="E1821" s="107" t="s">
        <v>2306</v>
      </c>
      <c r="F1821" s="92" t="s">
        <v>2307</v>
      </c>
      <c r="G1821" s="96">
        <v>44881</v>
      </c>
      <c r="H1821" s="97">
        <v>25817</v>
      </c>
      <c r="I1821" s="94" t="s">
        <v>2308</v>
      </c>
      <c r="J1821" s="100" t="s">
        <v>58</v>
      </c>
      <c r="K1821" s="91" t="s">
        <v>58</v>
      </c>
      <c r="L1821" s="91" t="s">
        <v>60</v>
      </c>
      <c r="M1821" s="98">
        <f ca="1">(TODAY()-H1821)/365</f>
        <v>55.301369863013697</v>
      </c>
      <c r="N1821" s="99">
        <f>(G1821-H1821)/365</f>
        <v>52.230136986301368</v>
      </c>
      <c r="O1821" s="98">
        <f ca="1">(TODAY()-G1821)/365</f>
        <v>3.0712328767123287</v>
      </c>
      <c r="P1821" s="91" t="s">
        <v>43</v>
      </c>
      <c r="Q1821" s="91">
        <v>0</v>
      </c>
      <c r="R1821" s="91">
        <v>0</v>
      </c>
      <c r="S1821" s="91">
        <v>0</v>
      </c>
      <c r="T1821" s="91"/>
      <c r="U1821" s="91"/>
      <c r="V1821" s="91"/>
      <c r="W1821" s="91"/>
      <c r="X1821" s="91"/>
      <c r="Y1821" s="91"/>
      <c r="Z1821" s="91"/>
      <c r="AA1821" s="91"/>
      <c r="AB1821" s="91"/>
      <c r="AC1821" s="91"/>
      <c r="AD1821" s="91"/>
      <c r="AE1821" s="91"/>
      <c r="AF1821" s="91"/>
      <c r="AG1821" s="91"/>
      <c r="AH1821" s="91"/>
      <c r="AI1821" s="91"/>
      <c r="AJ1821" s="91"/>
      <c r="AK1821" s="91"/>
      <c r="AL1821" s="91"/>
      <c r="AM1821" s="91"/>
    </row>
    <row r="1822" spans="1:39" ht="20.25" hidden="1" customHeight="1">
      <c r="A1822" s="91"/>
      <c r="B1822" s="93" t="s">
        <v>6041</v>
      </c>
      <c r="C1822" s="91" t="s">
        <v>36</v>
      </c>
      <c r="D1822" s="107" t="s">
        <v>6045</v>
      </c>
      <c r="E1822" s="107" t="s">
        <v>6046</v>
      </c>
      <c r="F1822" s="91" t="s">
        <v>6047</v>
      </c>
      <c r="G1822" s="96">
        <v>42565</v>
      </c>
      <c r="H1822" s="97">
        <v>36573</v>
      </c>
      <c r="I1822" s="100" t="s">
        <v>6048</v>
      </c>
      <c r="J1822" s="94" t="s">
        <v>6049</v>
      </c>
      <c r="K1822" s="91">
        <v>950514088</v>
      </c>
      <c r="L1822" s="91" t="s">
        <v>121</v>
      </c>
      <c r="M1822" s="98">
        <f ca="1">(TODAY()-H1822)/365</f>
        <v>25.832876712328765</v>
      </c>
      <c r="N1822" s="99">
        <f>(G1822-H1822)/365</f>
        <v>16.416438356164385</v>
      </c>
      <c r="O1822" s="98">
        <f ca="1">(TODAY()-G1822)/365</f>
        <v>9.4164383561643827</v>
      </c>
      <c r="P1822" s="91" t="s">
        <v>43</v>
      </c>
      <c r="Q1822" s="91">
        <v>0</v>
      </c>
      <c r="R1822" s="91">
        <v>0</v>
      </c>
      <c r="S1822" s="91">
        <v>0</v>
      </c>
      <c r="T1822" s="91"/>
      <c r="U1822" s="91"/>
      <c r="V1822" s="91"/>
      <c r="W1822" s="91"/>
      <c r="X1822" s="91"/>
      <c r="Y1822" s="91"/>
      <c r="Z1822" s="91"/>
      <c r="AA1822" s="91"/>
      <c r="AB1822" s="91"/>
      <c r="AC1822" s="91"/>
      <c r="AD1822" s="91"/>
      <c r="AE1822" s="91"/>
      <c r="AF1822" s="91"/>
      <c r="AG1822" s="91"/>
      <c r="AH1822" s="91"/>
      <c r="AI1822" s="91"/>
      <c r="AJ1822" s="91"/>
      <c r="AK1822" s="91"/>
      <c r="AL1822" s="91"/>
      <c r="AM1822" s="91"/>
    </row>
    <row r="1823" spans="1:39" ht="20.25" customHeight="1">
      <c r="A1823" s="91"/>
      <c r="B1823" s="93" t="s">
        <v>5484</v>
      </c>
      <c r="C1823" s="91" t="s">
        <v>73</v>
      </c>
      <c r="D1823" s="107" t="s">
        <v>5673</v>
      </c>
      <c r="E1823" s="107" t="s">
        <v>5674</v>
      </c>
      <c r="F1823" s="91" t="s">
        <v>5675</v>
      </c>
      <c r="G1823" s="97" t="s">
        <v>58</v>
      </c>
      <c r="H1823" s="97" t="s">
        <v>58</v>
      </c>
      <c r="I1823" s="100" t="s">
        <v>58</v>
      </c>
      <c r="J1823" s="100" t="s">
        <v>58</v>
      </c>
      <c r="K1823" s="91" t="s">
        <v>58</v>
      </c>
      <c r="L1823" s="91" t="s">
        <v>60</v>
      </c>
      <c r="M1823" s="98">
        <v>0</v>
      </c>
      <c r="N1823" s="91"/>
      <c r="O1823" s="98" t="e">
        <f ca="1">(TODAY()-G1823)/365</f>
        <v>#VALUE!</v>
      </c>
      <c r="P1823" s="91" t="s">
        <v>272</v>
      </c>
      <c r="Q1823" s="91">
        <v>0</v>
      </c>
      <c r="R1823" s="91">
        <v>0</v>
      </c>
      <c r="S1823" s="91">
        <v>0</v>
      </c>
      <c r="T1823" s="91"/>
      <c r="U1823" s="91"/>
      <c r="V1823" s="91"/>
      <c r="W1823" s="91"/>
      <c r="X1823" s="91"/>
      <c r="Y1823" s="91"/>
      <c r="Z1823" s="91"/>
      <c r="AA1823" s="91"/>
      <c r="AB1823" s="91"/>
      <c r="AC1823" s="91"/>
      <c r="AD1823" s="91"/>
      <c r="AE1823" s="91"/>
      <c r="AF1823" s="91"/>
      <c r="AG1823" s="91"/>
      <c r="AH1823" s="91"/>
      <c r="AI1823" s="91"/>
      <c r="AJ1823" s="91"/>
      <c r="AK1823" s="91"/>
      <c r="AL1823" s="91"/>
      <c r="AM1823" s="91"/>
    </row>
    <row r="1824" spans="1:39" ht="20.25" hidden="1" customHeight="1">
      <c r="A1824" s="91"/>
      <c r="B1824" s="93" t="s">
        <v>6041</v>
      </c>
      <c r="C1824" s="91" t="s">
        <v>36</v>
      </c>
      <c r="D1824" s="107" t="s">
        <v>331</v>
      </c>
      <c r="E1824" s="107" t="s">
        <v>6052</v>
      </c>
      <c r="F1824" s="91" t="s">
        <v>6053</v>
      </c>
      <c r="G1824" s="96">
        <v>38084</v>
      </c>
      <c r="H1824" s="97">
        <v>25455</v>
      </c>
      <c r="I1824" s="100" t="s">
        <v>6054</v>
      </c>
      <c r="J1824" s="94" t="s">
        <v>6055</v>
      </c>
      <c r="K1824" s="91">
        <v>978850087</v>
      </c>
      <c r="L1824" s="91" t="s">
        <v>60</v>
      </c>
      <c r="M1824" s="98">
        <f ca="1">(TODAY()-H1824)/365</f>
        <v>56.293150684931504</v>
      </c>
      <c r="N1824" s="99">
        <f>(G1824-H1824)/365</f>
        <v>34.6</v>
      </c>
      <c r="O1824" s="98">
        <f ca="1">(TODAY()-G1824)/365</f>
        <v>21.693150684931506</v>
      </c>
      <c r="P1824" s="91" t="s">
        <v>43</v>
      </c>
      <c r="Q1824" s="91">
        <v>0</v>
      </c>
      <c r="R1824" s="91">
        <v>1</v>
      </c>
      <c r="S1824" s="91">
        <v>0</v>
      </c>
      <c r="T1824" s="91"/>
      <c r="U1824" s="91">
        <v>1</v>
      </c>
      <c r="V1824" s="91"/>
      <c r="W1824" s="91"/>
      <c r="X1824" s="91"/>
      <c r="Y1824" s="91"/>
      <c r="Z1824" s="91"/>
      <c r="AA1824" s="91"/>
      <c r="AB1824" s="91"/>
      <c r="AC1824" s="91"/>
      <c r="AD1824" s="91"/>
      <c r="AE1824" s="91"/>
      <c r="AF1824" s="91"/>
      <c r="AG1824" s="91"/>
      <c r="AH1824" s="91"/>
      <c r="AI1824" s="91"/>
      <c r="AJ1824" s="91"/>
      <c r="AK1824" s="91"/>
      <c r="AL1824" s="91"/>
      <c r="AM1824" s="91"/>
    </row>
    <row r="1825" spans="1:39" ht="20.25" hidden="1" customHeight="1">
      <c r="A1825" s="91"/>
      <c r="B1825" s="93" t="s">
        <v>6041</v>
      </c>
      <c r="C1825" s="91" t="s">
        <v>36</v>
      </c>
      <c r="D1825" s="107" t="s">
        <v>331</v>
      </c>
      <c r="E1825" s="107" t="s">
        <v>6056</v>
      </c>
      <c r="F1825" s="91" t="s">
        <v>6057</v>
      </c>
      <c r="G1825" s="96">
        <v>42152</v>
      </c>
      <c r="H1825" s="97">
        <v>28908</v>
      </c>
      <c r="I1825" s="100" t="s">
        <v>6058</v>
      </c>
      <c r="J1825" s="94" t="s">
        <v>6059</v>
      </c>
      <c r="K1825" s="91">
        <v>992147445</v>
      </c>
      <c r="L1825" s="91" t="s">
        <v>54</v>
      </c>
      <c r="M1825" s="98">
        <f ca="1">(TODAY()-H1825)/365</f>
        <v>46.832876712328769</v>
      </c>
      <c r="N1825" s="99">
        <f>(G1825-H1825)/365</f>
        <v>36.284931506849318</v>
      </c>
      <c r="O1825" s="98">
        <f ca="1">(TODAY()-G1825)/365</f>
        <v>10.547945205479452</v>
      </c>
      <c r="P1825" s="91" t="s">
        <v>43</v>
      </c>
      <c r="Q1825" s="91">
        <v>0</v>
      </c>
      <c r="R1825" s="91">
        <v>0</v>
      </c>
      <c r="S1825" s="91">
        <v>0</v>
      </c>
      <c r="T1825" s="91"/>
      <c r="U1825" s="91"/>
      <c r="V1825" s="91"/>
      <c r="W1825" s="91"/>
      <c r="X1825" s="91"/>
      <c r="Y1825" s="91"/>
      <c r="Z1825" s="91"/>
      <c r="AA1825" s="91"/>
      <c r="AB1825" s="91"/>
      <c r="AC1825" s="91"/>
      <c r="AD1825" s="91"/>
      <c r="AE1825" s="91"/>
      <c r="AF1825" s="91"/>
      <c r="AG1825" s="91"/>
      <c r="AH1825" s="91"/>
      <c r="AI1825" s="91"/>
      <c r="AJ1825" s="91"/>
      <c r="AK1825" s="91"/>
      <c r="AL1825" s="91"/>
      <c r="AM1825" s="91"/>
    </row>
    <row r="1826" spans="1:39" ht="20.25" hidden="1" customHeight="1">
      <c r="A1826" s="91"/>
      <c r="B1826" s="93" t="s">
        <v>6041</v>
      </c>
      <c r="C1826" s="91" t="s">
        <v>36</v>
      </c>
      <c r="D1826" s="107" t="s">
        <v>6060</v>
      </c>
      <c r="E1826" s="107" t="s">
        <v>6061</v>
      </c>
      <c r="F1826" s="91" t="s">
        <v>6062</v>
      </c>
      <c r="G1826" s="96">
        <v>41276</v>
      </c>
      <c r="H1826" s="97">
        <v>20721</v>
      </c>
      <c r="I1826" s="100" t="s">
        <v>6063</v>
      </c>
      <c r="J1826" s="94" t="s">
        <v>6064</v>
      </c>
      <c r="K1826" s="91">
        <v>977791939</v>
      </c>
      <c r="L1826" s="91" t="s">
        <v>60</v>
      </c>
      <c r="M1826" s="98">
        <f ca="1">(TODAY()-H1826)/365</f>
        <v>69.263013698630132</v>
      </c>
      <c r="N1826" s="99">
        <f>(G1826-H1826)/365</f>
        <v>56.315068493150683</v>
      </c>
      <c r="O1826" s="98">
        <f ca="1">(TODAY()-G1826)/365</f>
        <v>12.947945205479453</v>
      </c>
      <c r="P1826" s="91" t="s">
        <v>43</v>
      </c>
      <c r="Q1826" s="91">
        <v>0</v>
      </c>
      <c r="R1826" s="91">
        <v>0</v>
      </c>
      <c r="S1826" s="91">
        <v>0</v>
      </c>
      <c r="T1826" s="91"/>
      <c r="U1826" s="91"/>
      <c r="V1826" s="91"/>
      <c r="W1826" s="91"/>
      <c r="X1826" s="91"/>
      <c r="Y1826" s="91"/>
      <c r="Z1826" s="91"/>
      <c r="AA1826" s="91"/>
      <c r="AB1826" s="91"/>
      <c r="AC1826" s="91"/>
      <c r="AD1826" s="91"/>
      <c r="AE1826" s="91"/>
      <c r="AF1826" s="91"/>
      <c r="AG1826" s="91"/>
      <c r="AH1826" s="91"/>
      <c r="AI1826" s="91"/>
      <c r="AJ1826" s="91"/>
      <c r="AK1826" s="91"/>
      <c r="AL1826" s="91"/>
      <c r="AM1826" s="91"/>
    </row>
    <row r="1827" spans="1:39" ht="20.25" hidden="1" customHeight="1">
      <c r="A1827" s="91"/>
      <c r="B1827" s="93" t="s">
        <v>6041</v>
      </c>
      <c r="C1827" s="91" t="s">
        <v>36</v>
      </c>
      <c r="D1827" s="107" t="s">
        <v>866</v>
      </c>
      <c r="E1827" s="107" t="s">
        <v>6065</v>
      </c>
      <c r="F1827" s="91" t="s">
        <v>6066</v>
      </c>
      <c r="G1827" s="96">
        <v>40669</v>
      </c>
      <c r="H1827" s="97">
        <v>27005</v>
      </c>
      <c r="I1827" s="100" t="s">
        <v>6067</v>
      </c>
      <c r="J1827" s="94" t="s">
        <v>6068</v>
      </c>
      <c r="K1827" s="91">
        <v>987551743</v>
      </c>
      <c r="L1827" s="91" t="s">
        <v>66</v>
      </c>
      <c r="M1827" s="98">
        <f ca="1">(TODAY()-H1827)/365</f>
        <v>52.046575342465751</v>
      </c>
      <c r="N1827" s="99">
        <f>(G1827-H1827)/365</f>
        <v>37.435616438356163</v>
      </c>
      <c r="O1827" s="98">
        <f ca="1">(TODAY()-G1827)/365</f>
        <v>14.610958904109589</v>
      </c>
      <c r="P1827" s="91" t="s">
        <v>43</v>
      </c>
      <c r="Q1827" s="91">
        <v>0</v>
      </c>
      <c r="R1827" s="91">
        <v>0</v>
      </c>
      <c r="S1827" s="91">
        <v>0</v>
      </c>
      <c r="T1827" s="91"/>
      <c r="U1827" s="91"/>
      <c r="V1827" s="91"/>
      <c r="W1827" s="91"/>
      <c r="X1827" s="91"/>
      <c r="Y1827" s="91"/>
      <c r="Z1827" s="91"/>
      <c r="AA1827" s="91"/>
      <c r="AB1827" s="91"/>
      <c r="AC1827" s="91"/>
      <c r="AD1827" s="91"/>
      <c r="AE1827" s="91"/>
      <c r="AF1827" s="91"/>
      <c r="AG1827" s="91"/>
      <c r="AH1827" s="91"/>
      <c r="AI1827" s="91"/>
      <c r="AJ1827" s="91"/>
      <c r="AK1827" s="91"/>
      <c r="AL1827" s="91"/>
      <c r="AM1827" s="91"/>
    </row>
    <row r="1828" spans="1:39" ht="20.25" customHeight="1">
      <c r="A1828" s="91"/>
      <c r="B1828" s="93" t="s">
        <v>7434</v>
      </c>
      <c r="C1828" s="91" t="s">
        <v>73</v>
      </c>
      <c r="D1828" s="94" t="s">
        <v>7458</v>
      </c>
      <c r="E1828" s="94" t="s">
        <v>7459</v>
      </c>
      <c r="F1828" s="91" t="s">
        <v>58</v>
      </c>
      <c r="G1828" s="96">
        <v>39031</v>
      </c>
      <c r="H1828" s="97" t="s">
        <v>58</v>
      </c>
      <c r="I1828" s="100" t="s">
        <v>58</v>
      </c>
      <c r="J1828" s="100" t="s">
        <v>58</v>
      </c>
      <c r="K1828" s="91" t="s">
        <v>58</v>
      </c>
      <c r="L1828" s="91" t="s">
        <v>60</v>
      </c>
      <c r="M1828" s="98"/>
      <c r="N1828" s="91"/>
      <c r="O1828" s="98">
        <f ca="1">(TODAY()-G1828)/365</f>
        <v>19.098630136986301</v>
      </c>
      <c r="P1828" s="91" t="s">
        <v>43</v>
      </c>
      <c r="Q1828" s="91">
        <v>0</v>
      </c>
      <c r="R1828" s="91">
        <v>0</v>
      </c>
      <c r="S1828" s="91">
        <v>0</v>
      </c>
      <c r="T1828" s="91"/>
      <c r="U1828" s="91"/>
      <c r="V1828" s="91"/>
      <c r="W1828" s="91"/>
      <c r="X1828" s="91"/>
      <c r="Y1828" s="91"/>
      <c r="Z1828" s="91"/>
      <c r="AA1828" s="91"/>
      <c r="AB1828" s="91"/>
      <c r="AC1828" s="91"/>
      <c r="AD1828" s="91"/>
      <c r="AE1828" s="91"/>
      <c r="AF1828" s="91"/>
      <c r="AG1828" s="91"/>
      <c r="AH1828" s="91"/>
      <c r="AI1828" s="91"/>
      <c r="AJ1828" s="91"/>
      <c r="AK1828" s="91"/>
      <c r="AL1828" s="91"/>
      <c r="AM1828" s="91"/>
    </row>
    <row r="1829" spans="1:39" ht="20.25" hidden="1" customHeight="1">
      <c r="A1829" s="91"/>
      <c r="B1829" s="93" t="s">
        <v>6041</v>
      </c>
      <c r="C1829" s="91" t="s">
        <v>36</v>
      </c>
      <c r="D1829" s="107" t="s">
        <v>2424</v>
      </c>
      <c r="E1829" s="107" t="s">
        <v>6071</v>
      </c>
      <c r="F1829" s="91" t="s">
        <v>6072</v>
      </c>
      <c r="G1829" s="96">
        <v>40330</v>
      </c>
      <c r="H1829" s="97">
        <v>22811</v>
      </c>
      <c r="I1829" s="100" t="s">
        <v>6073</v>
      </c>
      <c r="J1829" s="94" t="s">
        <v>6074</v>
      </c>
      <c r="K1829" s="91">
        <v>989178558</v>
      </c>
      <c r="L1829" s="91" t="s">
        <v>42</v>
      </c>
      <c r="M1829" s="98">
        <f ca="1">(TODAY()-H1829)/365</f>
        <v>63.536986301369865</v>
      </c>
      <c r="N1829" s="99">
        <f>(G1829-H1829)/365</f>
        <v>47.9972602739726</v>
      </c>
      <c r="O1829" s="98">
        <f ca="1">(TODAY()-G1829)/365</f>
        <v>15.53972602739726</v>
      </c>
      <c r="P1829" s="91" t="s">
        <v>272</v>
      </c>
      <c r="Q1829" s="91">
        <v>1</v>
      </c>
      <c r="R1829" s="91">
        <v>0</v>
      </c>
      <c r="S1829" s="91">
        <v>0</v>
      </c>
      <c r="T1829" s="91"/>
      <c r="U1829" s="91"/>
      <c r="V1829" s="91"/>
      <c r="W1829" s="91"/>
      <c r="X1829" s="91"/>
      <c r="Y1829" s="91"/>
      <c r="Z1829" s="91"/>
      <c r="AA1829" s="91"/>
      <c r="AB1829" s="91"/>
      <c r="AC1829" s="91"/>
      <c r="AD1829" s="91"/>
      <c r="AE1829" s="91"/>
      <c r="AF1829" s="91"/>
      <c r="AG1829" s="91"/>
      <c r="AH1829" s="91"/>
      <c r="AI1829" s="91"/>
      <c r="AJ1829" s="91"/>
      <c r="AK1829" s="91"/>
      <c r="AL1829" s="91"/>
      <c r="AM1829" s="91"/>
    </row>
    <row r="1830" spans="1:39" ht="20.25" hidden="1" customHeight="1">
      <c r="A1830" s="91"/>
      <c r="B1830" s="93" t="s">
        <v>6041</v>
      </c>
      <c r="C1830" s="91" t="s">
        <v>36</v>
      </c>
      <c r="D1830" s="107" t="s">
        <v>6075</v>
      </c>
      <c r="E1830" s="107" t="s">
        <v>6076</v>
      </c>
      <c r="F1830" s="91" t="s">
        <v>6077</v>
      </c>
      <c r="G1830" s="96">
        <v>39410</v>
      </c>
      <c r="H1830" s="97">
        <v>21806</v>
      </c>
      <c r="I1830" s="100" t="s">
        <v>6078</v>
      </c>
      <c r="J1830" s="94" t="s">
        <v>6079</v>
      </c>
      <c r="K1830" s="91">
        <v>995144312</v>
      </c>
      <c r="L1830" s="91" t="s">
        <v>60</v>
      </c>
      <c r="M1830" s="98">
        <f ca="1">(TODAY()-H1830)/365</f>
        <v>66.290410958904104</v>
      </c>
      <c r="N1830" s="99">
        <f>(G1830-H1830)/365</f>
        <v>48.230136986301368</v>
      </c>
      <c r="O1830" s="98">
        <f ca="1">(TODAY()-G1830)/365</f>
        <v>18.06027397260274</v>
      </c>
      <c r="P1830" s="91" t="s">
        <v>43</v>
      </c>
      <c r="Q1830" s="91">
        <v>0</v>
      </c>
      <c r="R1830" s="91">
        <v>0</v>
      </c>
      <c r="S1830" s="91">
        <v>0</v>
      </c>
      <c r="T1830" s="91"/>
      <c r="U1830" s="91">
        <v>1</v>
      </c>
      <c r="V1830" s="91" t="s">
        <v>6080</v>
      </c>
      <c r="W1830" s="91"/>
      <c r="X1830" s="91"/>
      <c r="Y1830" s="91">
        <v>1</v>
      </c>
      <c r="Z1830" s="91"/>
      <c r="AA1830" s="91"/>
      <c r="AB1830" s="91"/>
      <c r="AC1830" s="91"/>
      <c r="AD1830" s="91"/>
      <c r="AE1830" s="91"/>
      <c r="AF1830" s="91"/>
      <c r="AG1830" s="91"/>
      <c r="AH1830" s="91"/>
      <c r="AI1830" s="91"/>
      <c r="AJ1830" s="91"/>
      <c r="AK1830" s="91"/>
      <c r="AL1830" s="91"/>
      <c r="AM1830" s="91"/>
    </row>
    <row r="1831" spans="1:39" ht="20.25" hidden="1" customHeight="1">
      <c r="A1831" s="91"/>
      <c r="B1831" s="93" t="s">
        <v>6041</v>
      </c>
      <c r="C1831" s="91" t="s">
        <v>36</v>
      </c>
      <c r="D1831" s="107" t="s">
        <v>6081</v>
      </c>
      <c r="E1831" s="107" t="s">
        <v>6082</v>
      </c>
      <c r="F1831" s="91" t="s">
        <v>6083</v>
      </c>
      <c r="G1831" s="96">
        <v>43647</v>
      </c>
      <c r="H1831" s="97">
        <v>23558</v>
      </c>
      <c r="I1831" s="100" t="s">
        <v>6084</v>
      </c>
      <c r="J1831" s="94" t="s">
        <v>6085</v>
      </c>
      <c r="K1831" s="91">
        <v>987803039</v>
      </c>
      <c r="L1831" s="91" t="s">
        <v>197</v>
      </c>
      <c r="M1831" s="98">
        <f ca="1">(TODAY()-H1831)/365</f>
        <v>61.490410958904107</v>
      </c>
      <c r="N1831" s="99">
        <f>(G1831-H1831)/365</f>
        <v>55.038356164383565</v>
      </c>
      <c r="O1831" s="98">
        <f ca="1">(TODAY()-G1831)/365</f>
        <v>6.4520547945205475</v>
      </c>
      <c r="P1831" s="91" t="s">
        <v>43</v>
      </c>
      <c r="Q1831" s="91">
        <v>0</v>
      </c>
      <c r="R1831" s="91">
        <v>0</v>
      </c>
      <c r="S1831" s="91">
        <v>0</v>
      </c>
      <c r="T1831" s="91"/>
      <c r="U1831" s="91"/>
      <c r="V1831" s="91"/>
      <c r="W1831" s="91"/>
      <c r="X1831" s="91"/>
      <c r="Y1831" s="91"/>
      <c r="Z1831" s="91"/>
      <c r="AA1831" s="91"/>
      <c r="AB1831" s="91"/>
      <c r="AC1831" s="91"/>
      <c r="AD1831" s="91"/>
      <c r="AE1831" s="91"/>
      <c r="AF1831" s="91"/>
      <c r="AG1831" s="91"/>
      <c r="AH1831" s="91"/>
      <c r="AI1831" s="91"/>
      <c r="AJ1831" s="91"/>
      <c r="AK1831" s="91"/>
      <c r="AL1831" s="91"/>
      <c r="AM1831" s="91"/>
    </row>
    <row r="1832" spans="1:39" ht="20.25" hidden="1" customHeight="1">
      <c r="A1832" s="91"/>
      <c r="B1832" s="93" t="s">
        <v>6041</v>
      </c>
      <c r="C1832" s="91" t="s">
        <v>36</v>
      </c>
      <c r="D1832" s="107" t="s">
        <v>6086</v>
      </c>
      <c r="E1832" s="107" t="s">
        <v>6087</v>
      </c>
      <c r="F1832" s="91" t="s">
        <v>6088</v>
      </c>
      <c r="G1832" s="96">
        <v>45054</v>
      </c>
      <c r="H1832" s="97">
        <v>23989</v>
      </c>
      <c r="I1832" s="100" t="s">
        <v>6089</v>
      </c>
      <c r="J1832" s="94" t="s">
        <v>6090</v>
      </c>
      <c r="K1832" s="91">
        <v>949908116</v>
      </c>
      <c r="L1832" s="91" t="s">
        <v>60</v>
      </c>
      <c r="M1832" s="98">
        <f ca="1">(TODAY()-H1832)/365</f>
        <v>60.30958904109589</v>
      </c>
      <c r="N1832" s="99">
        <f>(G1832-H1832)/365</f>
        <v>57.712328767123289</v>
      </c>
      <c r="O1832" s="98">
        <f ca="1">(TODAY()-G1832)/365</f>
        <v>2.5972602739726027</v>
      </c>
      <c r="P1832" s="91" t="s">
        <v>272</v>
      </c>
      <c r="Q1832" s="91">
        <v>0</v>
      </c>
      <c r="R1832" s="91">
        <v>0</v>
      </c>
      <c r="S1832" s="91">
        <v>0</v>
      </c>
      <c r="T1832" s="91"/>
      <c r="U1832" s="91"/>
      <c r="V1832" s="91"/>
      <c r="W1832" s="91"/>
      <c r="X1832" s="91"/>
      <c r="Y1832" s="91"/>
      <c r="Z1832" s="91"/>
      <c r="AA1832" s="91"/>
      <c r="AB1832" s="91"/>
      <c r="AC1832" s="91"/>
      <c r="AD1832" s="91"/>
      <c r="AE1832" s="91"/>
      <c r="AF1832" s="91"/>
      <c r="AG1832" s="91"/>
      <c r="AH1832" s="91"/>
      <c r="AI1832" s="91"/>
      <c r="AJ1832" s="91"/>
      <c r="AK1832" s="91"/>
      <c r="AL1832" s="91"/>
      <c r="AM1832" s="91"/>
    </row>
    <row r="1833" spans="1:39" ht="20.25" hidden="1" customHeight="1">
      <c r="A1833" s="91"/>
      <c r="B1833" s="93" t="s">
        <v>6041</v>
      </c>
      <c r="C1833" s="91" t="s">
        <v>36</v>
      </c>
      <c r="D1833" s="107" t="s">
        <v>666</v>
      </c>
      <c r="E1833" s="107" t="s">
        <v>6091</v>
      </c>
      <c r="F1833" s="91" t="s">
        <v>6092</v>
      </c>
      <c r="G1833" s="96">
        <v>42244</v>
      </c>
      <c r="H1833" s="97">
        <v>21106</v>
      </c>
      <c r="I1833" s="100" t="s">
        <v>6093</v>
      </c>
      <c r="J1833" s="94" t="s">
        <v>6059</v>
      </c>
      <c r="K1833" s="91">
        <v>956823430</v>
      </c>
      <c r="L1833" s="91" t="s">
        <v>60</v>
      </c>
      <c r="M1833" s="98">
        <f ca="1">(TODAY()-H1833)/365</f>
        <v>68.208219178082189</v>
      </c>
      <c r="N1833" s="99">
        <f>(G1833-H1833)/365</f>
        <v>57.912328767123284</v>
      </c>
      <c r="O1833" s="98">
        <f ca="1">(TODAY()-G1833)/365</f>
        <v>10.295890410958904</v>
      </c>
      <c r="P1833" s="91" t="s">
        <v>43</v>
      </c>
      <c r="Q1833" s="91">
        <v>0</v>
      </c>
      <c r="R1833" s="91">
        <v>0</v>
      </c>
      <c r="S1833" s="91">
        <v>0</v>
      </c>
      <c r="T1833" s="91"/>
      <c r="U1833" s="91"/>
      <c r="V1833" s="91"/>
      <c r="W1833" s="91"/>
      <c r="X1833" s="91"/>
      <c r="Y1833" s="91"/>
      <c r="Z1833" s="91"/>
      <c r="AA1833" s="91"/>
      <c r="AB1833" s="91"/>
      <c r="AC1833" s="91"/>
      <c r="AD1833" s="91"/>
      <c r="AE1833" s="91"/>
      <c r="AF1833" s="91"/>
      <c r="AG1833" s="91"/>
      <c r="AH1833" s="91"/>
      <c r="AI1833" s="91"/>
      <c r="AJ1833" s="91"/>
      <c r="AK1833" s="91"/>
      <c r="AL1833" s="91"/>
      <c r="AM1833" s="91"/>
    </row>
    <row r="1834" spans="1:39" ht="20.25" hidden="1" customHeight="1">
      <c r="A1834" s="91"/>
      <c r="B1834" s="93" t="s">
        <v>6041</v>
      </c>
      <c r="C1834" s="91" t="s">
        <v>36</v>
      </c>
      <c r="D1834" s="107" t="s">
        <v>4649</v>
      </c>
      <c r="E1834" s="107" t="s">
        <v>6094</v>
      </c>
      <c r="F1834" s="91" t="s">
        <v>6095</v>
      </c>
      <c r="G1834" s="96">
        <v>42555</v>
      </c>
      <c r="H1834" s="97">
        <v>20463</v>
      </c>
      <c r="I1834" s="100" t="s">
        <v>6096</v>
      </c>
      <c r="J1834" s="100" t="s">
        <v>6097</v>
      </c>
      <c r="K1834" s="91">
        <v>966741967</v>
      </c>
      <c r="L1834" s="91" t="s">
        <v>49</v>
      </c>
      <c r="M1834" s="98">
        <f ca="1">(TODAY()-H1834)/365</f>
        <v>69.969863013698628</v>
      </c>
      <c r="N1834" s="99">
        <f>(G1834-H1834)/365</f>
        <v>60.526027397260272</v>
      </c>
      <c r="O1834" s="98">
        <f ca="1">(TODAY()-G1834)/365</f>
        <v>9.4438356164383563</v>
      </c>
      <c r="P1834" s="91" t="s">
        <v>43</v>
      </c>
      <c r="Q1834" s="91">
        <v>0</v>
      </c>
      <c r="R1834" s="91">
        <v>0</v>
      </c>
      <c r="S1834" s="91">
        <v>0</v>
      </c>
      <c r="T1834" s="91"/>
      <c r="U1834" s="91"/>
      <c r="V1834" s="91"/>
      <c r="W1834" s="91"/>
      <c r="X1834" s="91"/>
      <c r="Y1834" s="91"/>
      <c r="Z1834" s="91"/>
      <c r="AA1834" s="91"/>
      <c r="AB1834" s="91"/>
      <c r="AC1834" s="91"/>
      <c r="AD1834" s="91"/>
      <c r="AE1834" s="91"/>
      <c r="AF1834" s="91"/>
      <c r="AG1834" s="91"/>
      <c r="AH1834" s="91"/>
      <c r="AI1834" s="91"/>
      <c r="AJ1834" s="91"/>
      <c r="AK1834" s="91"/>
      <c r="AL1834" s="91"/>
      <c r="AM1834" s="91"/>
    </row>
    <row r="1835" spans="1:39" ht="20.25" hidden="1" customHeight="1">
      <c r="A1835" s="91"/>
      <c r="B1835" s="93" t="s">
        <v>6041</v>
      </c>
      <c r="C1835" s="91" t="s">
        <v>36</v>
      </c>
      <c r="D1835" s="107" t="s">
        <v>576</v>
      </c>
      <c r="E1835" s="107" t="s">
        <v>6098</v>
      </c>
      <c r="F1835" s="91" t="s">
        <v>6099</v>
      </c>
      <c r="G1835" s="96">
        <v>42493</v>
      </c>
      <c r="H1835" s="97">
        <v>20158</v>
      </c>
      <c r="I1835" s="100" t="s">
        <v>58</v>
      </c>
      <c r="J1835" s="94" t="s">
        <v>6100</v>
      </c>
      <c r="K1835" s="91">
        <v>984688334</v>
      </c>
      <c r="L1835" s="91" t="s">
        <v>60</v>
      </c>
      <c r="M1835" s="98">
        <f ca="1">(TODAY()-H1835)/365</f>
        <v>70.805479452054797</v>
      </c>
      <c r="N1835" s="99">
        <f>(G1835-H1835)/365</f>
        <v>61.19178082191781</v>
      </c>
      <c r="O1835" s="98">
        <f ca="1">(TODAY()-G1835)/365</f>
        <v>9.6136986301369856</v>
      </c>
      <c r="P1835" s="91" t="s">
        <v>43</v>
      </c>
      <c r="Q1835" s="91">
        <v>0</v>
      </c>
      <c r="R1835" s="91">
        <v>0</v>
      </c>
      <c r="S1835" s="91">
        <v>0</v>
      </c>
      <c r="T1835" s="91"/>
      <c r="U1835" s="91">
        <v>1</v>
      </c>
      <c r="V1835" s="91"/>
      <c r="W1835" s="91"/>
      <c r="X1835" s="91"/>
      <c r="Y1835" s="91"/>
      <c r="Z1835" s="91"/>
      <c r="AA1835" s="91"/>
      <c r="AB1835" s="91"/>
      <c r="AC1835" s="91"/>
      <c r="AD1835" s="91"/>
      <c r="AE1835" s="91"/>
      <c r="AF1835" s="91"/>
      <c r="AG1835" s="91"/>
      <c r="AH1835" s="91"/>
      <c r="AI1835" s="91"/>
      <c r="AJ1835" s="91"/>
      <c r="AK1835" s="91"/>
      <c r="AL1835" s="91"/>
      <c r="AM1835" s="91"/>
    </row>
    <row r="1836" spans="1:39" ht="20.25" hidden="1" customHeight="1">
      <c r="A1836" s="91"/>
      <c r="B1836" s="93" t="s">
        <v>6041</v>
      </c>
      <c r="C1836" s="91" t="s">
        <v>36</v>
      </c>
      <c r="D1836" s="107" t="s">
        <v>343</v>
      </c>
      <c r="E1836" s="107" t="s">
        <v>6101</v>
      </c>
      <c r="F1836" s="91" t="s">
        <v>6102</v>
      </c>
      <c r="G1836" s="97" t="s">
        <v>58</v>
      </c>
      <c r="H1836" s="97">
        <v>27061</v>
      </c>
      <c r="I1836" s="100" t="s">
        <v>6103</v>
      </c>
      <c r="J1836" s="94" t="s">
        <v>6104</v>
      </c>
      <c r="K1836" s="91" t="s">
        <v>58</v>
      </c>
      <c r="L1836" s="91" t="s">
        <v>60</v>
      </c>
      <c r="M1836" s="98">
        <f ca="1">(TODAY()-H1836)/365</f>
        <v>51.893150684931506</v>
      </c>
      <c r="N1836" s="99" t="e">
        <f>(G1836-H1836)/365</f>
        <v>#VALUE!</v>
      </c>
      <c r="O1836" s="98" t="e">
        <f ca="1">(TODAY()-G1836)/365</f>
        <v>#VALUE!</v>
      </c>
      <c r="P1836" s="91" t="s">
        <v>43</v>
      </c>
      <c r="Q1836" s="91">
        <v>0</v>
      </c>
      <c r="R1836" s="91">
        <v>0</v>
      </c>
      <c r="S1836" s="91">
        <v>0</v>
      </c>
      <c r="T1836" s="91"/>
      <c r="U1836" s="91"/>
      <c r="V1836" s="91"/>
      <c r="W1836" s="91"/>
      <c r="X1836" s="91"/>
      <c r="Y1836" s="91"/>
      <c r="Z1836" s="91"/>
      <c r="AA1836" s="91"/>
      <c r="AB1836" s="91"/>
      <c r="AC1836" s="91"/>
      <c r="AD1836" s="91"/>
      <c r="AE1836" s="91"/>
      <c r="AF1836" s="91"/>
      <c r="AG1836" s="91"/>
      <c r="AH1836" s="91"/>
      <c r="AI1836" s="91"/>
      <c r="AJ1836" s="91"/>
      <c r="AK1836" s="91"/>
      <c r="AL1836" s="91"/>
      <c r="AM1836" s="91"/>
    </row>
    <row r="1837" spans="1:39" ht="20.25" customHeight="1">
      <c r="A1837" s="91"/>
      <c r="B1837" s="93" t="s">
        <v>11748</v>
      </c>
      <c r="C1837" s="91" t="s">
        <v>73</v>
      </c>
      <c r="D1837" s="107" t="s">
        <v>451</v>
      </c>
      <c r="E1837" s="107" t="s">
        <v>2822</v>
      </c>
      <c r="F1837" s="91" t="s">
        <v>2823</v>
      </c>
      <c r="G1837" s="96">
        <v>37510</v>
      </c>
      <c r="H1837" s="97">
        <v>21619</v>
      </c>
      <c r="I1837" s="94" t="s">
        <v>58</v>
      </c>
      <c r="J1837" s="94" t="s">
        <v>58</v>
      </c>
      <c r="K1837" s="95" t="s">
        <v>58</v>
      </c>
      <c r="L1837" s="91" t="s">
        <v>60</v>
      </c>
      <c r="M1837" s="98">
        <f ca="1">(TODAY()-H1837)/365</f>
        <v>66.802739726027397</v>
      </c>
      <c r="N1837" s="99">
        <f>(G1837-H1837)/365</f>
        <v>43.536986301369865</v>
      </c>
      <c r="O1837" s="98">
        <f ca="1">(TODAY()-G1837)/365</f>
        <v>23.265753424657536</v>
      </c>
      <c r="P1837" s="91" t="s">
        <v>43</v>
      </c>
      <c r="Q1837" s="91">
        <v>0</v>
      </c>
      <c r="R1837" s="91">
        <v>0</v>
      </c>
      <c r="S1837" s="91">
        <v>0</v>
      </c>
      <c r="T1837" s="91"/>
      <c r="U1837" s="91"/>
      <c r="V1837" s="91"/>
      <c r="W1837" s="91"/>
      <c r="X1837" s="91"/>
      <c r="Y1837" s="91"/>
      <c r="Z1837" s="91"/>
      <c r="AA1837" s="91"/>
      <c r="AB1837" s="91"/>
      <c r="AC1837" s="91"/>
      <c r="AD1837" s="91"/>
      <c r="AE1837" s="91"/>
      <c r="AF1837" s="91"/>
      <c r="AG1837" s="91"/>
      <c r="AH1837" s="91"/>
      <c r="AI1837" s="91"/>
      <c r="AJ1837" s="91"/>
      <c r="AK1837" s="91"/>
      <c r="AL1837" s="91"/>
      <c r="AM1837" s="91"/>
    </row>
    <row r="1838" spans="1:39" ht="20.25" hidden="1" customHeight="1">
      <c r="A1838" s="91"/>
      <c r="B1838" s="93" t="s">
        <v>11116</v>
      </c>
      <c r="C1838" s="91" t="s">
        <v>36</v>
      </c>
      <c r="D1838" s="106" t="s">
        <v>11119</v>
      </c>
      <c r="E1838" s="106" t="s">
        <v>11120</v>
      </c>
      <c r="F1838" s="92" t="s">
        <v>11121</v>
      </c>
      <c r="G1838" s="103">
        <v>41890</v>
      </c>
      <c r="H1838" s="103">
        <v>19042</v>
      </c>
      <c r="I1838" s="94" t="s">
        <v>11122</v>
      </c>
      <c r="J1838" s="94" t="s">
        <v>11123</v>
      </c>
      <c r="K1838" s="92" t="s">
        <v>11124</v>
      </c>
      <c r="L1838" s="91"/>
      <c r="M1838" s="98">
        <f ca="1">(TODAY()-H1838)/365</f>
        <v>73.863013698630141</v>
      </c>
      <c r="N1838" s="99">
        <f>(G1838-H1838)/365</f>
        <v>62.597260273972601</v>
      </c>
      <c r="O1838" s="98">
        <f ca="1">(TODAY()-G1838)/365</f>
        <v>11.265753424657534</v>
      </c>
      <c r="P1838" s="91" t="s">
        <v>272</v>
      </c>
      <c r="Q1838" s="91"/>
      <c r="R1838" s="91"/>
      <c r="S1838" s="91"/>
      <c r="T1838" s="91"/>
      <c r="U1838" s="91"/>
      <c r="V1838" s="91"/>
      <c r="W1838" s="91"/>
      <c r="X1838" s="91"/>
      <c r="Y1838" s="91"/>
      <c r="Z1838" s="91"/>
      <c r="AA1838" s="91"/>
      <c r="AB1838" s="91"/>
      <c r="AC1838" s="91"/>
      <c r="AD1838" s="91"/>
      <c r="AE1838" s="91"/>
      <c r="AF1838" s="91"/>
      <c r="AG1838" s="91"/>
      <c r="AH1838" s="91"/>
      <c r="AI1838" s="91"/>
      <c r="AJ1838" s="91"/>
      <c r="AK1838" s="91"/>
      <c r="AL1838" s="91"/>
      <c r="AM1838" s="91"/>
    </row>
    <row r="1839" spans="1:39" ht="20.25" hidden="1" customHeight="1">
      <c r="A1839" s="91"/>
      <c r="B1839" s="93" t="s">
        <v>11116</v>
      </c>
      <c r="C1839" s="91" t="s">
        <v>36</v>
      </c>
      <c r="D1839" s="106" t="s">
        <v>11125</v>
      </c>
      <c r="E1839" s="106" t="s">
        <v>11126</v>
      </c>
      <c r="F1839" s="92" t="s">
        <v>11127</v>
      </c>
      <c r="G1839" s="103">
        <v>41341</v>
      </c>
      <c r="H1839" s="103">
        <v>22495</v>
      </c>
      <c r="I1839" s="94" t="s">
        <v>58</v>
      </c>
      <c r="J1839" s="100" t="s">
        <v>58</v>
      </c>
      <c r="K1839" s="92" t="s">
        <v>11128</v>
      </c>
      <c r="L1839" s="91"/>
      <c r="M1839" s="98">
        <f ca="1">(TODAY()-H1839)/365</f>
        <v>64.402739726027391</v>
      </c>
      <c r="N1839" s="99">
        <f>(G1839-H1839)/365</f>
        <v>51.632876712328766</v>
      </c>
      <c r="O1839" s="98">
        <f ca="1">(TODAY()-G1839)/365</f>
        <v>12.769863013698631</v>
      </c>
      <c r="P1839" s="91" t="s">
        <v>43</v>
      </c>
      <c r="Q1839" s="91"/>
      <c r="R1839" s="91"/>
      <c r="S1839" s="91"/>
      <c r="T1839" s="91"/>
      <c r="U1839" s="91"/>
      <c r="V1839" s="91"/>
      <c r="W1839" s="91"/>
      <c r="X1839" s="91"/>
      <c r="Y1839" s="91"/>
      <c r="Z1839" s="91"/>
      <c r="AA1839" s="91"/>
      <c r="AB1839" s="91"/>
      <c r="AC1839" s="91"/>
      <c r="AD1839" s="91"/>
      <c r="AE1839" s="91"/>
      <c r="AF1839" s="91"/>
      <c r="AG1839" s="91"/>
      <c r="AH1839" s="91"/>
      <c r="AI1839" s="91"/>
      <c r="AJ1839" s="91"/>
      <c r="AK1839" s="91"/>
      <c r="AL1839" s="91"/>
      <c r="AM1839" s="91"/>
    </row>
    <row r="1840" spans="1:39" ht="20.25" hidden="1" customHeight="1">
      <c r="A1840" s="91"/>
      <c r="B1840" s="93" t="s">
        <v>11116</v>
      </c>
      <c r="C1840" s="91" t="s">
        <v>36</v>
      </c>
      <c r="D1840" s="106" t="s">
        <v>11129</v>
      </c>
      <c r="E1840" s="106" t="s">
        <v>11130</v>
      </c>
      <c r="F1840" s="92" t="s">
        <v>11131</v>
      </c>
      <c r="G1840" s="103">
        <v>41341</v>
      </c>
      <c r="H1840" s="103">
        <v>22587</v>
      </c>
      <c r="I1840" s="94" t="s">
        <v>11132</v>
      </c>
      <c r="J1840" s="94" t="s">
        <v>11133</v>
      </c>
      <c r="K1840" s="92" t="s">
        <v>11134</v>
      </c>
      <c r="L1840" s="91"/>
      <c r="M1840" s="98">
        <f ca="1">(TODAY()-H1840)/365</f>
        <v>64.150684931506845</v>
      </c>
      <c r="N1840" s="99">
        <f>(G1840-H1840)/365</f>
        <v>51.38082191780822</v>
      </c>
      <c r="O1840" s="98">
        <f ca="1">(TODAY()-G1840)/365</f>
        <v>12.769863013698631</v>
      </c>
      <c r="P1840" s="91" t="s">
        <v>43</v>
      </c>
      <c r="Q1840" s="91"/>
      <c r="R1840" s="91"/>
      <c r="S1840" s="91"/>
      <c r="T1840" s="91"/>
      <c r="U1840" s="91"/>
      <c r="V1840" s="91"/>
      <c r="W1840" s="91"/>
      <c r="X1840" s="91"/>
      <c r="Y1840" s="91"/>
      <c r="Z1840" s="91"/>
      <c r="AA1840" s="91"/>
      <c r="AB1840" s="91"/>
      <c r="AC1840" s="91"/>
      <c r="AD1840" s="91"/>
      <c r="AE1840" s="91"/>
      <c r="AF1840" s="91"/>
      <c r="AG1840" s="91"/>
      <c r="AH1840" s="91"/>
      <c r="AI1840" s="91"/>
      <c r="AJ1840" s="91"/>
      <c r="AK1840" s="91"/>
      <c r="AL1840" s="91"/>
      <c r="AM1840" s="91"/>
    </row>
    <row r="1841" spans="1:39" ht="20.25" hidden="1" customHeight="1">
      <c r="A1841" s="91"/>
      <c r="B1841" s="93" t="s">
        <v>11116</v>
      </c>
      <c r="C1841" s="91" t="s">
        <v>36</v>
      </c>
      <c r="D1841" s="106" t="s">
        <v>4649</v>
      </c>
      <c r="E1841" s="106" t="s">
        <v>11135</v>
      </c>
      <c r="F1841" s="92" t="s">
        <v>11136</v>
      </c>
      <c r="G1841" s="103">
        <v>41163</v>
      </c>
      <c r="H1841" s="103">
        <v>16798</v>
      </c>
      <c r="I1841" s="94" t="s">
        <v>58</v>
      </c>
      <c r="J1841" s="100" t="s">
        <v>58</v>
      </c>
      <c r="K1841" s="92" t="s">
        <v>11137</v>
      </c>
      <c r="L1841" s="91"/>
      <c r="M1841" s="98">
        <f ca="1">(TODAY()-H1841)/365</f>
        <v>80.010958904109586</v>
      </c>
      <c r="N1841" s="99">
        <f>(G1841-H1841)/365</f>
        <v>66.753424657534254</v>
      </c>
      <c r="O1841" s="98">
        <f ca="1">(TODAY()-G1841)/365</f>
        <v>13.257534246575343</v>
      </c>
      <c r="P1841" s="91" t="s">
        <v>43</v>
      </c>
      <c r="Q1841" s="91"/>
      <c r="R1841" s="91"/>
      <c r="S1841" s="91"/>
      <c r="T1841" s="91"/>
      <c r="U1841" s="91"/>
      <c r="V1841" s="91"/>
      <c r="W1841" s="91"/>
      <c r="X1841" s="91"/>
      <c r="Y1841" s="91"/>
      <c r="Z1841" s="91"/>
      <c r="AA1841" s="91"/>
      <c r="AB1841" s="91"/>
      <c r="AC1841" s="91"/>
      <c r="AD1841" s="91"/>
      <c r="AE1841" s="91"/>
      <c r="AF1841" s="91"/>
      <c r="AG1841" s="91"/>
      <c r="AH1841" s="91"/>
      <c r="AI1841" s="91"/>
      <c r="AJ1841" s="91"/>
      <c r="AK1841" s="91"/>
      <c r="AL1841" s="91"/>
      <c r="AM1841" s="91"/>
    </row>
    <row r="1842" spans="1:39" ht="20.25" hidden="1" customHeight="1">
      <c r="A1842" s="91"/>
      <c r="B1842" s="93" t="s">
        <v>11116</v>
      </c>
      <c r="C1842" s="91" t="s">
        <v>36</v>
      </c>
      <c r="D1842" s="106" t="s">
        <v>11138</v>
      </c>
      <c r="E1842" s="106" t="s">
        <v>11135</v>
      </c>
      <c r="F1842" s="92" t="s">
        <v>11139</v>
      </c>
      <c r="G1842" s="103">
        <v>42957</v>
      </c>
      <c r="H1842" s="103">
        <v>24854</v>
      </c>
      <c r="I1842" s="94" t="s">
        <v>11140</v>
      </c>
      <c r="J1842" s="94" t="s">
        <v>11141</v>
      </c>
      <c r="K1842" s="92" t="s">
        <v>11142</v>
      </c>
      <c r="L1842" s="91"/>
      <c r="M1842" s="98">
        <f ca="1">(TODAY()-H1842)/365</f>
        <v>57.939726027397263</v>
      </c>
      <c r="N1842" s="99">
        <f>(G1842-H1842)/365</f>
        <v>49.597260273972601</v>
      </c>
      <c r="O1842" s="98">
        <f ca="1">(TODAY()-G1842)/365</f>
        <v>8.3424657534246567</v>
      </c>
      <c r="P1842" s="91" t="s">
        <v>43</v>
      </c>
      <c r="Q1842" s="91"/>
      <c r="R1842" s="91"/>
      <c r="S1842" s="91"/>
      <c r="T1842" s="91"/>
      <c r="U1842" s="91"/>
      <c r="V1842" s="91"/>
      <c r="W1842" s="91"/>
      <c r="X1842" s="91"/>
      <c r="Y1842" s="91"/>
      <c r="Z1842" s="91"/>
      <c r="AA1842" s="91"/>
      <c r="AB1842" s="91"/>
      <c r="AC1842" s="91"/>
      <c r="AD1842" s="91"/>
      <c r="AE1842" s="91"/>
      <c r="AF1842" s="91"/>
      <c r="AG1842" s="91"/>
      <c r="AH1842" s="91"/>
      <c r="AI1842" s="91"/>
      <c r="AJ1842" s="91"/>
      <c r="AK1842" s="91"/>
      <c r="AL1842" s="91"/>
      <c r="AM1842" s="91"/>
    </row>
    <row r="1843" spans="1:39" ht="20.25" hidden="1" customHeight="1">
      <c r="A1843" s="91"/>
      <c r="B1843" s="93" t="s">
        <v>11116</v>
      </c>
      <c r="C1843" s="91" t="s">
        <v>36</v>
      </c>
      <c r="D1843" s="106" t="s">
        <v>3335</v>
      </c>
      <c r="E1843" s="106" t="s">
        <v>8511</v>
      </c>
      <c r="F1843" s="92" t="s">
        <v>8512</v>
      </c>
      <c r="G1843" s="103">
        <v>40662</v>
      </c>
      <c r="H1843" s="103">
        <v>22011</v>
      </c>
      <c r="I1843" s="108" t="s">
        <v>12641</v>
      </c>
      <c r="J1843" s="94" t="s">
        <v>11143</v>
      </c>
      <c r="K1843" s="92" t="s">
        <v>11144</v>
      </c>
      <c r="L1843" s="91"/>
      <c r="M1843" s="98">
        <f ca="1">(TODAY()-H1843)/365</f>
        <v>65.728767123287668</v>
      </c>
      <c r="N1843" s="99">
        <f>(G1843-H1843)/365</f>
        <v>51.098630136986301</v>
      </c>
      <c r="O1843" s="98">
        <f ca="1">(TODAY()-G1843)/365</f>
        <v>14.63013698630137</v>
      </c>
      <c r="P1843" s="91" t="s">
        <v>43</v>
      </c>
      <c r="Q1843" s="91"/>
      <c r="R1843" s="91"/>
      <c r="S1843" s="91"/>
      <c r="T1843" s="91"/>
      <c r="U1843" s="91"/>
      <c r="V1843" s="91"/>
      <c r="W1843" s="91"/>
      <c r="X1843" s="91"/>
      <c r="Y1843" s="91"/>
      <c r="Z1843" s="91"/>
      <c r="AA1843" s="91"/>
      <c r="AB1843" s="91"/>
      <c r="AC1843" s="91"/>
      <c r="AD1843" s="91"/>
      <c r="AE1843" s="91"/>
      <c r="AF1843" s="91"/>
      <c r="AG1843" s="91"/>
      <c r="AH1843" s="91"/>
      <c r="AI1843" s="91"/>
      <c r="AJ1843" s="91"/>
      <c r="AK1843" s="91"/>
      <c r="AL1843" s="91"/>
      <c r="AM1843" s="91"/>
    </row>
    <row r="1844" spans="1:39" ht="20.25" hidden="1" customHeight="1">
      <c r="A1844" s="91"/>
      <c r="B1844" s="93" t="s">
        <v>11116</v>
      </c>
      <c r="C1844" s="91" t="s">
        <v>36</v>
      </c>
      <c r="D1844" s="106" t="s">
        <v>226</v>
      </c>
      <c r="E1844" s="106" t="s">
        <v>11145</v>
      </c>
      <c r="F1844" s="92" t="s">
        <v>11146</v>
      </c>
      <c r="G1844" s="103">
        <v>41775</v>
      </c>
      <c r="H1844" s="103">
        <v>19773</v>
      </c>
      <c r="I1844" s="94" t="s">
        <v>11147</v>
      </c>
      <c r="J1844" s="94" t="s">
        <v>11148</v>
      </c>
      <c r="K1844" s="92" t="s">
        <v>11149</v>
      </c>
      <c r="L1844" s="91"/>
      <c r="M1844" s="98">
        <f ca="1">(TODAY()-H1844)/365</f>
        <v>71.860273972602741</v>
      </c>
      <c r="N1844" s="99">
        <f>(G1844-H1844)/365</f>
        <v>60.279452054794518</v>
      </c>
      <c r="O1844" s="98">
        <f ca="1">(TODAY()-G1844)/365</f>
        <v>11.580821917808219</v>
      </c>
      <c r="P1844" s="91" t="s">
        <v>43</v>
      </c>
      <c r="Q1844" s="91"/>
      <c r="R1844" s="91"/>
      <c r="S1844" s="91"/>
      <c r="T1844" s="91"/>
      <c r="U1844" s="91"/>
      <c r="V1844" s="91"/>
      <c r="W1844" s="91"/>
      <c r="X1844" s="91"/>
      <c r="Y1844" s="91"/>
      <c r="Z1844" s="91"/>
      <c r="AA1844" s="91"/>
      <c r="AB1844" s="91"/>
      <c r="AC1844" s="91"/>
      <c r="AD1844" s="91"/>
      <c r="AE1844" s="91"/>
      <c r="AF1844" s="91"/>
      <c r="AG1844" s="91"/>
      <c r="AH1844" s="91"/>
      <c r="AI1844" s="91"/>
      <c r="AJ1844" s="91"/>
      <c r="AK1844" s="91"/>
      <c r="AL1844" s="91"/>
      <c r="AM1844" s="91"/>
    </row>
    <row r="1845" spans="1:39" ht="20.25" hidden="1" customHeight="1">
      <c r="A1845" s="91"/>
      <c r="B1845" s="93" t="s">
        <v>11116</v>
      </c>
      <c r="C1845" s="91" t="s">
        <v>36</v>
      </c>
      <c r="D1845" s="106" t="s">
        <v>3932</v>
      </c>
      <c r="E1845" s="106" t="s">
        <v>11150</v>
      </c>
      <c r="F1845" s="92" t="s">
        <v>11151</v>
      </c>
      <c r="G1845" s="103">
        <v>41132</v>
      </c>
      <c r="H1845" s="103">
        <v>18887</v>
      </c>
      <c r="I1845" s="94" t="s">
        <v>11152</v>
      </c>
      <c r="J1845" s="94" t="s">
        <v>11153</v>
      </c>
      <c r="K1845" s="92" t="s">
        <v>11154</v>
      </c>
      <c r="L1845" s="91"/>
      <c r="M1845" s="98">
        <f ca="1">(TODAY()-H1845)/365</f>
        <v>74.287671232876718</v>
      </c>
      <c r="N1845" s="99">
        <f>(G1845-H1845)/365</f>
        <v>60.945205479452056</v>
      </c>
      <c r="O1845" s="98">
        <f ca="1">(TODAY()-G1845)/365</f>
        <v>13.342465753424657</v>
      </c>
      <c r="P1845" s="91" t="s">
        <v>43</v>
      </c>
      <c r="Q1845" s="91"/>
      <c r="R1845" s="91"/>
      <c r="S1845" s="91"/>
      <c r="T1845" s="91"/>
      <c r="U1845" s="91"/>
      <c r="V1845" s="91"/>
      <c r="W1845" s="91"/>
      <c r="X1845" s="91"/>
      <c r="Y1845" s="91"/>
      <c r="Z1845" s="91"/>
      <c r="AA1845" s="91"/>
      <c r="AB1845" s="91"/>
      <c r="AC1845" s="91"/>
      <c r="AD1845" s="91"/>
      <c r="AE1845" s="91"/>
      <c r="AF1845" s="91"/>
      <c r="AG1845" s="91"/>
      <c r="AH1845" s="91"/>
      <c r="AI1845" s="91"/>
      <c r="AJ1845" s="91"/>
      <c r="AK1845" s="91"/>
      <c r="AL1845" s="91"/>
      <c r="AM1845" s="91"/>
    </row>
    <row r="1846" spans="1:39" ht="20.25" hidden="1" customHeight="1">
      <c r="A1846" s="91"/>
      <c r="B1846" s="93" t="s">
        <v>11116</v>
      </c>
      <c r="C1846" s="91" t="s">
        <v>36</v>
      </c>
      <c r="D1846" s="106" t="s">
        <v>5416</v>
      </c>
      <c r="E1846" s="106" t="s">
        <v>11155</v>
      </c>
      <c r="F1846" s="92" t="s">
        <v>11156</v>
      </c>
      <c r="G1846" s="103">
        <v>41341</v>
      </c>
      <c r="H1846" s="103">
        <v>27388</v>
      </c>
      <c r="I1846" s="94" t="s">
        <v>11157</v>
      </c>
      <c r="J1846" s="94" t="s">
        <v>11158</v>
      </c>
      <c r="K1846" s="92" t="s">
        <v>11159</v>
      </c>
      <c r="L1846" s="91"/>
      <c r="M1846" s="98">
        <f ca="1">(TODAY()-H1846)/365</f>
        <v>50.9972602739726</v>
      </c>
      <c r="N1846" s="99">
        <f>(G1846-H1846)/365</f>
        <v>38.227397260273975</v>
      </c>
      <c r="O1846" s="98">
        <f ca="1">(TODAY()-G1846)/365</f>
        <v>12.769863013698631</v>
      </c>
      <c r="P1846" s="91" t="s">
        <v>43</v>
      </c>
      <c r="Q1846" s="91"/>
      <c r="R1846" s="91"/>
      <c r="S1846" s="91"/>
      <c r="T1846" s="91"/>
      <c r="U1846" s="91"/>
      <c r="V1846" s="91"/>
      <c r="W1846" s="91"/>
      <c r="X1846" s="91"/>
      <c r="Y1846" s="91"/>
      <c r="Z1846" s="91"/>
      <c r="AA1846" s="91"/>
      <c r="AB1846" s="91"/>
      <c r="AC1846" s="91"/>
      <c r="AD1846" s="91"/>
      <c r="AE1846" s="91"/>
      <c r="AF1846" s="91"/>
      <c r="AG1846" s="91"/>
      <c r="AH1846" s="91"/>
      <c r="AI1846" s="91"/>
      <c r="AJ1846" s="91"/>
      <c r="AK1846" s="91"/>
      <c r="AL1846" s="91"/>
      <c r="AM1846" s="91"/>
    </row>
    <row r="1847" spans="1:39" ht="20.25" hidden="1" customHeight="1">
      <c r="A1847" s="91"/>
      <c r="B1847" s="93" t="s">
        <v>11116</v>
      </c>
      <c r="C1847" s="91" t="s">
        <v>36</v>
      </c>
      <c r="D1847" s="106" t="s">
        <v>11160</v>
      </c>
      <c r="E1847" s="106" t="s">
        <v>11161</v>
      </c>
      <c r="F1847" s="92" t="s">
        <v>11162</v>
      </c>
      <c r="G1847" s="103">
        <v>45033</v>
      </c>
      <c r="H1847" s="103">
        <v>23706</v>
      </c>
      <c r="I1847" s="94" t="s">
        <v>11163</v>
      </c>
      <c r="J1847" s="100" t="s">
        <v>58</v>
      </c>
      <c r="K1847" s="92" t="s">
        <v>11164</v>
      </c>
      <c r="L1847" s="91"/>
      <c r="M1847" s="98">
        <f ca="1">(TODAY()-H1847)/365</f>
        <v>61.084931506849315</v>
      </c>
      <c r="N1847" s="99">
        <f>(G1847-H1847)/365</f>
        <v>58.43013698630137</v>
      </c>
      <c r="O1847" s="98">
        <f ca="1">(TODAY()-G1847)/365</f>
        <v>2.6547945205479451</v>
      </c>
      <c r="P1847" s="91" t="s">
        <v>43</v>
      </c>
      <c r="Q1847" s="91"/>
      <c r="R1847" s="91"/>
      <c r="S1847" s="91"/>
      <c r="T1847" s="91"/>
      <c r="U1847" s="91"/>
      <c r="V1847" s="91"/>
      <c r="W1847" s="91"/>
      <c r="X1847" s="91"/>
      <c r="Y1847" s="91"/>
      <c r="Z1847" s="91"/>
      <c r="AA1847" s="91"/>
      <c r="AB1847" s="91"/>
      <c r="AC1847" s="91"/>
      <c r="AD1847" s="91"/>
      <c r="AE1847" s="91"/>
      <c r="AF1847" s="91"/>
      <c r="AG1847" s="91"/>
      <c r="AH1847" s="91"/>
      <c r="AI1847" s="91"/>
      <c r="AJ1847" s="91"/>
      <c r="AK1847" s="91"/>
      <c r="AL1847" s="91"/>
      <c r="AM1847" s="91"/>
    </row>
    <row r="1848" spans="1:39" ht="20.25" hidden="1" customHeight="1">
      <c r="A1848" s="91"/>
      <c r="B1848" s="93" t="s">
        <v>11116</v>
      </c>
      <c r="C1848" s="91" t="s">
        <v>36</v>
      </c>
      <c r="D1848" s="106" t="s">
        <v>11165</v>
      </c>
      <c r="E1848" s="106" t="s">
        <v>11166</v>
      </c>
      <c r="F1848" s="92" t="s">
        <v>11167</v>
      </c>
      <c r="G1848" s="103">
        <v>45233</v>
      </c>
      <c r="H1848" s="103">
        <v>34408</v>
      </c>
      <c r="I1848" s="94" t="s">
        <v>11168</v>
      </c>
      <c r="J1848" s="100" t="s">
        <v>58</v>
      </c>
      <c r="K1848" s="92" t="s">
        <v>11169</v>
      </c>
      <c r="L1848" s="91"/>
      <c r="M1848" s="98">
        <f ca="1">(TODAY()-H1848)/365</f>
        <v>31.764383561643836</v>
      </c>
      <c r="N1848" s="99">
        <f>(G1848-H1848)/365</f>
        <v>29.657534246575342</v>
      </c>
      <c r="O1848" s="98">
        <f ca="1">(TODAY()-G1848)/365</f>
        <v>2.106849315068493</v>
      </c>
      <c r="P1848" s="91" t="s">
        <v>43</v>
      </c>
      <c r="Q1848" s="91"/>
      <c r="R1848" s="91"/>
      <c r="S1848" s="91"/>
      <c r="T1848" s="91"/>
      <c r="U1848" s="91"/>
      <c r="V1848" s="91"/>
      <c r="W1848" s="91"/>
      <c r="X1848" s="91"/>
      <c r="Y1848" s="91"/>
      <c r="Z1848" s="91"/>
      <c r="AA1848" s="91"/>
      <c r="AB1848" s="91"/>
      <c r="AC1848" s="91"/>
      <c r="AD1848" s="91"/>
      <c r="AE1848" s="91"/>
      <c r="AF1848" s="91"/>
      <c r="AG1848" s="91"/>
      <c r="AH1848" s="91"/>
      <c r="AI1848" s="91"/>
      <c r="AJ1848" s="91"/>
      <c r="AK1848" s="91"/>
      <c r="AL1848" s="91"/>
      <c r="AM1848" s="91"/>
    </row>
    <row r="1849" spans="1:39" ht="20.25" hidden="1" customHeight="1">
      <c r="A1849" s="91"/>
      <c r="B1849" s="93" t="s">
        <v>11873</v>
      </c>
      <c r="C1849" s="91" t="s">
        <v>36</v>
      </c>
      <c r="D1849" s="106" t="s">
        <v>180</v>
      </c>
      <c r="E1849" s="106" t="s">
        <v>6105</v>
      </c>
      <c r="F1849" s="92" t="s">
        <v>6106</v>
      </c>
      <c r="G1849" s="96">
        <v>20979</v>
      </c>
      <c r="H1849" s="97">
        <v>14317</v>
      </c>
      <c r="I1849" s="100" t="s">
        <v>58</v>
      </c>
      <c r="J1849" s="94" t="s">
        <v>6107</v>
      </c>
      <c r="K1849" s="91" t="s">
        <v>58</v>
      </c>
      <c r="L1849" s="91" t="s">
        <v>60</v>
      </c>
      <c r="M1849" s="98">
        <f ca="1">(TODAY()-H1849)/365</f>
        <v>86.808219178082197</v>
      </c>
      <c r="N1849" s="99">
        <f>(G1849-H1849)/365</f>
        <v>18.252054794520546</v>
      </c>
      <c r="O1849" s="98">
        <f ca="1">(TODAY()-G1849)/365</f>
        <v>68.556164383561651</v>
      </c>
      <c r="P1849" s="91" t="s">
        <v>43</v>
      </c>
      <c r="Q1849" s="91">
        <v>0</v>
      </c>
      <c r="R1849" s="91">
        <v>0</v>
      </c>
      <c r="S1849" s="91">
        <v>0</v>
      </c>
      <c r="T1849" s="91"/>
      <c r="U1849" s="91"/>
      <c r="V1849" s="91"/>
      <c r="W1849" s="91"/>
      <c r="X1849" s="91"/>
      <c r="Y1849" s="91"/>
      <c r="Z1849" s="91"/>
      <c r="AA1849" s="91"/>
      <c r="AB1849" s="91"/>
      <c r="AC1849" s="91"/>
      <c r="AD1849" s="91"/>
      <c r="AE1849" s="91"/>
      <c r="AF1849" s="91"/>
      <c r="AG1849" s="91"/>
      <c r="AH1849" s="91"/>
      <c r="AI1849" s="91"/>
      <c r="AJ1849" s="91"/>
      <c r="AK1849" s="91"/>
      <c r="AL1849" s="91"/>
      <c r="AM1849" s="91"/>
    </row>
    <row r="1850" spans="1:39" ht="20.25" hidden="1" customHeight="1">
      <c r="A1850" s="91"/>
      <c r="B1850" s="93" t="s">
        <v>11873</v>
      </c>
      <c r="C1850" s="91" t="s">
        <v>36</v>
      </c>
      <c r="D1850" s="106" t="s">
        <v>712</v>
      </c>
      <c r="E1850" s="106" t="s">
        <v>6108</v>
      </c>
      <c r="F1850" s="92" t="s">
        <v>6109</v>
      </c>
      <c r="G1850" s="96">
        <v>30536</v>
      </c>
      <c r="H1850" s="97">
        <v>22593</v>
      </c>
      <c r="I1850" s="100" t="s">
        <v>58</v>
      </c>
      <c r="J1850" s="94" t="s">
        <v>6110</v>
      </c>
      <c r="K1850" s="92">
        <v>986760297</v>
      </c>
      <c r="L1850" s="91" t="s">
        <v>49</v>
      </c>
      <c r="M1850" s="98">
        <f ca="1">(TODAY()-H1850)/365</f>
        <v>64.134246575342459</v>
      </c>
      <c r="N1850" s="99">
        <f>(G1850-H1850)/365</f>
        <v>21.761643835616439</v>
      </c>
      <c r="O1850" s="98">
        <f ca="1">(TODAY()-G1850)/365</f>
        <v>42.372602739726027</v>
      </c>
      <c r="P1850" s="91" t="s">
        <v>43</v>
      </c>
      <c r="Q1850" s="91">
        <v>0</v>
      </c>
      <c r="R1850" s="91">
        <v>0</v>
      </c>
      <c r="S1850" s="91">
        <v>0</v>
      </c>
      <c r="T1850" s="91"/>
      <c r="U1850" s="91"/>
      <c r="V1850" s="91"/>
      <c r="W1850" s="91"/>
      <c r="X1850" s="91"/>
      <c r="Y1850" s="91"/>
      <c r="Z1850" s="91"/>
      <c r="AA1850" s="91"/>
      <c r="AB1850" s="91"/>
      <c r="AC1850" s="91"/>
      <c r="AD1850" s="91"/>
      <c r="AE1850" s="91"/>
      <c r="AF1850" s="91"/>
      <c r="AG1850" s="91"/>
      <c r="AH1850" s="91"/>
      <c r="AI1850" s="91"/>
      <c r="AJ1850" s="91"/>
      <c r="AK1850" s="91"/>
      <c r="AL1850" s="91"/>
      <c r="AM1850" s="91"/>
    </row>
    <row r="1851" spans="1:39" ht="20.25" customHeight="1">
      <c r="A1851" s="91"/>
      <c r="B1851" s="93" t="s">
        <v>8630</v>
      </c>
      <c r="C1851" s="91" t="s">
        <v>73</v>
      </c>
      <c r="D1851" s="94" t="s">
        <v>8635</v>
      </c>
      <c r="E1851" s="94" t="s">
        <v>8636</v>
      </c>
      <c r="F1851" s="95" t="s">
        <v>8637</v>
      </c>
      <c r="G1851" s="96">
        <v>44603</v>
      </c>
      <c r="H1851" s="97">
        <v>37860</v>
      </c>
      <c r="I1851" s="94" t="s">
        <v>8638</v>
      </c>
      <c r="J1851" s="94" t="s">
        <v>58</v>
      </c>
      <c r="K1851" s="95" t="s">
        <v>58</v>
      </c>
      <c r="L1851" s="91" t="s">
        <v>121</v>
      </c>
      <c r="M1851" s="98">
        <f ca="1">(TODAY()-H1851)/365</f>
        <v>22.306849315068494</v>
      </c>
      <c r="N1851" s="99">
        <f>(G1851-H1851)/365</f>
        <v>18.473972602739725</v>
      </c>
      <c r="O1851" s="98">
        <f ca="1">(TODAY()-G1851)/365</f>
        <v>3.8328767123287673</v>
      </c>
      <c r="P1851" s="91" t="s">
        <v>272</v>
      </c>
      <c r="Q1851" s="91">
        <v>0</v>
      </c>
      <c r="R1851" s="91">
        <v>0</v>
      </c>
      <c r="S1851" s="91">
        <v>0</v>
      </c>
      <c r="T1851" s="91"/>
      <c r="U1851" s="91"/>
      <c r="V1851" s="91"/>
      <c r="W1851" s="91"/>
      <c r="X1851" s="91"/>
      <c r="Y1851" s="91"/>
      <c r="Z1851" s="91"/>
      <c r="AA1851" s="91"/>
      <c r="AB1851" s="91"/>
      <c r="AC1851" s="91"/>
      <c r="AD1851" s="91"/>
      <c r="AE1851" s="91"/>
      <c r="AF1851" s="91"/>
      <c r="AG1851" s="91"/>
      <c r="AH1851" s="91"/>
      <c r="AI1851" s="91"/>
      <c r="AJ1851" s="91"/>
      <c r="AK1851" s="91"/>
      <c r="AL1851" s="91"/>
      <c r="AM1851" s="91"/>
    </row>
    <row r="1852" spans="1:39" ht="20.25" hidden="1" customHeight="1">
      <c r="A1852" s="91"/>
      <c r="B1852" s="93" t="s">
        <v>11873</v>
      </c>
      <c r="C1852" s="91" t="s">
        <v>36</v>
      </c>
      <c r="D1852" s="106" t="s">
        <v>5844</v>
      </c>
      <c r="E1852" s="106" t="s">
        <v>6111</v>
      </c>
      <c r="F1852" s="92" t="s">
        <v>6112</v>
      </c>
      <c r="G1852" s="96">
        <v>29683</v>
      </c>
      <c r="H1852" s="97">
        <v>19191</v>
      </c>
      <c r="I1852" s="94" t="s">
        <v>6113</v>
      </c>
      <c r="J1852" s="94" t="s">
        <v>6114</v>
      </c>
      <c r="K1852" s="92">
        <v>988864998</v>
      </c>
      <c r="L1852" s="91" t="s">
        <v>42</v>
      </c>
      <c r="M1852" s="98">
        <f ca="1">(TODAY()-H1852)/365</f>
        <v>73.454794520547949</v>
      </c>
      <c r="N1852" s="99">
        <f>(G1852-H1852)/365</f>
        <v>28.745205479452054</v>
      </c>
      <c r="O1852" s="98">
        <f ca="1">(TODAY()-G1852)/365</f>
        <v>44.709589041095889</v>
      </c>
      <c r="P1852" s="91" t="s">
        <v>43</v>
      </c>
      <c r="Q1852" s="91">
        <v>0</v>
      </c>
      <c r="R1852" s="91">
        <v>0</v>
      </c>
      <c r="S1852" s="91">
        <v>0</v>
      </c>
      <c r="T1852" s="91"/>
      <c r="U1852" s="91"/>
      <c r="V1852" s="91"/>
      <c r="W1852" s="91"/>
      <c r="X1852" s="91"/>
      <c r="Y1852" s="91"/>
      <c r="Z1852" s="91"/>
      <c r="AA1852" s="91"/>
      <c r="AB1852" s="91"/>
      <c r="AC1852" s="91"/>
      <c r="AD1852" s="91"/>
      <c r="AE1852" s="91"/>
      <c r="AF1852" s="91"/>
      <c r="AG1852" s="91"/>
      <c r="AH1852" s="91"/>
      <c r="AI1852" s="91"/>
      <c r="AJ1852" s="91"/>
      <c r="AK1852" s="91"/>
      <c r="AL1852" s="91"/>
      <c r="AM1852" s="91"/>
    </row>
    <row r="1853" spans="1:39" ht="20.25" hidden="1" customHeight="1">
      <c r="A1853" s="91"/>
      <c r="B1853" s="93" t="s">
        <v>11873</v>
      </c>
      <c r="C1853" s="91" t="s">
        <v>36</v>
      </c>
      <c r="D1853" s="106" t="s">
        <v>3928</v>
      </c>
      <c r="E1853" s="106" t="s">
        <v>6115</v>
      </c>
      <c r="F1853" s="92" t="s">
        <v>6116</v>
      </c>
      <c r="G1853" s="96">
        <v>29683</v>
      </c>
      <c r="H1853" s="97">
        <v>16652</v>
      </c>
      <c r="I1853" s="100" t="s">
        <v>58</v>
      </c>
      <c r="J1853" s="94" t="s">
        <v>6114</v>
      </c>
      <c r="K1853" s="92">
        <v>956052048</v>
      </c>
      <c r="L1853" s="91" t="s">
        <v>197</v>
      </c>
      <c r="M1853" s="98">
        <f ca="1">(TODAY()-H1853)/365</f>
        <v>80.410958904109592</v>
      </c>
      <c r="N1853" s="99">
        <f>(G1853-H1853)/365</f>
        <v>35.701369863013696</v>
      </c>
      <c r="O1853" s="98">
        <f ca="1">(TODAY()-G1853)/365</f>
        <v>44.709589041095889</v>
      </c>
      <c r="P1853" s="91" t="s">
        <v>272</v>
      </c>
      <c r="Q1853" s="91">
        <v>0</v>
      </c>
      <c r="R1853" s="91">
        <v>0</v>
      </c>
      <c r="S1853" s="91">
        <v>0</v>
      </c>
      <c r="T1853" s="91"/>
      <c r="U1853" s="91"/>
      <c r="V1853" s="91"/>
      <c r="W1853" s="91"/>
      <c r="X1853" s="91"/>
      <c r="Y1853" s="91"/>
      <c r="Z1853" s="91"/>
      <c r="AA1853" s="91"/>
      <c r="AB1853" s="91"/>
      <c r="AC1853" s="91"/>
      <c r="AD1853" s="91"/>
      <c r="AE1853" s="91"/>
      <c r="AF1853" s="91"/>
      <c r="AG1853" s="91"/>
      <c r="AH1853" s="91"/>
      <c r="AI1853" s="91"/>
      <c r="AJ1853" s="91"/>
      <c r="AK1853" s="91"/>
      <c r="AL1853" s="91"/>
      <c r="AM1853" s="91"/>
    </row>
    <row r="1854" spans="1:39" ht="20.25" hidden="1" customHeight="1">
      <c r="A1854" s="91"/>
      <c r="B1854" s="93" t="s">
        <v>11873</v>
      </c>
      <c r="C1854" s="91" t="s">
        <v>36</v>
      </c>
      <c r="D1854" s="106" t="s">
        <v>1271</v>
      </c>
      <c r="E1854" s="106" t="s">
        <v>6117</v>
      </c>
      <c r="F1854" s="92" t="s">
        <v>6118</v>
      </c>
      <c r="G1854" s="96">
        <v>29012</v>
      </c>
      <c r="H1854" s="97">
        <v>15866</v>
      </c>
      <c r="I1854" s="100" t="s">
        <v>58</v>
      </c>
      <c r="J1854" s="94" t="s">
        <v>6119</v>
      </c>
      <c r="K1854" s="92">
        <v>985257940</v>
      </c>
      <c r="L1854" s="91" t="s">
        <v>72</v>
      </c>
      <c r="M1854" s="98">
        <f ca="1">(TODAY()-H1854)/365</f>
        <v>82.564383561643837</v>
      </c>
      <c r="N1854" s="99">
        <f>(G1854-H1854)/365</f>
        <v>36.016438356164386</v>
      </c>
      <c r="O1854" s="98">
        <f ca="1">(TODAY()-G1854)/365</f>
        <v>46.547945205479451</v>
      </c>
      <c r="P1854" s="91" t="s">
        <v>43</v>
      </c>
      <c r="Q1854" s="91">
        <v>0</v>
      </c>
      <c r="R1854" s="91">
        <v>0</v>
      </c>
      <c r="S1854" s="91">
        <v>0</v>
      </c>
      <c r="T1854" s="91"/>
      <c r="U1854" s="91"/>
      <c r="V1854" s="91"/>
      <c r="W1854" s="91"/>
      <c r="X1854" s="91"/>
      <c r="Y1854" s="91"/>
      <c r="Z1854" s="91"/>
      <c r="AA1854" s="91"/>
      <c r="AB1854" s="91"/>
      <c r="AC1854" s="91"/>
      <c r="AD1854" s="91"/>
      <c r="AE1854" s="91"/>
      <c r="AF1854" s="91"/>
      <c r="AG1854" s="91"/>
      <c r="AH1854" s="91"/>
      <c r="AI1854" s="91"/>
      <c r="AJ1854" s="91"/>
      <c r="AK1854" s="91"/>
      <c r="AL1854" s="91"/>
      <c r="AM1854" s="91"/>
    </row>
    <row r="1855" spans="1:39" ht="20.25" hidden="1" customHeight="1">
      <c r="A1855" s="91"/>
      <c r="B1855" s="93" t="s">
        <v>11873</v>
      </c>
      <c r="C1855" s="91" t="s">
        <v>36</v>
      </c>
      <c r="D1855" s="119" t="s">
        <v>494</v>
      </c>
      <c r="E1855" s="119" t="s">
        <v>6120</v>
      </c>
      <c r="F1855" s="92" t="s">
        <v>6121</v>
      </c>
      <c r="G1855" s="96">
        <v>45646</v>
      </c>
      <c r="H1855" s="97" t="s">
        <v>58</v>
      </c>
      <c r="I1855" s="100" t="s">
        <v>58</v>
      </c>
      <c r="J1855" s="94" t="s">
        <v>6122</v>
      </c>
      <c r="K1855" s="92">
        <v>968466158</v>
      </c>
      <c r="L1855" s="91" t="s">
        <v>60</v>
      </c>
      <c r="M1855" s="98">
        <v>0</v>
      </c>
      <c r="N1855" s="91"/>
      <c r="O1855" s="98">
        <f ca="1">(TODAY()-G1855)/365</f>
        <v>0.97534246575342465</v>
      </c>
      <c r="P1855" s="91" t="s">
        <v>272</v>
      </c>
      <c r="Q1855" s="91">
        <v>0</v>
      </c>
      <c r="R1855" s="91">
        <v>0</v>
      </c>
      <c r="S1855" s="91">
        <v>0</v>
      </c>
      <c r="T1855" s="91"/>
      <c r="U1855" s="91"/>
      <c r="V1855" s="91"/>
      <c r="W1855" s="91"/>
      <c r="X1855" s="91"/>
      <c r="Y1855" s="91"/>
      <c r="Z1855" s="91"/>
      <c r="AA1855" s="91"/>
      <c r="AB1855" s="91"/>
      <c r="AC1855" s="91"/>
      <c r="AD1855" s="91"/>
      <c r="AE1855" s="91"/>
      <c r="AF1855" s="91"/>
      <c r="AG1855" s="91"/>
      <c r="AH1855" s="91"/>
      <c r="AI1855" s="91"/>
      <c r="AJ1855" s="91"/>
      <c r="AK1855" s="91"/>
      <c r="AL1855" s="91"/>
      <c r="AM1855" s="91"/>
    </row>
    <row r="1856" spans="1:39" ht="20.25" hidden="1" customHeight="1">
      <c r="A1856" s="91"/>
      <c r="B1856" s="93" t="s">
        <v>11873</v>
      </c>
      <c r="C1856" s="91" t="s">
        <v>36</v>
      </c>
      <c r="D1856" s="106" t="s">
        <v>447</v>
      </c>
      <c r="E1856" s="106" t="s">
        <v>6123</v>
      </c>
      <c r="F1856" s="92" t="s">
        <v>6124</v>
      </c>
      <c r="G1856" s="96">
        <v>45646</v>
      </c>
      <c r="H1856" s="97" t="s">
        <v>58</v>
      </c>
      <c r="I1856" s="100" t="s">
        <v>58</v>
      </c>
      <c r="J1856" s="94" t="s">
        <v>6125</v>
      </c>
      <c r="K1856" s="92">
        <v>974223134</v>
      </c>
      <c r="L1856" s="91" t="s">
        <v>60</v>
      </c>
      <c r="M1856" s="98">
        <v>0</v>
      </c>
      <c r="N1856" s="91"/>
      <c r="O1856" s="98">
        <f ca="1">(TODAY()-G1856)/365</f>
        <v>0.97534246575342465</v>
      </c>
      <c r="P1856" s="91" t="s">
        <v>43</v>
      </c>
      <c r="Q1856" s="91">
        <v>0</v>
      </c>
      <c r="R1856" s="91">
        <v>0</v>
      </c>
      <c r="S1856" s="91">
        <v>0</v>
      </c>
      <c r="T1856" s="91"/>
      <c r="U1856" s="91"/>
      <c r="V1856" s="91"/>
      <c r="W1856" s="91"/>
      <c r="X1856" s="91"/>
      <c r="Y1856" s="91"/>
      <c r="Z1856" s="91"/>
      <c r="AA1856" s="91"/>
      <c r="AB1856" s="91"/>
      <c r="AC1856" s="91"/>
      <c r="AD1856" s="91"/>
      <c r="AE1856" s="91"/>
      <c r="AF1856" s="91"/>
      <c r="AG1856" s="91"/>
      <c r="AH1856" s="91"/>
      <c r="AI1856" s="91"/>
      <c r="AJ1856" s="91"/>
      <c r="AK1856" s="91"/>
      <c r="AL1856" s="91"/>
      <c r="AM1856" s="91"/>
    </row>
    <row r="1857" spans="1:39" ht="20.25" hidden="1" customHeight="1">
      <c r="A1857" s="91"/>
      <c r="B1857" s="93" t="s">
        <v>11873</v>
      </c>
      <c r="C1857" s="91" t="s">
        <v>36</v>
      </c>
      <c r="D1857" s="106" t="s">
        <v>463</v>
      </c>
      <c r="E1857" s="106" t="s">
        <v>6126</v>
      </c>
      <c r="F1857" s="92" t="s">
        <v>6127</v>
      </c>
      <c r="G1857" s="96">
        <v>45646</v>
      </c>
      <c r="H1857" s="97" t="s">
        <v>58</v>
      </c>
      <c r="I1857" s="100" t="s">
        <v>58</v>
      </c>
      <c r="J1857" s="94" t="s">
        <v>6128</v>
      </c>
      <c r="K1857" s="92">
        <v>990821758</v>
      </c>
      <c r="L1857" s="91" t="s">
        <v>60</v>
      </c>
      <c r="M1857" s="98">
        <v>0</v>
      </c>
      <c r="N1857" s="91"/>
      <c r="O1857" s="98">
        <f ca="1">(TODAY()-G1857)/365</f>
        <v>0.97534246575342465</v>
      </c>
      <c r="P1857" s="91" t="s">
        <v>43</v>
      </c>
      <c r="Q1857" s="91">
        <v>0</v>
      </c>
      <c r="R1857" s="91">
        <v>0</v>
      </c>
      <c r="S1857" s="91">
        <v>0</v>
      </c>
      <c r="T1857" s="91"/>
      <c r="U1857" s="91"/>
      <c r="V1857" s="91"/>
      <c r="W1857" s="91"/>
      <c r="X1857" s="91"/>
      <c r="Y1857" s="91"/>
      <c r="Z1857" s="91"/>
      <c r="AA1857" s="91"/>
      <c r="AB1857" s="91"/>
      <c r="AC1857" s="91"/>
      <c r="AD1857" s="91"/>
      <c r="AE1857" s="91"/>
      <c r="AF1857" s="91"/>
      <c r="AG1857" s="91"/>
      <c r="AH1857" s="91"/>
      <c r="AI1857" s="91"/>
      <c r="AJ1857" s="91"/>
      <c r="AK1857" s="91"/>
      <c r="AL1857" s="91"/>
      <c r="AM1857" s="91"/>
    </row>
    <row r="1858" spans="1:39" ht="20.25" hidden="1" customHeight="1">
      <c r="A1858" s="91"/>
      <c r="B1858" s="93" t="s">
        <v>11873</v>
      </c>
      <c r="C1858" s="91" t="s">
        <v>36</v>
      </c>
      <c r="D1858" s="119" t="s">
        <v>6129</v>
      </c>
      <c r="E1858" s="119" t="s">
        <v>6130</v>
      </c>
      <c r="F1858" s="92" t="s">
        <v>6131</v>
      </c>
      <c r="G1858" s="96">
        <v>45646</v>
      </c>
      <c r="H1858" s="97" t="s">
        <v>58</v>
      </c>
      <c r="I1858" s="100" t="s">
        <v>58</v>
      </c>
      <c r="J1858" s="94" t="s">
        <v>6132</v>
      </c>
      <c r="K1858" s="92">
        <v>991861751</v>
      </c>
      <c r="L1858" s="91" t="s">
        <v>60</v>
      </c>
      <c r="M1858" s="98">
        <v>0</v>
      </c>
      <c r="N1858" s="91"/>
      <c r="O1858" s="98">
        <f ca="1">(TODAY()-G1858)/365</f>
        <v>0.97534246575342465</v>
      </c>
      <c r="P1858" s="91" t="s">
        <v>43</v>
      </c>
      <c r="Q1858" s="91">
        <v>0</v>
      </c>
      <c r="R1858" s="91">
        <v>0</v>
      </c>
      <c r="S1858" s="91">
        <v>0</v>
      </c>
      <c r="T1858" s="91"/>
      <c r="U1858" s="91"/>
      <c r="V1858" s="91"/>
      <c r="W1858" s="91"/>
      <c r="X1858" s="91"/>
      <c r="Y1858" s="91"/>
      <c r="Z1858" s="91"/>
      <c r="AA1858" s="91"/>
      <c r="AB1858" s="91"/>
      <c r="AC1858" s="91"/>
      <c r="AD1858" s="91"/>
      <c r="AE1858" s="91"/>
      <c r="AF1858" s="91"/>
      <c r="AG1858" s="91"/>
      <c r="AH1858" s="91"/>
      <c r="AI1858" s="91"/>
      <c r="AJ1858" s="91"/>
      <c r="AK1858" s="91"/>
      <c r="AL1858" s="91"/>
      <c r="AM1858" s="91"/>
    </row>
    <row r="1859" spans="1:39" ht="20.25" hidden="1" customHeight="1">
      <c r="A1859" s="91"/>
      <c r="B1859" s="93" t="s">
        <v>11873</v>
      </c>
      <c r="C1859" s="91" t="s">
        <v>36</v>
      </c>
      <c r="D1859" s="106" t="s">
        <v>6133</v>
      </c>
      <c r="E1859" s="106" t="s">
        <v>6134</v>
      </c>
      <c r="F1859" s="92" t="s">
        <v>6135</v>
      </c>
      <c r="G1859" s="96">
        <v>42980</v>
      </c>
      <c r="H1859" s="97" t="s">
        <v>58</v>
      </c>
      <c r="I1859" s="100" t="s">
        <v>58</v>
      </c>
      <c r="J1859" s="94" t="s">
        <v>6136</v>
      </c>
      <c r="K1859" s="92">
        <v>958203001</v>
      </c>
      <c r="L1859" s="91" t="s">
        <v>60</v>
      </c>
      <c r="M1859" s="98">
        <v>0</v>
      </c>
      <c r="N1859" s="91"/>
      <c r="O1859" s="98">
        <f ca="1">(TODAY()-G1859)/365</f>
        <v>8.2794520547945201</v>
      </c>
      <c r="P1859" s="91" t="s">
        <v>43</v>
      </c>
      <c r="Q1859" s="91">
        <v>0</v>
      </c>
      <c r="R1859" s="91">
        <v>0</v>
      </c>
      <c r="S1859" s="91">
        <v>0</v>
      </c>
      <c r="T1859" s="91"/>
      <c r="U1859" s="91"/>
      <c r="V1859" s="91"/>
      <c r="W1859" s="91"/>
      <c r="X1859" s="91"/>
      <c r="Y1859" s="91"/>
      <c r="Z1859" s="91"/>
      <c r="AA1859" s="91"/>
      <c r="AB1859" s="91"/>
      <c r="AC1859" s="91"/>
      <c r="AD1859" s="91"/>
      <c r="AE1859" s="91"/>
      <c r="AF1859" s="91"/>
      <c r="AG1859" s="91"/>
      <c r="AH1859" s="91"/>
      <c r="AI1859" s="91"/>
      <c r="AJ1859" s="91"/>
      <c r="AK1859" s="91"/>
      <c r="AL1859" s="91"/>
      <c r="AM1859" s="91"/>
    </row>
    <row r="1860" spans="1:39" ht="20.25" customHeight="1">
      <c r="A1860" s="91"/>
      <c r="B1860" s="93" t="s">
        <v>7434</v>
      </c>
      <c r="C1860" s="91" t="s">
        <v>73</v>
      </c>
      <c r="D1860" s="94" t="s">
        <v>2500</v>
      </c>
      <c r="E1860" s="94" t="s">
        <v>7447</v>
      </c>
      <c r="F1860" s="95" t="s">
        <v>7448</v>
      </c>
      <c r="G1860" s="96">
        <v>42318</v>
      </c>
      <c r="H1860" s="97">
        <v>31396</v>
      </c>
      <c r="I1860" s="94" t="s">
        <v>7449</v>
      </c>
      <c r="J1860" s="100" t="s">
        <v>58</v>
      </c>
      <c r="K1860" s="91" t="s">
        <v>58</v>
      </c>
      <c r="L1860" s="91" t="s">
        <v>60</v>
      </c>
      <c r="M1860" s="98">
        <f ca="1">(TODAY()-H1860)/365</f>
        <v>40.016438356164386</v>
      </c>
      <c r="N1860" s="99">
        <f>(G1860-H1860)/365</f>
        <v>29.923287671232877</v>
      </c>
      <c r="O1860" s="98">
        <f ca="1">(TODAY()-G1860)/365</f>
        <v>10.093150684931507</v>
      </c>
      <c r="P1860" s="91" t="s">
        <v>43</v>
      </c>
      <c r="Q1860" s="91">
        <v>0</v>
      </c>
      <c r="R1860" s="91">
        <v>0</v>
      </c>
      <c r="S1860" s="91">
        <v>0</v>
      </c>
      <c r="T1860" s="91"/>
      <c r="U1860" s="91"/>
      <c r="V1860" s="91"/>
      <c r="W1860" s="91"/>
      <c r="X1860" s="91"/>
      <c r="Y1860" s="91"/>
      <c r="Z1860" s="91"/>
      <c r="AA1860" s="91"/>
      <c r="AB1860" s="91"/>
      <c r="AC1860" s="91">
        <v>2013</v>
      </c>
      <c r="AD1860" s="91"/>
      <c r="AE1860" s="91"/>
      <c r="AF1860" s="91"/>
      <c r="AG1860" s="91"/>
      <c r="AH1860" s="91"/>
      <c r="AI1860" s="91"/>
      <c r="AJ1860" s="91"/>
      <c r="AK1860" s="91"/>
      <c r="AL1860" s="91"/>
      <c r="AM1860" s="91"/>
    </row>
    <row r="1861" spans="1:39" ht="20.25" hidden="1" customHeight="1">
      <c r="A1861" s="91"/>
      <c r="B1861" s="93" t="s">
        <v>11873</v>
      </c>
      <c r="C1861" s="91" t="s">
        <v>36</v>
      </c>
      <c r="D1861" s="106" t="s">
        <v>5620</v>
      </c>
      <c r="E1861" s="106" t="s">
        <v>6137</v>
      </c>
      <c r="F1861" s="92" t="s">
        <v>6138</v>
      </c>
      <c r="G1861" s="96">
        <v>30079</v>
      </c>
      <c r="H1861" s="97">
        <v>13557</v>
      </c>
      <c r="I1861" s="100" t="s">
        <v>58</v>
      </c>
      <c r="J1861" s="94" t="s">
        <v>6139</v>
      </c>
      <c r="K1861" s="92">
        <v>452391266</v>
      </c>
      <c r="L1861" s="91" t="s">
        <v>60</v>
      </c>
      <c r="M1861" s="98">
        <f ca="1">(TODAY()-H1861)/365</f>
        <v>88.890410958904113</v>
      </c>
      <c r="N1861" s="99">
        <f>(G1861-H1861)/365</f>
        <v>45.265753424657532</v>
      </c>
      <c r="O1861" s="98">
        <f ca="1">(TODAY()-G1861)/365</f>
        <v>43.624657534246573</v>
      </c>
      <c r="P1861" s="91" t="s">
        <v>43</v>
      </c>
      <c r="Q1861" s="91">
        <v>0</v>
      </c>
      <c r="R1861" s="91">
        <v>0</v>
      </c>
      <c r="S1861" s="91">
        <v>0</v>
      </c>
      <c r="T1861" s="91"/>
      <c r="U1861" s="91"/>
      <c r="V1861" s="91"/>
      <c r="W1861" s="91"/>
      <c r="X1861" s="91"/>
      <c r="Y1861" s="91"/>
      <c r="Z1861" s="91"/>
      <c r="AA1861" s="91"/>
      <c r="AB1861" s="91"/>
      <c r="AC1861" s="91"/>
      <c r="AD1861" s="91"/>
      <c r="AE1861" s="91"/>
      <c r="AF1861" s="91"/>
      <c r="AG1861" s="91"/>
      <c r="AH1861" s="91"/>
      <c r="AI1861" s="91"/>
      <c r="AJ1861" s="91"/>
      <c r="AK1861" s="91"/>
      <c r="AL1861" s="91"/>
      <c r="AM1861" s="91"/>
    </row>
    <row r="1862" spans="1:39" ht="20.25" hidden="1" customHeight="1">
      <c r="A1862" s="91"/>
      <c r="B1862" s="93" t="s">
        <v>11873</v>
      </c>
      <c r="C1862" s="91" t="s">
        <v>36</v>
      </c>
      <c r="D1862" s="106" t="s">
        <v>2648</v>
      </c>
      <c r="E1862" s="106" t="s">
        <v>6140</v>
      </c>
      <c r="F1862" s="92" t="s">
        <v>6141</v>
      </c>
      <c r="G1862" s="96">
        <v>37196</v>
      </c>
      <c r="H1862" s="97">
        <v>16966</v>
      </c>
      <c r="I1862" s="100" t="s">
        <v>58</v>
      </c>
      <c r="J1862" s="94" t="s">
        <v>6142</v>
      </c>
      <c r="K1862" s="92">
        <v>991598971</v>
      </c>
      <c r="L1862" s="91" t="s">
        <v>151</v>
      </c>
      <c r="M1862" s="98">
        <f ca="1">(TODAY()-H1862)/365</f>
        <v>79.550684931506851</v>
      </c>
      <c r="N1862" s="99">
        <f>(G1862-H1862)/365</f>
        <v>55.424657534246577</v>
      </c>
      <c r="O1862" s="98">
        <f ca="1">(TODAY()-G1862)/365</f>
        <v>24.126027397260273</v>
      </c>
      <c r="P1862" s="91" t="s">
        <v>43</v>
      </c>
      <c r="Q1862" s="91">
        <v>0</v>
      </c>
      <c r="R1862" s="91">
        <v>0</v>
      </c>
      <c r="S1862" s="91">
        <v>0</v>
      </c>
      <c r="T1862" s="91"/>
      <c r="U1862" s="91"/>
      <c r="V1862" s="91"/>
      <c r="W1862" s="91"/>
      <c r="X1862" s="91"/>
      <c r="Y1862" s="91"/>
      <c r="Z1862" s="91"/>
      <c r="AA1862" s="91"/>
      <c r="AB1862" s="91"/>
      <c r="AC1862" s="91"/>
      <c r="AD1862" s="91"/>
      <c r="AE1862" s="91"/>
      <c r="AF1862" s="91"/>
      <c r="AG1862" s="91"/>
      <c r="AH1862" s="91"/>
      <c r="AI1862" s="91"/>
      <c r="AJ1862" s="91"/>
      <c r="AK1862" s="91"/>
      <c r="AL1862" s="91"/>
      <c r="AM1862" s="91"/>
    </row>
    <row r="1863" spans="1:39" ht="20.25" hidden="1" customHeight="1">
      <c r="A1863" s="91"/>
      <c r="B1863" s="93" t="s">
        <v>11873</v>
      </c>
      <c r="C1863" s="91" t="s">
        <v>36</v>
      </c>
      <c r="D1863" s="106" t="s">
        <v>3554</v>
      </c>
      <c r="E1863" s="106" t="s">
        <v>6143</v>
      </c>
      <c r="F1863" s="92" t="s">
        <v>6144</v>
      </c>
      <c r="G1863" s="96">
        <v>41477</v>
      </c>
      <c r="H1863" s="97">
        <v>16528</v>
      </c>
      <c r="I1863" s="100" t="s">
        <v>58</v>
      </c>
      <c r="J1863" s="94" t="s">
        <v>6145</v>
      </c>
      <c r="K1863" s="92">
        <v>989167929</v>
      </c>
      <c r="L1863" s="91" t="s">
        <v>54</v>
      </c>
      <c r="M1863" s="98">
        <f ca="1">(TODAY()-H1863)/365</f>
        <v>80.750684931506854</v>
      </c>
      <c r="N1863" s="99">
        <f>(G1863-H1863)/365</f>
        <v>68.353424657534248</v>
      </c>
      <c r="O1863" s="98">
        <f ca="1">(TODAY()-G1863)/365</f>
        <v>12.397260273972602</v>
      </c>
      <c r="P1863" s="91" t="s">
        <v>43</v>
      </c>
      <c r="Q1863" s="91">
        <v>0</v>
      </c>
      <c r="R1863" s="91">
        <v>0</v>
      </c>
      <c r="S1863" s="91">
        <v>0</v>
      </c>
      <c r="T1863" s="91"/>
      <c r="U1863" s="91"/>
      <c r="V1863" s="91"/>
      <c r="W1863" s="91"/>
      <c r="X1863" s="91"/>
      <c r="Y1863" s="91"/>
      <c r="Z1863" s="91"/>
      <c r="AA1863" s="91"/>
      <c r="AB1863" s="91"/>
      <c r="AC1863" s="91"/>
      <c r="AD1863" s="91"/>
      <c r="AE1863" s="91"/>
      <c r="AF1863" s="91"/>
      <c r="AG1863" s="91"/>
      <c r="AH1863" s="91"/>
      <c r="AI1863" s="91"/>
      <c r="AJ1863" s="91"/>
      <c r="AK1863" s="91"/>
      <c r="AL1863" s="91"/>
      <c r="AM1863" s="91"/>
    </row>
    <row r="1864" spans="1:39" ht="20.25" hidden="1" customHeight="1">
      <c r="A1864" s="91"/>
      <c r="B1864" s="93" t="s">
        <v>6146</v>
      </c>
      <c r="C1864" s="91" t="s">
        <v>36</v>
      </c>
      <c r="D1864" s="94" t="s">
        <v>3580</v>
      </c>
      <c r="E1864" s="94" t="s">
        <v>6147</v>
      </c>
      <c r="F1864" s="95" t="s">
        <v>6148</v>
      </c>
      <c r="G1864" s="96">
        <v>30444</v>
      </c>
      <c r="H1864" s="97">
        <v>22719</v>
      </c>
      <c r="I1864" s="94" t="s">
        <v>6149</v>
      </c>
      <c r="J1864" s="94" t="s">
        <v>6150</v>
      </c>
      <c r="K1864" s="95">
        <v>959370030</v>
      </c>
      <c r="L1864" s="91" t="s">
        <v>60</v>
      </c>
      <c r="M1864" s="98">
        <f ca="1">(TODAY()-H1864)/365</f>
        <v>63.789041095890411</v>
      </c>
      <c r="N1864" s="99">
        <f>(G1864-H1864)/365</f>
        <v>21.164383561643834</v>
      </c>
      <c r="O1864" s="98">
        <f ca="1">(TODAY()-G1864)/365</f>
        <v>42.624657534246573</v>
      </c>
      <c r="P1864" s="91" t="s">
        <v>43</v>
      </c>
      <c r="Q1864" s="91">
        <v>0</v>
      </c>
      <c r="R1864" s="91">
        <v>0</v>
      </c>
      <c r="S1864" s="91">
        <v>0</v>
      </c>
      <c r="T1864" s="91"/>
      <c r="U1864" s="91"/>
      <c r="V1864" s="91"/>
      <c r="W1864" s="91"/>
      <c r="X1864" s="91"/>
      <c r="Y1864" s="91"/>
      <c r="Z1864" s="91"/>
      <c r="AA1864" s="91"/>
      <c r="AB1864" s="91"/>
      <c r="AC1864" s="91"/>
      <c r="AD1864" s="91"/>
      <c r="AE1864" s="91"/>
      <c r="AF1864" s="91"/>
      <c r="AG1864" s="91"/>
      <c r="AH1864" s="91"/>
      <c r="AI1864" s="91"/>
      <c r="AJ1864" s="91"/>
      <c r="AK1864" s="91"/>
      <c r="AL1864" s="91"/>
      <c r="AM1864" s="91"/>
    </row>
    <row r="1865" spans="1:39" ht="20.25" hidden="1" customHeight="1">
      <c r="A1865" s="91"/>
      <c r="B1865" s="93" t="s">
        <v>6146</v>
      </c>
      <c r="C1865" s="91" t="s">
        <v>36</v>
      </c>
      <c r="D1865" s="94" t="s">
        <v>780</v>
      </c>
      <c r="E1865" s="94" t="s">
        <v>6151</v>
      </c>
      <c r="F1865" s="95" t="s">
        <v>6152</v>
      </c>
      <c r="G1865" s="96">
        <v>34097</v>
      </c>
      <c r="H1865" s="97">
        <v>25492</v>
      </c>
      <c r="I1865" s="94" t="s">
        <v>6153</v>
      </c>
      <c r="J1865" s="94" t="s">
        <v>6154</v>
      </c>
      <c r="K1865" s="95">
        <v>961590643</v>
      </c>
      <c r="L1865" s="91" t="s">
        <v>54</v>
      </c>
      <c r="M1865" s="98">
        <f ca="1">(TODAY()-H1865)/365</f>
        <v>56.19178082191781</v>
      </c>
      <c r="N1865" s="99">
        <f>(G1865-H1865)/365</f>
        <v>23.575342465753426</v>
      </c>
      <c r="O1865" s="98">
        <f ca="1">(TODAY()-G1865)/365</f>
        <v>32.61643835616438</v>
      </c>
      <c r="P1865" s="91" t="s">
        <v>43</v>
      </c>
      <c r="Q1865" s="91">
        <v>0</v>
      </c>
      <c r="R1865" s="91">
        <v>0</v>
      </c>
      <c r="S1865" s="91">
        <v>0</v>
      </c>
      <c r="T1865" s="91"/>
      <c r="U1865" s="91"/>
      <c r="V1865" s="91"/>
      <c r="W1865" s="91"/>
      <c r="X1865" s="91"/>
      <c r="Y1865" s="91"/>
      <c r="Z1865" s="91"/>
      <c r="AA1865" s="91"/>
      <c r="AB1865" s="91"/>
      <c r="AC1865" s="91"/>
      <c r="AD1865" s="91"/>
      <c r="AE1865" s="91"/>
      <c r="AF1865" s="91"/>
      <c r="AG1865" s="91"/>
      <c r="AH1865" s="91"/>
      <c r="AI1865" s="91"/>
      <c r="AJ1865" s="91"/>
      <c r="AK1865" s="91"/>
      <c r="AL1865" s="91"/>
      <c r="AM1865" s="91"/>
    </row>
    <row r="1866" spans="1:39" ht="20.25" hidden="1" customHeight="1">
      <c r="A1866" s="91"/>
      <c r="B1866" s="93" t="s">
        <v>6146</v>
      </c>
      <c r="C1866" s="91" t="s">
        <v>36</v>
      </c>
      <c r="D1866" s="94" t="s">
        <v>346</v>
      </c>
      <c r="E1866" s="94" t="s">
        <v>6155</v>
      </c>
      <c r="F1866" s="95" t="s">
        <v>6156</v>
      </c>
      <c r="G1866" s="96">
        <v>30079</v>
      </c>
      <c r="H1866" s="97">
        <v>21191</v>
      </c>
      <c r="I1866" s="94" t="s">
        <v>6157</v>
      </c>
      <c r="J1866" s="94" t="s">
        <v>6158</v>
      </c>
      <c r="K1866" s="95">
        <v>958343779</v>
      </c>
      <c r="L1866" s="91" t="s">
        <v>60</v>
      </c>
      <c r="M1866" s="98">
        <f ca="1">(TODAY()-H1866)/365</f>
        <v>67.975342465753428</v>
      </c>
      <c r="N1866" s="99">
        <f>(G1866-H1866)/365</f>
        <v>24.350684931506848</v>
      </c>
      <c r="O1866" s="98">
        <f ca="1">(TODAY()-G1866)/365</f>
        <v>43.624657534246573</v>
      </c>
      <c r="P1866" s="91" t="s">
        <v>43</v>
      </c>
      <c r="Q1866" s="91">
        <v>0</v>
      </c>
      <c r="R1866" s="91">
        <v>0</v>
      </c>
      <c r="S1866" s="91">
        <v>0</v>
      </c>
      <c r="T1866" s="91"/>
      <c r="U1866" s="91"/>
      <c r="V1866" s="91"/>
      <c r="W1866" s="91"/>
      <c r="X1866" s="91"/>
      <c r="Y1866" s="91"/>
      <c r="Z1866" s="91"/>
      <c r="AA1866" s="91"/>
      <c r="AB1866" s="91"/>
      <c r="AC1866" s="91"/>
      <c r="AD1866" s="91"/>
      <c r="AE1866" s="91"/>
      <c r="AF1866" s="91"/>
      <c r="AG1866" s="91"/>
      <c r="AH1866" s="91"/>
      <c r="AI1866" s="91"/>
      <c r="AJ1866" s="91"/>
      <c r="AK1866" s="91"/>
      <c r="AL1866" s="91"/>
      <c r="AM1866" s="91"/>
    </row>
    <row r="1867" spans="1:39" ht="20.25" hidden="1" customHeight="1">
      <c r="A1867" s="91"/>
      <c r="B1867" s="93" t="s">
        <v>6146</v>
      </c>
      <c r="C1867" s="91" t="s">
        <v>36</v>
      </c>
      <c r="D1867" s="94" t="s">
        <v>4655</v>
      </c>
      <c r="E1867" s="94" t="s">
        <v>6159</v>
      </c>
      <c r="F1867" s="95" t="s">
        <v>6160</v>
      </c>
      <c r="G1867" s="96">
        <v>35193</v>
      </c>
      <c r="H1867" s="97">
        <v>21040</v>
      </c>
      <c r="I1867" s="94" t="s">
        <v>6161</v>
      </c>
      <c r="J1867" s="94" t="s">
        <v>58</v>
      </c>
      <c r="K1867" s="95">
        <v>982977522</v>
      </c>
      <c r="L1867" s="91" t="s">
        <v>60</v>
      </c>
      <c r="M1867" s="98">
        <f ca="1">(TODAY()-H1867)/365</f>
        <v>68.389041095890406</v>
      </c>
      <c r="N1867" s="99">
        <f>(G1867-H1867)/365</f>
        <v>38.775342465753425</v>
      </c>
      <c r="O1867" s="98">
        <f ca="1">(TODAY()-G1867)/365</f>
        <v>29.613698630136987</v>
      </c>
      <c r="P1867" s="91" t="s">
        <v>43</v>
      </c>
      <c r="Q1867" s="91">
        <v>0</v>
      </c>
      <c r="R1867" s="91">
        <v>0</v>
      </c>
      <c r="S1867" s="91">
        <v>0</v>
      </c>
      <c r="T1867" s="91"/>
      <c r="U1867" s="91"/>
      <c r="V1867" s="91"/>
      <c r="W1867" s="91"/>
      <c r="X1867" s="91"/>
      <c r="Y1867" s="91"/>
      <c r="Z1867" s="91"/>
      <c r="AA1867" s="91"/>
      <c r="AB1867" s="91"/>
      <c r="AC1867" s="91"/>
      <c r="AD1867" s="91"/>
      <c r="AE1867" s="91"/>
      <c r="AF1867" s="91"/>
      <c r="AG1867" s="91"/>
      <c r="AH1867" s="91"/>
      <c r="AI1867" s="91"/>
      <c r="AJ1867" s="91"/>
      <c r="AK1867" s="91"/>
      <c r="AL1867" s="91"/>
      <c r="AM1867" s="91"/>
    </row>
    <row r="1868" spans="1:39" ht="20.25" hidden="1" customHeight="1">
      <c r="A1868" s="91"/>
      <c r="B1868" s="93" t="s">
        <v>6146</v>
      </c>
      <c r="C1868" s="91" t="s">
        <v>36</v>
      </c>
      <c r="D1868" s="94" t="s">
        <v>513</v>
      </c>
      <c r="E1868" s="94" t="s">
        <v>6162</v>
      </c>
      <c r="F1868" s="95" t="s">
        <v>6163</v>
      </c>
      <c r="G1868" s="96">
        <v>32636</v>
      </c>
      <c r="H1868" s="97">
        <v>17803</v>
      </c>
      <c r="I1868" s="94" t="s">
        <v>6164</v>
      </c>
      <c r="J1868" s="94" t="s">
        <v>58</v>
      </c>
      <c r="K1868" s="95">
        <v>961103229</v>
      </c>
      <c r="L1868" s="91" t="s">
        <v>167</v>
      </c>
      <c r="M1868" s="98">
        <f ca="1">(TODAY()-H1868)/365</f>
        <v>77.257534246575347</v>
      </c>
      <c r="N1868" s="99">
        <f>(G1868-H1868)/365</f>
        <v>40.638356164383559</v>
      </c>
      <c r="O1868" s="98">
        <f ca="1">(TODAY()-G1868)/365</f>
        <v>36.61917808219178</v>
      </c>
      <c r="P1868" s="91" t="s">
        <v>43</v>
      </c>
      <c r="Q1868" s="91">
        <v>0</v>
      </c>
      <c r="R1868" s="91">
        <v>0</v>
      </c>
      <c r="S1868" s="91">
        <v>0</v>
      </c>
      <c r="T1868" s="91"/>
      <c r="U1868" s="91"/>
      <c r="V1868" s="91"/>
      <c r="W1868" s="91"/>
      <c r="X1868" s="91"/>
      <c r="Y1868" s="91"/>
      <c r="Z1868" s="91"/>
      <c r="AA1868" s="91"/>
      <c r="AB1868" s="91"/>
      <c r="AC1868" s="91"/>
      <c r="AD1868" s="91"/>
      <c r="AE1868" s="91"/>
      <c r="AF1868" s="91"/>
      <c r="AG1868" s="91"/>
      <c r="AH1868" s="91"/>
      <c r="AI1868" s="91"/>
      <c r="AJ1868" s="91"/>
      <c r="AK1868" s="91"/>
      <c r="AL1868" s="91"/>
      <c r="AM1868" s="91"/>
    </row>
    <row r="1869" spans="1:39" ht="20.25" hidden="1" customHeight="1">
      <c r="A1869" s="91"/>
      <c r="B1869" s="93" t="s">
        <v>6146</v>
      </c>
      <c r="C1869" s="91" t="s">
        <v>36</v>
      </c>
      <c r="D1869" s="94" t="s">
        <v>6165</v>
      </c>
      <c r="E1869" s="94" t="s">
        <v>6166</v>
      </c>
      <c r="F1869" s="95" t="s">
        <v>6167</v>
      </c>
      <c r="G1869" s="96">
        <v>37384</v>
      </c>
      <c r="H1869" s="97">
        <v>21987</v>
      </c>
      <c r="I1869" s="94" t="s">
        <v>6168</v>
      </c>
      <c r="J1869" s="94" t="s">
        <v>6169</v>
      </c>
      <c r="K1869" s="95">
        <v>981203941</v>
      </c>
      <c r="L1869" s="91" t="s">
        <v>42</v>
      </c>
      <c r="M1869" s="98">
        <f ca="1">(TODAY()-H1869)/365</f>
        <v>65.794520547945211</v>
      </c>
      <c r="N1869" s="99">
        <f>(G1869-H1869)/365</f>
        <v>42.183561643835617</v>
      </c>
      <c r="O1869" s="98">
        <f ca="1">(TODAY()-G1869)/365</f>
        <v>23.610958904109587</v>
      </c>
      <c r="P1869" s="91" t="s">
        <v>43</v>
      </c>
      <c r="Q1869" s="91">
        <v>0</v>
      </c>
      <c r="R1869" s="91">
        <v>0</v>
      </c>
      <c r="S1869" s="91">
        <v>0</v>
      </c>
      <c r="T1869" s="91"/>
      <c r="U1869" s="91"/>
      <c r="V1869" s="91"/>
      <c r="W1869" s="91"/>
      <c r="X1869" s="91"/>
      <c r="Y1869" s="91"/>
      <c r="Z1869" s="91"/>
      <c r="AA1869" s="91"/>
      <c r="AB1869" s="91"/>
      <c r="AC1869" s="91"/>
      <c r="AD1869" s="91"/>
      <c r="AE1869" s="91"/>
      <c r="AF1869" s="91"/>
      <c r="AG1869" s="91"/>
      <c r="AH1869" s="91"/>
      <c r="AI1869" s="91"/>
      <c r="AJ1869" s="91"/>
      <c r="AK1869" s="91"/>
      <c r="AL1869" s="91"/>
      <c r="AM1869" s="91"/>
    </row>
    <row r="1870" spans="1:39" ht="20.25" hidden="1" customHeight="1">
      <c r="A1870" s="91"/>
      <c r="B1870" s="93" t="s">
        <v>6146</v>
      </c>
      <c r="C1870" s="91" t="s">
        <v>36</v>
      </c>
      <c r="D1870" s="94" t="s">
        <v>331</v>
      </c>
      <c r="E1870" s="94" t="s">
        <v>6170</v>
      </c>
      <c r="F1870" s="95" t="s">
        <v>6171</v>
      </c>
      <c r="G1870" s="96">
        <v>40306</v>
      </c>
      <c r="H1870" s="97">
        <v>23995</v>
      </c>
      <c r="I1870" s="94" t="s">
        <v>6172</v>
      </c>
      <c r="J1870" s="94" t="s">
        <v>6173</v>
      </c>
      <c r="K1870" s="95">
        <v>977409444</v>
      </c>
      <c r="L1870" s="91" t="s">
        <v>60</v>
      </c>
      <c r="M1870" s="98">
        <f ca="1">(TODAY()-H1870)/365</f>
        <v>60.293150684931504</v>
      </c>
      <c r="N1870" s="99">
        <f>(G1870-H1870)/365</f>
        <v>44.68767123287671</v>
      </c>
      <c r="O1870" s="98">
        <f ca="1">(TODAY()-G1870)/365</f>
        <v>15.605479452054794</v>
      </c>
      <c r="P1870" s="91" t="s">
        <v>43</v>
      </c>
      <c r="Q1870" s="91">
        <v>0</v>
      </c>
      <c r="R1870" s="91">
        <v>0</v>
      </c>
      <c r="S1870" s="91">
        <v>0</v>
      </c>
      <c r="T1870" s="91"/>
      <c r="U1870" s="91"/>
      <c r="V1870" s="91"/>
      <c r="W1870" s="91"/>
      <c r="X1870" s="91"/>
      <c r="Y1870" s="91"/>
      <c r="Z1870" s="91"/>
      <c r="AA1870" s="91"/>
      <c r="AB1870" s="91"/>
      <c r="AC1870" s="91"/>
      <c r="AD1870" s="91"/>
      <c r="AE1870" s="91"/>
      <c r="AF1870" s="91"/>
      <c r="AG1870" s="91"/>
      <c r="AH1870" s="91"/>
      <c r="AI1870" s="91"/>
      <c r="AJ1870" s="91"/>
      <c r="AK1870" s="91"/>
      <c r="AL1870" s="91"/>
      <c r="AM1870" s="91"/>
    </row>
    <row r="1871" spans="1:39" ht="20.25" hidden="1" customHeight="1">
      <c r="A1871" s="91"/>
      <c r="B1871" s="93" t="s">
        <v>6146</v>
      </c>
      <c r="C1871" s="91" t="s">
        <v>36</v>
      </c>
      <c r="D1871" s="94" t="s">
        <v>451</v>
      </c>
      <c r="E1871" s="94" t="s">
        <v>6174</v>
      </c>
      <c r="F1871" s="95" t="s">
        <v>6175</v>
      </c>
      <c r="G1871" s="96">
        <v>35193</v>
      </c>
      <c r="H1871" s="97">
        <v>18374</v>
      </c>
      <c r="I1871" s="94" t="s">
        <v>58</v>
      </c>
      <c r="J1871" s="94" t="s">
        <v>6176</v>
      </c>
      <c r="K1871" s="95">
        <v>944219353</v>
      </c>
      <c r="L1871" s="91" t="s">
        <v>66</v>
      </c>
      <c r="M1871" s="98">
        <f ca="1">(TODAY()-H1871)/365</f>
        <v>75.69315068493151</v>
      </c>
      <c r="N1871" s="99">
        <f>(G1871-H1871)/365</f>
        <v>46.079452054794523</v>
      </c>
      <c r="O1871" s="98">
        <f ca="1">(TODAY()-G1871)/365</f>
        <v>29.613698630136987</v>
      </c>
      <c r="P1871" s="91" t="s">
        <v>43</v>
      </c>
      <c r="Q1871" s="91">
        <v>0</v>
      </c>
      <c r="R1871" s="91">
        <v>0</v>
      </c>
      <c r="S1871" s="91">
        <v>0</v>
      </c>
      <c r="T1871" s="91"/>
      <c r="U1871" s="91"/>
      <c r="V1871" s="91"/>
      <c r="W1871" s="91"/>
      <c r="X1871" s="91"/>
      <c r="Y1871" s="91"/>
      <c r="Z1871" s="91"/>
      <c r="AA1871" s="91"/>
      <c r="AB1871" s="91"/>
      <c r="AC1871" s="91"/>
      <c r="AD1871" s="91"/>
      <c r="AE1871" s="91"/>
      <c r="AF1871" s="91"/>
      <c r="AG1871" s="91"/>
      <c r="AH1871" s="91"/>
      <c r="AI1871" s="91"/>
      <c r="AJ1871" s="91"/>
      <c r="AK1871" s="91"/>
      <c r="AL1871" s="91"/>
      <c r="AM1871" s="91"/>
    </row>
    <row r="1872" spans="1:39" ht="20.25" hidden="1" customHeight="1">
      <c r="A1872" s="91"/>
      <c r="B1872" s="93" t="s">
        <v>6146</v>
      </c>
      <c r="C1872" s="91" t="s">
        <v>36</v>
      </c>
      <c r="D1872" s="94" t="s">
        <v>6177</v>
      </c>
      <c r="E1872" s="94" t="s">
        <v>6178</v>
      </c>
      <c r="F1872" s="95" t="s">
        <v>6179</v>
      </c>
      <c r="G1872" s="96">
        <v>39210</v>
      </c>
      <c r="H1872" s="97">
        <v>21579</v>
      </c>
      <c r="I1872" s="94" t="s">
        <v>6180</v>
      </c>
      <c r="J1872" s="94" t="s">
        <v>6181</v>
      </c>
      <c r="K1872" s="95">
        <v>985061450</v>
      </c>
      <c r="L1872" s="91" t="s">
        <v>197</v>
      </c>
      <c r="M1872" s="98">
        <f ca="1">(TODAY()-H1872)/365</f>
        <v>66.912328767123284</v>
      </c>
      <c r="N1872" s="99">
        <f>(G1872-H1872)/365</f>
        <v>48.304109589041097</v>
      </c>
      <c r="O1872" s="98">
        <f ca="1">(TODAY()-G1872)/365</f>
        <v>18.608219178082191</v>
      </c>
      <c r="P1872" s="91" t="s">
        <v>43</v>
      </c>
      <c r="Q1872" s="91">
        <v>0</v>
      </c>
      <c r="R1872" s="91">
        <v>0</v>
      </c>
      <c r="S1872" s="91">
        <v>0</v>
      </c>
      <c r="T1872" s="91"/>
      <c r="U1872" s="91"/>
      <c r="V1872" s="91"/>
      <c r="W1872" s="91"/>
      <c r="X1872" s="91"/>
      <c r="Y1872" s="91"/>
      <c r="Z1872" s="91"/>
      <c r="AA1872" s="91"/>
      <c r="AB1872" s="91"/>
      <c r="AC1872" s="91"/>
      <c r="AD1872" s="91"/>
      <c r="AE1872" s="91"/>
      <c r="AF1872" s="91"/>
      <c r="AG1872" s="91"/>
      <c r="AH1872" s="91"/>
      <c r="AI1872" s="91"/>
      <c r="AJ1872" s="91"/>
      <c r="AK1872" s="91"/>
      <c r="AL1872" s="91"/>
      <c r="AM1872" s="91"/>
    </row>
    <row r="1873" spans="1:39" ht="20.25" hidden="1" customHeight="1">
      <c r="A1873" s="91"/>
      <c r="B1873" s="93" t="s">
        <v>6146</v>
      </c>
      <c r="C1873" s="91" t="s">
        <v>36</v>
      </c>
      <c r="D1873" s="94" t="s">
        <v>3692</v>
      </c>
      <c r="E1873" s="94" t="s">
        <v>6182</v>
      </c>
      <c r="F1873" s="95" t="s">
        <v>6183</v>
      </c>
      <c r="G1873" s="96">
        <v>40306</v>
      </c>
      <c r="H1873" s="97">
        <v>21869</v>
      </c>
      <c r="I1873" s="94" t="s">
        <v>6184</v>
      </c>
      <c r="J1873" s="94" t="s">
        <v>6185</v>
      </c>
      <c r="K1873" s="95">
        <v>945933546</v>
      </c>
      <c r="L1873" s="91" t="s">
        <v>60</v>
      </c>
      <c r="M1873" s="98">
        <f ca="1">(TODAY()-H1873)/365</f>
        <v>66.117808219178087</v>
      </c>
      <c r="N1873" s="99">
        <f>(G1873-H1873)/365</f>
        <v>50.512328767123286</v>
      </c>
      <c r="O1873" s="98">
        <f ca="1">(TODAY()-G1873)/365</f>
        <v>15.605479452054794</v>
      </c>
      <c r="P1873" s="91" t="s">
        <v>43</v>
      </c>
      <c r="Q1873" s="91">
        <v>0</v>
      </c>
      <c r="R1873" s="91">
        <v>0</v>
      </c>
      <c r="S1873" s="91">
        <v>0</v>
      </c>
      <c r="T1873" s="91"/>
      <c r="U1873" s="91"/>
      <c r="V1873" s="91"/>
      <c r="W1873" s="91"/>
      <c r="X1873" s="91"/>
      <c r="Y1873" s="91"/>
      <c r="Z1873" s="91"/>
      <c r="AA1873" s="91"/>
      <c r="AB1873" s="91"/>
      <c r="AC1873" s="91"/>
      <c r="AD1873" s="91"/>
      <c r="AE1873" s="91"/>
      <c r="AF1873" s="91"/>
      <c r="AG1873" s="91"/>
      <c r="AH1873" s="91"/>
      <c r="AI1873" s="91"/>
      <c r="AJ1873" s="91"/>
      <c r="AK1873" s="91"/>
      <c r="AL1873" s="91"/>
      <c r="AM1873" s="91"/>
    </row>
    <row r="1874" spans="1:39" ht="20.25" hidden="1" customHeight="1">
      <c r="A1874" s="91"/>
      <c r="B1874" s="93" t="s">
        <v>6146</v>
      </c>
      <c r="C1874" s="91" t="s">
        <v>36</v>
      </c>
      <c r="D1874" s="94" t="s">
        <v>6186</v>
      </c>
      <c r="E1874" s="94" t="s">
        <v>6187</v>
      </c>
      <c r="F1874" s="95" t="s">
        <v>6188</v>
      </c>
      <c r="G1874" s="96">
        <v>39661</v>
      </c>
      <c r="H1874" s="97">
        <v>18691</v>
      </c>
      <c r="I1874" s="94" t="s">
        <v>58</v>
      </c>
      <c r="J1874" s="94" t="s">
        <v>6189</v>
      </c>
      <c r="K1874" s="95">
        <v>963523049</v>
      </c>
      <c r="L1874" s="91" t="s">
        <v>72</v>
      </c>
      <c r="M1874" s="98">
        <f ca="1">(TODAY()-H1874)/365</f>
        <v>74.824657534246569</v>
      </c>
      <c r="N1874" s="99">
        <f>(G1874-H1874)/365</f>
        <v>57.452054794520549</v>
      </c>
      <c r="O1874" s="98">
        <f ca="1">(TODAY()-G1874)/365</f>
        <v>17.372602739726027</v>
      </c>
      <c r="P1874" s="91" t="s">
        <v>43</v>
      </c>
      <c r="Q1874" s="91">
        <v>0</v>
      </c>
      <c r="R1874" s="91">
        <v>0</v>
      </c>
      <c r="S1874" s="91">
        <v>0</v>
      </c>
      <c r="T1874" s="91"/>
      <c r="U1874" s="91"/>
      <c r="V1874" s="91"/>
      <c r="W1874" s="91"/>
      <c r="X1874" s="91"/>
      <c r="Y1874" s="91"/>
      <c r="Z1874" s="91"/>
      <c r="AA1874" s="91"/>
      <c r="AB1874" s="91"/>
      <c r="AC1874" s="91"/>
      <c r="AD1874" s="91"/>
      <c r="AE1874" s="91"/>
      <c r="AF1874" s="91"/>
      <c r="AG1874" s="91"/>
      <c r="AH1874" s="91"/>
      <c r="AI1874" s="91"/>
      <c r="AJ1874" s="91"/>
      <c r="AK1874" s="91"/>
      <c r="AL1874" s="91"/>
      <c r="AM1874" s="91"/>
    </row>
    <row r="1875" spans="1:39" ht="20.25" hidden="1" customHeight="1">
      <c r="A1875" s="91"/>
      <c r="B1875" s="93" t="s">
        <v>10632</v>
      </c>
      <c r="C1875" s="91" t="s">
        <v>36</v>
      </c>
      <c r="D1875" s="106" t="s">
        <v>10633</v>
      </c>
      <c r="E1875" s="106" t="s">
        <v>10634</v>
      </c>
      <c r="F1875" s="92" t="s">
        <v>10635</v>
      </c>
      <c r="G1875" s="103">
        <v>40159</v>
      </c>
      <c r="H1875" s="103">
        <v>21264</v>
      </c>
      <c r="I1875" s="94" t="s">
        <v>10636</v>
      </c>
      <c r="J1875" s="94" t="s">
        <v>10637</v>
      </c>
      <c r="K1875" s="92">
        <f>56981224602</f>
        <v>56981224602</v>
      </c>
      <c r="L1875" s="91"/>
      <c r="M1875" s="98">
        <f ca="1">(TODAY()-H1875)/365</f>
        <v>67.775342465753425</v>
      </c>
      <c r="N1875" s="99">
        <f>(G1875-H1875)/365</f>
        <v>51.767123287671232</v>
      </c>
      <c r="O1875" s="98">
        <f ca="1">(TODAY()-G1875)/365</f>
        <v>16.008219178082193</v>
      </c>
      <c r="P1875" s="91" t="s">
        <v>43</v>
      </c>
      <c r="Q1875" s="91"/>
      <c r="R1875" s="91"/>
      <c r="S1875" s="91"/>
      <c r="T1875" s="91"/>
      <c r="U1875" s="91"/>
      <c r="V1875" s="91"/>
      <c r="W1875" s="91"/>
      <c r="X1875" s="91"/>
      <c r="Y1875" s="91"/>
      <c r="Z1875" s="91"/>
      <c r="AA1875" s="91"/>
      <c r="AB1875" s="91"/>
      <c r="AC1875" s="91"/>
      <c r="AD1875" s="91"/>
      <c r="AE1875" s="91"/>
      <c r="AF1875" s="91"/>
      <c r="AG1875" s="91"/>
      <c r="AH1875" s="91"/>
      <c r="AI1875" s="91"/>
      <c r="AJ1875" s="91"/>
      <c r="AK1875" s="91"/>
      <c r="AL1875" s="91"/>
      <c r="AM1875" s="91"/>
    </row>
    <row r="1876" spans="1:39" ht="20.25" hidden="1" customHeight="1">
      <c r="A1876" s="91"/>
      <c r="B1876" s="93" t="s">
        <v>10632</v>
      </c>
      <c r="C1876" s="91" t="s">
        <v>36</v>
      </c>
      <c r="D1876" s="106" t="s">
        <v>10638</v>
      </c>
      <c r="E1876" s="106" t="s">
        <v>10639</v>
      </c>
      <c r="F1876" s="92" t="s">
        <v>10640</v>
      </c>
      <c r="G1876" s="103">
        <v>26947</v>
      </c>
      <c r="H1876" s="103">
        <v>21084</v>
      </c>
      <c r="I1876" s="94" t="s">
        <v>10641</v>
      </c>
      <c r="J1876" s="94" t="s">
        <v>10642</v>
      </c>
      <c r="K1876" s="92">
        <f>56994252244</f>
        <v>56994252244</v>
      </c>
      <c r="L1876" s="91"/>
      <c r="M1876" s="98">
        <f ca="1">(TODAY()-H1876)/365</f>
        <v>68.268493150684932</v>
      </c>
      <c r="N1876" s="99">
        <f>(G1876-H1876)/365</f>
        <v>16.063013698630137</v>
      </c>
      <c r="O1876" s="98">
        <f ca="1">(TODAY()-G1876)/365</f>
        <v>52.205479452054796</v>
      </c>
      <c r="P1876" s="91" t="s">
        <v>272</v>
      </c>
      <c r="Q1876" s="91"/>
      <c r="R1876" s="91"/>
      <c r="S1876" s="91"/>
      <c r="T1876" s="91"/>
      <c r="U1876" s="91"/>
      <c r="V1876" s="91"/>
      <c r="W1876" s="91"/>
      <c r="X1876" s="91"/>
      <c r="Y1876" s="91"/>
      <c r="Z1876" s="91"/>
      <c r="AA1876" s="91"/>
      <c r="AB1876" s="91"/>
      <c r="AC1876" s="91"/>
      <c r="AD1876" s="91"/>
      <c r="AE1876" s="91"/>
      <c r="AF1876" s="91"/>
      <c r="AG1876" s="91"/>
      <c r="AH1876" s="91"/>
      <c r="AI1876" s="91"/>
      <c r="AJ1876" s="91"/>
      <c r="AK1876" s="91"/>
      <c r="AL1876" s="91"/>
      <c r="AM1876" s="91"/>
    </row>
    <row r="1877" spans="1:39" ht="20.25" hidden="1" customHeight="1">
      <c r="A1877" s="91"/>
      <c r="B1877" s="93" t="s">
        <v>10632</v>
      </c>
      <c r="C1877" s="91" t="s">
        <v>36</v>
      </c>
      <c r="D1877" s="106" t="s">
        <v>10643</v>
      </c>
      <c r="E1877" s="106" t="s">
        <v>10644</v>
      </c>
      <c r="F1877" s="92" t="s">
        <v>10645</v>
      </c>
      <c r="G1877" s="103">
        <v>41051</v>
      </c>
      <c r="H1877" s="103">
        <v>18318</v>
      </c>
      <c r="I1877" s="94" t="s">
        <v>58</v>
      </c>
      <c r="J1877" s="94" t="s">
        <v>10646</v>
      </c>
      <c r="K1877" s="92">
        <f>56983289042</f>
        <v>56983289042</v>
      </c>
      <c r="L1877" s="91"/>
      <c r="M1877" s="98">
        <f ca="1">(TODAY()-H1877)/365</f>
        <v>75.846575342465755</v>
      </c>
      <c r="N1877" s="99">
        <f>(G1877-H1877)/365</f>
        <v>62.282191780821918</v>
      </c>
      <c r="O1877" s="98">
        <f ca="1">(TODAY()-G1877)/365</f>
        <v>13.564383561643835</v>
      </c>
      <c r="P1877" s="91" t="s">
        <v>43</v>
      </c>
      <c r="Q1877" s="91"/>
      <c r="R1877" s="91"/>
      <c r="S1877" s="91"/>
      <c r="T1877" s="91"/>
      <c r="U1877" s="91"/>
      <c r="V1877" s="91"/>
      <c r="W1877" s="91"/>
      <c r="X1877" s="91"/>
      <c r="Y1877" s="91"/>
      <c r="Z1877" s="91"/>
      <c r="AA1877" s="91"/>
      <c r="AB1877" s="91"/>
      <c r="AC1877" s="91"/>
      <c r="AD1877" s="91"/>
      <c r="AE1877" s="91"/>
      <c r="AF1877" s="91"/>
      <c r="AG1877" s="91"/>
      <c r="AH1877" s="91"/>
      <c r="AI1877" s="91"/>
      <c r="AJ1877" s="91"/>
      <c r="AK1877" s="91"/>
      <c r="AL1877" s="91"/>
      <c r="AM1877" s="91"/>
    </row>
    <row r="1878" spans="1:39" ht="20.25" hidden="1" customHeight="1">
      <c r="A1878" s="91"/>
      <c r="B1878" s="93" t="s">
        <v>10632</v>
      </c>
      <c r="C1878" s="91" t="s">
        <v>36</v>
      </c>
      <c r="D1878" s="106" t="s">
        <v>10647</v>
      </c>
      <c r="E1878" s="106" t="s">
        <v>10648</v>
      </c>
      <c r="F1878" s="92" t="s">
        <v>10649</v>
      </c>
      <c r="G1878" s="103">
        <v>32086</v>
      </c>
      <c r="H1878" s="103">
        <v>13354</v>
      </c>
      <c r="I1878" s="94" t="s">
        <v>10650</v>
      </c>
      <c r="J1878" s="94" t="s">
        <v>10651</v>
      </c>
      <c r="K1878" s="92">
        <f>56992500632</f>
        <v>56992500632</v>
      </c>
      <c r="L1878" s="91"/>
      <c r="M1878" s="98">
        <f ca="1">(TODAY()-H1878)/365</f>
        <v>89.446575342465749</v>
      </c>
      <c r="N1878" s="99">
        <f>(G1878-H1878)/365</f>
        <v>51.320547945205476</v>
      </c>
      <c r="O1878" s="98">
        <f ca="1">(TODAY()-G1878)/365</f>
        <v>38.126027397260273</v>
      </c>
      <c r="P1878" s="91" t="s">
        <v>43</v>
      </c>
      <c r="Q1878" s="91"/>
      <c r="R1878" s="91"/>
      <c r="S1878" s="91"/>
      <c r="T1878" s="91"/>
      <c r="U1878" s="91"/>
      <c r="V1878" s="91"/>
      <c r="W1878" s="91"/>
      <c r="X1878" s="91"/>
      <c r="Y1878" s="91"/>
      <c r="Z1878" s="91"/>
      <c r="AA1878" s="91"/>
      <c r="AB1878" s="91"/>
      <c r="AC1878" s="91"/>
      <c r="AD1878" s="91"/>
      <c r="AE1878" s="91"/>
      <c r="AF1878" s="91"/>
      <c r="AG1878" s="91"/>
      <c r="AH1878" s="91"/>
      <c r="AI1878" s="91"/>
      <c r="AJ1878" s="91"/>
      <c r="AK1878" s="91"/>
      <c r="AL1878" s="91"/>
      <c r="AM1878" s="91"/>
    </row>
    <row r="1879" spans="1:39" ht="20.25" hidden="1" customHeight="1">
      <c r="A1879" s="91"/>
      <c r="B1879" s="93" t="s">
        <v>10632</v>
      </c>
      <c r="C1879" s="91" t="s">
        <v>36</v>
      </c>
      <c r="D1879" s="106" t="s">
        <v>10652</v>
      </c>
      <c r="E1879" s="106" t="s">
        <v>10653</v>
      </c>
      <c r="G1879" s="103">
        <v>40471</v>
      </c>
      <c r="H1879" s="103">
        <v>17103</v>
      </c>
      <c r="I1879" s="94" t="s">
        <v>58</v>
      </c>
      <c r="J1879" s="94" t="s">
        <v>10654</v>
      </c>
      <c r="K1879" s="92">
        <f>56996615902</f>
        <v>56996615902</v>
      </c>
      <c r="L1879" s="91"/>
      <c r="M1879" s="98">
        <f ca="1">(TODAY()-H1879)/365</f>
        <v>79.175342465753431</v>
      </c>
      <c r="N1879" s="99">
        <f>(G1879-H1879)/365</f>
        <v>64.021917808219172</v>
      </c>
      <c r="O1879" s="98">
        <f ca="1">(TODAY()-G1879)/365</f>
        <v>15.153424657534247</v>
      </c>
      <c r="P1879" s="91" t="s">
        <v>43</v>
      </c>
      <c r="Q1879" s="91"/>
      <c r="R1879" s="91"/>
      <c r="S1879" s="91"/>
      <c r="T1879" s="91"/>
      <c r="U1879" s="91"/>
      <c r="V1879" s="91"/>
      <c r="W1879" s="91"/>
      <c r="X1879" s="91"/>
      <c r="Y1879" s="91"/>
      <c r="Z1879" s="91"/>
      <c r="AA1879" s="91"/>
      <c r="AB1879" s="91"/>
      <c r="AC1879" s="91"/>
      <c r="AD1879" s="91"/>
      <c r="AE1879" s="91"/>
      <c r="AF1879" s="91"/>
      <c r="AG1879" s="91"/>
      <c r="AH1879" s="91"/>
      <c r="AI1879" s="91"/>
      <c r="AJ1879" s="91"/>
      <c r="AK1879" s="91"/>
      <c r="AL1879" s="91"/>
      <c r="AM1879" s="91"/>
    </row>
    <row r="1880" spans="1:39" ht="20.25" hidden="1" customHeight="1">
      <c r="A1880" s="91"/>
      <c r="B1880" s="93" t="s">
        <v>10632</v>
      </c>
      <c r="C1880" s="91" t="s">
        <v>36</v>
      </c>
      <c r="D1880" s="106" t="s">
        <v>10655</v>
      </c>
      <c r="E1880" s="106" t="s">
        <v>10656</v>
      </c>
      <c r="G1880" s="103">
        <v>41620</v>
      </c>
      <c r="H1880" s="103">
        <v>17013</v>
      </c>
      <c r="I1880" s="94" t="s">
        <v>58</v>
      </c>
      <c r="J1880" s="94" t="s">
        <v>10657</v>
      </c>
      <c r="K1880" s="92">
        <v>9612642129</v>
      </c>
      <c r="L1880" s="91"/>
      <c r="M1880" s="98">
        <f ca="1">(TODAY()-H1880)/365</f>
        <v>79.421917808219177</v>
      </c>
      <c r="N1880" s="99">
        <f>(G1880-H1880)/365</f>
        <v>67.416438356164377</v>
      </c>
      <c r="O1880" s="98">
        <f ca="1">(TODAY()-G1880)/365</f>
        <v>12.005479452054795</v>
      </c>
      <c r="P1880" s="91" t="s">
        <v>43</v>
      </c>
      <c r="Q1880" s="91"/>
      <c r="R1880" s="91"/>
      <c r="S1880" s="91"/>
      <c r="T1880" s="91"/>
      <c r="U1880" s="91"/>
      <c r="V1880" s="91"/>
      <c r="W1880" s="91"/>
      <c r="X1880" s="91"/>
      <c r="Y1880" s="91"/>
      <c r="Z1880" s="91"/>
      <c r="AA1880" s="91"/>
      <c r="AB1880" s="91"/>
      <c r="AC1880" s="91"/>
      <c r="AD1880" s="91"/>
      <c r="AE1880" s="91"/>
      <c r="AF1880" s="91"/>
      <c r="AG1880" s="91"/>
      <c r="AH1880" s="91"/>
      <c r="AI1880" s="91"/>
      <c r="AJ1880" s="91"/>
      <c r="AK1880" s="91"/>
      <c r="AL1880" s="91"/>
      <c r="AM1880" s="91"/>
    </row>
    <row r="1881" spans="1:39" ht="20.25" hidden="1" customHeight="1">
      <c r="A1881" s="91"/>
      <c r="B1881" s="93" t="s">
        <v>10632</v>
      </c>
      <c r="C1881" s="91" t="s">
        <v>36</v>
      </c>
      <c r="D1881" s="106" t="s">
        <v>10658</v>
      </c>
      <c r="E1881" s="106" t="s">
        <v>10659</v>
      </c>
      <c r="G1881" s="103">
        <v>33879</v>
      </c>
      <c r="H1881" s="103">
        <v>25875</v>
      </c>
      <c r="I1881" s="94" t="s">
        <v>10660</v>
      </c>
      <c r="J1881" s="94" t="s">
        <v>10661</v>
      </c>
      <c r="K1881" s="92">
        <f>56996957615</f>
        <v>56996957615</v>
      </c>
      <c r="L1881" s="91"/>
      <c r="M1881" s="98">
        <f ca="1">(TODAY()-H1881)/365</f>
        <v>55.142465753424659</v>
      </c>
      <c r="N1881" s="99">
        <f>(G1881-H1881)/365</f>
        <v>21.92876712328767</v>
      </c>
      <c r="O1881" s="98">
        <f ca="1">(TODAY()-G1881)/365</f>
        <v>33.213698630136989</v>
      </c>
      <c r="P1881" s="91" t="s">
        <v>43</v>
      </c>
      <c r="Q1881" s="91"/>
      <c r="R1881" s="91"/>
      <c r="S1881" s="91"/>
      <c r="T1881" s="91"/>
      <c r="U1881" s="91"/>
      <c r="V1881" s="91"/>
      <c r="W1881" s="91"/>
      <c r="X1881" s="91"/>
      <c r="Y1881" s="91"/>
      <c r="Z1881" s="91"/>
      <c r="AA1881" s="91"/>
      <c r="AB1881" s="91"/>
      <c r="AC1881" s="91"/>
      <c r="AD1881" s="91"/>
      <c r="AE1881" s="91"/>
      <c r="AF1881" s="91"/>
      <c r="AG1881" s="91"/>
      <c r="AH1881" s="91"/>
      <c r="AI1881" s="91"/>
      <c r="AJ1881" s="91"/>
      <c r="AK1881" s="91"/>
      <c r="AL1881" s="91"/>
      <c r="AM1881" s="91"/>
    </row>
    <row r="1882" spans="1:39" ht="20.25" hidden="1" customHeight="1">
      <c r="A1882" s="91"/>
      <c r="B1882" s="93" t="s">
        <v>10632</v>
      </c>
      <c r="C1882" s="91" t="s">
        <v>36</v>
      </c>
      <c r="D1882" s="106" t="s">
        <v>10662</v>
      </c>
      <c r="E1882" s="106" t="s">
        <v>10663</v>
      </c>
      <c r="G1882" s="103">
        <v>33420</v>
      </c>
      <c r="H1882" s="103">
        <v>25323</v>
      </c>
      <c r="I1882" s="94" t="s">
        <v>10664</v>
      </c>
      <c r="J1882" s="94" t="s">
        <v>10661</v>
      </c>
      <c r="K1882" s="92">
        <f>5688119989</f>
        <v>5688119989</v>
      </c>
      <c r="L1882" s="91"/>
      <c r="M1882" s="98">
        <f ca="1">(TODAY()-H1882)/365</f>
        <v>56.654794520547945</v>
      </c>
      <c r="N1882" s="99">
        <f>(G1882-H1882)/365</f>
        <v>22.183561643835617</v>
      </c>
      <c r="O1882" s="98">
        <f ca="1">(TODAY()-G1882)/365</f>
        <v>34.471232876712328</v>
      </c>
      <c r="P1882" s="91" t="s">
        <v>43</v>
      </c>
      <c r="Q1882" s="91"/>
      <c r="R1882" s="91"/>
      <c r="S1882" s="91"/>
      <c r="T1882" s="91"/>
      <c r="U1882" s="91"/>
      <c r="V1882" s="91"/>
      <c r="W1882" s="91"/>
      <c r="X1882" s="91"/>
      <c r="Y1882" s="91"/>
      <c r="Z1882" s="91"/>
      <c r="AA1882" s="91"/>
      <c r="AB1882" s="91"/>
      <c r="AC1882" s="91"/>
      <c r="AD1882" s="91"/>
      <c r="AE1882" s="91"/>
      <c r="AF1882" s="91"/>
      <c r="AG1882" s="91"/>
      <c r="AH1882" s="91"/>
      <c r="AI1882" s="91"/>
      <c r="AJ1882" s="91"/>
      <c r="AK1882" s="91"/>
      <c r="AL1882" s="91"/>
      <c r="AM1882" s="91"/>
    </row>
    <row r="1883" spans="1:39" ht="20.25" hidden="1" customHeight="1">
      <c r="A1883" s="91"/>
      <c r="B1883" s="93" t="s">
        <v>10632</v>
      </c>
      <c r="C1883" s="91" t="s">
        <v>36</v>
      </c>
      <c r="D1883" s="106" t="s">
        <v>10665</v>
      </c>
      <c r="E1883" s="106" t="s">
        <v>10666</v>
      </c>
      <c r="G1883" s="103">
        <v>36130</v>
      </c>
      <c r="H1883" s="103">
        <v>23123</v>
      </c>
      <c r="I1883" s="94" t="s">
        <v>58</v>
      </c>
      <c r="J1883" s="94" t="s">
        <v>10667</v>
      </c>
      <c r="K1883" s="92">
        <f>56966161465</f>
        <v>56966161465</v>
      </c>
      <c r="L1883" s="91"/>
      <c r="M1883" s="98">
        <f ca="1">(TODAY()-H1883)/365</f>
        <v>62.682191780821917</v>
      </c>
      <c r="N1883" s="99">
        <f>(G1883-H1883)/365</f>
        <v>35.635616438356166</v>
      </c>
      <c r="O1883" s="98">
        <f ca="1">(TODAY()-G1883)/365</f>
        <v>27.046575342465754</v>
      </c>
      <c r="P1883" s="91" t="s">
        <v>43</v>
      </c>
      <c r="Q1883" s="91"/>
      <c r="R1883" s="91"/>
      <c r="S1883" s="91"/>
      <c r="T1883" s="91"/>
      <c r="U1883" s="91"/>
      <c r="V1883" s="91"/>
      <c r="W1883" s="91"/>
      <c r="X1883" s="91"/>
      <c r="Y1883" s="91"/>
      <c r="Z1883" s="91"/>
      <c r="AA1883" s="91"/>
      <c r="AB1883" s="91"/>
      <c r="AC1883" s="91"/>
      <c r="AD1883" s="91"/>
      <c r="AE1883" s="91"/>
      <c r="AF1883" s="91"/>
      <c r="AG1883" s="91"/>
      <c r="AH1883" s="91"/>
      <c r="AI1883" s="91"/>
      <c r="AJ1883" s="91"/>
      <c r="AK1883" s="91"/>
      <c r="AL1883" s="91"/>
      <c r="AM1883" s="91"/>
    </row>
    <row r="1884" spans="1:39" ht="20.25" hidden="1" customHeight="1">
      <c r="A1884" s="91"/>
      <c r="B1884" s="93" t="s">
        <v>10632</v>
      </c>
      <c r="C1884" s="91" t="s">
        <v>36</v>
      </c>
      <c r="D1884" s="106" t="s">
        <v>10668</v>
      </c>
      <c r="E1884" s="106" t="s">
        <v>10669</v>
      </c>
      <c r="F1884" s="92" t="s">
        <v>10670</v>
      </c>
      <c r="G1884" s="103">
        <v>43081</v>
      </c>
      <c r="H1884" s="103">
        <v>21598</v>
      </c>
      <c r="I1884" s="94" t="s">
        <v>10671</v>
      </c>
      <c r="J1884" s="94" t="s">
        <v>10672</v>
      </c>
      <c r="K1884" s="92">
        <f>56964044947</f>
        <v>56964044947</v>
      </c>
      <c r="L1884" s="91"/>
      <c r="M1884" s="98">
        <f ca="1">(TODAY()-H1884)/365</f>
        <v>66.860273972602741</v>
      </c>
      <c r="N1884" s="99">
        <f>(G1884-H1884)/365</f>
        <v>58.857534246575341</v>
      </c>
      <c r="O1884" s="98">
        <f ca="1">(TODAY()-G1884)/365</f>
        <v>8.0027397260273965</v>
      </c>
      <c r="P1884" s="91" t="s">
        <v>43</v>
      </c>
      <c r="Q1884" s="91"/>
      <c r="R1884" s="91"/>
      <c r="S1884" s="91"/>
      <c r="T1884" s="91"/>
      <c r="U1884" s="91"/>
      <c r="V1884" s="91"/>
      <c r="W1884" s="91"/>
      <c r="X1884" s="91"/>
      <c r="Y1884" s="91"/>
      <c r="Z1884" s="91"/>
      <c r="AA1884" s="91"/>
      <c r="AB1884" s="91"/>
      <c r="AC1884" s="91"/>
      <c r="AD1884" s="91"/>
      <c r="AE1884" s="91"/>
      <c r="AF1884" s="91"/>
      <c r="AG1884" s="91"/>
      <c r="AH1884" s="91"/>
      <c r="AI1884" s="91"/>
      <c r="AJ1884" s="91"/>
      <c r="AK1884" s="91"/>
      <c r="AL1884" s="91"/>
      <c r="AM1884" s="91"/>
    </row>
    <row r="1885" spans="1:39" ht="20.25" hidden="1" customHeight="1">
      <c r="A1885" s="91"/>
      <c r="B1885" s="93" t="s">
        <v>10632</v>
      </c>
      <c r="C1885" s="91" t="s">
        <v>36</v>
      </c>
      <c r="D1885" s="106" t="s">
        <v>10673</v>
      </c>
      <c r="E1885" s="106" t="s">
        <v>10674</v>
      </c>
      <c r="F1885" s="92" t="s">
        <v>10675</v>
      </c>
      <c r="G1885" s="103">
        <v>43081</v>
      </c>
      <c r="H1885" s="103">
        <v>17296</v>
      </c>
      <c r="I1885" s="94" t="s">
        <v>58</v>
      </c>
      <c r="J1885" s="94" t="s">
        <v>10676</v>
      </c>
      <c r="K1885" s="92">
        <f>56976170802</f>
        <v>56976170802</v>
      </c>
      <c r="L1885" s="91"/>
      <c r="M1885" s="98">
        <f ca="1">(TODAY()-H1885)/365</f>
        <v>78.646575342465752</v>
      </c>
      <c r="N1885" s="99">
        <f>(G1885-H1885)/365</f>
        <v>70.643835616438352</v>
      </c>
      <c r="O1885" s="98">
        <f ca="1">(TODAY()-G1885)/365</f>
        <v>8.0027397260273965</v>
      </c>
      <c r="P1885" s="91" t="s">
        <v>43</v>
      </c>
      <c r="Q1885" s="91"/>
      <c r="R1885" s="91"/>
      <c r="S1885" s="91"/>
      <c r="T1885" s="91"/>
      <c r="U1885" s="91"/>
      <c r="V1885" s="91"/>
      <c r="W1885" s="91"/>
      <c r="X1885" s="91"/>
      <c r="Y1885" s="91"/>
      <c r="Z1885" s="91"/>
      <c r="AA1885" s="91"/>
      <c r="AB1885" s="91"/>
      <c r="AC1885" s="91"/>
      <c r="AD1885" s="91"/>
      <c r="AE1885" s="91"/>
      <c r="AF1885" s="91"/>
      <c r="AG1885" s="91"/>
      <c r="AH1885" s="91"/>
      <c r="AI1885" s="91"/>
      <c r="AJ1885" s="91"/>
      <c r="AK1885" s="91"/>
      <c r="AL1885" s="91"/>
      <c r="AM1885" s="91"/>
    </row>
    <row r="1886" spans="1:39" ht="20.25" hidden="1" customHeight="1">
      <c r="A1886" s="91"/>
      <c r="B1886" s="93" t="s">
        <v>10632</v>
      </c>
      <c r="C1886" s="91" t="s">
        <v>36</v>
      </c>
      <c r="D1886" s="106" t="s">
        <v>10181</v>
      </c>
      <c r="E1886" s="106" t="s">
        <v>10677</v>
      </c>
      <c r="F1886" s="92" t="s">
        <v>10678</v>
      </c>
      <c r="G1886" s="103">
        <v>43081</v>
      </c>
      <c r="H1886" s="103" t="s">
        <v>58</v>
      </c>
      <c r="I1886" s="94" t="s">
        <v>58</v>
      </c>
      <c r="J1886" s="94" t="s">
        <v>10679</v>
      </c>
      <c r="K1886" s="92">
        <f>56958551008</f>
        <v>56958551008</v>
      </c>
      <c r="L1886" s="91"/>
      <c r="M1886" s="98" t="e">
        <f ca="1">(TODAY()-H1886)/365</f>
        <v>#VALUE!</v>
      </c>
      <c r="N1886" s="99" t="e">
        <f>(G1886-H1886)/365</f>
        <v>#VALUE!</v>
      </c>
      <c r="O1886" s="98">
        <f ca="1">(TODAY()-G1886)/365</f>
        <v>8.0027397260273965</v>
      </c>
      <c r="P1886" s="91" t="s">
        <v>43</v>
      </c>
      <c r="Q1886" s="91"/>
      <c r="R1886" s="91"/>
      <c r="S1886" s="91"/>
      <c r="T1886" s="91"/>
      <c r="U1886" s="91"/>
      <c r="V1886" s="91"/>
      <c r="W1886" s="91"/>
      <c r="X1886" s="91"/>
      <c r="Y1886" s="91"/>
      <c r="Z1886" s="91"/>
      <c r="AA1886" s="91"/>
      <c r="AB1886" s="91"/>
      <c r="AC1886" s="91"/>
      <c r="AD1886" s="91"/>
      <c r="AE1886" s="91"/>
      <c r="AF1886" s="91"/>
      <c r="AG1886" s="91"/>
      <c r="AH1886" s="91"/>
      <c r="AI1886" s="91"/>
      <c r="AJ1886" s="91"/>
      <c r="AK1886" s="91"/>
      <c r="AL1886" s="91"/>
      <c r="AM1886" s="91"/>
    </row>
    <row r="1887" spans="1:39" ht="20.25" hidden="1" customHeight="1">
      <c r="A1887" s="91"/>
      <c r="B1887" s="93" t="s">
        <v>10632</v>
      </c>
      <c r="C1887" s="91" t="s">
        <v>36</v>
      </c>
      <c r="D1887" s="106" t="s">
        <v>10680</v>
      </c>
      <c r="E1887" s="106" t="s">
        <v>10681</v>
      </c>
      <c r="G1887" s="103">
        <v>43081</v>
      </c>
      <c r="H1887" s="103" t="s">
        <v>58</v>
      </c>
      <c r="I1887" s="94" t="s">
        <v>58</v>
      </c>
      <c r="J1887" s="94" t="s">
        <v>10682</v>
      </c>
      <c r="K1887" s="92">
        <f>56982932959</f>
        <v>56982932959</v>
      </c>
      <c r="L1887" s="91"/>
      <c r="M1887" s="98" t="e">
        <f ca="1">(TODAY()-H1887)/365</f>
        <v>#VALUE!</v>
      </c>
      <c r="N1887" s="99" t="e">
        <f>(G1887-H1887)/365</f>
        <v>#VALUE!</v>
      </c>
      <c r="O1887" s="98">
        <f ca="1">(TODAY()-G1887)/365</f>
        <v>8.0027397260273965</v>
      </c>
      <c r="P1887" s="91" t="s">
        <v>43</v>
      </c>
      <c r="Q1887" s="91"/>
      <c r="R1887" s="91"/>
      <c r="S1887" s="91"/>
      <c r="T1887" s="91"/>
      <c r="U1887" s="91"/>
      <c r="V1887" s="91"/>
      <c r="W1887" s="91"/>
      <c r="X1887" s="91"/>
      <c r="Y1887" s="91"/>
      <c r="Z1887" s="91"/>
      <c r="AA1887" s="91"/>
      <c r="AB1887" s="91"/>
      <c r="AC1887" s="91"/>
      <c r="AD1887" s="91"/>
      <c r="AE1887" s="91"/>
      <c r="AF1887" s="91"/>
      <c r="AG1887" s="91"/>
      <c r="AH1887" s="91"/>
      <c r="AI1887" s="91"/>
      <c r="AJ1887" s="91"/>
      <c r="AK1887" s="91"/>
      <c r="AL1887" s="91"/>
      <c r="AM1887" s="91"/>
    </row>
    <row r="1888" spans="1:39" ht="20.25" hidden="1" customHeight="1">
      <c r="A1888" s="91"/>
      <c r="B1888" s="93" t="s">
        <v>10632</v>
      </c>
      <c r="C1888" s="91" t="s">
        <v>36</v>
      </c>
      <c r="D1888" s="106" t="s">
        <v>10168</v>
      </c>
      <c r="E1888" s="106" t="s">
        <v>10683</v>
      </c>
      <c r="F1888" s="92" t="s">
        <v>10684</v>
      </c>
      <c r="G1888" s="103">
        <v>43081</v>
      </c>
      <c r="H1888" s="103" t="s">
        <v>58</v>
      </c>
      <c r="I1888" s="94" t="s">
        <v>10685</v>
      </c>
      <c r="J1888" s="94" t="s">
        <v>10686</v>
      </c>
      <c r="K1888" s="92">
        <f>56940910523</f>
        <v>56940910523</v>
      </c>
      <c r="L1888" s="91"/>
      <c r="M1888" s="98" t="e">
        <f ca="1">(TODAY()-H1888)/365</f>
        <v>#VALUE!</v>
      </c>
      <c r="N1888" s="99" t="e">
        <f>(G1888-H1888)/365</f>
        <v>#VALUE!</v>
      </c>
      <c r="O1888" s="98">
        <f ca="1">(TODAY()-G1888)/365</f>
        <v>8.0027397260273965</v>
      </c>
      <c r="P1888" s="91" t="s">
        <v>43</v>
      </c>
      <c r="Q1888" s="91"/>
      <c r="R1888" s="91"/>
      <c r="S1888" s="91"/>
      <c r="T1888" s="91"/>
      <c r="U1888" s="91"/>
      <c r="V1888" s="91"/>
      <c r="W1888" s="91"/>
      <c r="X1888" s="91"/>
      <c r="Y1888" s="91"/>
      <c r="Z1888" s="91"/>
      <c r="AA1888" s="91"/>
      <c r="AB1888" s="91"/>
      <c r="AC1888" s="91"/>
      <c r="AD1888" s="91"/>
      <c r="AE1888" s="91"/>
      <c r="AF1888" s="91"/>
      <c r="AG1888" s="91"/>
      <c r="AH1888" s="91"/>
      <c r="AI1888" s="91"/>
      <c r="AJ1888" s="91"/>
      <c r="AK1888" s="91"/>
      <c r="AL1888" s="91"/>
      <c r="AM1888" s="91"/>
    </row>
    <row r="1889" spans="1:39" ht="20.25" hidden="1" customHeight="1">
      <c r="A1889" s="91"/>
      <c r="B1889" s="93" t="s">
        <v>11879</v>
      </c>
      <c r="C1889" s="91" t="s">
        <v>36</v>
      </c>
      <c r="D1889" s="107" t="s">
        <v>6190</v>
      </c>
      <c r="E1889" s="107" t="s">
        <v>6191</v>
      </c>
      <c r="F1889" s="95" t="s">
        <v>6192</v>
      </c>
      <c r="G1889" s="96" t="s">
        <v>58</v>
      </c>
      <c r="H1889" s="97">
        <v>36343</v>
      </c>
      <c r="I1889" s="100" t="s">
        <v>6193</v>
      </c>
      <c r="J1889" s="100" t="s">
        <v>6194</v>
      </c>
      <c r="K1889" s="91">
        <v>91499029</v>
      </c>
      <c r="L1889" s="91" t="s">
        <v>60</v>
      </c>
      <c r="M1889" s="98">
        <f ca="1">(TODAY()-H1889)/365</f>
        <v>26.463013698630139</v>
      </c>
      <c r="N1889" s="95" t="s">
        <v>58</v>
      </c>
      <c r="O1889" s="98" t="e">
        <f ca="1">(TODAY()-G1889)/365</f>
        <v>#VALUE!</v>
      </c>
      <c r="P1889" s="91" t="s">
        <v>43</v>
      </c>
      <c r="Q1889" s="91"/>
      <c r="R1889" s="91"/>
      <c r="S1889" s="91"/>
      <c r="T1889" s="91"/>
      <c r="U1889" s="91"/>
      <c r="V1889" s="91"/>
      <c r="W1889" s="91"/>
      <c r="X1889" s="91"/>
      <c r="Y1889" s="91"/>
      <c r="Z1889" s="91"/>
      <c r="AA1889" s="91"/>
      <c r="AB1889" s="91"/>
      <c r="AC1889" s="91"/>
      <c r="AD1889" s="91"/>
      <c r="AE1889" s="91"/>
      <c r="AF1889" s="91"/>
      <c r="AG1889" s="91"/>
      <c r="AH1889" s="91"/>
      <c r="AI1889" s="91"/>
      <c r="AJ1889" s="91"/>
      <c r="AK1889" s="91"/>
      <c r="AL1889" s="91"/>
      <c r="AM1889" s="91"/>
    </row>
    <row r="1890" spans="1:39" ht="20.25" hidden="1" customHeight="1">
      <c r="A1890" s="91"/>
      <c r="B1890" s="93" t="s">
        <v>11879</v>
      </c>
      <c r="C1890" s="91" t="s">
        <v>36</v>
      </c>
      <c r="D1890" s="107" t="s">
        <v>6195</v>
      </c>
      <c r="E1890" s="107" t="s">
        <v>6196</v>
      </c>
      <c r="F1890" s="91" t="s">
        <v>6197</v>
      </c>
      <c r="G1890" s="96">
        <v>45082</v>
      </c>
      <c r="H1890" s="97">
        <v>39428</v>
      </c>
      <c r="I1890" s="100" t="s">
        <v>6198</v>
      </c>
      <c r="J1890" s="100" t="s">
        <v>6199</v>
      </c>
      <c r="K1890" s="95" t="s">
        <v>58</v>
      </c>
      <c r="L1890" s="91" t="s">
        <v>60</v>
      </c>
      <c r="M1890" s="98">
        <f ca="1">(TODAY()-H1890)/365</f>
        <v>18.010958904109589</v>
      </c>
      <c r="N1890" s="99">
        <f>(G1890-H1890)/365</f>
        <v>15.490410958904109</v>
      </c>
      <c r="O1890" s="98">
        <f ca="1">(TODAY()-G1890)/365</f>
        <v>2.5205479452054793</v>
      </c>
      <c r="P1890" s="91" t="s">
        <v>43</v>
      </c>
      <c r="Q1890" s="91"/>
      <c r="R1890" s="91"/>
      <c r="S1890" s="91"/>
      <c r="T1890" s="91"/>
      <c r="U1890" s="91"/>
      <c r="V1890" s="91"/>
      <c r="W1890" s="91"/>
      <c r="X1890" s="91"/>
      <c r="Y1890" s="91"/>
      <c r="Z1890" s="91"/>
      <c r="AA1890" s="91"/>
      <c r="AB1890" s="91"/>
      <c r="AC1890" s="91"/>
      <c r="AD1890" s="91"/>
      <c r="AE1890" s="91"/>
      <c r="AF1890" s="91"/>
      <c r="AG1890" s="91"/>
      <c r="AH1890" s="91"/>
      <c r="AI1890" s="91"/>
      <c r="AJ1890" s="91"/>
      <c r="AK1890" s="91"/>
      <c r="AL1890" s="91"/>
      <c r="AM1890" s="91"/>
    </row>
    <row r="1891" spans="1:39" ht="20.25" hidden="1" customHeight="1">
      <c r="A1891" s="91"/>
      <c r="B1891" s="93" t="s">
        <v>11879</v>
      </c>
      <c r="C1891" s="91" t="s">
        <v>36</v>
      </c>
      <c r="D1891" s="107" t="s">
        <v>1309</v>
      </c>
      <c r="E1891" s="107" t="s">
        <v>6200</v>
      </c>
      <c r="F1891" s="91" t="s">
        <v>6201</v>
      </c>
      <c r="G1891" s="96">
        <v>45408</v>
      </c>
      <c r="H1891" s="97">
        <v>39646</v>
      </c>
      <c r="I1891" s="100" t="s">
        <v>6202</v>
      </c>
      <c r="J1891" s="100" t="s">
        <v>6203</v>
      </c>
      <c r="K1891" s="95" t="s">
        <v>58</v>
      </c>
      <c r="L1891" s="91" t="s">
        <v>60</v>
      </c>
      <c r="M1891" s="98">
        <f ca="1">(TODAY()-H1891)/365</f>
        <v>17.413698630136988</v>
      </c>
      <c r="N1891" s="99">
        <f>(G1891-H1891)/365</f>
        <v>15.786301369863013</v>
      </c>
      <c r="O1891" s="98">
        <f ca="1">(TODAY()-G1891)/365</f>
        <v>1.6273972602739726</v>
      </c>
      <c r="P1891" s="91" t="s">
        <v>43</v>
      </c>
      <c r="Q1891" s="91"/>
      <c r="R1891" s="91"/>
      <c r="S1891" s="91"/>
      <c r="T1891" s="91"/>
      <c r="U1891" s="91"/>
      <c r="V1891" s="91"/>
      <c r="W1891" s="91"/>
      <c r="X1891" s="91"/>
      <c r="Y1891" s="91"/>
      <c r="Z1891" s="91"/>
      <c r="AA1891" s="91"/>
      <c r="AB1891" s="91"/>
      <c r="AC1891" s="91"/>
      <c r="AD1891" s="91"/>
      <c r="AE1891" s="91"/>
      <c r="AF1891" s="91"/>
      <c r="AG1891" s="91"/>
      <c r="AH1891" s="91"/>
      <c r="AI1891" s="91"/>
      <c r="AJ1891" s="91"/>
      <c r="AK1891" s="91"/>
      <c r="AL1891" s="91"/>
      <c r="AM1891" s="91"/>
    </row>
    <row r="1892" spans="1:39" ht="20.25" hidden="1" customHeight="1">
      <c r="A1892" s="91"/>
      <c r="B1892" s="93" t="s">
        <v>11879</v>
      </c>
      <c r="C1892" s="91" t="s">
        <v>36</v>
      </c>
      <c r="D1892" s="107" t="s">
        <v>482</v>
      </c>
      <c r="E1892" s="107" t="s">
        <v>6204</v>
      </c>
      <c r="F1892" s="95" t="s">
        <v>6205</v>
      </c>
      <c r="G1892" s="96">
        <v>36937</v>
      </c>
      <c r="H1892" s="97">
        <v>30878</v>
      </c>
      <c r="I1892" s="100" t="s">
        <v>6206</v>
      </c>
      <c r="J1892" s="100" t="s">
        <v>6207</v>
      </c>
      <c r="K1892" s="91">
        <v>68278636</v>
      </c>
      <c r="L1892" s="91" t="s">
        <v>60</v>
      </c>
      <c r="M1892" s="98">
        <f ca="1">(TODAY()-H1892)/365</f>
        <v>41.435616438356163</v>
      </c>
      <c r="N1892" s="99">
        <f>(G1892-H1892)/365</f>
        <v>16.600000000000001</v>
      </c>
      <c r="O1892" s="98">
        <f ca="1">(TODAY()-G1892)/365</f>
        <v>24.835616438356166</v>
      </c>
      <c r="P1892" s="91" t="s">
        <v>43</v>
      </c>
      <c r="Q1892" s="91"/>
      <c r="R1892" s="91"/>
      <c r="S1892" s="91"/>
      <c r="T1892" s="91"/>
      <c r="U1892" s="91"/>
      <c r="V1892" s="91"/>
      <c r="W1892" s="91"/>
      <c r="X1892" s="91"/>
      <c r="Y1892" s="91"/>
      <c r="Z1892" s="91"/>
      <c r="AA1892" s="91"/>
      <c r="AB1892" s="91"/>
      <c r="AC1892" s="91"/>
      <c r="AD1892" s="91"/>
      <c r="AE1892" s="91"/>
      <c r="AF1892" s="91"/>
      <c r="AG1892" s="91"/>
      <c r="AH1892" s="91"/>
      <c r="AI1892" s="91"/>
      <c r="AJ1892" s="91"/>
      <c r="AK1892" s="91"/>
      <c r="AL1892" s="91"/>
      <c r="AM1892" s="91"/>
    </row>
    <row r="1893" spans="1:39" ht="20.25" hidden="1" customHeight="1">
      <c r="A1893" s="91"/>
      <c r="B1893" s="93" t="s">
        <v>11879</v>
      </c>
      <c r="C1893" s="91" t="s">
        <v>36</v>
      </c>
      <c r="D1893" s="107" t="s">
        <v>675</v>
      </c>
      <c r="E1893" s="107" t="s">
        <v>6208</v>
      </c>
      <c r="F1893" s="95" t="s">
        <v>6209</v>
      </c>
      <c r="G1893" s="96">
        <v>34540</v>
      </c>
      <c r="H1893" s="97">
        <v>26983</v>
      </c>
      <c r="I1893" s="94" t="s">
        <v>58</v>
      </c>
      <c r="J1893" s="100" t="s">
        <v>6210</v>
      </c>
      <c r="K1893" s="91">
        <v>78685442</v>
      </c>
      <c r="L1893" s="91" t="s">
        <v>49</v>
      </c>
      <c r="M1893" s="98">
        <f ca="1">(TODAY()-H1893)/365</f>
        <v>52.106849315068494</v>
      </c>
      <c r="N1893" s="99">
        <f>(G1893-H1893)/365</f>
        <v>20.704109589041096</v>
      </c>
      <c r="O1893" s="98">
        <f ca="1">(TODAY()-G1893)/365</f>
        <v>31.402739726027399</v>
      </c>
      <c r="P1893" s="91" t="s">
        <v>43</v>
      </c>
      <c r="Q1893" s="91"/>
      <c r="R1893" s="91"/>
      <c r="S1893" s="91"/>
      <c r="T1893" s="91"/>
      <c r="U1893" s="91"/>
      <c r="V1893" s="91"/>
      <c r="W1893" s="91"/>
      <c r="X1893" s="91"/>
      <c r="Y1893" s="91"/>
      <c r="Z1893" s="91"/>
      <c r="AA1893" s="91"/>
      <c r="AB1893" s="91"/>
      <c r="AC1893" s="91"/>
      <c r="AD1893" s="91"/>
      <c r="AE1893" s="91"/>
      <c r="AF1893" s="91"/>
      <c r="AG1893" s="91"/>
      <c r="AH1893" s="91"/>
      <c r="AI1893" s="91"/>
      <c r="AJ1893" s="91"/>
      <c r="AK1893" s="91"/>
      <c r="AL1893" s="91"/>
      <c r="AM1893" s="91"/>
    </row>
    <row r="1894" spans="1:39" ht="20.25" hidden="1" customHeight="1">
      <c r="A1894" s="91"/>
      <c r="B1894" s="93" t="s">
        <v>11879</v>
      </c>
      <c r="C1894" s="91" t="s">
        <v>36</v>
      </c>
      <c r="D1894" s="107" t="s">
        <v>666</v>
      </c>
      <c r="E1894" s="107" t="s">
        <v>6211</v>
      </c>
      <c r="F1894" s="95" t="s">
        <v>6212</v>
      </c>
      <c r="G1894" s="96">
        <v>31191</v>
      </c>
      <c r="H1894" s="97">
        <v>23282</v>
      </c>
      <c r="I1894" s="100" t="s">
        <v>6213</v>
      </c>
      <c r="J1894" s="100" t="s">
        <v>6214</v>
      </c>
      <c r="K1894" s="91">
        <v>57711100</v>
      </c>
      <c r="L1894" s="91" t="s">
        <v>60</v>
      </c>
      <c r="M1894" s="98">
        <f ca="1">(TODAY()-H1894)/365</f>
        <v>62.246575342465754</v>
      </c>
      <c r="N1894" s="99">
        <f>(G1894-H1894)/365</f>
        <v>21.668493150684931</v>
      </c>
      <c r="O1894" s="98">
        <f ca="1">(TODAY()-G1894)/365</f>
        <v>40.578082191780823</v>
      </c>
      <c r="P1894" s="91" t="s">
        <v>43</v>
      </c>
      <c r="Q1894" s="91"/>
      <c r="R1894" s="91"/>
      <c r="S1894" s="91"/>
      <c r="T1894" s="91"/>
      <c r="U1894" s="91"/>
      <c r="V1894" s="91"/>
      <c r="W1894" s="91"/>
      <c r="X1894" s="91"/>
      <c r="Y1894" s="91"/>
      <c r="Z1894" s="91"/>
      <c r="AA1894" s="91"/>
      <c r="AB1894" s="91"/>
      <c r="AC1894" s="91"/>
      <c r="AD1894" s="91"/>
      <c r="AE1894" s="91"/>
      <c r="AF1894" s="91"/>
      <c r="AG1894" s="91"/>
      <c r="AH1894" s="91"/>
      <c r="AI1894" s="91"/>
      <c r="AJ1894" s="91"/>
      <c r="AK1894" s="91"/>
      <c r="AL1894" s="91"/>
      <c r="AM1894" s="91"/>
    </row>
    <row r="1895" spans="1:39" ht="20.25" hidden="1" customHeight="1">
      <c r="A1895" s="91"/>
      <c r="B1895" s="93" t="s">
        <v>11879</v>
      </c>
      <c r="C1895" s="91" t="s">
        <v>36</v>
      </c>
      <c r="D1895" s="107" t="s">
        <v>2812</v>
      </c>
      <c r="E1895" s="107" t="s">
        <v>6215</v>
      </c>
      <c r="F1895" s="91" t="s">
        <v>6216</v>
      </c>
      <c r="G1895" s="96">
        <v>43905</v>
      </c>
      <c r="H1895" s="97">
        <v>33696</v>
      </c>
      <c r="I1895" s="100" t="s">
        <v>6217</v>
      </c>
      <c r="J1895" s="100" t="s">
        <v>6199</v>
      </c>
      <c r="K1895" s="95" t="s">
        <v>58</v>
      </c>
      <c r="L1895" s="91" t="s">
        <v>121</v>
      </c>
      <c r="M1895" s="98">
        <f ca="1">(TODAY()-H1895)/365</f>
        <v>33.715068493150682</v>
      </c>
      <c r="N1895" s="99">
        <f>(G1895-H1895)/365</f>
        <v>27.969863013698632</v>
      </c>
      <c r="O1895" s="98">
        <f ca="1">(TODAY()-G1895)/365</f>
        <v>5.7452054794520544</v>
      </c>
      <c r="P1895" s="91" t="s">
        <v>43</v>
      </c>
      <c r="Q1895" s="91"/>
      <c r="R1895" s="91"/>
      <c r="S1895" s="91"/>
      <c r="T1895" s="91"/>
      <c r="U1895" s="91"/>
      <c r="V1895" s="91"/>
      <c r="W1895" s="91"/>
      <c r="X1895" s="91"/>
      <c r="Y1895" s="91"/>
      <c r="Z1895" s="91"/>
      <c r="AA1895" s="91"/>
      <c r="AB1895" s="91"/>
      <c r="AC1895" s="91"/>
      <c r="AD1895" s="91"/>
      <c r="AE1895" s="91"/>
      <c r="AF1895" s="91"/>
      <c r="AG1895" s="91"/>
      <c r="AH1895" s="91"/>
      <c r="AI1895" s="91"/>
      <c r="AJ1895" s="91"/>
      <c r="AK1895" s="91"/>
      <c r="AL1895" s="91"/>
      <c r="AM1895" s="91"/>
    </row>
    <row r="1896" spans="1:39" ht="20.25" customHeight="1">
      <c r="A1896" s="91"/>
      <c r="B1896" s="93" t="s">
        <v>3992</v>
      </c>
      <c r="C1896" s="91" t="s">
        <v>73</v>
      </c>
      <c r="D1896" s="94" t="s">
        <v>4061</v>
      </c>
      <c r="E1896" s="94" t="s">
        <v>4062</v>
      </c>
      <c r="F1896" s="95" t="s">
        <v>4063</v>
      </c>
      <c r="G1896" s="96">
        <v>39356</v>
      </c>
      <c r="H1896" s="97">
        <v>20216</v>
      </c>
      <c r="I1896" s="94" t="s">
        <v>58</v>
      </c>
      <c r="J1896" s="94" t="s">
        <v>58</v>
      </c>
      <c r="K1896" s="95" t="s">
        <v>58</v>
      </c>
      <c r="L1896" s="91" t="s">
        <v>60</v>
      </c>
      <c r="M1896" s="98">
        <f ca="1">(TODAY()-H1896)/365</f>
        <v>70.646575342465752</v>
      </c>
      <c r="N1896" s="99">
        <f>(G1896-H1896)/365</f>
        <v>52.438356164383563</v>
      </c>
      <c r="O1896" s="98">
        <f ca="1">(TODAY()-G1896)/365</f>
        <v>18.208219178082192</v>
      </c>
      <c r="P1896" s="91" t="s">
        <v>43</v>
      </c>
      <c r="Q1896" s="91">
        <v>0</v>
      </c>
      <c r="R1896" s="91">
        <v>0</v>
      </c>
      <c r="S1896" s="91">
        <v>0</v>
      </c>
      <c r="T1896" s="91"/>
      <c r="U1896" s="91"/>
      <c r="V1896" s="91"/>
      <c r="W1896" s="91"/>
      <c r="X1896" s="91"/>
      <c r="Y1896" s="91"/>
      <c r="Z1896" s="91"/>
      <c r="AA1896" s="91"/>
      <c r="AB1896" s="91"/>
      <c r="AC1896" s="91"/>
      <c r="AD1896" s="91"/>
      <c r="AE1896" s="91"/>
      <c r="AF1896" s="91"/>
      <c r="AG1896" s="91"/>
      <c r="AH1896" s="91"/>
      <c r="AI1896" s="91"/>
      <c r="AJ1896" s="91"/>
      <c r="AK1896" s="91"/>
      <c r="AL1896" s="91"/>
      <c r="AM1896" s="91"/>
    </row>
    <row r="1897" spans="1:39" ht="20.25" hidden="1" customHeight="1">
      <c r="A1897" s="91"/>
      <c r="B1897" s="93" t="s">
        <v>11879</v>
      </c>
      <c r="C1897" s="91" t="s">
        <v>36</v>
      </c>
      <c r="D1897" s="107" t="s">
        <v>3685</v>
      </c>
      <c r="E1897" s="107" t="s">
        <v>6220</v>
      </c>
      <c r="F1897" s="95" t="s">
        <v>6221</v>
      </c>
      <c r="G1897" s="96">
        <v>42863</v>
      </c>
      <c r="H1897" s="97">
        <v>31968</v>
      </c>
      <c r="I1897" s="100" t="s">
        <v>6222</v>
      </c>
      <c r="J1897" s="100" t="s">
        <v>6223</v>
      </c>
      <c r="K1897" s="91">
        <v>77084439</v>
      </c>
      <c r="L1897" s="91" t="s">
        <v>60</v>
      </c>
      <c r="M1897" s="98">
        <f ca="1">(TODAY()-H1897)/365</f>
        <v>38.449315068493149</v>
      </c>
      <c r="N1897" s="99">
        <f>(G1897-H1897)/365</f>
        <v>29.849315068493151</v>
      </c>
      <c r="O1897" s="98">
        <f ca="1">(TODAY()-G1897)/365</f>
        <v>8.6</v>
      </c>
      <c r="P1897" s="91" t="s">
        <v>43</v>
      </c>
      <c r="Q1897" s="91"/>
      <c r="R1897" s="91"/>
      <c r="S1897" s="91"/>
      <c r="T1897" s="91"/>
      <c r="U1897" s="91"/>
      <c r="V1897" s="91"/>
      <c r="W1897" s="91"/>
      <c r="X1897" s="91"/>
      <c r="Y1897" s="91"/>
      <c r="Z1897" s="91"/>
      <c r="AA1897" s="91"/>
      <c r="AB1897" s="91"/>
      <c r="AC1897" s="91"/>
      <c r="AD1897" s="91"/>
      <c r="AE1897" s="91"/>
      <c r="AF1897" s="91"/>
      <c r="AG1897" s="91"/>
      <c r="AH1897" s="91"/>
      <c r="AI1897" s="91"/>
      <c r="AJ1897" s="91"/>
      <c r="AK1897" s="91"/>
      <c r="AL1897" s="91"/>
      <c r="AM1897" s="91"/>
    </row>
    <row r="1898" spans="1:39" ht="20.25" hidden="1" customHeight="1">
      <c r="A1898" s="91"/>
      <c r="B1898" s="93" t="s">
        <v>11879</v>
      </c>
      <c r="C1898" s="91" t="s">
        <v>36</v>
      </c>
      <c r="D1898" s="107" t="s">
        <v>675</v>
      </c>
      <c r="E1898" s="107" t="s">
        <v>3247</v>
      </c>
      <c r="F1898" s="95" t="s">
        <v>6224</v>
      </c>
      <c r="G1898" s="96">
        <v>33299</v>
      </c>
      <c r="H1898" s="97">
        <v>21533</v>
      </c>
      <c r="I1898" s="100" t="s">
        <v>6225</v>
      </c>
      <c r="J1898" s="100" t="s">
        <v>6226</v>
      </c>
      <c r="K1898" s="91">
        <v>86141117</v>
      </c>
      <c r="L1898" s="91" t="s">
        <v>42</v>
      </c>
      <c r="M1898" s="98">
        <f ca="1">(TODAY()-H1898)/365</f>
        <v>67.038356164383558</v>
      </c>
      <c r="N1898" s="99">
        <f>(G1898-H1898)/365</f>
        <v>32.235616438356168</v>
      </c>
      <c r="O1898" s="98">
        <f ca="1">(TODAY()-G1898)/365</f>
        <v>34.802739726027397</v>
      </c>
      <c r="P1898" s="91" t="s">
        <v>43</v>
      </c>
      <c r="Q1898" s="91"/>
      <c r="R1898" s="91">
        <v>1</v>
      </c>
      <c r="S1898" s="91"/>
      <c r="T1898" s="91"/>
      <c r="U1898" s="91"/>
      <c r="V1898" s="91"/>
      <c r="W1898" s="91"/>
      <c r="X1898" s="91"/>
      <c r="Y1898" s="91"/>
      <c r="Z1898" s="91"/>
      <c r="AA1898" s="91"/>
      <c r="AB1898" s="91"/>
      <c r="AC1898" s="91"/>
      <c r="AD1898" s="91"/>
      <c r="AE1898" s="91"/>
      <c r="AF1898" s="91"/>
      <c r="AG1898" s="91"/>
      <c r="AH1898" s="91"/>
      <c r="AI1898" s="91"/>
      <c r="AJ1898" s="91"/>
      <c r="AK1898" s="91"/>
      <c r="AL1898" s="91"/>
      <c r="AM1898" s="91"/>
    </row>
    <row r="1899" spans="1:39" ht="20.25" hidden="1" customHeight="1">
      <c r="A1899" s="91"/>
      <c r="B1899" s="93" t="s">
        <v>11879</v>
      </c>
      <c r="C1899" s="91" t="s">
        <v>36</v>
      </c>
      <c r="D1899" s="107" t="s">
        <v>788</v>
      </c>
      <c r="E1899" s="107" t="s">
        <v>467</v>
      </c>
      <c r="F1899" s="91" t="s">
        <v>6227</v>
      </c>
      <c r="G1899" s="96">
        <v>45363</v>
      </c>
      <c r="H1899" s="97">
        <v>32647</v>
      </c>
      <c r="I1899" s="100" t="s">
        <v>6228</v>
      </c>
      <c r="J1899" s="100" t="s">
        <v>6203</v>
      </c>
      <c r="K1899" s="95" t="s">
        <v>58</v>
      </c>
      <c r="L1899" s="91" t="s">
        <v>60</v>
      </c>
      <c r="M1899" s="98">
        <f ca="1">(TODAY()-H1899)/365</f>
        <v>36.589041095890408</v>
      </c>
      <c r="N1899" s="99">
        <f>(G1899-H1899)/365</f>
        <v>34.838356164383562</v>
      </c>
      <c r="O1899" s="98">
        <f ca="1">(TODAY()-G1899)/365</f>
        <v>1.7506849315068493</v>
      </c>
      <c r="P1899" s="91" t="s">
        <v>43</v>
      </c>
      <c r="Q1899" s="91"/>
      <c r="R1899" s="91"/>
      <c r="S1899" s="91"/>
      <c r="T1899" s="91"/>
      <c r="U1899" s="91"/>
      <c r="V1899" s="91"/>
      <c r="W1899" s="91"/>
      <c r="X1899" s="91"/>
      <c r="Y1899" s="91"/>
      <c r="Z1899" s="91"/>
      <c r="AA1899" s="91"/>
      <c r="AB1899" s="91"/>
      <c r="AC1899" s="91"/>
      <c r="AD1899" s="91"/>
      <c r="AE1899" s="91"/>
      <c r="AF1899" s="91"/>
      <c r="AG1899" s="91"/>
      <c r="AH1899" s="91"/>
      <c r="AI1899" s="91"/>
      <c r="AJ1899" s="91"/>
      <c r="AK1899" s="91"/>
      <c r="AL1899" s="91"/>
      <c r="AM1899" s="91"/>
    </row>
    <row r="1900" spans="1:39" ht="20.25" hidden="1" customHeight="1">
      <c r="A1900" s="91"/>
      <c r="B1900" s="93" t="s">
        <v>11879</v>
      </c>
      <c r="C1900" s="91" t="s">
        <v>36</v>
      </c>
      <c r="D1900" s="107" t="s">
        <v>5663</v>
      </c>
      <c r="E1900" s="107" t="s">
        <v>6229</v>
      </c>
      <c r="F1900" s="95" t="s">
        <v>6230</v>
      </c>
      <c r="G1900" s="96">
        <v>36221</v>
      </c>
      <c r="H1900" s="97">
        <v>22605</v>
      </c>
      <c r="I1900" s="94" t="s">
        <v>58</v>
      </c>
      <c r="J1900" s="100" t="s">
        <v>6231</v>
      </c>
      <c r="K1900" s="91">
        <v>99254719</v>
      </c>
      <c r="L1900" s="91" t="s">
        <v>72</v>
      </c>
      <c r="M1900" s="98">
        <f ca="1">(TODAY()-H1900)/365</f>
        <v>64.101369863013701</v>
      </c>
      <c r="N1900" s="99">
        <f>(G1900-H1900)/365</f>
        <v>37.304109589041097</v>
      </c>
      <c r="O1900" s="98">
        <f ca="1">(TODAY()-G1900)/365</f>
        <v>26.797260273972604</v>
      </c>
      <c r="P1900" s="91" t="s">
        <v>43</v>
      </c>
      <c r="Q1900" s="91"/>
      <c r="R1900" s="91"/>
      <c r="S1900" s="91"/>
      <c r="T1900" s="91"/>
      <c r="U1900" s="91"/>
      <c r="V1900" s="91"/>
      <c r="W1900" s="91"/>
      <c r="X1900" s="91"/>
      <c r="Y1900" s="91"/>
      <c r="Z1900" s="91"/>
      <c r="AA1900" s="91"/>
      <c r="AB1900" s="91"/>
      <c r="AC1900" s="91"/>
      <c r="AD1900" s="91"/>
      <c r="AE1900" s="91"/>
      <c r="AF1900" s="91"/>
      <c r="AG1900" s="91"/>
      <c r="AH1900" s="91"/>
      <c r="AI1900" s="91"/>
      <c r="AJ1900" s="91"/>
      <c r="AK1900" s="91"/>
      <c r="AL1900" s="91"/>
      <c r="AM1900" s="91"/>
    </row>
    <row r="1901" spans="1:39" ht="20.25" hidden="1" customHeight="1">
      <c r="A1901" s="91"/>
      <c r="B1901" s="93" t="s">
        <v>11879</v>
      </c>
      <c r="C1901" s="91" t="s">
        <v>36</v>
      </c>
      <c r="D1901" s="107" t="s">
        <v>6232</v>
      </c>
      <c r="E1901" s="107" t="s">
        <v>6233</v>
      </c>
      <c r="F1901" s="91" t="s">
        <v>6234</v>
      </c>
      <c r="G1901" s="96">
        <v>43855</v>
      </c>
      <c r="H1901" s="97">
        <v>30207</v>
      </c>
      <c r="I1901" s="100" t="s">
        <v>6235</v>
      </c>
      <c r="J1901" s="100" t="s">
        <v>6236</v>
      </c>
      <c r="K1901" s="95" t="s">
        <v>58</v>
      </c>
      <c r="L1901" s="91" t="s">
        <v>60</v>
      </c>
      <c r="M1901" s="98">
        <f ca="1">(TODAY()-H1901)/365</f>
        <v>43.273972602739725</v>
      </c>
      <c r="N1901" s="99">
        <f>(G1901-H1901)/365</f>
        <v>37.391780821917806</v>
      </c>
      <c r="O1901" s="98">
        <f ca="1">(TODAY()-G1901)/365</f>
        <v>5.882191780821918</v>
      </c>
      <c r="P1901" s="91" t="s">
        <v>272</v>
      </c>
      <c r="Q1901" s="91"/>
      <c r="R1901" s="91"/>
      <c r="S1901" s="91"/>
      <c r="T1901" s="91"/>
      <c r="U1901" s="91"/>
      <c r="V1901" s="91"/>
      <c r="W1901" s="91"/>
      <c r="X1901" s="91"/>
      <c r="Y1901" s="91"/>
      <c r="Z1901" s="91"/>
      <c r="AA1901" s="91"/>
      <c r="AB1901" s="91"/>
      <c r="AC1901" s="91"/>
      <c r="AD1901" s="91"/>
      <c r="AE1901" s="91"/>
      <c r="AF1901" s="91"/>
      <c r="AG1901" s="91"/>
      <c r="AH1901" s="91"/>
      <c r="AI1901" s="91"/>
      <c r="AJ1901" s="91"/>
      <c r="AK1901" s="91"/>
      <c r="AL1901" s="91"/>
      <c r="AM1901" s="91"/>
    </row>
    <row r="1902" spans="1:39" ht="20.25" hidden="1" customHeight="1">
      <c r="A1902" s="91"/>
      <c r="B1902" s="93" t="s">
        <v>11879</v>
      </c>
      <c r="C1902" s="91" t="s">
        <v>36</v>
      </c>
      <c r="D1902" s="107" t="s">
        <v>6237</v>
      </c>
      <c r="E1902" s="107" t="s">
        <v>6238</v>
      </c>
      <c r="F1902" s="91" t="s">
        <v>6239</v>
      </c>
      <c r="G1902" s="96">
        <v>45538</v>
      </c>
      <c r="H1902" s="97">
        <v>31671</v>
      </c>
      <c r="I1902" s="100" t="s">
        <v>6240</v>
      </c>
      <c r="J1902" s="100" t="s">
        <v>6241</v>
      </c>
      <c r="K1902" s="95" t="s">
        <v>58</v>
      </c>
      <c r="L1902" s="91" t="s">
        <v>60</v>
      </c>
      <c r="M1902" s="98">
        <f ca="1">(TODAY()-H1902)/365</f>
        <v>39.263013698630139</v>
      </c>
      <c r="N1902" s="99">
        <f>(G1902-H1902)/365</f>
        <v>37.991780821917807</v>
      </c>
      <c r="O1902" s="98">
        <f ca="1">(TODAY()-G1902)/365</f>
        <v>1.2712328767123289</v>
      </c>
      <c r="P1902" s="91" t="s">
        <v>43</v>
      </c>
      <c r="Q1902" s="91"/>
      <c r="R1902" s="91"/>
      <c r="S1902" s="91"/>
      <c r="T1902" s="91"/>
      <c r="U1902" s="91"/>
      <c r="V1902" s="91"/>
      <c r="W1902" s="91"/>
      <c r="X1902" s="91"/>
      <c r="Y1902" s="91"/>
      <c r="Z1902" s="91"/>
      <c r="AA1902" s="91"/>
      <c r="AB1902" s="91"/>
      <c r="AC1902" s="91"/>
      <c r="AD1902" s="91"/>
      <c r="AE1902" s="91"/>
      <c r="AF1902" s="91"/>
      <c r="AG1902" s="91"/>
      <c r="AH1902" s="91"/>
      <c r="AI1902" s="91"/>
      <c r="AJ1902" s="91"/>
      <c r="AK1902" s="91"/>
      <c r="AL1902" s="91"/>
      <c r="AM1902" s="91"/>
    </row>
    <row r="1903" spans="1:39" ht="20.25" hidden="1" customHeight="1">
      <c r="A1903" s="91"/>
      <c r="B1903" s="93" t="s">
        <v>11879</v>
      </c>
      <c r="C1903" s="91" t="s">
        <v>36</v>
      </c>
      <c r="D1903" s="107" t="s">
        <v>5296</v>
      </c>
      <c r="E1903" s="107" t="s">
        <v>6242</v>
      </c>
      <c r="F1903" s="95" t="s">
        <v>6243</v>
      </c>
      <c r="G1903" s="96">
        <v>34090</v>
      </c>
      <c r="H1903" s="97">
        <v>19948</v>
      </c>
      <c r="I1903" s="94" t="s">
        <v>58</v>
      </c>
      <c r="J1903" s="100" t="s">
        <v>6244</v>
      </c>
      <c r="K1903" s="91">
        <v>83571716</v>
      </c>
      <c r="L1903" s="91" t="s">
        <v>66</v>
      </c>
      <c r="M1903" s="98">
        <f ca="1">(TODAY()-H1903)/365</f>
        <v>71.38082191780822</v>
      </c>
      <c r="N1903" s="99">
        <f>(G1903-H1903)/365</f>
        <v>38.745205479452054</v>
      </c>
      <c r="O1903" s="98">
        <f ca="1">(TODAY()-G1903)/365</f>
        <v>32.635616438356166</v>
      </c>
      <c r="P1903" s="91" t="s">
        <v>43</v>
      </c>
      <c r="Q1903" s="91"/>
      <c r="R1903" s="91"/>
      <c r="S1903" s="91"/>
      <c r="T1903" s="91"/>
      <c r="U1903" s="91"/>
      <c r="V1903" s="91"/>
      <c r="W1903" s="91"/>
      <c r="X1903" s="91"/>
      <c r="Y1903" s="91"/>
      <c r="Z1903" s="91"/>
      <c r="AA1903" s="91"/>
      <c r="AB1903" s="91"/>
      <c r="AC1903" s="91"/>
      <c r="AD1903" s="91"/>
      <c r="AE1903" s="91"/>
      <c r="AF1903" s="91"/>
      <c r="AG1903" s="91"/>
      <c r="AH1903" s="91"/>
      <c r="AI1903" s="91"/>
      <c r="AJ1903" s="91"/>
      <c r="AK1903" s="91"/>
      <c r="AL1903" s="91"/>
      <c r="AM1903" s="91"/>
    </row>
    <row r="1904" spans="1:39" ht="20.25" hidden="1" customHeight="1">
      <c r="A1904" s="91"/>
      <c r="B1904" s="93" t="s">
        <v>11879</v>
      </c>
      <c r="C1904" s="91" t="s">
        <v>36</v>
      </c>
      <c r="D1904" s="107" t="s">
        <v>845</v>
      </c>
      <c r="E1904" s="107" t="s">
        <v>6245</v>
      </c>
      <c r="F1904" s="91" t="s">
        <v>6246</v>
      </c>
      <c r="G1904" s="96">
        <v>43923</v>
      </c>
      <c r="H1904" s="97">
        <v>29370</v>
      </c>
      <c r="I1904" s="100" t="s">
        <v>6247</v>
      </c>
      <c r="J1904" s="120" t="s">
        <v>6248</v>
      </c>
      <c r="K1904" s="95" t="s">
        <v>58</v>
      </c>
      <c r="L1904" s="91" t="s">
        <v>167</v>
      </c>
      <c r="M1904" s="98">
        <f ca="1">(TODAY()-H1904)/365</f>
        <v>45.56712328767123</v>
      </c>
      <c r="N1904" s="99">
        <f>(G1904-H1904)/365</f>
        <v>39.871232876712327</v>
      </c>
      <c r="O1904" s="98">
        <f ca="1">(TODAY()-G1904)/365</f>
        <v>5.6958904109589037</v>
      </c>
      <c r="P1904" s="91" t="s">
        <v>43</v>
      </c>
      <c r="Q1904" s="91"/>
      <c r="R1904" s="91"/>
      <c r="S1904" s="91"/>
      <c r="T1904" s="91"/>
      <c r="U1904" s="91"/>
      <c r="V1904" s="91"/>
      <c r="W1904" s="91"/>
      <c r="X1904" s="91"/>
      <c r="Y1904" s="91"/>
      <c r="Z1904" s="91"/>
      <c r="AA1904" s="91"/>
      <c r="AB1904" s="91"/>
      <c r="AC1904" s="91"/>
      <c r="AD1904" s="91"/>
      <c r="AE1904" s="91"/>
      <c r="AF1904" s="91"/>
      <c r="AG1904" s="91"/>
      <c r="AH1904" s="91"/>
      <c r="AI1904" s="91"/>
      <c r="AJ1904" s="91"/>
      <c r="AK1904" s="91"/>
      <c r="AL1904" s="91"/>
      <c r="AM1904" s="91"/>
    </row>
    <row r="1905" spans="1:39" ht="20.25" hidden="1" customHeight="1">
      <c r="A1905" s="91"/>
      <c r="B1905" s="93" t="s">
        <v>11879</v>
      </c>
      <c r="C1905" s="91" t="s">
        <v>36</v>
      </c>
      <c r="D1905" s="107" t="s">
        <v>6249</v>
      </c>
      <c r="E1905" s="107" t="s">
        <v>3586</v>
      </c>
      <c r="F1905" s="91" t="s">
        <v>6250</v>
      </c>
      <c r="G1905" s="96">
        <v>45595</v>
      </c>
      <c r="H1905" s="97">
        <v>28348</v>
      </c>
      <c r="I1905" s="100" t="s">
        <v>6251</v>
      </c>
      <c r="J1905" s="100" t="s">
        <v>6252</v>
      </c>
      <c r="K1905" s="95" t="s">
        <v>58</v>
      </c>
      <c r="L1905" s="91" t="s">
        <v>60</v>
      </c>
      <c r="M1905" s="98">
        <f ca="1">(TODAY()-H1905)/365</f>
        <v>48.367123287671234</v>
      </c>
      <c r="N1905" s="99">
        <f>(G1905-H1905)/365</f>
        <v>47.252054794520546</v>
      </c>
      <c r="O1905" s="98">
        <f ca="1">(TODAY()-G1905)/365</f>
        <v>1.1150684931506849</v>
      </c>
      <c r="P1905" s="91" t="s">
        <v>43</v>
      </c>
      <c r="Q1905" s="91"/>
      <c r="R1905" s="91"/>
      <c r="S1905" s="91"/>
      <c r="T1905" s="91"/>
      <c r="U1905" s="91"/>
      <c r="V1905" s="91"/>
      <c r="W1905" s="91"/>
      <c r="X1905" s="91"/>
      <c r="Y1905" s="91"/>
      <c r="Z1905" s="91"/>
      <c r="AA1905" s="91"/>
      <c r="AB1905" s="91"/>
      <c r="AC1905" s="91"/>
      <c r="AD1905" s="91"/>
      <c r="AE1905" s="91"/>
      <c r="AF1905" s="91"/>
      <c r="AG1905" s="91"/>
      <c r="AH1905" s="91"/>
      <c r="AI1905" s="91"/>
      <c r="AJ1905" s="91"/>
      <c r="AK1905" s="91"/>
      <c r="AL1905" s="91"/>
      <c r="AM1905" s="91"/>
    </row>
    <row r="1906" spans="1:39" ht="20.25" hidden="1" customHeight="1">
      <c r="A1906" s="91"/>
      <c r="B1906" s="93" t="s">
        <v>11879</v>
      </c>
      <c r="C1906" s="91" t="s">
        <v>36</v>
      </c>
      <c r="D1906" s="107" t="s">
        <v>3580</v>
      </c>
      <c r="E1906" s="107" t="s">
        <v>6253</v>
      </c>
      <c r="F1906" s="95" t="s">
        <v>6254</v>
      </c>
      <c r="G1906" s="96">
        <v>38049</v>
      </c>
      <c r="H1906" s="97">
        <v>19607</v>
      </c>
      <c r="I1906" s="100" t="s">
        <v>6255</v>
      </c>
      <c r="J1906" s="100" t="s">
        <v>6256</v>
      </c>
      <c r="K1906" s="91">
        <v>42568014</v>
      </c>
      <c r="L1906" s="91" t="s">
        <v>54</v>
      </c>
      <c r="M1906" s="98">
        <f ca="1">(TODAY()-H1906)/365</f>
        <v>72.31506849315069</v>
      </c>
      <c r="N1906" s="99">
        <f>(G1906-H1906)/365</f>
        <v>50.526027397260272</v>
      </c>
      <c r="O1906" s="98">
        <f ca="1">(TODAY()-G1906)/365</f>
        <v>21.789041095890411</v>
      </c>
      <c r="P1906" s="91" t="s">
        <v>43</v>
      </c>
      <c r="Q1906" s="91">
        <v>1</v>
      </c>
      <c r="R1906" s="91"/>
      <c r="S1906" s="91"/>
      <c r="T1906" s="91"/>
      <c r="U1906" s="91"/>
      <c r="V1906" s="91"/>
      <c r="W1906" s="91"/>
      <c r="X1906" s="91"/>
      <c r="Y1906" s="91"/>
      <c r="Z1906" s="91"/>
      <c r="AA1906" s="91"/>
      <c r="AB1906" s="91"/>
      <c r="AC1906" s="91"/>
      <c r="AD1906" s="91"/>
      <c r="AE1906" s="91"/>
      <c r="AF1906" s="91"/>
      <c r="AG1906" s="91"/>
      <c r="AH1906" s="91"/>
      <c r="AI1906" s="91"/>
      <c r="AJ1906" s="91"/>
      <c r="AK1906" s="91"/>
      <c r="AL1906" s="91"/>
      <c r="AM1906" s="91"/>
    </row>
    <row r="1907" spans="1:39" ht="20.25" customHeight="1">
      <c r="A1907" s="91"/>
      <c r="B1907" s="93" t="s">
        <v>8990</v>
      </c>
      <c r="C1907" s="91" t="s">
        <v>73</v>
      </c>
      <c r="D1907" s="94" t="s">
        <v>3948</v>
      </c>
      <c r="E1907" s="94" t="s">
        <v>2256</v>
      </c>
      <c r="F1907" s="95" t="s">
        <v>9023</v>
      </c>
      <c r="G1907" s="96">
        <v>45178</v>
      </c>
      <c r="H1907" s="97">
        <v>35951</v>
      </c>
      <c r="I1907" s="94" t="s">
        <v>58</v>
      </c>
      <c r="J1907" s="94" t="s">
        <v>58</v>
      </c>
      <c r="K1907" s="95" t="s">
        <v>58</v>
      </c>
      <c r="L1907" s="91" t="s">
        <v>60</v>
      </c>
      <c r="M1907" s="98">
        <f ca="1">(TODAY()-H1907)/365</f>
        <v>27.536986301369861</v>
      </c>
      <c r="N1907" s="99">
        <f>(G1907-H1907)/365</f>
        <v>25.279452054794522</v>
      </c>
      <c r="O1907" s="98">
        <f ca="1">(TODAY()-G1907)/365</f>
        <v>2.2575342465753425</v>
      </c>
      <c r="P1907" s="91" t="s">
        <v>272</v>
      </c>
      <c r="Q1907" s="91">
        <v>0</v>
      </c>
      <c r="R1907" s="91">
        <v>0</v>
      </c>
      <c r="S1907" s="91">
        <v>0</v>
      </c>
      <c r="T1907" s="91"/>
      <c r="U1907" s="91"/>
      <c r="V1907" s="91"/>
      <c r="W1907" s="91"/>
      <c r="X1907" s="91"/>
      <c r="Y1907" s="91"/>
      <c r="Z1907" s="91"/>
      <c r="AA1907" s="91"/>
      <c r="AB1907" s="91"/>
      <c r="AC1907" s="91"/>
      <c r="AD1907" s="91"/>
      <c r="AE1907" s="91"/>
      <c r="AF1907" s="91"/>
      <c r="AG1907" s="91"/>
      <c r="AH1907" s="91"/>
      <c r="AI1907" s="91"/>
      <c r="AJ1907" s="91"/>
      <c r="AK1907" s="91"/>
      <c r="AL1907" s="91"/>
      <c r="AM1907" s="91"/>
    </row>
    <row r="1908" spans="1:39" ht="20.25" hidden="1" customHeight="1">
      <c r="A1908" s="91"/>
      <c r="B1908" s="93" t="s">
        <v>11879</v>
      </c>
      <c r="C1908" s="91" t="s">
        <v>36</v>
      </c>
      <c r="D1908" s="107" t="s">
        <v>3971</v>
      </c>
      <c r="E1908" s="107" t="s">
        <v>6259</v>
      </c>
      <c r="F1908" s="95" t="s">
        <v>6260</v>
      </c>
      <c r="G1908" s="96">
        <v>40614</v>
      </c>
      <c r="H1908" s="97">
        <v>21157</v>
      </c>
      <c r="I1908" s="100" t="s">
        <v>6261</v>
      </c>
      <c r="J1908" s="100" t="s">
        <v>6262</v>
      </c>
      <c r="K1908" s="91">
        <v>32920446</v>
      </c>
      <c r="L1908" s="91" t="s">
        <v>60</v>
      </c>
      <c r="M1908" s="98">
        <f ca="1">(TODAY()-H1908)/365</f>
        <v>68.06849315068493</v>
      </c>
      <c r="N1908" s="99">
        <f>(G1908-H1908)/365</f>
        <v>53.30684931506849</v>
      </c>
      <c r="O1908" s="98">
        <f ca="1">(TODAY()-G1908)/365</f>
        <v>14.761643835616438</v>
      </c>
      <c r="P1908" s="91" t="s">
        <v>272</v>
      </c>
      <c r="Q1908" s="91"/>
      <c r="R1908" s="91"/>
      <c r="S1908" s="91"/>
      <c r="T1908" s="91"/>
      <c r="U1908" s="91"/>
      <c r="V1908" s="91"/>
      <c r="W1908" s="91"/>
      <c r="X1908" s="91"/>
      <c r="Y1908" s="91"/>
      <c r="Z1908" s="91"/>
      <c r="AA1908" s="91"/>
      <c r="AB1908" s="91"/>
      <c r="AC1908" s="91"/>
      <c r="AD1908" s="91"/>
      <c r="AE1908" s="91"/>
      <c r="AF1908" s="91"/>
      <c r="AG1908" s="91"/>
      <c r="AH1908" s="91"/>
      <c r="AI1908" s="91"/>
      <c r="AJ1908" s="91"/>
      <c r="AK1908" s="91"/>
      <c r="AL1908" s="91"/>
      <c r="AM1908" s="91"/>
    </row>
    <row r="1909" spans="1:39" ht="20.25" hidden="1" customHeight="1">
      <c r="A1909" s="91"/>
      <c r="B1909" s="93" t="s">
        <v>11879</v>
      </c>
      <c r="C1909" s="91" t="s">
        <v>36</v>
      </c>
      <c r="D1909" s="107" t="s">
        <v>675</v>
      </c>
      <c r="E1909" s="107" t="s">
        <v>4584</v>
      </c>
      <c r="F1909" s="95" t="s">
        <v>6263</v>
      </c>
      <c r="G1909" s="96">
        <v>39911</v>
      </c>
      <c r="H1909" s="97">
        <v>20092</v>
      </c>
      <c r="I1909" s="100" t="s">
        <v>6264</v>
      </c>
      <c r="J1909" s="100" t="s">
        <v>6265</v>
      </c>
      <c r="K1909" s="91">
        <v>93155486</v>
      </c>
      <c r="L1909" s="91" t="s">
        <v>60</v>
      </c>
      <c r="M1909" s="98">
        <f ca="1">(TODAY()-H1909)/365</f>
        <v>70.986301369863014</v>
      </c>
      <c r="N1909" s="99">
        <f>(G1909-H1909)/365</f>
        <v>54.298630136986304</v>
      </c>
      <c r="O1909" s="98">
        <f ca="1">(TODAY()-G1909)/365</f>
        <v>16.687671232876713</v>
      </c>
      <c r="P1909" s="91" t="s">
        <v>43</v>
      </c>
      <c r="Q1909" s="91"/>
      <c r="R1909" s="91"/>
      <c r="S1909" s="91"/>
      <c r="T1909" s="91"/>
      <c r="U1909" s="91"/>
      <c r="V1909" s="91"/>
      <c r="W1909" s="91"/>
      <c r="X1909" s="91"/>
      <c r="Y1909" s="91"/>
      <c r="Z1909" s="91"/>
      <c r="AA1909" s="91"/>
      <c r="AB1909" s="91"/>
      <c r="AC1909" s="91"/>
      <c r="AD1909" s="91"/>
      <c r="AE1909" s="91"/>
      <c r="AF1909" s="91"/>
      <c r="AG1909" s="91"/>
      <c r="AH1909" s="91"/>
      <c r="AI1909" s="91"/>
      <c r="AJ1909" s="91"/>
      <c r="AK1909" s="91"/>
      <c r="AL1909" s="91"/>
      <c r="AM1909" s="91"/>
    </row>
    <row r="1910" spans="1:39" ht="20.25" hidden="1" customHeight="1">
      <c r="A1910" s="91"/>
      <c r="B1910" s="93" t="s">
        <v>11879</v>
      </c>
      <c r="C1910" s="91" t="s">
        <v>36</v>
      </c>
      <c r="D1910" s="107" t="s">
        <v>6266</v>
      </c>
      <c r="E1910" s="107" t="s">
        <v>6267</v>
      </c>
      <c r="F1910" s="91" t="s">
        <v>6268</v>
      </c>
      <c r="G1910" s="96">
        <v>42818</v>
      </c>
      <c r="H1910" s="97">
        <v>22906</v>
      </c>
      <c r="I1910" s="100" t="s">
        <v>6213</v>
      </c>
      <c r="J1910" s="100" t="s">
        <v>6214</v>
      </c>
      <c r="K1910" s="91">
        <v>65165360</v>
      </c>
      <c r="L1910" s="91" t="s">
        <v>216</v>
      </c>
      <c r="M1910" s="98">
        <f ca="1">(TODAY()-H1910)/365</f>
        <v>63.276712328767125</v>
      </c>
      <c r="N1910" s="99">
        <f>(G1910-H1910)/365</f>
        <v>54.553424657534244</v>
      </c>
      <c r="O1910" s="98">
        <f ca="1">(TODAY()-G1910)/365</f>
        <v>8.7232876712328764</v>
      </c>
      <c r="P1910" s="91" t="s">
        <v>272</v>
      </c>
      <c r="Q1910" s="91"/>
      <c r="R1910" s="91"/>
      <c r="S1910" s="91"/>
      <c r="T1910" s="91"/>
      <c r="U1910" s="91"/>
      <c r="V1910" s="91"/>
      <c r="W1910" s="91"/>
      <c r="X1910" s="91"/>
      <c r="Y1910" s="91"/>
      <c r="Z1910" s="91"/>
      <c r="AA1910" s="91"/>
      <c r="AB1910" s="91"/>
      <c r="AC1910" s="91"/>
      <c r="AD1910" s="91"/>
      <c r="AE1910" s="91"/>
      <c r="AF1910" s="91"/>
      <c r="AG1910" s="91"/>
      <c r="AH1910" s="91"/>
      <c r="AI1910" s="91"/>
      <c r="AJ1910" s="91"/>
      <c r="AK1910" s="91"/>
      <c r="AL1910" s="91"/>
      <c r="AM1910" s="91"/>
    </row>
    <row r="1911" spans="1:39" ht="20.25" hidden="1" customHeight="1">
      <c r="A1911" s="91"/>
      <c r="B1911" s="93" t="s">
        <v>11879</v>
      </c>
      <c r="C1911" s="91" t="s">
        <v>36</v>
      </c>
      <c r="D1911" s="107" t="s">
        <v>331</v>
      </c>
      <c r="E1911" s="107" t="s">
        <v>6215</v>
      </c>
      <c r="F1911" s="95" t="s">
        <v>6269</v>
      </c>
      <c r="G1911" s="96">
        <v>42863</v>
      </c>
      <c r="H1911" s="97">
        <v>22790</v>
      </c>
      <c r="I1911" s="94" t="s">
        <v>58</v>
      </c>
      <c r="J1911" s="100" t="s">
        <v>6270</v>
      </c>
      <c r="K1911" s="91">
        <v>40978262</v>
      </c>
      <c r="L1911" s="91" t="s">
        <v>60</v>
      </c>
      <c r="M1911" s="98">
        <f ca="1">(TODAY()-H1911)/365</f>
        <v>63.594520547945208</v>
      </c>
      <c r="N1911" s="99">
        <f>(G1911-H1911)/365</f>
        <v>54.994520547945207</v>
      </c>
      <c r="O1911" s="98">
        <f ca="1">(TODAY()-G1911)/365</f>
        <v>8.6</v>
      </c>
      <c r="P1911" s="91" t="s">
        <v>43</v>
      </c>
      <c r="Q1911" s="91"/>
      <c r="R1911" s="91"/>
      <c r="S1911" s="91"/>
      <c r="T1911" s="91"/>
      <c r="U1911" s="91"/>
      <c r="V1911" s="91"/>
      <c r="W1911" s="91"/>
      <c r="X1911" s="91"/>
      <c r="Y1911" s="91"/>
      <c r="Z1911" s="91"/>
      <c r="AA1911" s="91"/>
      <c r="AB1911" s="91"/>
      <c r="AC1911" s="91"/>
      <c r="AD1911" s="91"/>
      <c r="AE1911" s="91"/>
      <c r="AF1911" s="91"/>
      <c r="AG1911" s="91"/>
      <c r="AH1911" s="91"/>
      <c r="AI1911" s="91"/>
      <c r="AJ1911" s="91"/>
      <c r="AK1911" s="91"/>
      <c r="AL1911" s="91"/>
      <c r="AM1911" s="91"/>
    </row>
    <row r="1912" spans="1:39" ht="20.25" hidden="1" customHeight="1">
      <c r="A1912" s="91"/>
      <c r="B1912" s="93" t="s">
        <v>11879</v>
      </c>
      <c r="C1912" s="91" t="s">
        <v>36</v>
      </c>
      <c r="D1912" s="107" t="s">
        <v>675</v>
      </c>
      <c r="E1912" s="107" t="s">
        <v>6271</v>
      </c>
      <c r="F1912" s="91" t="s">
        <v>6272</v>
      </c>
      <c r="G1912" s="96">
        <v>45363</v>
      </c>
      <c r="H1912" s="97">
        <v>23703</v>
      </c>
      <c r="I1912" s="100" t="s">
        <v>6273</v>
      </c>
      <c r="J1912" s="100" t="s">
        <v>6256</v>
      </c>
      <c r="K1912" s="95" t="s">
        <v>58</v>
      </c>
      <c r="L1912" s="91" t="s">
        <v>197</v>
      </c>
      <c r="M1912" s="98">
        <f ca="1">(TODAY()-H1912)/365</f>
        <v>61.093150684931508</v>
      </c>
      <c r="N1912" s="99">
        <f>(G1912-H1912)/365</f>
        <v>59.342465753424655</v>
      </c>
      <c r="O1912" s="98">
        <f ca="1">(TODAY()-G1912)/365</f>
        <v>1.7506849315068493</v>
      </c>
      <c r="P1912" s="91" t="s">
        <v>43</v>
      </c>
      <c r="Q1912" s="91"/>
      <c r="R1912" s="91"/>
      <c r="S1912" s="91"/>
      <c r="T1912" s="91"/>
      <c r="U1912" s="91"/>
      <c r="V1912" s="91"/>
      <c r="W1912" s="91"/>
      <c r="X1912" s="91"/>
      <c r="Y1912" s="91"/>
      <c r="Z1912" s="91"/>
      <c r="AA1912" s="91"/>
      <c r="AB1912" s="91"/>
      <c r="AC1912" s="91"/>
      <c r="AD1912" s="91"/>
      <c r="AE1912" s="91"/>
      <c r="AF1912" s="91"/>
      <c r="AG1912" s="91"/>
      <c r="AH1912" s="91"/>
      <c r="AI1912" s="91"/>
      <c r="AJ1912" s="91"/>
      <c r="AK1912" s="91"/>
      <c r="AL1912" s="91"/>
      <c r="AM1912" s="91"/>
    </row>
    <row r="1913" spans="1:39" ht="20.25" customHeight="1">
      <c r="A1913" s="91"/>
      <c r="B1913" s="93" t="s">
        <v>2235</v>
      </c>
      <c r="C1913" s="91" t="s">
        <v>73</v>
      </c>
      <c r="D1913" s="94" t="s">
        <v>2255</v>
      </c>
      <c r="E1913" s="94" t="s">
        <v>2256</v>
      </c>
      <c r="F1913" s="95" t="s">
        <v>2257</v>
      </c>
      <c r="G1913" s="96">
        <v>42105</v>
      </c>
      <c r="H1913" s="97">
        <v>34446</v>
      </c>
      <c r="I1913" s="94" t="s">
        <v>2258</v>
      </c>
      <c r="J1913" s="100" t="s">
        <v>58</v>
      </c>
      <c r="K1913" s="91" t="s">
        <v>58</v>
      </c>
      <c r="L1913" s="91" t="s">
        <v>60</v>
      </c>
      <c r="M1913" s="98">
        <f ca="1">(TODAY()-H1913)/365</f>
        <v>31.660273972602738</v>
      </c>
      <c r="N1913" s="99">
        <f>(G1913-H1913)/365</f>
        <v>20.983561643835618</v>
      </c>
      <c r="O1913" s="98">
        <f ca="1">(TODAY()-G1913)/365</f>
        <v>10.676712328767124</v>
      </c>
      <c r="P1913" s="91" t="s">
        <v>272</v>
      </c>
      <c r="Q1913" s="91">
        <v>1</v>
      </c>
      <c r="R1913" s="91">
        <v>0</v>
      </c>
      <c r="S1913" s="91">
        <v>0</v>
      </c>
      <c r="T1913" s="91"/>
      <c r="U1913" s="91"/>
      <c r="V1913" s="91"/>
      <c r="W1913" s="91"/>
      <c r="X1913" s="91"/>
      <c r="Y1913" s="91"/>
      <c r="Z1913" s="91"/>
      <c r="AA1913" s="91"/>
      <c r="AB1913" s="91"/>
      <c r="AC1913" s="91"/>
      <c r="AD1913" s="91"/>
      <c r="AE1913" s="91"/>
      <c r="AF1913" s="91"/>
      <c r="AG1913" s="91"/>
      <c r="AH1913" s="91"/>
      <c r="AI1913" s="91"/>
      <c r="AJ1913" s="91"/>
      <c r="AK1913" s="91"/>
      <c r="AL1913" s="91"/>
      <c r="AM1913" s="91"/>
    </row>
    <row r="1914" spans="1:39" ht="20.25" customHeight="1">
      <c r="A1914" s="91"/>
      <c r="B1914" s="93" t="s">
        <v>371</v>
      </c>
      <c r="C1914" s="91" t="s">
        <v>73</v>
      </c>
      <c r="D1914" s="94" t="s">
        <v>451</v>
      </c>
      <c r="E1914" s="94" t="s">
        <v>452</v>
      </c>
      <c r="F1914" s="95" t="s">
        <v>453</v>
      </c>
      <c r="G1914" s="96">
        <v>45636</v>
      </c>
      <c r="H1914" s="97">
        <v>37975</v>
      </c>
      <c r="I1914" s="100" t="s">
        <v>454</v>
      </c>
      <c r="J1914" s="100" t="s">
        <v>58</v>
      </c>
      <c r="K1914" s="91" t="s">
        <v>58</v>
      </c>
      <c r="L1914" s="91" t="s">
        <v>60</v>
      </c>
      <c r="M1914" s="98">
        <f ca="1">(TODAY()-H1914)/365</f>
        <v>21.991780821917807</v>
      </c>
      <c r="N1914" s="99">
        <f>(G1914-H1914)/365</f>
        <v>20.989041095890411</v>
      </c>
      <c r="O1914" s="98">
        <f ca="1">(TODAY()-G1914)/365</f>
        <v>1.0027397260273974</v>
      </c>
      <c r="P1914" s="91" t="s">
        <v>43</v>
      </c>
      <c r="Q1914" s="91">
        <v>0</v>
      </c>
      <c r="R1914" s="91">
        <v>0</v>
      </c>
      <c r="S1914" s="91">
        <v>0</v>
      </c>
      <c r="T1914" s="91"/>
      <c r="U1914" s="91"/>
      <c r="V1914" s="91"/>
      <c r="W1914" s="91"/>
      <c r="X1914" s="91"/>
      <c r="Y1914" s="91"/>
      <c r="Z1914" s="91"/>
      <c r="AA1914" s="91"/>
      <c r="AB1914" s="91"/>
      <c r="AC1914" s="91"/>
      <c r="AD1914" s="91"/>
      <c r="AE1914" s="91"/>
      <c r="AF1914" s="91"/>
      <c r="AG1914" s="91"/>
      <c r="AH1914" s="91"/>
      <c r="AI1914" s="91"/>
      <c r="AJ1914" s="91"/>
      <c r="AK1914" s="91"/>
      <c r="AL1914" s="91"/>
      <c r="AM1914" s="91"/>
    </row>
    <row r="1915" spans="1:39" ht="20.25" hidden="1" customHeight="1">
      <c r="A1915" s="91"/>
      <c r="B1915" s="93" t="s">
        <v>11879</v>
      </c>
      <c r="C1915" s="91" t="s">
        <v>36</v>
      </c>
      <c r="D1915" s="107" t="s">
        <v>6279</v>
      </c>
      <c r="E1915" s="107" t="s">
        <v>6280</v>
      </c>
      <c r="F1915" s="91" t="s">
        <v>6281</v>
      </c>
      <c r="G1915" s="96">
        <v>42863</v>
      </c>
      <c r="H1915" s="97">
        <v>20168</v>
      </c>
      <c r="I1915" s="100" t="s">
        <v>6222</v>
      </c>
      <c r="J1915" s="100" t="s">
        <v>6282</v>
      </c>
      <c r="K1915" s="95" t="s">
        <v>58</v>
      </c>
      <c r="L1915" s="91" t="s">
        <v>151</v>
      </c>
      <c r="M1915" s="98">
        <f ca="1">(TODAY()-H1915)/365</f>
        <v>70.778082191780825</v>
      </c>
      <c r="N1915" s="99">
        <f>(G1915-H1915)/365</f>
        <v>62.178082191780824</v>
      </c>
      <c r="O1915" s="98">
        <f ca="1">(TODAY()-G1915)/365</f>
        <v>8.6</v>
      </c>
      <c r="P1915" s="91" t="s">
        <v>43</v>
      </c>
      <c r="Q1915" s="91"/>
      <c r="R1915" s="91"/>
      <c r="S1915" s="91"/>
      <c r="T1915" s="91"/>
      <c r="U1915" s="91"/>
      <c r="V1915" s="91"/>
      <c r="W1915" s="91"/>
      <c r="X1915" s="91"/>
      <c r="Y1915" s="91"/>
      <c r="Z1915" s="91"/>
      <c r="AA1915" s="91"/>
      <c r="AB1915" s="91"/>
      <c r="AC1915" s="91"/>
      <c r="AD1915" s="91"/>
      <c r="AE1915" s="91"/>
      <c r="AF1915" s="91"/>
      <c r="AG1915" s="91"/>
      <c r="AH1915" s="91"/>
      <c r="AI1915" s="91"/>
      <c r="AJ1915" s="91"/>
      <c r="AK1915" s="91"/>
      <c r="AL1915" s="91"/>
      <c r="AM1915" s="91"/>
    </row>
    <row r="1916" spans="1:39" ht="20.25" hidden="1" customHeight="1">
      <c r="A1916" s="91"/>
      <c r="B1916" s="93" t="s">
        <v>11879</v>
      </c>
      <c r="C1916" s="91" t="s">
        <v>36</v>
      </c>
      <c r="D1916" s="107" t="s">
        <v>482</v>
      </c>
      <c r="E1916" s="107" t="s">
        <v>3247</v>
      </c>
      <c r="F1916" s="91" t="s">
        <v>6283</v>
      </c>
      <c r="G1916" s="96">
        <v>45595</v>
      </c>
      <c r="H1916" s="97">
        <v>22638</v>
      </c>
      <c r="I1916" s="100" t="s">
        <v>58</v>
      </c>
      <c r="J1916" s="100" t="s">
        <v>6199</v>
      </c>
      <c r="K1916" s="95" t="s">
        <v>58</v>
      </c>
      <c r="L1916" s="91" t="s">
        <v>60</v>
      </c>
      <c r="M1916" s="98">
        <f ca="1">(TODAY()-H1916)/365</f>
        <v>64.010958904109586</v>
      </c>
      <c r="N1916" s="99">
        <f>(G1916-H1916)/365</f>
        <v>62.895890410958906</v>
      </c>
      <c r="O1916" s="98">
        <f ca="1">(TODAY()-G1916)/365</f>
        <v>1.1150684931506849</v>
      </c>
      <c r="P1916" s="91" t="s">
        <v>43</v>
      </c>
      <c r="Q1916" s="91"/>
      <c r="R1916" s="91"/>
      <c r="S1916" s="91"/>
      <c r="T1916" s="91"/>
      <c r="U1916" s="91"/>
      <c r="V1916" s="91"/>
      <c r="W1916" s="91"/>
      <c r="X1916" s="91"/>
      <c r="Y1916" s="91"/>
      <c r="Z1916" s="91"/>
      <c r="AA1916" s="91"/>
      <c r="AB1916" s="91"/>
      <c r="AC1916" s="91"/>
      <c r="AD1916" s="91"/>
      <c r="AE1916" s="91"/>
      <c r="AF1916" s="91"/>
      <c r="AG1916" s="91"/>
      <c r="AH1916" s="91"/>
      <c r="AI1916" s="91"/>
      <c r="AJ1916" s="91"/>
      <c r="AK1916" s="91"/>
      <c r="AL1916" s="91"/>
      <c r="AM1916" s="91"/>
    </row>
    <row r="1917" spans="1:39" ht="20.25" hidden="1" customHeight="1">
      <c r="A1917" s="91"/>
      <c r="B1917" s="93" t="s">
        <v>11879</v>
      </c>
      <c r="C1917" s="91" t="s">
        <v>36</v>
      </c>
      <c r="D1917" s="107" t="s">
        <v>517</v>
      </c>
      <c r="E1917" s="107" t="s">
        <v>6284</v>
      </c>
      <c r="F1917" s="91" t="s">
        <v>6285</v>
      </c>
      <c r="G1917" s="96">
        <v>45405</v>
      </c>
      <c r="H1917" s="97">
        <v>21922</v>
      </c>
      <c r="I1917" s="100" t="s">
        <v>6286</v>
      </c>
      <c r="J1917" s="100" t="s">
        <v>6287</v>
      </c>
      <c r="K1917" s="95" t="s">
        <v>58</v>
      </c>
      <c r="L1917" s="91" t="s">
        <v>60</v>
      </c>
      <c r="M1917" s="98">
        <f ca="1">(TODAY()-H1917)/365</f>
        <v>65.972602739726028</v>
      </c>
      <c r="N1917" s="99">
        <f>(G1917-H1917)/365</f>
        <v>64.336986301369862</v>
      </c>
      <c r="O1917" s="98">
        <f ca="1">(TODAY()-G1917)/365</f>
        <v>1.6356164383561644</v>
      </c>
      <c r="P1917" s="91" t="s">
        <v>43</v>
      </c>
      <c r="Q1917" s="91"/>
      <c r="R1917" s="91"/>
      <c r="S1917" s="91"/>
      <c r="T1917" s="91"/>
      <c r="U1917" s="91"/>
      <c r="V1917" s="91"/>
      <c r="W1917" s="91"/>
      <c r="X1917" s="91"/>
      <c r="Y1917" s="91"/>
      <c r="Z1917" s="91"/>
      <c r="AA1917" s="91"/>
      <c r="AB1917" s="91"/>
      <c r="AC1917" s="91"/>
      <c r="AD1917" s="91"/>
      <c r="AE1917" s="91"/>
      <c r="AF1917" s="91"/>
      <c r="AG1917" s="91"/>
      <c r="AH1917" s="91"/>
      <c r="AI1917" s="91"/>
      <c r="AJ1917" s="91"/>
      <c r="AK1917" s="91"/>
      <c r="AL1917" s="91"/>
      <c r="AM1917" s="91"/>
    </row>
    <row r="1918" spans="1:39" ht="20.25" customHeight="1">
      <c r="A1918" s="91"/>
      <c r="B1918" s="93" t="s">
        <v>11116</v>
      </c>
      <c r="C1918" s="91" t="s">
        <v>73</v>
      </c>
      <c r="D1918" s="106" t="s">
        <v>4780</v>
      </c>
      <c r="E1918" s="106" t="s">
        <v>11117</v>
      </c>
      <c r="F1918" s="92" t="s">
        <v>11118</v>
      </c>
      <c r="G1918" s="103">
        <v>7004</v>
      </c>
      <c r="H1918" s="103">
        <v>33655</v>
      </c>
      <c r="I1918" s="94" t="s">
        <v>58</v>
      </c>
      <c r="J1918" s="100" t="s">
        <v>58</v>
      </c>
      <c r="K1918" s="95" t="s">
        <v>58</v>
      </c>
      <c r="L1918" s="91"/>
      <c r="M1918" s="98">
        <f ca="1">(TODAY()-H1918)/365</f>
        <v>33.827397260273976</v>
      </c>
      <c r="N1918" s="99">
        <f>(G1918-H1918)/365</f>
        <v>-73.016438356164386</v>
      </c>
      <c r="O1918" s="98">
        <f ca="1">(TODAY()-G1918)/365</f>
        <v>106.84383561643835</v>
      </c>
      <c r="P1918" s="91" t="s">
        <v>43</v>
      </c>
      <c r="Q1918" s="91"/>
      <c r="R1918" s="91"/>
      <c r="S1918" s="91"/>
      <c r="T1918" s="91"/>
      <c r="U1918" s="91"/>
      <c r="V1918" s="91"/>
      <c r="W1918" s="91"/>
      <c r="X1918" s="91"/>
      <c r="Y1918" s="91"/>
      <c r="Z1918" s="91"/>
      <c r="AA1918" s="91"/>
      <c r="AB1918" s="91"/>
      <c r="AC1918" s="91"/>
      <c r="AD1918" s="91"/>
      <c r="AE1918" s="91"/>
      <c r="AF1918" s="91"/>
      <c r="AG1918" s="91"/>
      <c r="AH1918" s="91"/>
      <c r="AI1918" s="91"/>
      <c r="AJ1918" s="91"/>
      <c r="AK1918" s="91"/>
      <c r="AL1918" s="91"/>
      <c r="AM1918" s="91"/>
    </row>
    <row r="1919" spans="1:39" ht="20.25" hidden="1" customHeight="1">
      <c r="A1919" s="91"/>
      <c r="B1919" s="93" t="s">
        <v>11879</v>
      </c>
      <c r="C1919" s="91" t="s">
        <v>36</v>
      </c>
      <c r="D1919" s="107" t="s">
        <v>666</v>
      </c>
      <c r="E1919" s="107" t="s">
        <v>6290</v>
      </c>
      <c r="F1919" s="91" t="s">
        <v>6291</v>
      </c>
      <c r="G1919" s="96">
        <v>42863</v>
      </c>
      <c r="H1919" s="97">
        <v>18760</v>
      </c>
      <c r="I1919" s="94" t="s">
        <v>58</v>
      </c>
      <c r="J1919" s="100" t="s">
        <v>6292</v>
      </c>
      <c r="K1919" s="95" t="s">
        <v>58</v>
      </c>
      <c r="L1919" s="91" t="s">
        <v>60</v>
      </c>
      <c r="M1919" s="98">
        <f ca="1">(TODAY()-H1919)/365</f>
        <v>74.635616438356166</v>
      </c>
      <c r="N1919" s="99">
        <f>(G1919-H1919)/365</f>
        <v>66.035616438356158</v>
      </c>
      <c r="O1919" s="98">
        <f ca="1">(TODAY()-G1919)/365</f>
        <v>8.6</v>
      </c>
      <c r="P1919" s="91" t="s">
        <v>43</v>
      </c>
      <c r="Q1919" s="91"/>
      <c r="R1919" s="91"/>
      <c r="S1919" s="91"/>
      <c r="T1919" s="91"/>
      <c r="U1919" s="91"/>
      <c r="V1919" s="91"/>
      <c r="W1919" s="91"/>
      <c r="X1919" s="91"/>
      <c r="Y1919" s="91"/>
      <c r="Z1919" s="91"/>
      <c r="AA1919" s="91"/>
      <c r="AB1919" s="91"/>
      <c r="AC1919" s="91"/>
      <c r="AD1919" s="91"/>
      <c r="AE1919" s="91"/>
      <c r="AF1919" s="91"/>
      <c r="AG1919" s="91"/>
      <c r="AH1919" s="91"/>
      <c r="AI1919" s="91"/>
      <c r="AJ1919" s="91"/>
      <c r="AK1919" s="91"/>
      <c r="AL1919" s="91"/>
      <c r="AM1919" s="91"/>
    </row>
    <row r="1920" spans="1:39" ht="20.25" hidden="1" customHeight="1">
      <c r="A1920" s="91"/>
      <c r="B1920" s="93" t="s">
        <v>11879</v>
      </c>
      <c r="C1920" s="91" t="s">
        <v>36</v>
      </c>
      <c r="D1920" s="107" t="s">
        <v>4611</v>
      </c>
      <c r="E1920" s="107" t="s">
        <v>6293</v>
      </c>
      <c r="F1920" s="91" t="s">
        <v>6294</v>
      </c>
      <c r="G1920" s="96">
        <v>44264</v>
      </c>
      <c r="H1920" s="97">
        <v>19280</v>
      </c>
      <c r="I1920" s="94" t="s">
        <v>58</v>
      </c>
      <c r="J1920" s="100" t="s">
        <v>6295</v>
      </c>
      <c r="K1920" s="95" t="s">
        <v>58</v>
      </c>
      <c r="L1920" s="91" t="s">
        <v>60</v>
      </c>
      <c r="M1920" s="98">
        <f ca="1">(TODAY()-H1920)/365</f>
        <v>73.210958904109589</v>
      </c>
      <c r="N1920" s="99">
        <f>(G1920-H1920)/365</f>
        <v>68.449315068493149</v>
      </c>
      <c r="O1920" s="98">
        <f ca="1">(TODAY()-G1920)/365</f>
        <v>4.7616438356164386</v>
      </c>
      <c r="P1920" s="91" t="s">
        <v>43</v>
      </c>
      <c r="Q1920" s="91"/>
      <c r="R1920" s="91"/>
      <c r="S1920" s="91"/>
      <c r="T1920" s="91"/>
      <c r="U1920" s="91"/>
      <c r="V1920" s="91"/>
      <c r="W1920" s="91"/>
      <c r="X1920" s="91"/>
      <c r="Y1920" s="91"/>
      <c r="Z1920" s="91"/>
      <c r="AA1920" s="91"/>
      <c r="AB1920" s="91"/>
      <c r="AC1920" s="91"/>
      <c r="AD1920" s="91"/>
      <c r="AE1920" s="91"/>
      <c r="AF1920" s="91"/>
      <c r="AG1920" s="91"/>
      <c r="AH1920" s="91"/>
      <c r="AI1920" s="91"/>
      <c r="AJ1920" s="91"/>
      <c r="AK1920" s="91"/>
      <c r="AL1920" s="91"/>
      <c r="AM1920" s="91"/>
    </row>
    <row r="1921" spans="1:39" ht="20.25" hidden="1" customHeight="1">
      <c r="A1921" s="91"/>
      <c r="B1921" s="93" t="s">
        <v>11879</v>
      </c>
      <c r="C1921" s="91" t="s">
        <v>36</v>
      </c>
      <c r="D1921" s="107" t="s">
        <v>1433</v>
      </c>
      <c r="E1921" s="107" t="s">
        <v>6296</v>
      </c>
      <c r="F1921" s="91" t="s">
        <v>6297</v>
      </c>
      <c r="G1921" s="96">
        <v>44635</v>
      </c>
      <c r="H1921" s="97">
        <v>18285</v>
      </c>
      <c r="I1921" s="100" t="s">
        <v>6298</v>
      </c>
      <c r="J1921" s="100" t="s">
        <v>6299</v>
      </c>
      <c r="K1921" s="95" t="s">
        <v>58</v>
      </c>
      <c r="L1921" s="91" t="s">
        <v>60</v>
      </c>
      <c r="M1921" s="98">
        <f ca="1">(TODAY()-H1921)/365</f>
        <v>75.936986301369856</v>
      </c>
      <c r="N1921" s="99">
        <f>(G1921-H1921)/365</f>
        <v>72.191780821917803</v>
      </c>
      <c r="O1921" s="98">
        <f ca="1">(TODAY()-G1921)/365</f>
        <v>3.7452054794520548</v>
      </c>
      <c r="P1921" s="91" t="s">
        <v>43</v>
      </c>
      <c r="Q1921" s="91"/>
      <c r="R1921" s="91"/>
      <c r="S1921" s="91"/>
      <c r="T1921" s="91"/>
      <c r="U1921" s="91"/>
      <c r="V1921" s="91"/>
      <c r="W1921" s="91"/>
      <c r="X1921" s="91"/>
      <c r="Y1921" s="91"/>
      <c r="Z1921" s="91"/>
      <c r="AA1921" s="91"/>
      <c r="AB1921" s="91"/>
      <c r="AC1921" s="91"/>
      <c r="AD1921" s="91"/>
      <c r="AE1921" s="91"/>
      <c r="AF1921" s="91"/>
      <c r="AG1921" s="91"/>
      <c r="AH1921" s="91"/>
      <c r="AI1921" s="91"/>
      <c r="AJ1921" s="91"/>
      <c r="AK1921" s="91"/>
      <c r="AL1921" s="91"/>
      <c r="AM1921" s="91"/>
    </row>
    <row r="1922" spans="1:39" ht="20.25" hidden="1" customHeight="1">
      <c r="A1922" s="91"/>
      <c r="B1922" s="93" t="s">
        <v>11879</v>
      </c>
      <c r="C1922" s="91" t="s">
        <v>36</v>
      </c>
      <c r="D1922" s="107" t="s">
        <v>367</v>
      </c>
      <c r="E1922" s="107" t="s">
        <v>3586</v>
      </c>
      <c r="F1922" s="91" t="s">
        <v>6300</v>
      </c>
      <c r="G1922" s="96">
        <v>44640</v>
      </c>
      <c r="H1922" s="97">
        <v>18151</v>
      </c>
      <c r="I1922" s="94" t="s">
        <v>58</v>
      </c>
      <c r="J1922" s="100" t="s">
        <v>6301</v>
      </c>
      <c r="K1922" s="95" t="s">
        <v>58</v>
      </c>
      <c r="L1922" s="91" t="s">
        <v>60</v>
      </c>
      <c r="M1922" s="98">
        <f ca="1">(TODAY()-H1922)/365</f>
        <v>76.30410958904109</v>
      </c>
      <c r="N1922" s="99">
        <f>(G1922-H1922)/365</f>
        <v>72.572602739726022</v>
      </c>
      <c r="O1922" s="98">
        <f ca="1">(TODAY()-G1922)/365</f>
        <v>3.7315068493150685</v>
      </c>
      <c r="P1922" s="91" t="s">
        <v>43</v>
      </c>
      <c r="Q1922" s="91"/>
      <c r="R1922" s="91"/>
      <c r="S1922" s="91"/>
      <c r="T1922" s="91"/>
      <c r="U1922" s="91"/>
      <c r="V1922" s="91"/>
      <c r="W1922" s="91"/>
      <c r="X1922" s="91"/>
      <c r="Y1922" s="91"/>
      <c r="Z1922" s="91"/>
      <c r="AA1922" s="91"/>
      <c r="AB1922" s="91"/>
      <c r="AC1922" s="91"/>
      <c r="AD1922" s="91"/>
      <c r="AE1922" s="91"/>
      <c r="AF1922" s="91"/>
      <c r="AG1922" s="91"/>
      <c r="AH1922" s="91"/>
      <c r="AI1922" s="91"/>
      <c r="AJ1922" s="91"/>
      <c r="AK1922" s="91"/>
      <c r="AL1922" s="91"/>
      <c r="AM1922" s="91"/>
    </row>
    <row r="1923" spans="1:39" ht="20.25" hidden="1" customHeight="1">
      <c r="A1923" s="91"/>
      <c r="B1923" s="93" t="s">
        <v>11879</v>
      </c>
      <c r="C1923" s="91" t="s">
        <v>36</v>
      </c>
      <c r="D1923" s="107" t="s">
        <v>6302</v>
      </c>
      <c r="E1923" s="107" t="s">
        <v>6303</v>
      </c>
      <c r="F1923" s="91" t="s">
        <v>6304</v>
      </c>
      <c r="G1923" s="96">
        <v>44640</v>
      </c>
      <c r="H1923" s="97">
        <v>18134</v>
      </c>
      <c r="I1923" s="94" t="s">
        <v>58</v>
      </c>
      <c r="J1923" s="100" t="s">
        <v>6305</v>
      </c>
      <c r="K1923" s="95" t="s">
        <v>58</v>
      </c>
      <c r="L1923" s="91" t="s">
        <v>60</v>
      </c>
      <c r="M1923" s="98">
        <f ca="1">(TODAY()-H1923)/365</f>
        <v>76.350684931506848</v>
      </c>
      <c r="N1923" s="99">
        <f>(G1923-H1923)/365</f>
        <v>72.61917808219178</v>
      </c>
      <c r="O1923" s="98">
        <f ca="1">(TODAY()-G1923)/365</f>
        <v>3.7315068493150685</v>
      </c>
      <c r="P1923" s="91" t="s">
        <v>272</v>
      </c>
      <c r="Q1923" s="91"/>
      <c r="R1923" s="91"/>
      <c r="S1923" s="91"/>
      <c r="T1923" s="91"/>
      <c r="U1923" s="91"/>
      <c r="V1923" s="91"/>
      <c r="W1923" s="91"/>
      <c r="X1923" s="91"/>
      <c r="Y1923" s="91"/>
      <c r="Z1923" s="91"/>
      <c r="AA1923" s="91"/>
      <c r="AB1923" s="91"/>
      <c r="AC1923" s="91"/>
      <c r="AD1923" s="91"/>
      <c r="AE1923" s="91"/>
      <c r="AF1923" s="91"/>
      <c r="AG1923" s="91"/>
      <c r="AH1923" s="91"/>
      <c r="AI1923" s="91"/>
      <c r="AJ1923" s="91"/>
      <c r="AK1923" s="91"/>
      <c r="AL1923" s="91"/>
      <c r="AM1923" s="91"/>
    </row>
    <row r="1924" spans="1:39" ht="20.25" customHeight="1">
      <c r="A1924" s="91"/>
      <c r="B1924" s="93" t="s">
        <v>6041</v>
      </c>
      <c r="C1924" s="91" t="s">
        <v>73</v>
      </c>
      <c r="D1924" s="107" t="s">
        <v>3944</v>
      </c>
      <c r="E1924" s="107" t="s">
        <v>6050</v>
      </c>
      <c r="F1924" s="91" t="s">
        <v>6051</v>
      </c>
      <c r="G1924" s="96">
        <v>42861</v>
      </c>
      <c r="H1924" s="97">
        <v>33966</v>
      </c>
      <c r="I1924" s="100" t="s">
        <v>58</v>
      </c>
      <c r="J1924" s="100" t="s">
        <v>58</v>
      </c>
      <c r="K1924" s="91" t="s">
        <v>58</v>
      </c>
      <c r="L1924" s="91" t="s">
        <v>60</v>
      </c>
      <c r="M1924" s="98">
        <f ca="1">(TODAY()-H1924)/365</f>
        <v>32.975342465753428</v>
      </c>
      <c r="N1924" s="99">
        <f>(G1924-H1924)/365</f>
        <v>24.36986301369863</v>
      </c>
      <c r="O1924" s="98">
        <f ca="1">(TODAY()-G1924)/365</f>
        <v>8.6054794520547944</v>
      </c>
      <c r="P1924" s="91" t="s">
        <v>43</v>
      </c>
      <c r="Q1924" s="91">
        <v>0</v>
      </c>
      <c r="R1924" s="91">
        <v>0</v>
      </c>
      <c r="S1924" s="91">
        <v>0</v>
      </c>
      <c r="T1924" s="91"/>
      <c r="U1924" s="91"/>
      <c r="V1924" s="91"/>
      <c r="W1924" s="91"/>
      <c r="X1924" s="91"/>
      <c r="Y1924" s="91"/>
      <c r="Z1924" s="91"/>
      <c r="AA1924" s="91"/>
      <c r="AB1924" s="91"/>
      <c r="AC1924" s="91"/>
      <c r="AD1924" s="91"/>
      <c r="AE1924" s="91"/>
      <c r="AF1924" s="91"/>
      <c r="AG1924" s="91"/>
      <c r="AH1924" s="91"/>
      <c r="AI1924" s="91"/>
      <c r="AJ1924" s="91"/>
      <c r="AK1924" s="91"/>
      <c r="AL1924" s="91"/>
      <c r="AM1924" s="91"/>
    </row>
    <row r="1925" spans="1:39" ht="20.25" hidden="1" customHeight="1">
      <c r="A1925" s="91"/>
      <c r="B1925" s="93" t="s">
        <v>11884</v>
      </c>
      <c r="C1925" s="91" t="s">
        <v>36</v>
      </c>
      <c r="D1925" s="107" t="s">
        <v>6309</v>
      </c>
      <c r="E1925" s="107" t="s">
        <v>6310</v>
      </c>
      <c r="F1925" s="92" t="s">
        <v>6311</v>
      </c>
      <c r="G1925" s="96">
        <v>45352</v>
      </c>
      <c r="H1925" s="97">
        <v>39795</v>
      </c>
      <c r="I1925" s="102" t="s">
        <v>6312</v>
      </c>
      <c r="J1925" s="94" t="s">
        <v>6313</v>
      </c>
      <c r="K1925" s="92">
        <v>945687796</v>
      </c>
      <c r="L1925" s="91" t="s">
        <v>60</v>
      </c>
      <c r="M1925" s="98">
        <f ca="1">(TODAY()-H1925)/365</f>
        <v>17.005479452054793</v>
      </c>
      <c r="N1925" s="99">
        <f>(G1925-H1925)/365</f>
        <v>15.224657534246575</v>
      </c>
      <c r="O1925" s="98">
        <f ca="1">(TODAY()-G1925)/365</f>
        <v>1.7808219178082192</v>
      </c>
      <c r="P1925" s="91" t="s">
        <v>272</v>
      </c>
      <c r="Q1925" s="91">
        <v>0</v>
      </c>
      <c r="R1925" s="91">
        <v>0</v>
      </c>
      <c r="S1925" s="91">
        <v>0</v>
      </c>
      <c r="T1925" s="91"/>
      <c r="U1925" s="91"/>
      <c r="V1925" s="91"/>
      <c r="W1925" s="91"/>
      <c r="X1925" s="91"/>
      <c r="Y1925" s="91"/>
      <c r="Z1925" s="91"/>
      <c r="AA1925" s="91"/>
      <c r="AB1925" s="91"/>
      <c r="AC1925" s="91"/>
      <c r="AD1925" s="91"/>
      <c r="AE1925" s="91"/>
      <c r="AF1925" s="91"/>
      <c r="AG1925" s="91"/>
      <c r="AH1925" s="91"/>
      <c r="AI1925" s="91"/>
      <c r="AJ1925" s="91"/>
      <c r="AK1925" s="91"/>
      <c r="AL1925" s="91"/>
      <c r="AM1925" s="91"/>
    </row>
    <row r="1926" spans="1:39" ht="20.25" hidden="1" customHeight="1">
      <c r="A1926" s="91"/>
      <c r="B1926" s="93" t="s">
        <v>11884</v>
      </c>
      <c r="C1926" s="91" t="s">
        <v>36</v>
      </c>
      <c r="D1926" s="106" t="s">
        <v>6314</v>
      </c>
      <c r="E1926" s="106" t="s">
        <v>6315</v>
      </c>
      <c r="F1926" s="92" t="s">
        <v>6316</v>
      </c>
      <c r="G1926" s="96">
        <v>45352</v>
      </c>
      <c r="H1926" s="97">
        <v>39657</v>
      </c>
      <c r="I1926" s="102" t="s">
        <v>6317</v>
      </c>
      <c r="J1926" s="94" t="s">
        <v>6318</v>
      </c>
      <c r="K1926" s="92">
        <v>936465978</v>
      </c>
      <c r="L1926" s="91" t="s">
        <v>60</v>
      </c>
      <c r="M1926" s="98">
        <f ca="1">(TODAY()-H1926)/365</f>
        <v>17.383561643835616</v>
      </c>
      <c r="N1926" s="99">
        <f>(G1926-H1926)/365</f>
        <v>15.602739726027398</v>
      </c>
      <c r="O1926" s="98">
        <f ca="1">(TODAY()-G1926)/365</f>
        <v>1.7808219178082192</v>
      </c>
      <c r="P1926" s="91" t="s">
        <v>43</v>
      </c>
      <c r="Q1926" s="91">
        <v>0</v>
      </c>
      <c r="R1926" s="91">
        <v>0</v>
      </c>
      <c r="S1926" s="91">
        <v>0</v>
      </c>
      <c r="T1926" s="91"/>
      <c r="U1926" s="91"/>
      <c r="V1926" s="91"/>
      <c r="W1926" s="91"/>
      <c r="X1926" s="91"/>
      <c r="Y1926" s="91"/>
      <c r="Z1926" s="91"/>
      <c r="AA1926" s="91"/>
      <c r="AB1926" s="91"/>
      <c r="AC1926" s="91"/>
      <c r="AD1926" s="91"/>
      <c r="AE1926" s="91"/>
      <c r="AF1926" s="91"/>
      <c r="AG1926" s="91"/>
      <c r="AH1926" s="91"/>
      <c r="AI1926" s="91"/>
      <c r="AJ1926" s="91"/>
      <c r="AK1926" s="91"/>
      <c r="AL1926" s="91"/>
      <c r="AM1926" s="91"/>
    </row>
    <row r="1927" spans="1:39" ht="20.25" hidden="1" customHeight="1">
      <c r="A1927" s="91"/>
      <c r="B1927" s="93" t="s">
        <v>11884</v>
      </c>
      <c r="C1927" s="91" t="s">
        <v>36</v>
      </c>
      <c r="D1927" s="107" t="s">
        <v>6319</v>
      </c>
      <c r="E1927" s="107" t="s">
        <v>6320</v>
      </c>
      <c r="F1927" s="92" t="s">
        <v>6321</v>
      </c>
      <c r="G1927" s="96">
        <v>38904</v>
      </c>
      <c r="H1927" s="97">
        <v>33092</v>
      </c>
      <c r="I1927" s="102" t="s">
        <v>6322</v>
      </c>
      <c r="J1927" s="94" t="s">
        <v>6323</v>
      </c>
      <c r="K1927" s="92">
        <v>950110796</v>
      </c>
      <c r="L1927" s="91" t="s">
        <v>60</v>
      </c>
      <c r="M1927" s="98">
        <f ca="1">(TODAY()-H1927)/365</f>
        <v>35.369863013698627</v>
      </c>
      <c r="N1927" s="99">
        <f>(G1927-H1927)/365</f>
        <v>15.923287671232877</v>
      </c>
      <c r="O1927" s="98">
        <f ca="1">(TODAY()-G1927)/365</f>
        <v>19.446575342465753</v>
      </c>
      <c r="P1927" s="91" t="s">
        <v>43</v>
      </c>
      <c r="Q1927" s="91">
        <v>1</v>
      </c>
      <c r="R1927" s="91">
        <v>0</v>
      </c>
      <c r="S1927" s="91">
        <v>0</v>
      </c>
      <c r="T1927" s="91"/>
      <c r="U1927" s="91"/>
      <c r="V1927" s="91"/>
      <c r="W1927" s="91"/>
      <c r="X1927" s="91"/>
      <c r="Y1927" s="91"/>
      <c r="Z1927" s="91"/>
      <c r="AA1927" s="91"/>
      <c r="AB1927" s="91"/>
      <c r="AC1927" s="91"/>
      <c r="AD1927" s="91"/>
      <c r="AE1927" s="91"/>
      <c r="AF1927" s="91"/>
      <c r="AG1927" s="91"/>
      <c r="AH1927" s="91"/>
      <c r="AI1927" s="91"/>
      <c r="AJ1927" s="91"/>
      <c r="AK1927" s="91"/>
      <c r="AL1927" s="91"/>
      <c r="AM1927" s="91"/>
    </row>
    <row r="1928" spans="1:39" ht="20.25" hidden="1" customHeight="1">
      <c r="A1928" s="91"/>
      <c r="B1928" s="93" t="s">
        <v>11884</v>
      </c>
      <c r="C1928" s="91" t="s">
        <v>36</v>
      </c>
      <c r="D1928" s="107" t="s">
        <v>6324</v>
      </c>
      <c r="E1928" s="107" t="s">
        <v>6325</v>
      </c>
      <c r="F1928" s="92" t="s">
        <v>6326</v>
      </c>
      <c r="G1928" s="96">
        <v>44591</v>
      </c>
      <c r="H1928" s="97">
        <v>38736</v>
      </c>
      <c r="I1928" s="102" t="s">
        <v>6327</v>
      </c>
      <c r="J1928" s="94" t="s">
        <v>6328</v>
      </c>
      <c r="K1928" s="92">
        <v>937829520</v>
      </c>
      <c r="L1928" s="91" t="s">
        <v>60</v>
      </c>
      <c r="M1928" s="98">
        <f ca="1">(TODAY()-H1928)/365</f>
        <v>19.906849315068492</v>
      </c>
      <c r="N1928" s="99">
        <f>(G1928-H1928)/365</f>
        <v>16.041095890410958</v>
      </c>
      <c r="O1928" s="98">
        <f ca="1">(TODAY()-G1928)/365</f>
        <v>3.8657534246575342</v>
      </c>
      <c r="P1928" s="91" t="s">
        <v>272</v>
      </c>
      <c r="Q1928" s="91">
        <v>1</v>
      </c>
      <c r="R1928" s="91">
        <v>0</v>
      </c>
      <c r="S1928" s="91">
        <v>0</v>
      </c>
      <c r="T1928" s="91"/>
      <c r="U1928" s="91"/>
      <c r="V1928" s="91"/>
      <c r="W1928" s="91"/>
      <c r="X1928" s="91"/>
      <c r="Y1928" s="91"/>
      <c r="Z1928" s="91"/>
      <c r="AA1928" s="91"/>
      <c r="AB1928" s="91"/>
      <c r="AC1928" s="91"/>
      <c r="AD1928" s="91"/>
      <c r="AE1928" s="91"/>
      <c r="AF1928" s="91"/>
      <c r="AG1928" s="91"/>
      <c r="AH1928" s="91"/>
      <c r="AI1928" s="91"/>
      <c r="AJ1928" s="91"/>
      <c r="AK1928" s="91"/>
      <c r="AL1928" s="91"/>
      <c r="AM1928" s="91"/>
    </row>
    <row r="1929" spans="1:39" ht="20.25" hidden="1" customHeight="1">
      <c r="A1929" s="91"/>
      <c r="B1929" s="93" t="s">
        <v>11884</v>
      </c>
      <c r="C1929" s="91" t="s">
        <v>36</v>
      </c>
      <c r="D1929" s="107" t="s">
        <v>6329</v>
      </c>
      <c r="E1929" s="107" t="s">
        <v>6330</v>
      </c>
      <c r="F1929" s="92" t="s">
        <v>6331</v>
      </c>
      <c r="G1929" s="96">
        <v>45108</v>
      </c>
      <c r="H1929" s="97">
        <v>39160</v>
      </c>
      <c r="I1929" s="102" t="s">
        <v>6332</v>
      </c>
      <c r="J1929" s="94" t="s">
        <v>6333</v>
      </c>
      <c r="K1929" s="92">
        <v>953461344</v>
      </c>
      <c r="L1929" s="91" t="s">
        <v>60</v>
      </c>
      <c r="M1929" s="98">
        <f ca="1">(TODAY()-H1929)/365</f>
        <v>18.745205479452054</v>
      </c>
      <c r="N1929" s="99">
        <f>(G1929-H1929)/365</f>
        <v>16.295890410958904</v>
      </c>
      <c r="O1929" s="98">
        <f ca="1">(TODAY()-G1929)/365</f>
        <v>2.4493150684931506</v>
      </c>
      <c r="P1929" s="91" t="s">
        <v>1151</v>
      </c>
      <c r="Q1929" s="91">
        <v>0</v>
      </c>
      <c r="R1929" s="91">
        <v>0</v>
      </c>
      <c r="S1929" s="91">
        <v>0</v>
      </c>
      <c r="T1929" s="91"/>
      <c r="U1929" s="91"/>
      <c r="V1929" s="91"/>
      <c r="W1929" s="91"/>
      <c r="X1929" s="91"/>
      <c r="Y1929" s="91"/>
      <c r="Z1929" s="91"/>
      <c r="AA1929" s="91"/>
      <c r="AB1929" s="91"/>
      <c r="AC1929" s="91"/>
      <c r="AD1929" s="91"/>
      <c r="AE1929" s="91"/>
      <c r="AF1929" s="91"/>
      <c r="AG1929" s="91"/>
      <c r="AH1929" s="91"/>
      <c r="AI1929" s="91"/>
      <c r="AJ1929" s="91"/>
      <c r="AK1929" s="91"/>
      <c r="AL1929" s="91"/>
      <c r="AM1929" s="91"/>
    </row>
    <row r="1930" spans="1:39" ht="20.25" hidden="1" customHeight="1">
      <c r="A1930" s="91"/>
      <c r="B1930" s="93" t="s">
        <v>11884</v>
      </c>
      <c r="C1930" s="91" t="s">
        <v>36</v>
      </c>
      <c r="D1930" s="106" t="s">
        <v>6334</v>
      </c>
      <c r="E1930" s="106" t="s">
        <v>6335</v>
      </c>
      <c r="F1930" s="92" t="s">
        <v>6336</v>
      </c>
      <c r="G1930" s="96">
        <v>42502</v>
      </c>
      <c r="H1930" s="97">
        <v>36299</v>
      </c>
      <c r="I1930" s="102" t="s">
        <v>6337</v>
      </c>
      <c r="J1930" s="94" t="s">
        <v>6338</v>
      </c>
      <c r="K1930" s="92">
        <v>998753449</v>
      </c>
      <c r="L1930" s="91" t="s">
        <v>60</v>
      </c>
      <c r="M1930" s="98">
        <f ca="1">(TODAY()-H1930)/365</f>
        <v>26.583561643835615</v>
      </c>
      <c r="N1930" s="99">
        <f>(G1930-H1930)/365</f>
        <v>16.994520547945207</v>
      </c>
      <c r="O1930" s="98">
        <f ca="1">(TODAY()-G1930)/365</f>
        <v>9.5890410958904102</v>
      </c>
      <c r="P1930" s="91" t="s">
        <v>43</v>
      </c>
      <c r="Q1930" s="91">
        <v>1</v>
      </c>
      <c r="R1930" s="91">
        <v>0</v>
      </c>
      <c r="S1930" s="91">
        <v>1</v>
      </c>
      <c r="T1930" s="91"/>
      <c r="U1930" s="91"/>
      <c r="V1930" s="91"/>
      <c r="W1930" s="91"/>
      <c r="X1930" s="91"/>
      <c r="Y1930" s="91"/>
      <c r="Z1930" s="91"/>
      <c r="AA1930" s="91"/>
      <c r="AB1930" s="91"/>
      <c r="AC1930" s="91"/>
      <c r="AD1930" s="91"/>
      <c r="AE1930" s="91"/>
      <c r="AF1930" s="91"/>
      <c r="AG1930" s="91"/>
      <c r="AH1930" s="91"/>
      <c r="AI1930" s="91"/>
      <c r="AJ1930" s="91"/>
      <c r="AK1930" s="91"/>
      <c r="AL1930" s="91"/>
      <c r="AM1930" s="91"/>
    </row>
    <row r="1931" spans="1:39" ht="20.25" hidden="1" customHeight="1">
      <c r="A1931" s="91"/>
      <c r="B1931" s="93" t="s">
        <v>11884</v>
      </c>
      <c r="C1931" s="91" t="s">
        <v>36</v>
      </c>
      <c r="D1931" s="107" t="s">
        <v>6339</v>
      </c>
      <c r="E1931" s="107" t="s">
        <v>6340</v>
      </c>
      <c r="F1931" s="92" t="s">
        <v>6341</v>
      </c>
      <c r="G1931" s="96">
        <v>45108</v>
      </c>
      <c r="H1931" s="97">
        <v>38548</v>
      </c>
      <c r="I1931" s="102" t="s">
        <v>6342</v>
      </c>
      <c r="J1931" s="94" t="s">
        <v>6343</v>
      </c>
      <c r="K1931" s="92">
        <v>940362731</v>
      </c>
      <c r="L1931" s="91" t="s">
        <v>60</v>
      </c>
      <c r="M1931" s="98">
        <f ca="1">(TODAY()-H1931)/365</f>
        <v>20.421917808219177</v>
      </c>
      <c r="N1931" s="99">
        <f>(G1931-H1931)/365</f>
        <v>17.972602739726028</v>
      </c>
      <c r="O1931" s="98">
        <f ca="1">(TODAY()-G1931)/365</f>
        <v>2.4493150684931506</v>
      </c>
      <c r="P1931" s="91" t="s">
        <v>43</v>
      </c>
      <c r="Q1931" s="91">
        <v>0</v>
      </c>
      <c r="R1931" s="91">
        <v>0</v>
      </c>
      <c r="S1931" s="91">
        <v>0</v>
      </c>
      <c r="T1931" s="91"/>
      <c r="U1931" s="91"/>
      <c r="V1931" s="91"/>
      <c r="W1931" s="91"/>
      <c r="X1931" s="91"/>
      <c r="Y1931" s="91"/>
      <c r="Z1931" s="91"/>
      <c r="AA1931" s="91"/>
      <c r="AB1931" s="91"/>
      <c r="AC1931" s="91"/>
      <c r="AD1931" s="91"/>
      <c r="AE1931" s="91"/>
      <c r="AF1931" s="91"/>
      <c r="AG1931" s="91"/>
      <c r="AH1931" s="91"/>
      <c r="AI1931" s="91"/>
      <c r="AJ1931" s="91"/>
      <c r="AK1931" s="91"/>
      <c r="AL1931" s="91"/>
      <c r="AM1931" s="91"/>
    </row>
    <row r="1932" spans="1:39" ht="20.25" hidden="1" customHeight="1">
      <c r="A1932" s="91"/>
      <c r="B1932" s="93" t="s">
        <v>11884</v>
      </c>
      <c r="C1932" s="91" t="s">
        <v>36</v>
      </c>
      <c r="D1932" s="106" t="s">
        <v>6344</v>
      </c>
      <c r="E1932" s="106" t="s">
        <v>6345</v>
      </c>
      <c r="F1932" s="92" t="s">
        <v>6346</v>
      </c>
      <c r="G1932" s="96">
        <v>45108</v>
      </c>
      <c r="H1932" s="97">
        <v>38413</v>
      </c>
      <c r="I1932" s="102" t="s">
        <v>6347</v>
      </c>
      <c r="J1932" s="94" t="s">
        <v>6348</v>
      </c>
      <c r="K1932" s="92">
        <v>962822084</v>
      </c>
      <c r="L1932" s="91" t="s">
        <v>60</v>
      </c>
      <c r="M1932" s="98">
        <f ca="1">(TODAY()-H1932)/365</f>
        <v>20.791780821917808</v>
      </c>
      <c r="N1932" s="99">
        <f>(G1932-H1932)/365</f>
        <v>18.342465753424658</v>
      </c>
      <c r="O1932" s="98">
        <f ca="1">(TODAY()-G1932)/365</f>
        <v>2.4493150684931506</v>
      </c>
      <c r="P1932" s="91" t="s">
        <v>43</v>
      </c>
      <c r="Q1932" s="91">
        <v>0</v>
      </c>
      <c r="R1932" s="91">
        <v>0</v>
      </c>
      <c r="S1932" s="91">
        <v>0</v>
      </c>
      <c r="T1932" s="91"/>
      <c r="U1932" s="91"/>
      <c r="V1932" s="91"/>
      <c r="W1932" s="91"/>
      <c r="X1932" s="91"/>
      <c r="Y1932" s="91"/>
      <c r="Z1932" s="91"/>
      <c r="AA1932" s="91"/>
      <c r="AB1932" s="91"/>
      <c r="AC1932" s="91"/>
      <c r="AD1932" s="91"/>
      <c r="AE1932" s="91"/>
      <c r="AF1932" s="91"/>
      <c r="AG1932" s="91"/>
      <c r="AH1932" s="91"/>
      <c r="AI1932" s="91"/>
      <c r="AJ1932" s="91"/>
      <c r="AK1932" s="91"/>
      <c r="AL1932" s="91"/>
      <c r="AM1932" s="91"/>
    </row>
    <row r="1933" spans="1:39" ht="20.25" hidden="1" customHeight="1">
      <c r="A1933" s="91"/>
      <c r="B1933" s="93" t="s">
        <v>11884</v>
      </c>
      <c r="C1933" s="91" t="s">
        <v>36</v>
      </c>
      <c r="D1933" s="106" t="s">
        <v>6349</v>
      </c>
      <c r="E1933" s="106" t="s">
        <v>6350</v>
      </c>
      <c r="F1933" s="92" t="s">
        <v>6351</v>
      </c>
      <c r="G1933" s="96">
        <v>45352</v>
      </c>
      <c r="H1933" s="97">
        <v>38647</v>
      </c>
      <c r="I1933" s="102" t="s">
        <v>6352</v>
      </c>
      <c r="J1933" s="94" t="s">
        <v>6353</v>
      </c>
      <c r="K1933" s="92">
        <v>985872476</v>
      </c>
      <c r="L1933" s="91" t="s">
        <v>60</v>
      </c>
      <c r="M1933" s="98">
        <f ca="1">(TODAY()-H1933)/365</f>
        <v>20.150684931506849</v>
      </c>
      <c r="N1933" s="99">
        <f>(G1933-H1933)/365</f>
        <v>18.36986301369863</v>
      </c>
      <c r="O1933" s="98">
        <f ca="1">(TODAY()-G1933)/365</f>
        <v>1.7808219178082192</v>
      </c>
      <c r="P1933" s="91" t="s">
        <v>272</v>
      </c>
      <c r="Q1933" s="91">
        <v>0</v>
      </c>
      <c r="R1933" s="91">
        <v>0</v>
      </c>
      <c r="S1933" s="91">
        <v>0</v>
      </c>
      <c r="T1933" s="91"/>
      <c r="U1933" s="91"/>
      <c r="V1933" s="91"/>
      <c r="W1933" s="91"/>
      <c r="X1933" s="91"/>
      <c r="Y1933" s="91"/>
      <c r="Z1933" s="91"/>
      <c r="AA1933" s="91"/>
      <c r="AB1933" s="91"/>
      <c r="AC1933" s="91"/>
      <c r="AD1933" s="91"/>
      <c r="AE1933" s="91"/>
      <c r="AF1933" s="91"/>
      <c r="AG1933" s="91"/>
      <c r="AH1933" s="91"/>
      <c r="AI1933" s="91"/>
      <c r="AJ1933" s="91"/>
      <c r="AK1933" s="91"/>
      <c r="AL1933" s="91"/>
      <c r="AM1933" s="91"/>
    </row>
    <row r="1934" spans="1:39" ht="20.25" hidden="1" customHeight="1">
      <c r="A1934" s="91"/>
      <c r="B1934" s="93" t="s">
        <v>11884</v>
      </c>
      <c r="C1934" s="91" t="s">
        <v>36</v>
      </c>
      <c r="D1934" s="106" t="s">
        <v>6354</v>
      </c>
      <c r="E1934" s="106" t="s">
        <v>6355</v>
      </c>
      <c r="F1934" s="92" t="s">
        <v>6356</v>
      </c>
      <c r="G1934" s="96">
        <v>45477</v>
      </c>
      <c r="H1934" s="97">
        <v>38637</v>
      </c>
      <c r="I1934" s="102" t="s">
        <v>6357</v>
      </c>
      <c r="J1934" s="94" t="s">
        <v>6358</v>
      </c>
      <c r="K1934" s="92">
        <v>995615792</v>
      </c>
      <c r="L1934" s="91" t="s">
        <v>60</v>
      </c>
      <c r="M1934" s="98">
        <f ca="1">(TODAY()-H1934)/365</f>
        <v>20.17808219178082</v>
      </c>
      <c r="N1934" s="99">
        <f>(G1934-H1934)/365</f>
        <v>18.739726027397261</v>
      </c>
      <c r="O1934" s="98">
        <f ca="1">(TODAY()-G1934)/365</f>
        <v>1.4383561643835616</v>
      </c>
      <c r="P1934" s="91" t="s">
        <v>43</v>
      </c>
      <c r="Q1934" s="91">
        <v>0</v>
      </c>
      <c r="R1934" s="91">
        <v>0</v>
      </c>
      <c r="S1934" s="91">
        <v>0</v>
      </c>
      <c r="T1934" s="91"/>
      <c r="U1934" s="91"/>
      <c r="V1934" s="91"/>
      <c r="W1934" s="91"/>
      <c r="X1934" s="91"/>
      <c r="Y1934" s="91"/>
      <c r="Z1934" s="91"/>
      <c r="AA1934" s="91"/>
      <c r="AB1934" s="91"/>
      <c r="AC1934" s="91"/>
      <c r="AD1934" s="91"/>
      <c r="AE1934" s="91"/>
      <c r="AF1934" s="91"/>
      <c r="AG1934" s="91"/>
      <c r="AH1934" s="91"/>
      <c r="AI1934" s="91"/>
      <c r="AJ1934" s="91"/>
      <c r="AK1934" s="91"/>
      <c r="AL1934" s="91"/>
      <c r="AM1934" s="91"/>
    </row>
    <row r="1935" spans="1:39" ht="20.25" hidden="1" customHeight="1">
      <c r="A1935" s="91"/>
      <c r="B1935" s="93" t="s">
        <v>11884</v>
      </c>
      <c r="C1935" s="91" t="s">
        <v>36</v>
      </c>
      <c r="D1935" s="106" t="s">
        <v>6359</v>
      </c>
      <c r="E1935" s="106" t="s">
        <v>6360</v>
      </c>
      <c r="F1935" s="92" t="s">
        <v>6361</v>
      </c>
      <c r="G1935" s="96">
        <v>45200</v>
      </c>
      <c r="H1935" s="97">
        <v>38342</v>
      </c>
      <c r="I1935" s="102" t="s">
        <v>6362</v>
      </c>
      <c r="J1935" s="94" t="s">
        <v>6363</v>
      </c>
      <c r="K1935" s="92">
        <v>987843620</v>
      </c>
      <c r="L1935" s="91" t="s">
        <v>60</v>
      </c>
      <c r="M1935" s="98">
        <f ca="1">(TODAY()-H1935)/365</f>
        <v>20.986301369863014</v>
      </c>
      <c r="N1935" s="99">
        <f>(G1935-H1935)/365</f>
        <v>18.789041095890411</v>
      </c>
      <c r="O1935" s="98">
        <f ca="1">(TODAY()-G1935)/365</f>
        <v>2.1972602739726028</v>
      </c>
      <c r="P1935" s="91" t="s">
        <v>43</v>
      </c>
      <c r="Q1935" s="91">
        <v>0</v>
      </c>
      <c r="R1935" s="91">
        <v>0</v>
      </c>
      <c r="S1935" s="91">
        <v>0</v>
      </c>
      <c r="T1935" s="91"/>
      <c r="U1935" s="91"/>
      <c r="V1935" s="91"/>
      <c r="W1935" s="91"/>
      <c r="X1935" s="91"/>
      <c r="Y1935" s="91"/>
      <c r="Z1935" s="91"/>
      <c r="AA1935" s="91"/>
      <c r="AB1935" s="91"/>
      <c r="AC1935" s="91"/>
      <c r="AD1935" s="91"/>
      <c r="AE1935" s="91"/>
      <c r="AF1935" s="91"/>
      <c r="AG1935" s="91"/>
      <c r="AH1935" s="91"/>
      <c r="AI1935" s="91"/>
      <c r="AJ1935" s="91"/>
      <c r="AK1935" s="91"/>
      <c r="AL1935" s="91"/>
      <c r="AM1935" s="91"/>
    </row>
    <row r="1936" spans="1:39" ht="20.25" customHeight="1">
      <c r="A1936" s="91"/>
      <c r="B1936" s="93" t="s">
        <v>9632</v>
      </c>
      <c r="C1936" s="91" t="s">
        <v>73</v>
      </c>
      <c r="D1936" s="107" t="s">
        <v>7995</v>
      </c>
      <c r="E1936" s="107" t="s">
        <v>9636</v>
      </c>
      <c r="F1936" s="91" t="s">
        <v>9637</v>
      </c>
      <c r="G1936" s="96">
        <v>45536</v>
      </c>
      <c r="H1936" s="97">
        <v>34095</v>
      </c>
      <c r="I1936" s="100" t="s">
        <v>9638</v>
      </c>
      <c r="J1936" s="100" t="s">
        <v>58</v>
      </c>
      <c r="K1936" s="91" t="s">
        <v>58</v>
      </c>
      <c r="L1936" s="91" t="s">
        <v>60</v>
      </c>
      <c r="M1936" s="98">
        <f ca="1">(TODAY()-H1936)/365</f>
        <v>32.62191780821918</v>
      </c>
      <c r="N1936" s="99">
        <f>(G1936-H1936)/365</f>
        <v>31.345205479452055</v>
      </c>
      <c r="O1936" s="98">
        <f ca="1">(TODAY()-G1936)/365</f>
        <v>1.2767123287671234</v>
      </c>
      <c r="P1936" s="91" t="s">
        <v>272</v>
      </c>
      <c r="Q1936" s="91">
        <v>0</v>
      </c>
      <c r="R1936" s="91">
        <v>0</v>
      </c>
      <c r="S1936" s="91">
        <v>1</v>
      </c>
      <c r="T1936" s="91"/>
      <c r="U1936" s="91"/>
      <c r="V1936" s="91"/>
      <c r="W1936" s="91"/>
      <c r="X1936" s="91"/>
      <c r="Y1936" s="91"/>
      <c r="Z1936" s="91" t="s">
        <v>8374</v>
      </c>
      <c r="AA1936" s="91"/>
      <c r="AB1936" s="91"/>
      <c r="AC1936" s="91"/>
      <c r="AD1936" s="91"/>
      <c r="AE1936" s="91"/>
      <c r="AF1936" s="91"/>
      <c r="AG1936" s="91"/>
      <c r="AH1936" s="91"/>
      <c r="AI1936" s="91"/>
      <c r="AJ1936" s="91"/>
      <c r="AK1936" s="91"/>
      <c r="AL1936" s="91"/>
      <c r="AM1936" s="91"/>
    </row>
    <row r="1937" spans="1:39" ht="20.25" hidden="1" customHeight="1">
      <c r="A1937" s="91"/>
      <c r="B1937" s="93" t="s">
        <v>11884</v>
      </c>
      <c r="C1937" s="91" t="s">
        <v>36</v>
      </c>
      <c r="D1937" s="106" t="s">
        <v>6368</v>
      </c>
      <c r="E1937" s="106" t="s">
        <v>6369</v>
      </c>
      <c r="F1937" s="92" t="s">
        <v>6370</v>
      </c>
      <c r="G1937" s="96">
        <v>45352</v>
      </c>
      <c r="H1937" s="97">
        <v>38138</v>
      </c>
      <c r="I1937" s="102" t="s">
        <v>6371</v>
      </c>
      <c r="J1937" s="94" t="s">
        <v>6372</v>
      </c>
      <c r="K1937" s="92">
        <v>945522988</v>
      </c>
      <c r="L1937" s="91" t="s">
        <v>60</v>
      </c>
      <c r="M1937" s="98">
        <f ca="1">(TODAY()-H1937)/365</f>
        <v>21.545205479452054</v>
      </c>
      <c r="N1937" s="99">
        <f>(G1937-H1937)/365</f>
        <v>19.764383561643836</v>
      </c>
      <c r="O1937" s="98">
        <f ca="1">(TODAY()-G1937)/365</f>
        <v>1.7808219178082192</v>
      </c>
      <c r="P1937" s="91" t="s">
        <v>43</v>
      </c>
      <c r="Q1937" s="91">
        <v>0</v>
      </c>
      <c r="R1937" s="91">
        <v>0</v>
      </c>
      <c r="S1937" s="91">
        <v>0</v>
      </c>
      <c r="T1937" s="91"/>
      <c r="U1937" s="91"/>
      <c r="V1937" s="91"/>
      <c r="W1937" s="91"/>
      <c r="X1937" s="91"/>
      <c r="Y1937" s="91"/>
      <c r="Z1937" s="91"/>
      <c r="AA1937" s="91"/>
      <c r="AB1937" s="91"/>
      <c r="AC1937" s="91"/>
      <c r="AD1937" s="91"/>
      <c r="AE1937" s="91"/>
      <c r="AF1937" s="91"/>
      <c r="AG1937" s="91"/>
      <c r="AH1937" s="91"/>
      <c r="AI1937" s="91"/>
      <c r="AJ1937" s="91"/>
      <c r="AK1937" s="91"/>
      <c r="AL1937" s="91"/>
      <c r="AM1937" s="91"/>
    </row>
    <row r="1938" spans="1:39" ht="20.25" hidden="1" customHeight="1">
      <c r="A1938" s="91"/>
      <c r="B1938" s="93" t="s">
        <v>11884</v>
      </c>
      <c r="C1938" s="91" t="s">
        <v>36</v>
      </c>
      <c r="D1938" s="106" t="s">
        <v>6373</v>
      </c>
      <c r="E1938" s="106" t="s">
        <v>6374</v>
      </c>
      <c r="F1938" s="92" t="s">
        <v>6375</v>
      </c>
      <c r="G1938" s="96">
        <v>45465</v>
      </c>
      <c r="H1938" s="97">
        <v>38170</v>
      </c>
      <c r="I1938" s="102" t="s">
        <v>6376</v>
      </c>
      <c r="J1938" s="94" t="s">
        <v>6377</v>
      </c>
      <c r="K1938" s="92">
        <v>944990385</v>
      </c>
      <c r="L1938" s="91" t="s">
        <v>60</v>
      </c>
      <c r="M1938" s="98">
        <f ca="1">(TODAY()-H1938)/365</f>
        <v>21.457534246575342</v>
      </c>
      <c r="N1938" s="99">
        <f>(G1938-H1938)/365</f>
        <v>19.986301369863014</v>
      </c>
      <c r="O1938" s="98">
        <f ca="1">(TODAY()-G1938)/365</f>
        <v>1.4712328767123288</v>
      </c>
      <c r="P1938" s="91" t="s">
        <v>272</v>
      </c>
      <c r="Q1938" s="91">
        <v>0</v>
      </c>
      <c r="R1938" s="91">
        <v>0</v>
      </c>
      <c r="S1938" s="91">
        <v>0</v>
      </c>
      <c r="T1938" s="91"/>
      <c r="U1938" s="91"/>
      <c r="V1938" s="91"/>
      <c r="W1938" s="91"/>
      <c r="X1938" s="91"/>
      <c r="Y1938" s="91"/>
      <c r="Z1938" s="91"/>
      <c r="AA1938" s="91"/>
      <c r="AB1938" s="91"/>
      <c r="AC1938" s="91"/>
      <c r="AD1938" s="91"/>
      <c r="AE1938" s="91"/>
      <c r="AF1938" s="91"/>
      <c r="AG1938" s="91"/>
      <c r="AH1938" s="91"/>
      <c r="AI1938" s="91"/>
      <c r="AJ1938" s="91"/>
      <c r="AK1938" s="91"/>
      <c r="AL1938" s="91"/>
      <c r="AM1938" s="91"/>
    </row>
    <row r="1939" spans="1:39" ht="20.25" hidden="1" customHeight="1">
      <c r="A1939" s="91"/>
      <c r="B1939" s="93" t="s">
        <v>11884</v>
      </c>
      <c r="C1939" s="91" t="s">
        <v>36</v>
      </c>
      <c r="D1939" s="107" t="s">
        <v>6378</v>
      </c>
      <c r="E1939" s="107" t="s">
        <v>6379</v>
      </c>
      <c r="F1939" s="92" t="s">
        <v>6380</v>
      </c>
      <c r="G1939" s="96">
        <v>45108</v>
      </c>
      <c r="H1939" s="97">
        <v>37645</v>
      </c>
      <c r="I1939" s="102" t="s">
        <v>6381</v>
      </c>
      <c r="J1939" s="94" t="s">
        <v>6382</v>
      </c>
      <c r="K1939" s="92">
        <v>961537789</v>
      </c>
      <c r="L1939" s="91" t="s">
        <v>60</v>
      </c>
      <c r="M1939" s="98">
        <f ca="1">(TODAY()-H1939)/365</f>
        <v>22.895890410958906</v>
      </c>
      <c r="N1939" s="99">
        <f>(G1939-H1939)/365</f>
        <v>20.446575342465753</v>
      </c>
      <c r="O1939" s="98">
        <f ca="1">(TODAY()-G1939)/365</f>
        <v>2.4493150684931506</v>
      </c>
      <c r="P1939" s="91" t="s">
        <v>43</v>
      </c>
      <c r="Q1939" s="91">
        <v>0</v>
      </c>
      <c r="R1939" s="91">
        <v>0</v>
      </c>
      <c r="S1939" s="91">
        <v>0</v>
      </c>
      <c r="T1939" s="91"/>
      <c r="U1939" s="91"/>
      <c r="V1939" s="91"/>
      <c r="W1939" s="91"/>
      <c r="X1939" s="91"/>
      <c r="Y1939" s="91"/>
      <c r="Z1939" s="91"/>
      <c r="AA1939" s="91"/>
      <c r="AB1939" s="91"/>
      <c r="AC1939" s="91"/>
      <c r="AD1939" s="91"/>
      <c r="AE1939" s="91"/>
      <c r="AF1939" s="91"/>
      <c r="AG1939" s="91"/>
      <c r="AH1939" s="91"/>
      <c r="AI1939" s="91"/>
      <c r="AJ1939" s="91"/>
      <c r="AK1939" s="91"/>
      <c r="AL1939" s="91"/>
      <c r="AM1939" s="91"/>
    </row>
    <row r="1940" spans="1:39" ht="20.25" hidden="1" customHeight="1">
      <c r="A1940" s="91"/>
      <c r="B1940" s="93" t="s">
        <v>11884</v>
      </c>
      <c r="C1940" s="91" t="s">
        <v>36</v>
      </c>
      <c r="D1940" s="107" t="s">
        <v>6383</v>
      </c>
      <c r="E1940" s="107" t="s">
        <v>6384</v>
      </c>
      <c r="F1940" s="92" t="s">
        <v>6385</v>
      </c>
      <c r="G1940" s="96">
        <v>45108</v>
      </c>
      <c r="H1940" s="97">
        <v>37484</v>
      </c>
      <c r="I1940" s="102" t="s">
        <v>6386</v>
      </c>
      <c r="J1940" s="94" t="s">
        <v>6387</v>
      </c>
      <c r="K1940" s="92">
        <v>961054309</v>
      </c>
      <c r="L1940" s="91" t="s">
        <v>121</v>
      </c>
      <c r="M1940" s="98">
        <f ca="1">(TODAY()-H1940)/365</f>
        <v>23.336986301369862</v>
      </c>
      <c r="N1940" s="99">
        <f>(G1940-H1940)/365</f>
        <v>20.887671232876713</v>
      </c>
      <c r="O1940" s="98">
        <f ca="1">(TODAY()-G1940)/365</f>
        <v>2.4493150684931506</v>
      </c>
      <c r="P1940" s="91" t="s">
        <v>1151</v>
      </c>
      <c r="Q1940" s="91">
        <v>1</v>
      </c>
      <c r="R1940" s="91">
        <v>0</v>
      </c>
      <c r="S1940" s="91">
        <v>0</v>
      </c>
      <c r="T1940" s="91"/>
      <c r="U1940" s="91"/>
      <c r="V1940" s="91"/>
      <c r="W1940" s="91"/>
      <c r="X1940" s="91"/>
      <c r="Y1940" s="91"/>
      <c r="Z1940" s="91"/>
      <c r="AA1940" s="91"/>
      <c r="AB1940" s="91"/>
      <c r="AC1940" s="91"/>
      <c r="AD1940" s="91"/>
      <c r="AE1940" s="91"/>
      <c r="AF1940" s="91"/>
      <c r="AG1940" s="91"/>
      <c r="AH1940" s="91"/>
      <c r="AI1940" s="91"/>
      <c r="AJ1940" s="91"/>
      <c r="AK1940" s="91"/>
      <c r="AL1940" s="91"/>
      <c r="AM1940" s="91"/>
    </row>
    <row r="1941" spans="1:39" ht="20.25" hidden="1" customHeight="1">
      <c r="A1941" s="91"/>
      <c r="B1941" s="93" t="s">
        <v>11884</v>
      </c>
      <c r="C1941" s="91" t="s">
        <v>36</v>
      </c>
      <c r="D1941" s="107" t="s">
        <v>6388</v>
      </c>
      <c r="E1941" s="107" t="s">
        <v>6389</v>
      </c>
      <c r="F1941" s="92" t="s">
        <v>6390</v>
      </c>
      <c r="G1941" s="96">
        <v>45514</v>
      </c>
      <c r="H1941" s="97">
        <v>37529</v>
      </c>
      <c r="I1941" s="102" t="s">
        <v>6391</v>
      </c>
      <c r="J1941" s="94" t="s">
        <v>6392</v>
      </c>
      <c r="K1941" s="92">
        <v>994212866</v>
      </c>
      <c r="L1941" s="91" t="s">
        <v>60</v>
      </c>
      <c r="M1941" s="98">
        <f ca="1">(TODAY()-H1941)/365</f>
        <v>23.213698630136985</v>
      </c>
      <c r="N1941" s="99">
        <f>(G1941-H1941)/365</f>
        <v>21.876712328767123</v>
      </c>
      <c r="O1941" s="98">
        <f ca="1">(TODAY()-G1941)/365</f>
        <v>1.3369863013698631</v>
      </c>
      <c r="P1941" s="91" t="s">
        <v>43</v>
      </c>
      <c r="Q1941" s="91">
        <v>0</v>
      </c>
      <c r="R1941" s="91">
        <v>0</v>
      </c>
      <c r="S1941" s="91">
        <v>0</v>
      </c>
      <c r="T1941" s="91"/>
      <c r="U1941" s="91"/>
      <c r="V1941" s="91"/>
      <c r="W1941" s="91"/>
      <c r="X1941" s="91"/>
      <c r="Y1941" s="91"/>
      <c r="Z1941" s="91"/>
      <c r="AA1941" s="91"/>
      <c r="AB1941" s="91"/>
      <c r="AC1941" s="91"/>
      <c r="AD1941" s="91"/>
      <c r="AE1941" s="91"/>
      <c r="AF1941" s="91"/>
      <c r="AG1941" s="91"/>
      <c r="AH1941" s="91"/>
      <c r="AI1941" s="91"/>
      <c r="AJ1941" s="91"/>
      <c r="AK1941" s="91"/>
      <c r="AL1941" s="91"/>
      <c r="AM1941" s="91"/>
    </row>
    <row r="1942" spans="1:39" ht="20.25" hidden="1" customHeight="1">
      <c r="A1942" s="91"/>
      <c r="B1942" s="93" t="s">
        <v>11884</v>
      </c>
      <c r="C1942" s="91" t="s">
        <v>36</v>
      </c>
      <c r="D1942" s="106" t="s">
        <v>6393</v>
      </c>
      <c r="E1942" s="106" t="s">
        <v>6394</v>
      </c>
      <c r="F1942" s="92" t="s">
        <v>6395</v>
      </c>
      <c r="G1942" s="96">
        <v>45352</v>
      </c>
      <c r="H1942" s="97">
        <v>36588</v>
      </c>
      <c r="I1942" s="102" t="s">
        <v>6396</v>
      </c>
      <c r="J1942" s="94" t="s">
        <v>6397</v>
      </c>
      <c r="K1942" s="92">
        <v>962275500</v>
      </c>
      <c r="L1942" s="91" t="s">
        <v>60</v>
      </c>
      <c r="M1942" s="98">
        <f ca="1">(TODAY()-H1942)/365</f>
        <v>25.791780821917808</v>
      </c>
      <c r="N1942" s="99">
        <f>(G1942-H1942)/365</f>
        <v>24.010958904109589</v>
      </c>
      <c r="O1942" s="98">
        <f ca="1">(TODAY()-G1942)/365</f>
        <v>1.7808219178082192</v>
      </c>
      <c r="P1942" s="91" t="s">
        <v>43</v>
      </c>
      <c r="Q1942" s="91">
        <v>0</v>
      </c>
      <c r="R1942" s="91">
        <v>0</v>
      </c>
      <c r="S1942" s="91">
        <v>0</v>
      </c>
      <c r="T1942" s="91"/>
      <c r="U1942" s="91"/>
      <c r="V1942" s="91"/>
      <c r="W1942" s="91"/>
      <c r="X1942" s="91"/>
      <c r="Y1942" s="91"/>
      <c r="Z1942" s="91"/>
      <c r="AA1942" s="91"/>
      <c r="AB1942" s="91"/>
      <c r="AC1942" s="91"/>
      <c r="AD1942" s="91"/>
      <c r="AE1942" s="91"/>
      <c r="AF1942" s="91"/>
      <c r="AG1942" s="91"/>
      <c r="AH1942" s="91"/>
      <c r="AI1942" s="91"/>
      <c r="AJ1942" s="91"/>
      <c r="AK1942" s="91"/>
      <c r="AL1942" s="91"/>
      <c r="AM1942" s="91"/>
    </row>
    <row r="1943" spans="1:39" ht="20.25" hidden="1" customHeight="1">
      <c r="A1943" s="91"/>
      <c r="B1943" s="93" t="s">
        <v>11884</v>
      </c>
      <c r="C1943" s="91" t="s">
        <v>36</v>
      </c>
      <c r="D1943" s="106" t="s">
        <v>6398</v>
      </c>
      <c r="E1943" s="106" t="s">
        <v>6399</v>
      </c>
      <c r="F1943" s="92" t="s">
        <v>6400</v>
      </c>
      <c r="G1943" s="96">
        <v>45352</v>
      </c>
      <c r="H1943" s="97">
        <v>36528</v>
      </c>
      <c r="I1943" s="102" t="s">
        <v>6401</v>
      </c>
      <c r="J1943" s="94" t="s">
        <v>6402</v>
      </c>
      <c r="K1943" s="92">
        <v>959771251</v>
      </c>
      <c r="L1943" s="91" t="s">
        <v>60</v>
      </c>
      <c r="M1943" s="98">
        <f ca="1">(TODAY()-H1943)/365</f>
        <v>25.956164383561642</v>
      </c>
      <c r="N1943" s="99">
        <f>(G1943-H1943)/365</f>
        <v>24.175342465753424</v>
      </c>
      <c r="O1943" s="98">
        <f ca="1">(TODAY()-G1943)/365</f>
        <v>1.7808219178082192</v>
      </c>
      <c r="P1943" s="91" t="s">
        <v>43</v>
      </c>
      <c r="Q1943" s="91">
        <v>0</v>
      </c>
      <c r="R1943" s="91">
        <v>0</v>
      </c>
      <c r="S1943" s="91">
        <v>0</v>
      </c>
      <c r="T1943" s="91"/>
      <c r="U1943" s="91"/>
      <c r="V1943" s="91"/>
      <c r="W1943" s="91"/>
      <c r="X1943" s="91"/>
      <c r="Y1943" s="91"/>
      <c r="Z1943" s="91"/>
      <c r="AA1943" s="91"/>
      <c r="AB1943" s="91"/>
      <c r="AC1943" s="91"/>
      <c r="AD1943" s="91"/>
      <c r="AE1943" s="91"/>
      <c r="AF1943" s="91"/>
      <c r="AG1943" s="91"/>
      <c r="AH1943" s="91"/>
      <c r="AI1943" s="91"/>
      <c r="AJ1943" s="91"/>
      <c r="AK1943" s="91"/>
      <c r="AL1943" s="91"/>
      <c r="AM1943" s="91"/>
    </row>
    <row r="1944" spans="1:39" ht="20.25" hidden="1" customHeight="1">
      <c r="A1944" s="91"/>
      <c r="B1944" s="93" t="s">
        <v>11884</v>
      </c>
      <c r="C1944" s="91" t="s">
        <v>36</v>
      </c>
      <c r="D1944" s="106" t="s">
        <v>6398</v>
      </c>
      <c r="E1944" s="106" t="s">
        <v>6403</v>
      </c>
      <c r="F1944" s="92" t="s">
        <v>6404</v>
      </c>
      <c r="G1944" s="96">
        <v>45352</v>
      </c>
      <c r="H1944" s="97">
        <v>36522</v>
      </c>
      <c r="I1944" s="102" t="s">
        <v>6405</v>
      </c>
      <c r="J1944" s="94" t="s">
        <v>6406</v>
      </c>
      <c r="K1944" s="92">
        <v>934055342</v>
      </c>
      <c r="L1944" s="91" t="s">
        <v>60</v>
      </c>
      <c r="M1944" s="98">
        <f ca="1">(TODAY()-H1944)/365</f>
        <v>25.972602739726028</v>
      </c>
      <c r="N1944" s="99">
        <f>(G1944-H1944)/365</f>
        <v>24.19178082191781</v>
      </c>
      <c r="O1944" s="98">
        <f ca="1">(TODAY()-G1944)/365</f>
        <v>1.7808219178082192</v>
      </c>
      <c r="P1944" s="91" t="s">
        <v>43</v>
      </c>
      <c r="Q1944" s="91">
        <v>0</v>
      </c>
      <c r="R1944" s="91">
        <v>0</v>
      </c>
      <c r="S1944" s="91">
        <v>0</v>
      </c>
      <c r="T1944" s="91"/>
      <c r="U1944" s="91"/>
      <c r="V1944" s="91"/>
      <c r="W1944" s="91"/>
      <c r="X1944" s="91"/>
      <c r="Y1944" s="91"/>
      <c r="Z1944" s="91"/>
      <c r="AA1944" s="91"/>
      <c r="AB1944" s="91"/>
      <c r="AC1944" s="91"/>
      <c r="AD1944" s="91"/>
      <c r="AE1944" s="91"/>
      <c r="AF1944" s="91"/>
      <c r="AG1944" s="91"/>
      <c r="AH1944" s="91"/>
      <c r="AI1944" s="91"/>
      <c r="AJ1944" s="91"/>
      <c r="AK1944" s="91"/>
      <c r="AL1944" s="91"/>
      <c r="AM1944" s="91"/>
    </row>
    <row r="1945" spans="1:39" ht="20.25" customHeight="1">
      <c r="A1945" s="91"/>
      <c r="B1945" s="93" t="s">
        <v>3374</v>
      </c>
      <c r="C1945" s="91" t="s">
        <v>73</v>
      </c>
      <c r="D1945" s="107" t="s">
        <v>788</v>
      </c>
      <c r="E1945" s="107" t="s">
        <v>3521</v>
      </c>
      <c r="F1945" s="91" t="s">
        <v>3522</v>
      </c>
      <c r="G1945" s="96">
        <v>44603</v>
      </c>
      <c r="H1945" s="97">
        <v>24356</v>
      </c>
      <c r="I1945" s="100" t="s">
        <v>3523</v>
      </c>
      <c r="J1945" s="94" t="s">
        <v>58</v>
      </c>
      <c r="K1945" s="95" t="s">
        <v>58</v>
      </c>
      <c r="L1945" s="91" t="s">
        <v>60</v>
      </c>
      <c r="M1945" s="98">
        <f ca="1">(TODAY()-H1945)/365</f>
        <v>59.304109589041097</v>
      </c>
      <c r="N1945" s="99">
        <f>(G1945-H1945)/365</f>
        <v>55.471232876712328</v>
      </c>
      <c r="O1945" s="98">
        <f ca="1">(TODAY()-G1945)/365</f>
        <v>3.8328767123287673</v>
      </c>
      <c r="P1945" s="91" t="s">
        <v>43</v>
      </c>
      <c r="Q1945" s="91"/>
      <c r="R1945" s="91"/>
      <c r="S1945" s="91"/>
      <c r="T1945" s="91"/>
      <c r="U1945" s="91"/>
      <c r="V1945" s="91"/>
      <c r="W1945" s="91"/>
      <c r="X1945" s="91"/>
      <c r="Y1945" s="91"/>
      <c r="Z1945" s="91"/>
      <c r="AA1945" s="91"/>
      <c r="AB1945" s="91"/>
      <c r="AC1945" s="91"/>
      <c r="AD1945" s="91"/>
      <c r="AE1945" s="91"/>
      <c r="AF1945" s="91"/>
      <c r="AG1945" s="91"/>
      <c r="AH1945" s="91"/>
      <c r="AI1945" s="91"/>
      <c r="AJ1945" s="91"/>
      <c r="AK1945" s="91"/>
      <c r="AL1945" s="91"/>
      <c r="AM1945" s="91"/>
    </row>
    <row r="1946" spans="1:39" ht="20.25" hidden="1" customHeight="1">
      <c r="A1946" s="91"/>
      <c r="B1946" s="93" t="s">
        <v>11884</v>
      </c>
      <c r="C1946" s="91" t="s">
        <v>36</v>
      </c>
      <c r="D1946" s="106" t="s">
        <v>2812</v>
      </c>
      <c r="E1946" s="106" t="s">
        <v>6411</v>
      </c>
      <c r="F1946" s="92" t="s">
        <v>6412</v>
      </c>
      <c r="G1946" s="96">
        <v>45108</v>
      </c>
      <c r="H1946" s="97">
        <v>35339</v>
      </c>
      <c r="I1946" s="102" t="s">
        <v>6413</v>
      </c>
      <c r="J1946" s="94" t="s">
        <v>6414</v>
      </c>
      <c r="K1946" s="92">
        <v>920554133</v>
      </c>
      <c r="L1946" s="91" t="s">
        <v>60</v>
      </c>
      <c r="M1946" s="98">
        <f ca="1">(TODAY()-H1946)/365</f>
        <v>29.213698630136985</v>
      </c>
      <c r="N1946" s="99">
        <f>(G1946-H1946)/365</f>
        <v>26.764383561643836</v>
      </c>
      <c r="O1946" s="98">
        <f ca="1">(TODAY()-G1946)/365</f>
        <v>2.4493150684931506</v>
      </c>
      <c r="P1946" s="91" t="s">
        <v>43</v>
      </c>
      <c r="Q1946" s="91">
        <v>0</v>
      </c>
      <c r="R1946" s="91">
        <v>0</v>
      </c>
      <c r="S1946" s="91">
        <v>0</v>
      </c>
      <c r="T1946" s="91"/>
      <c r="U1946" s="91"/>
      <c r="V1946" s="91"/>
      <c r="W1946" s="91"/>
      <c r="X1946" s="91"/>
      <c r="Y1946" s="91"/>
      <c r="Z1946" s="91"/>
      <c r="AA1946" s="91"/>
      <c r="AB1946" s="91"/>
      <c r="AC1946" s="91"/>
      <c r="AD1946" s="91"/>
      <c r="AE1946" s="91"/>
      <c r="AF1946" s="91"/>
      <c r="AG1946" s="91"/>
      <c r="AH1946" s="91"/>
      <c r="AI1946" s="91"/>
      <c r="AJ1946" s="91"/>
      <c r="AK1946" s="91"/>
      <c r="AL1946" s="91"/>
      <c r="AM1946" s="91"/>
    </row>
    <row r="1947" spans="1:39" ht="20.25" hidden="1" customHeight="1">
      <c r="A1947" s="91"/>
      <c r="B1947" s="93" t="s">
        <v>11884</v>
      </c>
      <c r="C1947" s="91" t="s">
        <v>36</v>
      </c>
      <c r="D1947" s="107" t="s">
        <v>6415</v>
      </c>
      <c r="E1947" s="107" t="s">
        <v>6416</v>
      </c>
      <c r="F1947" s="92" t="s">
        <v>6417</v>
      </c>
      <c r="G1947" s="96">
        <v>45591</v>
      </c>
      <c r="H1947" s="97">
        <v>35721</v>
      </c>
      <c r="I1947" s="102" t="s">
        <v>6418</v>
      </c>
      <c r="J1947" s="94" t="s">
        <v>6419</v>
      </c>
      <c r="K1947" s="92">
        <v>989673155</v>
      </c>
      <c r="L1947" s="91" t="s">
        <v>60</v>
      </c>
      <c r="M1947" s="98">
        <f ca="1">(TODAY()-H1947)/365</f>
        <v>28.167123287671235</v>
      </c>
      <c r="N1947" s="99">
        <f>(G1947-H1947)/365</f>
        <v>27.041095890410958</v>
      </c>
      <c r="O1947" s="98">
        <f ca="1">(TODAY()-G1947)/365</f>
        <v>1.1260273972602739</v>
      </c>
      <c r="P1947" s="91" t="s">
        <v>43</v>
      </c>
      <c r="Q1947" s="91">
        <v>0</v>
      </c>
      <c r="R1947" s="91">
        <v>0</v>
      </c>
      <c r="S1947" s="91">
        <v>0</v>
      </c>
      <c r="T1947" s="91"/>
      <c r="U1947" s="91"/>
      <c r="V1947" s="91"/>
      <c r="W1947" s="91"/>
      <c r="X1947" s="91"/>
      <c r="Y1947" s="91"/>
      <c r="Z1947" s="91"/>
      <c r="AA1947" s="91"/>
      <c r="AB1947" s="91"/>
      <c r="AC1947" s="91"/>
      <c r="AD1947" s="91"/>
      <c r="AE1947" s="91"/>
      <c r="AF1947" s="91"/>
      <c r="AG1947" s="91"/>
      <c r="AH1947" s="91"/>
      <c r="AI1947" s="91"/>
      <c r="AJ1947" s="91"/>
      <c r="AK1947" s="91"/>
      <c r="AL1947" s="91"/>
      <c r="AM1947" s="91"/>
    </row>
    <row r="1948" spans="1:39" ht="20.25" hidden="1" customHeight="1">
      <c r="A1948" s="91"/>
      <c r="B1948" s="93" t="s">
        <v>11884</v>
      </c>
      <c r="C1948" s="91" t="s">
        <v>36</v>
      </c>
      <c r="D1948" s="107" t="s">
        <v>6420</v>
      </c>
      <c r="E1948" s="107" t="s">
        <v>6421</v>
      </c>
      <c r="F1948" s="92" t="s">
        <v>6422</v>
      </c>
      <c r="G1948" s="96">
        <v>45352</v>
      </c>
      <c r="H1948" s="97">
        <v>35328</v>
      </c>
      <c r="I1948" s="102" t="s">
        <v>6423</v>
      </c>
      <c r="J1948" s="94" t="s">
        <v>6424</v>
      </c>
      <c r="K1948" s="92">
        <v>995468567</v>
      </c>
      <c r="L1948" s="91" t="s">
        <v>60</v>
      </c>
      <c r="M1948" s="98">
        <f ca="1">(TODAY()-H1948)/365</f>
        <v>29.243835616438357</v>
      </c>
      <c r="N1948" s="99">
        <f>(G1948-H1948)/365</f>
        <v>27.463013698630139</v>
      </c>
      <c r="O1948" s="98">
        <f ca="1">(TODAY()-G1948)/365</f>
        <v>1.7808219178082192</v>
      </c>
      <c r="P1948" s="91" t="s">
        <v>43</v>
      </c>
      <c r="Q1948" s="91">
        <v>0</v>
      </c>
      <c r="R1948" s="91">
        <v>0</v>
      </c>
      <c r="S1948" s="91">
        <v>0</v>
      </c>
      <c r="T1948" s="91"/>
      <c r="U1948" s="91"/>
      <c r="V1948" s="91"/>
      <c r="W1948" s="91"/>
      <c r="X1948" s="91"/>
      <c r="Y1948" s="91"/>
      <c r="Z1948" s="91"/>
      <c r="AA1948" s="91"/>
      <c r="AB1948" s="91"/>
      <c r="AC1948" s="91"/>
      <c r="AD1948" s="91"/>
      <c r="AE1948" s="91"/>
      <c r="AF1948" s="91"/>
      <c r="AG1948" s="91"/>
      <c r="AH1948" s="91"/>
      <c r="AI1948" s="91"/>
      <c r="AJ1948" s="91"/>
      <c r="AK1948" s="91"/>
      <c r="AL1948" s="91"/>
      <c r="AM1948" s="91"/>
    </row>
    <row r="1949" spans="1:39" ht="20.25" hidden="1" customHeight="1">
      <c r="A1949" s="91"/>
      <c r="B1949" s="93" t="s">
        <v>11884</v>
      </c>
      <c r="C1949" s="91" t="s">
        <v>36</v>
      </c>
      <c r="D1949" s="106" t="s">
        <v>6425</v>
      </c>
      <c r="E1949" s="106" t="s">
        <v>6426</v>
      </c>
      <c r="F1949" s="92" t="s">
        <v>6427</v>
      </c>
      <c r="G1949" s="96">
        <v>45477</v>
      </c>
      <c r="H1949" s="97">
        <v>35131</v>
      </c>
      <c r="I1949" s="102" t="s">
        <v>6428</v>
      </c>
      <c r="J1949" s="94" t="s">
        <v>6429</v>
      </c>
      <c r="K1949" s="92">
        <v>995356445</v>
      </c>
      <c r="L1949" s="91" t="s">
        <v>60</v>
      </c>
      <c r="M1949" s="98">
        <f ca="1">(TODAY()-H1949)/365</f>
        <v>29.783561643835615</v>
      </c>
      <c r="N1949" s="99">
        <f>(G1949-H1949)/365</f>
        <v>28.345205479452055</v>
      </c>
      <c r="O1949" s="98">
        <f ca="1">(TODAY()-G1949)/365</f>
        <v>1.4383561643835616</v>
      </c>
      <c r="P1949" s="91" t="s">
        <v>43</v>
      </c>
      <c r="Q1949" s="91">
        <v>0</v>
      </c>
      <c r="R1949" s="91">
        <v>0</v>
      </c>
      <c r="S1949" s="91">
        <v>0</v>
      </c>
      <c r="T1949" s="91"/>
      <c r="U1949" s="91"/>
      <c r="V1949" s="91"/>
      <c r="W1949" s="91"/>
      <c r="X1949" s="91"/>
      <c r="Y1949" s="91"/>
      <c r="Z1949" s="91"/>
      <c r="AA1949" s="91"/>
      <c r="AB1949" s="91"/>
      <c r="AC1949" s="91"/>
      <c r="AD1949" s="91"/>
      <c r="AE1949" s="91"/>
      <c r="AF1949" s="91"/>
      <c r="AG1949" s="91"/>
      <c r="AH1949" s="91"/>
      <c r="AI1949" s="91"/>
      <c r="AJ1949" s="91"/>
      <c r="AK1949" s="91"/>
      <c r="AL1949" s="91"/>
      <c r="AM1949" s="91"/>
    </row>
    <row r="1950" spans="1:39" ht="20.25" hidden="1" customHeight="1">
      <c r="A1950" s="91"/>
      <c r="B1950" s="93" t="s">
        <v>11884</v>
      </c>
      <c r="C1950" s="91" t="s">
        <v>36</v>
      </c>
      <c r="D1950" s="106" t="s">
        <v>6430</v>
      </c>
      <c r="E1950" s="106" t="s">
        <v>6431</v>
      </c>
      <c r="F1950" s="92" t="s">
        <v>6432</v>
      </c>
      <c r="G1950" s="96">
        <v>45352</v>
      </c>
      <c r="H1950" s="97">
        <v>34619</v>
      </c>
      <c r="I1950" s="102" t="s">
        <v>6433</v>
      </c>
      <c r="J1950" s="94" t="s">
        <v>6434</v>
      </c>
      <c r="K1950" s="92">
        <v>970900917</v>
      </c>
      <c r="L1950" s="91" t="s">
        <v>60</v>
      </c>
      <c r="M1950" s="98">
        <f ca="1">(TODAY()-H1950)/365</f>
        <v>31.186301369863013</v>
      </c>
      <c r="N1950" s="99">
        <f>(G1950-H1950)/365</f>
        <v>29.405479452054795</v>
      </c>
      <c r="O1950" s="98">
        <f ca="1">(TODAY()-G1950)/365</f>
        <v>1.7808219178082192</v>
      </c>
      <c r="P1950" s="91" t="s">
        <v>272</v>
      </c>
      <c r="Q1950" s="91">
        <v>0</v>
      </c>
      <c r="R1950" s="91">
        <v>0</v>
      </c>
      <c r="S1950" s="91">
        <v>0</v>
      </c>
      <c r="T1950" s="91"/>
      <c r="U1950" s="91"/>
      <c r="V1950" s="91"/>
      <c r="W1950" s="91"/>
      <c r="X1950" s="91"/>
      <c r="Y1950" s="91"/>
      <c r="Z1950" s="91"/>
      <c r="AA1950" s="91"/>
      <c r="AB1950" s="91"/>
      <c r="AC1950" s="91"/>
      <c r="AD1950" s="91"/>
      <c r="AE1950" s="91"/>
      <c r="AF1950" s="91"/>
      <c r="AG1950" s="91"/>
      <c r="AH1950" s="91"/>
      <c r="AI1950" s="91"/>
      <c r="AJ1950" s="91"/>
      <c r="AK1950" s="91"/>
      <c r="AL1950" s="91"/>
      <c r="AM1950" s="91"/>
    </row>
    <row r="1951" spans="1:39" ht="20.25" hidden="1" customHeight="1">
      <c r="A1951" s="91"/>
      <c r="B1951" s="93" t="s">
        <v>11884</v>
      </c>
      <c r="C1951" s="91" t="s">
        <v>36</v>
      </c>
      <c r="D1951" s="106" t="s">
        <v>6435</v>
      </c>
      <c r="E1951" s="106" t="s">
        <v>6436</v>
      </c>
      <c r="F1951" s="92" t="s">
        <v>6437</v>
      </c>
      <c r="G1951" s="96">
        <v>45352</v>
      </c>
      <c r="H1951" s="97">
        <v>34199</v>
      </c>
      <c r="I1951" s="102" t="s">
        <v>6438</v>
      </c>
      <c r="J1951" s="94" t="s">
        <v>6439</v>
      </c>
      <c r="K1951" s="92">
        <v>950371630</v>
      </c>
      <c r="L1951" s="91" t="s">
        <v>60</v>
      </c>
      <c r="M1951" s="98">
        <f ca="1">(TODAY()-H1951)/365</f>
        <v>32.336986301369862</v>
      </c>
      <c r="N1951" s="99">
        <f>(G1951-H1951)/365</f>
        <v>30.556164383561644</v>
      </c>
      <c r="O1951" s="98">
        <f ca="1">(TODAY()-G1951)/365</f>
        <v>1.7808219178082192</v>
      </c>
      <c r="P1951" s="91" t="s">
        <v>272</v>
      </c>
      <c r="Q1951" s="91">
        <v>0</v>
      </c>
      <c r="R1951" s="91">
        <v>0</v>
      </c>
      <c r="S1951" s="91">
        <v>0</v>
      </c>
      <c r="T1951" s="91"/>
      <c r="U1951" s="91"/>
      <c r="V1951" s="91"/>
      <c r="W1951" s="91"/>
      <c r="X1951" s="91"/>
      <c r="Y1951" s="91"/>
      <c r="Z1951" s="91"/>
      <c r="AA1951" s="91"/>
      <c r="AB1951" s="91"/>
      <c r="AC1951" s="91"/>
      <c r="AD1951" s="91"/>
      <c r="AE1951" s="91"/>
      <c r="AF1951" s="91"/>
      <c r="AG1951" s="91"/>
      <c r="AH1951" s="91"/>
      <c r="AI1951" s="91"/>
      <c r="AJ1951" s="91"/>
      <c r="AK1951" s="91"/>
      <c r="AL1951" s="91"/>
      <c r="AM1951" s="91"/>
    </row>
    <row r="1952" spans="1:39" ht="20.25" hidden="1" customHeight="1">
      <c r="A1952" s="91"/>
      <c r="B1952" s="93" t="s">
        <v>11884</v>
      </c>
      <c r="C1952" s="91" t="s">
        <v>36</v>
      </c>
      <c r="D1952" s="107" t="s">
        <v>6440</v>
      </c>
      <c r="E1952" s="107" t="s">
        <v>6441</v>
      </c>
      <c r="F1952" s="92" t="s">
        <v>6442</v>
      </c>
      <c r="G1952" s="96">
        <v>45108</v>
      </c>
      <c r="H1952" s="97">
        <v>33739</v>
      </c>
      <c r="I1952" s="102" t="s">
        <v>6443</v>
      </c>
      <c r="J1952" s="94" t="s">
        <v>6444</v>
      </c>
      <c r="K1952" s="92">
        <v>998490665</v>
      </c>
      <c r="L1952" s="91" t="s">
        <v>60</v>
      </c>
      <c r="M1952" s="98">
        <f ca="1">(TODAY()-H1952)/365</f>
        <v>33.597260273972601</v>
      </c>
      <c r="N1952" s="99">
        <f>(G1952-H1952)/365</f>
        <v>31.147945205479452</v>
      </c>
      <c r="O1952" s="98">
        <f ca="1">(TODAY()-G1952)/365</f>
        <v>2.4493150684931506</v>
      </c>
      <c r="P1952" s="91" t="s">
        <v>43</v>
      </c>
      <c r="Q1952" s="91">
        <v>0</v>
      </c>
      <c r="R1952" s="91">
        <v>0</v>
      </c>
      <c r="S1952" s="91">
        <v>0</v>
      </c>
      <c r="T1952" s="91"/>
      <c r="U1952" s="91"/>
      <c r="V1952" s="91"/>
      <c r="W1952" s="91"/>
      <c r="X1952" s="91"/>
      <c r="Y1952" s="91"/>
      <c r="Z1952" s="91"/>
      <c r="AA1952" s="91"/>
      <c r="AB1952" s="91"/>
      <c r="AC1952" s="91"/>
      <c r="AD1952" s="91"/>
      <c r="AE1952" s="91"/>
      <c r="AF1952" s="91"/>
      <c r="AG1952" s="91"/>
      <c r="AH1952" s="91"/>
      <c r="AI1952" s="91"/>
      <c r="AJ1952" s="91"/>
      <c r="AK1952" s="91"/>
      <c r="AL1952" s="91"/>
      <c r="AM1952" s="91"/>
    </row>
    <row r="1953" spans="1:39" ht="20.25" hidden="1" customHeight="1">
      <c r="A1953" s="91"/>
      <c r="B1953" s="93" t="s">
        <v>11884</v>
      </c>
      <c r="C1953" s="91" t="s">
        <v>36</v>
      </c>
      <c r="D1953" s="106" t="s">
        <v>4315</v>
      </c>
      <c r="E1953" s="106" t="s">
        <v>6445</v>
      </c>
      <c r="F1953" s="92" t="s">
        <v>6446</v>
      </c>
      <c r="G1953" s="96">
        <v>28610</v>
      </c>
      <c r="H1953" s="97">
        <v>16799</v>
      </c>
      <c r="I1953" s="102" t="s">
        <v>6447</v>
      </c>
      <c r="J1953" s="94" t="s">
        <v>6448</v>
      </c>
      <c r="K1953" s="92">
        <v>992503947</v>
      </c>
      <c r="L1953" s="91" t="s">
        <v>60</v>
      </c>
      <c r="M1953" s="98">
        <f ca="1">(TODAY()-H1953)/365</f>
        <v>80.008219178082186</v>
      </c>
      <c r="N1953" s="99">
        <f>(G1953-H1953)/365</f>
        <v>32.358904109589041</v>
      </c>
      <c r="O1953" s="98">
        <f ca="1">(TODAY()-G1953)/365</f>
        <v>47.649315068493152</v>
      </c>
      <c r="P1953" s="91" t="s">
        <v>43</v>
      </c>
      <c r="Q1953" s="91">
        <v>1</v>
      </c>
      <c r="R1953" s="91">
        <v>0</v>
      </c>
      <c r="S1953" s="91">
        <v>0</v>
      </c>
      <c r="T1953" s="91"/>
      <c r="U1953" s="91"/>
      <c r="V1953" s="91"/>
      <c r="W1953" s="91"/>
      <c r="X1953" s="91"/>
      <c r="Y1953" s="91"/>
      <c r="Z1953" s="91"/>
      <c r="AA1953" s="91"/>
      <c r="AB1953" s="91"/>
      <c r="AC1953" s="91"/>
      <c r="AD1953" s="91"/>
      <c r="AE1953" s="91"/>
      <c r="AF1953" s="91"/>
      <c r="AG1953" s="91"/>
      <c r="AH1953" s="91"/>
      <c r="AI1953" s="91"/>
      <c r="AJ1953" s="91"/>
      <c r="AK1953" s="91"/>
      <c r="AL1953" s="91"/>
      <c r="AM1953" s="91"/>
    </row>
    <row r="1954" spans="1:39" ht="20.25" customHeight="1">
      <c r="A1954" s="91"/>
      <c r="B1954" s="93" t="s">
        <v>6041</v>
      </c>
      <c r="C1954" s="91" t="s">
        <v>73</v>
      </c>
      <c r="D1954" s="107" t="s">
        <v>6042</v>
      </c>
      <c r="E1954" s="107" t="s">
        <v>6043</v>
      </c>
      <c r="F1954" s="91" t="s">
        <v>6044</v>
      </c>
      <c r="G1954" s="96">
        <v>43834</v>
      </c>
      <c r="H1954" s="97">
        <v>36988</v>
      </c>
      <c r="I1954" s="100" t="s">
        <v>58</v>
      </c>
      <c r="J1954" s="100" t="s">
        <v>58</v>
      </c>
      <c r="K1954" s="91" t="s">
        <v>58</v>
      </c>
      <c r="L1954" s="91" t="s">
        <v>60</v>
      </c>
      <c r="M1954" s="98">
        <f ca="1">(TODAY()-H1954)/365</f>
        <v>24.695890410958903</v>
      </c>
      <c r="N1954" s="99">
        <f>(G1954-H1954)/365</f>
        <v>18.756164383561643</v>
      </c>
      <c r="O1954" s="98">
        <f ca="1">(TODAY()-G1954)/365</f>
        <v>5.9397260273972599</v>
      </c>
      <c r="P1954" s="91" t="s">
        <v>272</v>
      </c>
      <c r="Q1954" s="91">
        <v>0</v>
      </c>
      <c r="R1954" s="91">
        <v>0</v>
      </c>
      <c r="S1954" s="91">
        <v>0</v>
      </c>
      <c r="T1954" s="91"/>
      <c r="U1954" s="91"/>
      <c r="V1954" s="91"/>
      <c r="W1954" s="91"/>
      <c r="X1954" s="91"/>
      <c r="Y1954" s="91"/>
      <c r="Z1954" s="91"/>
      <c r="AA1954" s="91"/>
      <c r="AB1954" s="91"/>
      <c r="AC1954" s="91"/>
      <c r="AD1954" s="91"/>
      <c r="AE1954" s="91"/>
      <c r="AF1954" s="91"/>
      <c r="AG1954" s="91"/>
      <c r="AH1954" s="91"/>
      <c r="AI1954" s="91"/>
      <c r="AJ1954" s="91"/>
      <c r="AK1954" s="91"/>
      <c r="AL1954" s="91"/>
      <c r="AM1954" s="91"/>
    </row>
    <row r="1955" spans="1:39" ht="20.25" customHeight="1">
      <c r="A1955" s="91"/>
      <c r="B1955" s="93" t="s">
        <v>3557</v>
      </c>
      <c r="C1955" s="91" t="s">
        <v>73</v>
      </c>
      <c r="D1955" s="94" t="s">
        <v>3594</v>
      </c>
      <c r="E1955" s="94" t="s">
        <v>3595</v>
      </c>
      <c r="F1955" s="95" t="s">
        <v>3596</v>
      </c>
      <c r="G1955" s="96">
        <v>39173</v>
      </c>
      <c r="H1955" s="97">
        <v>21756</v>
      </c>
      <c r="I1955" s="94" t="s">
        <v>3564</v>
      </c>
      <c r="J1955" s="100" t="s">
        <v>58</v>
      </c>
      <c r="K1955" s="91" t="s">
        <v>58</v>
      </c>
      <c r="L1955" s="91" t="s">
        <v>60</v>
      </c>
      <c r="M1955" s="98">
        <f ca="1">(TODAY()-H1955)/365</f>
        <v>66.427397260273978</v>
      </c>
      <c r="N1955" s="99">
        <f>(G1955-H1955)/365</f>
        <v>47.717808219178082</v>
      </c>
      <c r="O1955" s="98">
        <f ca="1">(TODAY()-G1955)/365</f>
        <v>18.709589041095889</v>
      </c>
      <c r="P1955" s="91" t="s">
        <v>272</v>
      </c>
      <c r="Q1955" s="91">
        <v>0</v>
      </c>
      <c r="R1955" s="91">
        <v>0</v>
      </c>
      <c r="S1955" s="91">
        <v>0</v>
      </c>
      <c r="T1955" s="91"/>
      <c r="U1955" s="91"/>
      <c r="V1955" s="91"/>
      <c r="W1955" s="91"/>
      <c r="X1955" s="91"/>
      <c r="Y1955" s="91"/>
      <c r="Z1955" s="91"/>
      <c r="AA1955" s="91"/>
      <c r="AB1955" s="91"/>
      <c r="AC1955" s="91"/>
      <c r="AD1955" s="91"/>
      <c r="AE1955" s="91"/>
      <c r="AF1955" s="91"/>
      <c r="AG1955" s="91"/>
      <c r="AH1955" s="91"/>
      <c r="AI1955" s="91"/>
      <c r="AJ1955" s="91"/>
      <c r="AK1955" s="91"/>
      <c r="AL1955" s="91"/>
      <c r="AM1955" s="91"/>
    </row>
    <row r="1956" spans="1:39" ht="20.25" hidden="1" customHeight="1">
      <c r="A1956" s="91"/>
      <c r="B1956" s="93" t="s">
        <v>11884</v>
      </c>
      <c r="C1956" s="91" t="s">
        <v>36</v>
      </c>
      <c r="D1956" s="106" t="s">
        <v>6266</v>
      </c>
      <c r="E1956" s="106" t="s">
        <v>6456</v>
      </c>
      <c r="F1956" s="92" t="s">
        <v>6457</v>
      </c>
      <c r="G1956" s="96">
        <v>45200</v>
      </c>
      <c r="H1956" s="97">
        <v>32500</v>
      </c>
      <c r="I1956" s="102" t="s">
        <v>6458</v>
      </c>
      <c r="J1956" s="94" t="s">
        <v>6459</v>
      </c>
      <c r="K1956" s="92">
        <v>968413789</v>
      </c>
      <c r="L1956" s="91" t="s">
        <v>60</v>
      </c>
      <c r="M1956" s="98">
        <f ca="1">(TODAY()-H1956)/365</f>
        <v>36.991780821917807</v>
      </c>
      <c r="N1956" s="99">
        <f>(G1956-H1956)/365</f>
        <v>34.794520547945204</v>
      </c>
      <c r="O1956" s="98">
        <f ca="1">(TODAY()-G1956)/365</f>
        <v>2.1972602739726028</v>
      </c>
      <c r="P1956" s="91" t="s">
        <v>272</v>
      </c>
      <c r="Q1956" s="91">
        <v>0</v>
      </c>
      <c r="R1956" s="91">
        <v>0</v>
      </c>
      <c r="S1956" s="91">
        <v>0</v>
      </c>
      <c r="T1956" s="91"/>
      <c r="U1956" s="91"/>
      <c r="V1956" s="91"/>
      <c r="W1956" s="91"/>
      <c r="X1956" s="91"/>
      <c r="Y1956" s="91"/>
      <c r="Z1956" s="91"/>
      <c r="AA1956" s="91"/>
      <c r="AB1956" s="91"/>
      <c r="AC1956" s="91"/>
      <c r="AD1956" s="91"/>
      <c r="AE1956" s="91"/>
      <c r="AF1956" s="91"/>
      <c r="AG1956" s="91"/>
      <c r="AH1956" s="91"/>
      <c r="AI1956" s="91"/>
      <c r="AJ1956" s="91"/>
      <c r="AK1956" s="91"/>
      <c r="AL1956" s="91"/>
      <c r="AM1956" s="91"/>
    </row>
    <row r="1957" spans="1:39" ht="20.25" customHeight="1">
      <c r="A1957" s="91"/>
      <c r="B1957" s="93" t="s">
        <v>10264</v>
      </c>
      <c r="C1957" s="91" t="s">
        <v>73</v>
      </c>
      <c r="D1957" s="106" t="s">
        <v>10311</v>
      </c>
      <c r="E1957" s="106" t="s">
        <v>10312</v>
      </c>
      <c r="F1957" s="92" t="s">
        <v>10313</v>
      </c>
      <c r="G1957" s="103">
        <v>43567</v>
      </c>
      <c r="H1957" s="103">
        <v>17684</v>
      </c>
      <c r="I1957" s="94" t="s">
        <v>58</v>
      </c>
      <c r="J1957" s="100" t="s">
        <v>58</v>
      </c>
      <c r="K1957" s="95" t="s">
        <v>58</v>
      </c>
      <c r="L1957" s="91"/>
      <c r="M1957" s="98">
        <f ca="1">(TODAY()-H1957)/365</f>
        <v>77.583561643835623</v>
      </c>
      <c r="N1957" s="99">
        <f>(G1957-H1957)/365</f>
        <v>70.912328767123284</v>
      </c>
      <c r="O1957" s="98">
        <f ca="1">(TODAY()-G1957)/365</f>
        <v>6.6712328767123283</v>
      </c>
      <c r="P1957" s="91" t="s">
        <v>43</v>
      </c>
      <c r="Q1957" s="91"/>
      <c r="R1957" s="91"/>
      <c r="S1957" s="91"/>
      <c r="T1957" s="91"/>
      <c r="U1957" s="91"/>
      <c r="V1957" s="91"/>
      <c r="W1957" s="91"/>
      <c r="X1957" s="91"/>
      <c r="Y1957" s="91"/>
      <c r="Z1957" s="91"/>
      <c r="AA1957" s="91"/>
      <c r="AB1957" s="91"/>
      <c r="AC1957" s="91"/>
      <c r="AD1957" s="91"/>
      <c r="AE1957" s="91"/>
      <c r="AF1957" s="91"/>
      <c r="AG1957" s="91"/>
      <c r="AH1957" s="91"/>
      <c r="AI1957" s="91"/>
      <c r="AJ1957" s="91"/>
      <c r="AK1957" s="91"/>
      <c r="AL1957" s="91"/>
      <c r="AM1957" s="91"/>
    </row>
    <row r="1958" spans="1:39" ht="20.25" hidden="1" customHeight="1">
      <c r="A1958" s="91"/>
      <c r="B1958" s="93" t="s">
        <v>11884</v>
      </c>
      <c r="C1958" s="91" t="s">
        <v>36</v>
      </c>
      <c r="D1958" s="106" t="s">
        <v>4448</v>
      </c>
      <c r="E1958" s="106" t="s">
        <v>6463</v>
      </c>
      <c r="F1958" s="92" t="s">
        <v>6464</v>
      </c>
      <c r="G1958" s="96">
        <v>45108</v>
      </c>
      <c r="H1958" s="97">
        <v>30401</v>
      </c>
      <c r="I1958" s="102" t="s">
        <v>6465</v>
      </c>
      <c r="J1958" s="94" t="s">
        <v>6466</v>
      </c>
      <c r="K1958" s="92">
        <v>992188925</v>
      </c>
      <c r="L1958" s="91" t="s">
        <v>60</v>
      </c>
      <c r="M1958" s="98">
        <f ca="1">(TODAY()-H1958)/365</f>
        <v>42.742465753424661</v>
      </c>
      <c r="N1958" s="99">
        <f>(G1958-H1958)/365</f>
        <v>40.293150684931504</v>
      </c>
      <c r="O1958" s="98">
        <f ca="1">(TODAY()-G1958)/365</f>
        <v>2.4493150684931506</v>
      </c>
      <c r="P1958" s="91" t="s">
        <v>272</v>
      </c>
      <c r="Q1958" s="91">
        <v>0</v>
      </c>
      <c r="R1958" s="91">
        <v>0</v>
      </c>
      <c r="S1958" s="91">
        <v>0</v>
      </c>
      <c r="T1958" s="91"/>
      <c r="U1958" s="91"/>
      <c r="V1958" s="91"/>
      <c r="W1958" s="91"/>
      <c r="X1958" s="91"/>
      <c r="Y1958" s="91"/>
      <c r="Z1958" s="91"/>
      <c r="AA1958" s="91"/>
      <c r="AB1958" s="91"/>
      <c r="AC1958" s="91"/>
      <c r="AD1958" s="91"/>
      <c r="AE1958" s="91"/>
      <c r="AF1958" s="91"/>
      <c r="AG1958" s="91"/>
      <c r="AH1958" s="91"/>
      <c r="AI1958" s="91"/>
      <c r="AJ1958" s="91"/>
      <c r="AK1958" s="91"/>
      <c r="AL1958" s="91"/>
      <c r="AM1958" s="91"/>
    </row>
    <row r="1959" spans="1:39" ht="20.25" hidden="1" customHeight="1">
      <c r="A1959" s="91"/>
      <c r="B1959" s="93" t="s">
        <v>11884</v>
      </c>
      <c r="C1959" s="91" t="s">
        <v>36</v>
      </c>
      <c r="D1959" s="106" t="s">
        <v>1377</v>
      </c>
      <c r="E1959" s="106" t="s">
        <v>6467</v>
      </c>
      <c r="F1959" s="92" t="s">
        <v>6468</v>
      </c>
      <c r="G1959" s="96">
        <v>45047</v>
      </c>
      <c r="H1959" s="97">
        <v>30314</v>
      </c>
      <c r="I1959" s="102" t="s">
        <v>6469</v>
      </c>
      <c r="J1959" s="94" t="s">
        <v>6470</v>
      </c>
      <c r="K1959" s="92">
        <v>944678776</v>
      </c>
      <c r="L1959" s="91" t="s">
        <v>60</v>
      </c>
      <c r="M1959" s="98">
        <f ca="1">(TODAY()-H1959)/365</f>
        <v>42.980821917808221</v>
      </c>
      <c r="N1959" s="99">
        <f>(G1959-H1959)/365</f>
        <v>40.364383561643834</v>
      </c>
      <c r="O1959" s="98">
        <f ca="1">(TODAY()-G1959)/365</f>
        <v>2.6164383561643834</v>
      </c>
      <c r="P1959" s="91" t="s">
        <v>43</v>
      </c>
      <c r="Q1959" s="91">
        <v>0</v>
      </c>
      <c r="R1959" s="91">
        <v>0</v>
      </c>
      <c r="S1959" s="91">
        <v>0</v>
      </c>
      <c r="T1959" s="91"/>
      <c r="U1959" s="91"/>
      <c r="V1959" s="91"/>
      <c r="W1959" s="91"/>
      <c r="X1959" s="91"/>
      <c r="Y1959" s="91"/>
      <c r="Z1959" s="91"/>
      <c r="AA1959" s="91"/>
      <c r="AB1959" s="91"/>
      <c r="AC1959" s="91"/>
      <c r="AD1959" s="91"/>
      <c r="AE1959" s="91"/>
      <c r="AF1959" s="91"/>
      <c r="AG1959" s="91"/>
      <c r="AH1959" s="91"/>
      <c r="AI1959" s="91"/>
      <c r="AJ1959" s="91"/>
      <c r="AK1959" s="91"/>
      <c r="AL1959" s="91"/>
      <c r="AM1959" s="91"/>
    </row>
    <row r="1960" spans="1:39" ht="20.25" hidden="1" customHeight="1">
      <c r="A1960" s="91"/>
      <c r="B1960" s="93" t="s">
        <v>11884</v>
      </c>
      <c r="C1960" s="91" t="s">
        <v>36</v>
      </c>
      <c r="D1960" s="106" t="s">
        <v>666</v>
      </c>
      <c r="E1960" s="106" t="s">
        <v>6471</v>
      </c>
      <c r="F1960" s="92" t="s">
        <v>6472</v>
      </c>
      <c r="G1960" s="96">
        <v>31201</v>
      </c>
      <c r="H1960" s="97">
        <v>16440</v>
      </c>
      <c r="I1960" s="102" t="s">
        <v>6473</v>
      </c>
      <c r="J1960" s="94" t="s">
        <v>6474</v>
      </c>
      <c r="K1960" s="92">
        <v>982944801</v>
      </c>
      <c r="L1960" s="91" t="s">
        <v>60</v>
      </c>
      <c r="M1960" s="98">
        <f ca="1">(TODAY()-H1960)/365</f>
        <v>80.991780821917814</v>
      </c>
      <c r="N1960" s="99">
        <f>(G1960-H1960)/365</f>
        <v>40.441095890410956</v>
      </c>
      <c r="O1960" s="98">
        <f ca="1">(TODAY()-G1960)/365</f>
        <v>40.550684931506851</v>
      </c>
      <c r="P1960" s="91" t="s">
        <v>43</v>
      </c>
      <c r="Q1960" s="91">
        <v>0</v>
      </c>
      <c r="R1960" s="91">
        <v>0</v>
      </c>
      <c r="S1960" s="91">
        <v>0</v>
      </c>
      <c r="T1960" s="91"/>
      <c r="U1960" s="91"/>
      <c r="V1960" s="91"/>
      <c r="W1960" s="91"/>
      <c r="X1960" s="91"/>
      <c r="Y1960" s="91"/>
      <c r="Z1960" s="91"/>
      <c r="AA1960" s="91"/>
      <c r="AB1960" s="91"/>
      <c r="AC1960" s="91"/>
      <c r="AD1960" s="91"/>
      <c r="AE1960" s="91"/>
      <c r="AF1960" s="91"/>
      <c r="AG1960" s="91"/>
      <c r="AH1960" s="91"/>
      <c r="AI1960" s="91"/>
      <c r="AJ1960" s="91"/>
      <c r="AK1960" s="91"/>
      <c r="AL1960" s="91"/>
      <c r="AM1960" s="91"/>
    </row>
    <row r="1961" spans="1:39" ht="20.25" hidden="1" customHeight="1">
      <c r="A1961" s="91"/>
      <c r="B1961" s="93" t="s">
        <v>11884</v>
      </c>
      <c r="C1961" s="91" t="s">
        <v>36</v>
      </c>
      <c r="D1961" s="107" t="s">
        <v>6475</v>
      </c>
      <c r="E1961" s="107" t="s">
        <v>6476</v>
      </c>
      <c r="F1961" s="92" t="s">
        <v>6477</v>
      </c>
      <c r="G1961" s="96">
        <v>45108</v>
      </c>
      <c r="H1961" s="97">
        <v>29887</v>
      </c>
      <c r="I1961" s="102" t="s">
        <v>6478</v>
      </c>
      <c r="J1961" s="94" t="s">
        <v>6479</v>
      </c>
      <c r="K1961" s="92">
        <v>997445011</v>
      </c>
      <c r="L1961" s="91" t="s">
        <v>60</v>
      </c>
      <c r="M1961" s="98">
        <f ca="1">(TODAY()-H1961)/365</f>
        <v>44.150684931506852</v>
      </c>
      <c r="N1961" s="99">
        <f>(G1961-H1961)/365</f>
        <v>41.701369863013696</v>
      </c>
      <c r="O1961" s="98">
        <f ca="1">(TODAY()-G1961)/365</f>
        <v>2.4493150684931506</v>
      </c>
      <c r="P1961" s="91" t="s">
        <v>43</v>
      </c>
      <c r="Q1961" s="91">
        <v>0</v>
      </c>
      <c r="R1961" s="91">
        <v>0</v>
      </c>
      <c r="S1961" s="91">
        <v>0</v>
      </c>
      <c r="T1961" s="91"/>
      <c r="U1961" s="91"/>
      <c r="V1961" s="91"/>
      <c r="W1961" s="91"/>
      <c r="X1961" s="91"/>
      <c r="Y1961" s="91"/>
      <c r="Z1961" s="91"/>
      <c r="AA1961" s="91"/>
      <c r="AB1961" s="91"/>
      <c r="AC1961" s="91"/>
      <c r="AD1961" s="91"/>
      <c r="AE1961" s="91"/>
      <c r="AF1961" s="91"/>
      <c r="AG1961" s="91"/>
      <c r="AH1961" s="91"/>
      <c r="AI1961" s="91"/>
      <c r="AJ1961" s="91"/>
      <c r="AK1961" s="91"/>
      <c r="AL1961" s="91"/>
      <c r="AM1961" s="91"/>
    </row>
    <row r="1962" spans="1:39" ht="20.25" hidden="1" customHeight="1">
      <c r="A1962" s="91"/>
      <c r="B1962" s="93" t="s">
        <v>11884</v>
      </c>
      <c r="C1962" s="91" t="s">
        <v>36</v>
      </c>
      <c r="D1962" s="106" t="s">
        <v>845</v>
      </c>
      <c r="E1962" s="106" t="s">
        <v>6480</v>
      </c>
      <c r="F1962" s="92" t="s">
        <v>6481</v>
      </c>
      <c r="G1962" s="96">
        <v>35054</v>
      </c>
      <c r="H1962" s="97">
        <v>19578</v>
      </c>
      <c r="I1962" s="102" t="s">
        <v>6482</v>
      </c>
      <c r="J1962" s="94" t="s">
        <v>6483</v>
      </c>
      <c r="K1962" s="92">
        <v>992352527</v>
      </c>
      <c r="L1962" s="91" t="s">
        <v>60</v>
      </c>
      <c r="M1962" s="98">
        <f ca="1">(TODAY()-H1962)/365</f>
        <v>72.394520547945206</v>
      </c>
      <c r="N1962" s="99">
        <f>(G1962-H1962)/365</f>
        <v>42.4</v>
      </c>
      <c r="O1962" s="98">
        <f ca="1">(TODAY()-G1962)/365</f>
        <v>29.994520547945207</v>
      </c>
      <c r="P1962" s="91" t="s">
        <v>43</v>
      </c>
      <c r="Q1962" s="91">
        <v>0</v>
      </c>
      <c r="R1962" s="91">
        <v>0</v>
      </c>
      <c r="S1962" s="91">
        <v>0</v>
      </c>
      <c r="T1962" s="91"/>
      <c r="U1962" s="91"/>
      <c r="V1962" s="91"/>
      <c r="W1962" s="91"/>
      <c r="X1962" s="91"/>
      <c r="Y1962" s="91"/>
      <c r="Z1962" s="91"/>
      <c r="AA1962" s="91"/>
      <c r="AB1962" s="91"/>
      <c r="AC1962" s="91"/>
      <c r="AD1962" s="91"/>
      <c r="AE1962" s="91"/>
      <c r="AF1962" s="91"/>
      <c r="AG1962" s="91"/>
      <c r="AH1962" s="91"/>
      <c r="AI1962" s="91"/>
      <c r="AJ1962" s="91"/>
      <c r="AK1962" s="91"/>
      <c r="AL1962" s="91"/>
      <c r="AM1962" s="91"/>
    </row>
    <row r="1963" spans="1:39" ht="20.25" hidden="1" customHeight="1">
      <c r="A1963" s="91"/>
      <c r="B1963" s="93" t="s">
        <v>11884</v>
      </c>
      <c r="C1963" s="91" t="s">
        <v>36</v>
      </c>
      <c r="D1963" s="106" t="s">
        <v>6484</v>
      </c>
      <c r="E1963" s="106" t="s">
        <v>6485</v>
      </c>
      <c r="F1963" s="92" t="s">
        <v>6486</v>
      </c>
      <c r="G1963" s="96">
        <v>45108</v>
      </c>
      <c r="H1963" s="97">
        <v>28444</v>
      </c>
      <c r="I1963" s="102" t="s">
        <v>6487</v>
      </c>
      <c r="J1963" s="94" t="s">
        <v>6488</v>
      </c>
      <c r="K1963" s="92">
        <v>989764728</v>
      </c>
      <c r="L1963" s="91" t="s">
        <v>60</v>
      </c>
      <c r="M1963" s="98">
        <f ca="1">(TODAY()-H1963)/365</f>
        <v>48.104109589041094</v>
      </c>
      <c r="N1963" s="99">
        <f>(G1963-H1963)/365</f>
        <v>45.654794520547945</v>
      </c>
      <c r="O1963" s="98">
        <f ca="1">(TODAY()-G1963)/365</f>
        <v>2.4493150684931506</v>
      </c>
      <c r="P1963" s="91" t="s">
        <v>43</v>
      </c>
      <c r="Q1963" s="91">
        <v>0</v>
      </c>
      <c r="R1963" s="91">
        <v>0</v>
      </c>
      <c r="S1963" s="91">
        <v>0</v>
      </c>
      <c r="T1963" s="91"/>
      <c r="U1963" s="91"/>
      <c r="V1963" s="91"/>
      <c r="W1963" s="91"/>
      <c r="X1963" s="91"/>
      <c r="Y1963" s="91"/>
      <c r="Z1963" s="91"/>
      <c r="AA1963" s="91"/>
      <c r="AB1963" s="91"/>
      <c r="AC1963" s="91"/>
      <c r="AD1963" s="91"/>
      <c r="AE1963" s="91"/>
      <c r="AF1963" s="91"/>
      <c r="AG1963" s="91"/>
      <c r="AH1963" s="91"/>
      <c r="AI1963" s="91"/>
      <c r="AJ1963" s="91"/>
      <c r="AK1963" s="91"/>
      <c r="AL1963" s="91"/>
      <c r="AM1963" s="91"/>
    </row>
    <row r="1964" spans="1:39" ht="20.25" hidden="1" customHeight="1">
      <c r="A1964" s="91"/>
      <c r="B1964" s="93" t="s">
        <v>11884</v>
      </c>
      <c r="C1964" s="91" t="s">
        <v>36</v>
      </c>
      <c r="D1964" s="106" t="s">
        <v>2442</v>
      </c>
      <c r="E1964" s="106" t="s">
        <v>6489</v>
      </c>
      <c r="F1964" s="92" t="s">
        <v>6490</v>
      </c>
      <c r="G1964" s="96">
        <v>44743</v>
      </c>
      <c r="H1964" s="97">
        <v>27751</v>
      </c>
      <c r="I1964" s="102" t="s">
        <v>6491</v>
      </c>
      <c r="J1964" s="94" t="s">
        <v>6492</v>
      </c>
      <c r="K1964" s="92">
        <v>996950001</v>
      </c>
      <c r="L1964" s="91" t="s">
        <v>60</v>
      </c>
      <c r="M1964" s="98">
        <f ca="1">(TODAY()-H1964)/365</f>
        <v>50.0027397260274</v>
      </c>
      <c r="N1964" s="99">
        <f>(G1964-H1964)/365</f>
        <v>46.553424657534244</v>
      </c>
      <c r="O1964" s="98">
        <f ca="1">(TODAY()-G1964)/365</f>
        <v>3.4493150684931506</v>
      </c>
      <c r="P1964" s="91" t="s">
        <v>43</v>
      </c>
      <c r="Q1964" s="91">
        <v>0</v>
      </c>
      <c r="R1964" s="91">
        <v>0</v>
      </c>
      <c r="S1964" s="91">
        <v>0</v>
      </c>
      <c r="T1964" s="91"/>
      <c r="U1964" s="91"/>
      <c r="V1964" s="91"/>
      <c r="W1964" s="91"/>
      <c r="X1964" s="91"/>
      <c r="Y1964" s="91"/>
      <c r="Z1964" s="91"/>
      <c r="AA1964" s="91"/>
      <c r="AB1964" s="91"/>
      <c r="AC1964" s="91"/>
      <c r="AD1964" s="91"/>
      <c r="AE1964" s="91"/>
      <c r="AF1964" s="91"/>
      <c r="AG1964" s="91"/>
      <c r="AH1964" s="91"/>
      <c r="AI1964" s="91"/>
      <c r="AJ1964" s="91"/>
      <c r="AK1964" s="91"/>
      <c r="AL1964" s="91"/>
      <c r="AM1964" s="91"/>
    </row>
    <row r="1965" spans="1:39" ht="20.25" hidden="1" customHeight="1">
      <c r="A1965" s="91"/>
      <c r="B1965" s="93" t="s">
        <v>11884</v>
      </c>
      <c r="C1965" s="91" t="s">
        <v>36</v>
      </c>
      <c r="D1965" s="106" t="s">
        <v>6493</v>
      </c>
      <c r="E1965" s="106" t="s">
        <v>6494</v>
      </c>
      <c r="F1965" s="92" t="s">
        <v>6495</v>
      </c>
      <c r="G1965" s="96">
        <v>37316</v>
      </c>
      <c r="H1965" s="97">
        <v>18330</v>
      </c>
      <c r="I1965" s="102" t="s">
        <v>6496</v>
      </c>
      <c r="J1965" s="94" t="s">
        <v>6497</v>
      </c>
      <c r="K1965" s="92">
        <v>997137632</v>
      </c>
      <c r="L1965" s="91" t="s">
        <v>60</v>
      </c>
      <c r="M1965" s="98">
        <f ca="1">(TODAY()-H1965)/365</f>
        <v>75.813698630136983</v>
      </c>
      <c r="N1965" s="99">
        <f>(G1965-H1965)/365</f>
        <v>52.016438356164386</v>
      </c>
      <c r="O1965" s="98">
        <f ca="1">(TODAY()-G1965)/365</f>
        <v>23.797260273972604</v>
      </c>
      <c r="P1965" s="91" t="s">
        <v>43</v>
      </c>
      <c r="Q1965" s="91">
        <v>0</v>
      </c>
      <c r="R1965" s="91">
        <v>0</v>
      </c>
      <c r="S1965" s="91">
        <v>0</v>
      </c>
      <c r="T1965" s="91"/>
      <c r="U1965" s="91"/>
      <c r="V1965" s="91"/>
      <c r="W1965" s="91"/>
      <c r="X1965" s="91"/>
      <c r="Y1965" s="91"/>
      <c r="Z1965" s="91"/>
      <c r="AA1965" s="91"/>
      <c r="AB1965" s="91"/>
      <c r="AC1965" s="91"/>
      <c r="AD1965" s="91"/>
      <c r="AE1965" s="91"/>
      <c r="AF1965" s="91"/>
      <c r="AG1965" s="91"/>
      <c r="AH1965" s="91"/>
      <c r="AI1965" s="91"/>
      <c r="AJ1965" s="91"/>
      <c r="AK1965" s="91"/>
      <c r="AL1965" s="91"/>
      <c r="AM1965" s="91"/>
    </row>
    <row r="1966" spans="1:39" ht="20.25" hidden="1" customHeight="1">
      <c r="A1966" s="91"/>
      <c r="B1966" s="93" t="s">
        <v>11884</v>
      </c>
      <c r="C1966" s="91" t="s">
        <v>36</v>
      </c>
      <c r="D1966" s="107" t="s">
        <v>6498</v>
      </c>
      <c r="E1966" s="107" t="s">
        <v>6499</v>
      </c>
      <c r="F1966" s="92" t="s">
        <v>6500</v>
      </c>
      <c r="G1966" s="96">
        <v>45352</v>
      </c>
      <c r="H1966" s="97">
        <v>26305</v>
      </c>
      <c r="I1966" s="102" t="s">
        <v>6501</v>
      </c>
      <c r="J1966" s="94" t="s">
        <v>6502</v>
      </c>
      <c r="K1966" s="92">
        <v>991248619</v>
      </c>
      <c r="L1966" s="91" t="s">
        <v>60</v>
      </c>
      <c r="M1966" s="98">
        <f ca="1">(TODAY()-H1966)/365</f>
        <v>53.964383561643835</v>
      </c>
      <c r="N1966" s="99">
        <f>(G1966-H1966)/365</f>
        <v>52.183561643835617</v>
      </c>
      <c r="O1966" s="98">
        <f ca="1">(TODAY()-G1966)/365</f>
        <v>1.7808219178082192</v>
      </c>
      <c r="P1966" s="91" t="s">
        <v>43</v>
      </c>
      <c r="Q1966" s="91">
        <v>0</v>
      </c>
      <c r="R1966" s="91">
        <v>0</v>
      </c>
      <c r="S1966" s="91">
        <v>0</v>
      </c>
      <c r="T1966" s="91"/>
      <c r="U1966" s="91"/>
      <c r="V1966" s="91"/>
      <c r="W1966" s="91"/>
      <c r="X1966" s="91"/>
      <c r="Y1966" s="91"/>
      <c r="Z1966" s="91"/>
      <c r="AA1966" s="91"/>
      <c r="AB1966" s="91"/>
      <c r="AC1966" s="91"/>
      <c r="AD1966" s="91"/>
      <c r="AE1966" s="91"/>
      <c r="AF1966" s="91"/>
      <c r="AG1966" s="91"/>
      <c r="AH1966" s="91"/>
      <c r="AI1966" s="91"/>
      <c r="AJ1966" s="91"/>
      <c r="AK1966" s="91"/>
      <c r="AL1966" s="91"/>
      <c r="AM1966" s="91"/>
    </row>
    <row r="1967" spans="1:39" ht="20.25" hidden="1" customHeight="1">
      <c r="A1967" s="91"/>
      <c r="B1967" s="93" t="s">
        <v>11884</v>
      </c>
      <c r="C1967" s="91" t="s">
        <v>36</v>
      </c>
      <c r="D1967" s="106" t="s">
        <v>455</v>
      </c>
      <c r="E1967" s="106" t="s">
        <v>6503</v>
      </c>
      <c r="F1967" s="92" t="s">
        <v>6504</v>
      </c>
      <c r="G1967" s="96">
        <v>45477</v>
      </c>
      <c r="H1967" s="97">
        <v>26387</v>
      </c>
      <c r="I1967" s="102" t="s">
        <v>6505</v>
      </c>
      <c r="J1967" s="94" t="s">
        <v>6506</v>
      </c>
      <c r="K1967" s="92">
        <v>993355630</v>
      </c>
      <c r="L1967" s="91" t="s">
        <v>60</v>
      </c>
      <c r="M1967" s="98">
        <f ca="1">(TODAY()-H1967)/365</f>
        <v>53.739726027397261</v>
      </c>
      <c r="N1967" s="99">
        <f>(G1967-H1967)/365</f>
        <v>52.301369863013697</v>
      </c>
      <c r="O1967" s="98">
        <f ca="1">(TODAY()-G1967)/365</f>
        <v>1.4383561643835616</v>
      </c>
      <c r="P1967" s="91" t="s">
        <v>43</v>
      </c>
      <c r="Q1967" s="91">
        <v>0</v>
      </c>
      <c r="R1967" s="91">
        <v>0</v>
      </c>
      <c r="S1967" s="91">
        <v>0</v>
      </c>
      <c r="T1967" s="91"/>
      <c r="U1967" s="91"/>
      <c r="V1967" s="91"/>
      <c r="W1967" s="91"/>
      <c r="X1967" s="91"/>
      <c r="Y1967" s="91"/>
      <c r="Z1967" s="91"/>
      <c r="AA1967" s="91"/>
      <c r="AB1967" s="91"/>
      <c r="AC1967" s="91"/>
      <c r="AD1967" s="91"/>
      <c r="AE1967" s="91"/>
      <c r="AF1967" s="91"/>
      <c r="AG1967" s="91"/>
      <c r="AH1967" s="91"/>
      <c r="AI1967" s="91"/>
      <c r="AJ1967" s="91"/>
      <c r="AK1967" s="91"/>
      <c r="AL1967" s="91"/>
      <c r="AM1967" s="91"/>
    </row>
    <row r="1968" spans="1:39" ht="20.25" hidden="1" customHeight="1">
      <c r="A1968" s="91"/>
      <c r="B1968" s="93" t="s">
        <v>11884</v>
      </c>
      <c r="C1968" s="91" t="s">
        <v>36</v>
      </c>
      <c r="D1968" s="106" t="s">
        <v>6507</v>
      </c>
      <c r="E1968" s="106" t="s">
        <v>6508</v>
      </c>
      <c r="F1968" s="92" t="s">
        <v>6509</v>
      </c>
      <c r="G1968" s="96">
        <v>45477</v>
      </c>
      <c r="H1968" s="97">
        <v>26249</v>
      </c>
      <c r="I1968" s="102" t="s">
        <v>6510</v>
      </c>
      <c r="J1968" s="94" t="s">
        <v>6511</v>
      </c>
      <c r="K1968" s="92">
        <v>994538436</v>
      </c>
      <c r="L1968" s="91" t="s">
        <v>60</v>
      </c>
      <c r="M1968" s="98">
        <f ca="1">(TODAY()-H1968)/365</f>
        <v>54.11780821917808</v>
      </c>
      <c r="N1968" s="99">
        <f>(G1968-H1968)/365</f>
        <v>52.679452054794524</v>
      </c>
      <c r="O1968" s="98">
        <f ca="1">(TODAY()-G1968)/365</f>
        <v>1.4383561643835616</v>
      </c>
      <c r="P1968" s="91" t="s">
        <v>43</v>
      </c>
      <c r="Q1968" s="91">
        <v>0</v>
      </c>
      <c r="R1968" s="91">
        <v>0</v>
      </c>
      <c r="S1968" s="91">
        <v>0</v>
      </c>
      <c r="T1968" s="91"/>
      <c r="U1968" s="91"/>
      <c r="V1968" s="91"/>
      <c r="W1968" s="91"/>
      <c r="X1968" s="91"/>
      <c r="Y1968" s="91"/>
      <c r="Z1968" s="91"/>
      <c r="AA1968" s="91"/>
      <c r="AB1968" s="91"/>
      <c r="AC1968" s="91"/>
      <c r="AD1968" s="91"/>
      <c r="AE1968" s="91"/>
      <c r="AF1968" s="91"/>
      <c r="AG1968" s="91"/>
      <c r="AH1968" s="91"/>
      <c r="AI1968" s="91"/>
      <c r="AJ1968" s="91"/>
      <c r="AK1968" s="91"/>
      <c r="AL1968" s="91"/>
      <c r="AM1968" s="91"/>
    </row>
    <row r="1969" spans="1:39" ht="20.25" hidden="1" customHeight="1">
      <c r="A1969" s="91"/>
      <c r="B1969" s="93" t="s">
        <v>11884</v>
      </c>
      <c r="C1969" s="91" t="s">
        <v>36</v>
      </c>
      <c r="D1969" s="106" t="s">
        <v>866</v>
      </c>
      <c r="E1969" s="106" t="s">
        <v>6512</v>
      </c>
      <c r="F1969" s="92" t="s">
        <v>6513</v>
      </c>
      <c r="G1969" s="96">
        <v>41000</v>
      </c>
      <c r="H1969" s="97">
        <v>21384</v>
      </c>
      <c r="I1969" s="102" t="s">
        <v>6514</v>
      </c>
      <c r="J1969" s="94" t="s">
        <v>6515</v>
      </c>
      <c r="K1969" s="92">
        <v>979912132</v>
      </c>
      <c r="L1969" s="91" t="s">
        <v>60</v>
      </c>
      <c r="M1969" s="98">
        <f ca="1">(TODAY()-H1969)/365</f>
        <v>67.446575342465749</v>
      </c>
      <c r="N1969" s="99">
        <f>(G1969-H1969)/365</f>
        <v>53.742465753424661</v>
      </c>
      <c r="O1969" s="98">
        <f ca="1">(TODAY()-G1969)/365</f>
        <v>13.704109589041096</v>
      </c>
      <c r="P1969" s="91" t="s">
        <v>43</v>
      </c>
      <c r="Q1969" s="91">
        <v>0</v>
      </c>
      <c r="R1969" s="91">
        <v>0</v>
      </c>
      <c r="S1969" s="91">
        <v>0</v>
      </c>
      <c r="T1969" s="91"/>
      <c r="U1969" s="91"/>
      <c r="V1969" s="91"/>
      <c r="W1969" s="91"/>
      <c r="X1969" s="91"/>
      <c r="Y1969" s="91"/>
      <c r="Z1969" s="91"/>
      <c r="AA1969" s="91"/>
      <c r="AB1969" s="91"/>
      <c r="AC1969" s="91"/>
      <c r="AD1969" s="91"/>
      <c r="AE1969" s="91"/>
      <c r="AF1969" s="91"/>
      <c r="AG1969" s="91"/>
      <c r="AH1969" s="91"/>
      <c r="AI1969" s="91"/>
      <c r="AJ1969" s="91"/>
      <c r="AK1969" s="91"/>
      <c r="AL1969" s="91"/>
      <c r="AM1969" s="91"/>
    </row>
    <row r="1970" spans="1:39" ht="20.25" hidden="1" customHeight="1">
      <c r="A1970" s="91"/>
      <c r="B1970" s="93" t="s">
        <v>11884</v>
      </c>
      <c r="C1970" s="91" t="s">
        <v>36</v>
      </c>
      <c r="D1970" s="106" t="s">
        <v>2767</v>
      </c>
      <c r="E1970" s="106" t="s">
        <v>6516</v>
      </c>
      <c r="F1970" s="92" t="s">
        <v>6517</v>
      </c>
      <c r="G1970" s="96">
        <v>45477</v>
      </c>
      <c r="H1970" s="97">
        <v>25596</v>
      </c>
      <c r="I1970" s="102" t="s">
        <v>6518</v>
      </c>
      <c r="J1970" s="94" t="s">
        <v>6519</v>
      </c>
      <c r="K1970" s="92">
        <v>975318187</v>
      </c>
      <c r="L1970" s="91" t="s">
        <v>60</v>
      </c>
      <c r="M1970" s="98">
        <f ca="1">(TODAY()-H1970)/365</f>
        <v>55.906849315068492</v>
      </c>
      <c r="N1970" s="99">
        <f>(G1970-H1970)/365</f>
        <v>54.468493150684928</v>
      </c>
      <c r="O1970" s="98">
        <f ca="1">(TODAY()-G1970)/365</f>
        <v>1.4383561643835616</v>
      </c>
      <c r="P1970" s="91" t="s">
        <v>43</v>
      </c>
      <c r="Q1970" s="91">
        <v>0</v>
      </c>
      <c r="R1970" s="91">
        <v>0</v>
      </c>
      <c r="S1970" s="91">
        <v>0</v>
      </c>
      <c r="T1970" s="91"/>
      <c r="U1970" s="91"/>
      <c r="V1970" s="91"/>
      <c r="W1970" s="91"/>
      <c r="X1970" s="91"/>
      <c r="Y1970" s="91"/>
      <c r="Z1970" s="91"/>
      <c r="AA1970" s="91"/>
      <c r="AB1970" s="91"/>
      <c r="AC1970" s="91"/>
      <c r="AD1970" s="91"/>
      <c r="AE1970" s="91"/>
      <c r="AF1970" s="91"/>
      <c r="AG1970" s="91"/>
      <c r="AH1970" s="91"/>
      <c r="AI1970" s="91"/>
      <c r="AJ1970" s="91"/>
      <c r="AK1970" s="91"/>
      <c r="AL1970" s="91"/>
      <c r="AM1970" s="91"/>
    </row>
    <row r="1971" spans="1:39" ht="20.25" hidden="1" customHeight="1">
      <c r="A1971" s="91"/>
      <c r="B1971" s="93" t="s">
        <v>11884</v>
      </c>
      <c r="C1971" s="91" t="s">
        <v>36</v>
      </c>
      <c r="D1971" s="106" t="s">
        <v>675</v>
      </c>
      <c r="E1971" s="106" t="s">
        <v>6520</v>
      </c>
      <c r="F1971" s="92" t="s">
        <v>6521</v>
      </c>
      <c r="G1971" s="96">
        <v>45108</v>
      </c>
      <c r="H1971" s="97">
        <v>25181</v>
      </c>
      <c r="I1971" s="102" t="s">
        <v>6522</v>
      </c>
      <c r="J1971" s="94" t="s">
        <v>6523</v>
      </c>
      <c r="K1971" s="92">
        <v>993821742</v>
      </c>
      <c r="L1971" s="91" t="s">
        <v>60</v>
      </c>
      <c r="M1971" s="98">
        <f ca="1">(TODAY()-H1971)/365</f>
        <v>57.043835616438358</v>
      </c>
      <c r="N1971" s="99">
        <f>(G1971-H1971)/365</f>
        <v>54.594520547945208</v>
      </c>
      <c r="O1971" s="98">
        <f ca="1">(TODAY()-G1971)/365</f>
        <v>2.4493150684931506</v>
      </c>
      <c r="P1971" s="91" t="s">
        <v>43</v>
      </c>
      <c r="Q1971" s="91">
        <v>0</v>
      </c>
      <c r="R1971" s="91">
        <v>0</v>
      </c>
      <c r="S1971" s="91">
        <v>0</v>
      </c>
      <c r="T1971" s="91"/>
      <c r="U1971" s="91"/>
      <c r="V1971" s="91"/>
      <c r="W1971" s="91"/>
      <c r="X1971" s="91"/>
      <c r="Y1971" s="91"/>
      <c r="Z1971" s="91"/>
      <c r="AA1971" s="91"/>
      <c r="AB1971" s="91"/>
      <c r="AC1971" s="91"/>
      <c r="AD1971" s="91"/>
      <c r="AE1971" s="91"/>
      <c r="AF1971" s="91"/>
      <c r="AG1971" s="91"/>
      <c r="AH1971" s="91"/>
      <c r="AI1971" s="91"/>
      <c r="AJ1971" s="91"/>
      <c r="AK1971" s="91"/>
      <c r="AL1971" s="91"/>
      <c r="AM1971" s="91"/>
    </row>
    <row r="1972" spans="1:39" ht="20.25" hidden="1" customHeight="1">
      <c r="A1972" s="91"/>
      <c r="B1972" s="93" t="s">
        <v>11884</v>
      </c>
      <c r="C1972" s="91" t="s">
        <v>36</v>
      </c>
      <c r="D1972" s="106" t="s">
        <v>1344</v>
      </c>
      <c r="E1972" s="106" t="s">
        <v>6524</v>
      </c>
      <c r="F1972" s="92" t="s">
        <v>6525</v>
      </c>
      <c r="G1972" s="96">
        <v>45477</v>
      </c>
      <c r="H1972" s="97">
        <v>25385</v>
      </c>
      <c r="I1972" s="102" t="s">
        <v>6526</v>
      </c>
      <c r="J1972" s="94" t="s">
        <v>6527</v>
      </c>
      <c r="K1972" s="92">
        <v>993197136</v>
      </c>
      <c r="L1972" s="91" t="s">
        <v>60</v>
      </c>
      <c r="M1972" s="98">
        <f ca="1">(TODAY()-H1972)/365</f>
        <v>56.484931506849314</v>
      </c>
      <c r="N1972" s="99">
        <f>(G1972-H1972)/365</f>
        <v>55.046575342465751</v>
      </c>
      <c r="O1972" s="98">
        <f ca="1">(TODAY()-G1972)/365</f>
        <v>1.4383561643835616</v>
      </c>
      <c r="P1972" s="91" t="s">
        <v>43</v>
      </c>
      <c r="Q1972" s="91">
        <v>0</v>
      </c>
      <c r="R1972" s="91">
        <v>0</v>
      </c>
      <c r="S1972" s="91">
        <v>0</v>
      </c>
      <c r="T1972" s="91"/>
      <c r="U1972" s="91"/>
      <c r="V1972" s="91"/>
      <c r="W1972" s="91"/>
      <c r="X1972" s="91"/>
      <c r="Y1972" s="91"/>
      <c r="Z1972" s="91"/>
      <c r="AA1972" s="91"/>
      <c r="AB1972" s="91"/>
      <c r="AC1972" s="91"/>
      <c r="AD1972" s="91"/>
      <c r="AE1972" s="91"/>
      <c r="AF1972" s="91"/>
      <c r="AG1972" s="91"/>
      <c r="AH1972" s="91"/>
      <c r="AI1972" s="91"/>
      <c r="AJ1972" s="91"/>
      <c r="AK1972" s="91"/>
      <c r="AL1972" s="91"/>
      <c r="AM1972" s="91"/>
    </row>
    <row r="1973" spans="1:39" ht="20.25" hidden="1" customHeight="1">
      <c r="A1973" s="91"/>
      <c r="B1973" s="93" t="s">
        <v>11884</v>
      </c>
      <c r="C1973" s="91" t="s">
        <v>36</v>
      </c>
      <c r="D1973" s="106" t="s">
        <v>6528</v>
      </c>
      <c r="E1973" s="106" t="s">
        <v>6529</v>
      </c>
      <c r="F1973" s="92" t="s">
        <v>6530</v>
      </c>
      <c r="G1973" s="96">
        <v>45477</v>
      </c>
      <c r="H1973" s="97">
        <v>25176</v>
      </c>
      <c r="I1973" s="102" t="s">
        <v>6531</v>
      </c>
      <c r="J1973" s="94" t="s">
        <v>6532</v>
      </c>
      <c r="K1973" s="92">
        <v>949360223</v>
      </c>
      <c r="L1973" s="91" t="s">
        <v>60</v>
      </c>
      <c r="M1973" s="98">
        <f ca="1">(TODAY()-H1973)/365</f>
        <v>57.057534246575344</v>
      </c>
      <c r="N1973" s="99">
        <f>(G1973-H1973)/365</f>
        <v>55.61917808219178</v>
      </c>
      <c r="O1973" s="98">
        <f ca="1">(TODAY()-G1973)/365</f>
        <v>1.4383561643835616</v>
      </c>
      <c r="P1973" s="91" t="s">
        <v>43</v>
      </c>
      <c r="Q1973" s="91">
        <v>0</v>
      </c>
      <c r="R1973" s="91">
        <v>0</v>
      </c>
      <c r="S1973" s="91">
        <v>0</v>
      </c>
      <c r="T1973" s="91"/>
      <c r="U1973" s="91"/>
      <c r="V1973" s="91"/>
      <c r="W1973" s="91"/>
      <c r="X1973" s="91"/>
      <c r="Y1973" s="91"/>
      <c r="Z1973" s="91"/>
      <c r="AA1973" s="91"/>
      <c r="AB1973" s="91"/>
      <c r="AC1973" s="91"/>
      <c r="AD1973" s="91"/>
      <c r="AE1973" s="91"/>
      <c r="AF1973" s="91"/>
      <c r="AG1973" s="91"/>
      <c r="AH1973" s="91"/>
      <c r="AI1973" s="91"/>
      <c r="AJ1973" s="91"/>
      <c r="AK1973" s="91"/>
      <c r="AL1973" s="91"/>
      <c r="AM1973" s="91"/>
    </row>
    <row r="1974" spans="1:39" ht="20.25" hidden="1" customHeight="1">
      <c r="A1974" s="91"/>
      <c r="B1974" s="93" t="s">
        <v>11884</v>
      </c>
      <c r="C1974" s="91" t="s">
        <v>36</v>
      </c>
      <c r="D1974" s="107" t="s">
        <v>346</v>
      </c>
      <c r="E1974" s="107" t="s">
        <v>6533</v>
      </c>
      <c r="F1974" s="92" t="s">
        <v>6534</v>
      </c>
      <c r="G1974" s="96">
        <v>45108</v>
      </c>
      <c r="H1974" s="97">
        <v>24613</v>
      </c>
      <c r="I1974" s="102" t="s">
        <v>6535</v>
      </c>
      <c r="J1974" s="94" t="s">
        <v>6444</v>
      </c>
      <c r="K1974" s="92">
        <v>961776965</v>
      </c>
      <c r="L1974" s="91" t="s">
        <v>60</v>
      </c>
      <c r="M1974" s="98">
        <f ca="1">(TODAY()-H1974)/365</f>
        <v>58.6</v>
      </c>
      <c r="N1974" s="99">
        <f>(G1974-H1974)/365</f>
        <v>56.150684931506852</v>
      </c>
      <c r="O1974" s="98">
        <f ca="1">(TODAY()-G1974)/365</f>
        <v>2.4493150684931506</v>
      </c>
      <c r="P1974" s="91" t="s">
        <v>43</v>
      </c>
      <c r="Q1974" s="91">
        <v>0</v>
      </c>
      <c r="R1974" s="91">
        <v>0</v>
      </c>
      <c r="S1974" s="91">
        <v>0</v>
      </c>
      <c r="T1974" s="91"/>
      <c r="U1974" s="91"/>
      <c r="V1974" s="91"/>
      <c r="W1974" s="91"/>
      <c r="X1974" s="91"/>
      <c r="Y1974" s="91"/>
      <c r="Z1974" s="91"/>
      <c r="AA1974" s="91"/>
      <c r="AB1974" s="91"/>
      <c r="AC1974" s="91"/>
      <c r="AD1974" s="91"/>
      <c r="AE1974" s="91"/>
      <c r="AF1974" s="91"/>
      <c r="AG1974" s="91"/>
      <c r="AH1974" s="91"/>
      <c r="AI1974" s="91"/>
      <c r="AJ1974" s="91"/>
      <c r="AK1974" s="91"/>
      <c r="AL1974" s="91"/>
      <c r="AM1974" s="91"/>
    </row>
    <row r="1975" spans="1:39" ht="20.25" hidden="1" customHeight="1">
      <c r="A1975" s="91"/>
      <c r="B1975" s="93" t="s">
        <v>11884</v>
      </c>
      <c r="C1975" s="91" t="s">
        <v>36</v>
      </c>
      <c r="D1975" s="106" t="s">
        <v>6536</v>
      </c>
      <c r="E1975" s="106" t="s">
        <v>6537</v>
      </c>
      <c r="F1975" s="92" t="s">
        <v>6538</v>
      </c>
      <c r="G1975" s="96">
        <v>43248</v>
      </c>
      <c r="H1975" s="97">
        <v>22640</v>
      </c>
      <c r="I1975" s="102" t="s">
        <v>6539</v>
      </c>
      <c r="J1975" s="94" t="s">
        <v>6540</v>
      </c>
      <c r="K1975" s="92">
        <v>958283461</v>
      </c>
      <c r="L1975" s="91" t="s">
        <v>60</v>
      </c>
      <c r="M1975" s="98">
        <f ca="1">(TODAY()-H1975)/365</f>
        <v>64.0054794520548</v>
      </c>
      <c r="N1975" s="99">
        <f>(G1975-H1975)/365</f>
        <v>56.460273972602742</v>
      </c>
      <c r="O1975" s="98">
        <f ca="1">(TODAY()-G1975)/365</f>
        <v>7.5452054794520551</v>
      </c>
      <c r="P1975" s="91" t="s">
        <v>43</v>
      </c>
      <c r="Q1975" s="91">
        <v>0</v>
      </c>
      <c r="R1975" s="91">
        <v>0</v>
      </c>
      <c r="S1975" s="91">
        <v>0</v>
      </c>
      <c r="T1975" s="91"/>
      <c r="U1975" s="91"/>
      <c r="V1975" s="91"/>
      <c r="W1975" s="91"/>
      <c r="X1975" s="91"/>
      <c r="Y1975" s="91"/>
      <c r="Z1975" s="91"/>
      <c r="AA1975" s="91"/>
      <c r="AB1975" s="91"/>
      <c r="AC1975" s="91"/>
      <c r="AD1975" s="91"/>
      <c r="AE1975" s="91"/>
      <c r="AF1975" s="91"/>
      <c r="AG1975" s="91"/>
      <c r="AH1975" s="91"/>
      <c r="AI1975" s="91"/>
      <c r="AJ1975" s="91"/>
      <c r="AK1975" s="91"/>
      <c r="AL1975" s="91"/>
      <c r="AM1975" s="91"/>
    </row>
    <row r="1976" spans="1:39" ht="20.25" hidden="1" customHeight="1">
      <c r="A1976" s="91"/>
      <c r="B1976" s="93" t="s">
        <v>11884</v>
      </c>
      <c r="C1976" s="91" t="s">
        <v>36</v>
      </c>
      <c r="D1976" s="106" t="s">
        <v>6541</v>
      </c>
      <c r="E1976" s="106" t="s">
        <v>6542</v>
      </c>
      <c r="F1976" s="92" t="s">
        <v>6543</v>
      </c>
      <c r="G1976" s="96">
        <v>45477</v>
      </c>
      <c r="H1976" s="97">
        <v>24434</v>
      </c>
      <c r="I1976" s="102" t="s">
        <v>6544</v>
      </c>
      <c r="J1976" s="94" t="s">
        <v>6545</v>
      </c>
      <c r="K1976" s="92">
        <v>966869733</v>
      </c>
      <c r="L1976" s="91" t="s">
        <v>60</v>
      </c>
      <c r="M1976" s="98">
        <f ca="1">(TODAY()-H1976)/365</f>
        <v>59.090410958904108</v>
      </c>
      <c r="N1976" s="99">
        <f>(G1976-H1976)/365</f>
        <v>57.652054794520545</v>
      </c>
      <c r="O1976" s="98">
        <f ca="1">(TODAY()-G1976)/365</f>
        <v>1.4383561643835616</v>
      </c>
      <c r="P1976" s="91" t="s">
        <v>43</v>
      </c>
      <c r="Q1976" s="91">
        <v>0</v>
      </c>
      <c r="R1976" s="91">
        <v>0</v>
      </c>
      <c r="S1976" s="91">
        <v>0</v>
      </c>
      <c r="T1976" s="91"/>
      <c r="U1976" s="91"/>
      <c r="V1976" s="91"/>
      <c r="W1976" s="91"/>
      <c r="X1976" s="91"/>
      <c r="Y1976" s="91"/>
      <c r="Z1976" s="91"/>
      <c r="AA1976" s="91"/>
      <c r="AB1976" s="91"/>
      <c r="AC1976" s="91"/>
      <c r="AD1976" s="91"/>
      <c r="AE1976" s="91"/>
      <c r="AF1976" s="91"/>
      <c r="AG1976" s="91"/>
      <c r="AH1976" s="91"/>
      <c r="AI1976" s="91"/>
      <c r="AJ1976" s="91"/>
      <c r="AK1976" s="91"/>
      <c r="AL1976" s="91"/>
      <c r="AM1976" s="91"/>
    </row>
    <row r="1977" spans="1:39" ht="20.25" hidden="1" customHeight="1">
      <c r="A1977" s="91"/>
      <c r="B1977" s="93" t="s">
        <v>11884</v>
      </c>
      <c r="C1977" s="91" t="s">
        <v>36</v>
      </c>
      <c r="D1977" s="106" t="s">
        <v>716</v>
      </c>
      <c r="E1977" s="106" t="s">
        <v>6546</v>
      </c>
      <c r="F1977" s="92" t="s">
        <v>6547</v>
      </c>
      <c r="G1977" s="96">
        <v>40188</v>
      </c>
      <c r="H1977" s="97">
        <v>19126</v>
      </c>
      <c r="I1977" s="102" t="s">
        <v>6548</v>
      </c>
      <c r="J1977" s="94" t="s">
        <v>6549</v>
      </c>
      <c r="K1977" s="92">
        <v>962039049</v>
      </c>
      <c r="L1977" s="91" t="s">
        <v>60</v>
      </c>
      <c r="M1977" s="98">
        <f ca="1">(TODAY()-H1977)/365</f>
        <v>73.632876712328766</v>
      </c>
      <c r="N1977" s="99">
        <f>(G1977-H1977)/365</f>
        <v>57.704109589041096</v>
      </c>
      <c r="O1977" s="98">
        <f ca="1">(TODAY()-G1977)/365</f>
        <v>15.92876712328767</v>
      </c>
      <c r="P1977" s="91" t="s">
        <v>43</v>
      </c>
      <c r="Q1977" s="91">
        <v>0</v>
      </c>
      <c r="R1977" s="91">
        <v>0</v>
      </c>
      <c r="S1977" s="91">
        <v>0</v>
      </c>
      <c r="T1977" s="91"/>
      <c r="U1977" s="91"/>
      <c r="V1977" s="91"/>
      <c r="W1977" s="91"/>
      <c r="X1977" s="91"/>
      <c r="Y1977" s="91"/>
      <c r="Z1977" s="91"/>
      <c r="AA1977" s="91"/>
      <c r="AB1977" s="91"/>
      <c r="AC1977" s="91"/>
      <c r="AD1977" s="91"/>
      <c r="AE1977" s="91"/>
      <c r="AF1977" s="91"/>
      <c r="AG1977" s="91"/>
      <c r="AH1977" s="91"/>
      <c r="AI1977" s="91"/>
      <c r="AJ1977" s="91"/>
      <c r="AK1977" s="91"/>
      <c r="AL1977" s="91"/>
      <c r="AM1977" s="91"/>
    </row>
    <row r="1978" spans="1:39" ht="20.25" hidden="1" customHeight="1">
      <c r="A1978" s="91"/>
      <c r="B1978" s="93" t="s">
        <v>11884</v>
      </c>
      <c r="C1978" s="91" t="s">
        <v>36</v>
      </c>
      <c r="D1978" s="106" t="s">
        <v>4649</v>
      </c>
      <c r="E1978" s="106" t="s">
        <v>6550</v>
      </c>
      <c r="F1978" s="92" t="s">
        <v>6551</v>
      </c>
      <c r="G1978" s="96">
        <v>43647</v>
      </c>
      <c r="H1978" s="97">
        <v>22579</v>
      </c>
      <c r="I1978" s="102" t="s">
        <v>6552</v>
      </c>
      <c r="J1978" s="94" t="s">
        <v>6553</v>
      </c>
      <c r="K1978" s="92">
        <v>978785334</v>
      </c>
      <c r="L1978" s="91" t="s">
        <v>60</v>
      </c>
      <c r="M1978" s="98">
        <f ca="1">(TODAY()-H1978)/365</f>
        <v>64.172602739726031</v>
      </c>
      <c r="N1978" s="99">
        <f>(G1978-H1978)/365</f>
        <v>57.720547945205482</v>
      </c>
      <c r="O1978" s="98">
        <f ca="1">(TODAY()-G1978)/365</f>
        <v>6.4520547945205475</v>
      </c>
      <c r="P1978" s="91" t="s">
        <v>43</v>
      </c>
      <c r="Q1978" s="91">
        <v>0</v>
      </c>
      <c r="R1978" s="91">
        <v>0</v>
      </c>
      <c r="S1978" s="91">
        <v>0</v>
      </c>
      <c r="T1978" s="91"/>
      <c r="U1978" s="91"/>
      <c r="V1978" s="91"/>
      <c r="W1978" s="91"/>
      <c r="X1978" s="91"/>
      <c r="Y1978" s="91"/>
      <c r="Z1978" s="91"/>
      <c r="AA1978" s="91"/>
      <c r="AB1978" s="91"/>
      <c r="AC1978" s="91"/>
      <c r="AD1978" s="91"/>
      <c r="AE1978" s="91"/>
      <c r="AF1978" s="91"/>
      <c r="AG1978" s="91"/>
      <c r="AH1978" s="91"/>
      <c r="AI1978" s="91"/>
      <c r="AJ1978" s="91"/>
      <c r="AK1978" s="91"/>
      <c r="AL1978" s="91"/>
      <c r="AM1978" s="91"/>
    </row>
    <row r="1979" spans="1:39" ht="20.25" hidden="1" customHeight="1">
      <c r="A1979" s="91"/>
      <c r="B1979" s="93" t="s">
        <v>11884</v>
      </c>
      <c r="C1979" s="91" t="s">
        <v>36</v>
      </c>
      <c r="D1979" s="106" t="s">
        <v>1344</v>
      </c>
      <c r="E1979" s="106" t="s">
        <v>6554</v>
      </c>
      <c r="F1979" s="92" t="s">
        <v>6555</v>
      </c>
      <c r="G1979" s="96">
        <v>45477</v>
      </c>
      <c r="H1979" s="97">
        <v>24267</v>
      </c>
      <c r="I1979" s="102" t="s">
        <v>6556</v>
      </c>
      <c r="J1979" s="94" t="s">
        <v>6557</v>
      </c>
      <c r="K1979" s="92">
        <v>993197136</v>
      </c>
      <c r="L1979" s="91" t="s">
        <v>60</v>
      </c>
      <c r="M1979" s="98">
        <f ca="1">(TODAY()-H1979)/365</f>
        <v>59.547945205479451</v>
      </c>
      <c r="N1979" s="99">
        <f>(G1979-H1979)/365</f>
        <v>58.109589041095887</v>
      </c>
      <c r="O1979" s="98">
        <f ca="1">(TODAY()-G1979)/365</f>
        <v>1.4383561643835616</v>
      </c>
      <c r="P1979" s="91" t="s">
        <v>43</v>
      </c>
      <c r="Q1979" s="91">
        <v>0</v>
      </c>
      <c r="R1979" s="91">
        <v>0</v>
      </c>
      <c r="S1979" s="91">
        <v>0</v>
      </c>
      <c r="T1979" s="91"/>
      <c r="U1979" s="91"/>
      <c r="V1979" s="91"/>
      <c r="W1979" s="91"/>
      <c r="X1979" s="91"/>
      <c r="Y1979" s="91"/>
      <c r="Z1979" s="91"/>
      <c r="AA1979" s="91"/>
      <c r="AB1979" s="91"/>
      <c r="AC1979" s="91"/>
      <c r="AD1979" s="91"/>
      <c r="AE1979" s="91"/>
      <c r="AF1979" s="91"/>
      <c r="AG1979" s="91"/>
      <c r="AH1979" s="91"/>
      <c r="AI1979" s="91"/>
      <c r="AJ1979" s="91"/>
      <c r="AK1979" s="91"/>
      <c r="AL1979" s="91"/>
      <c r="AM1979" s="91"/>
    </row>
    <row r="1980" spans="1:39" ht="20.25" hidden="1" customHeight="1">
      <c r="A1980" s="91"/>
      <c r="B1980" s="93" t="s">
        <v>11884</v>
      </c>
      <c r="C1980" s="91" t="s">
        <v>36</v>
      </c>
      <c r="D1980" s="107" t="s">
        <v>6558</v>
      </c>
      <c r="E1980" s="107" t="s">
        <v>6559</v>
      </c>
      <c r="F1980" s="92" t="s">
        <v>6560</v>
      </c>
      <c r="G1980" s="96">
        <v>45465</v>
      </c>
      <c r="H1980" s="97">
        <v>23936</v>
      </c>
      <c r="I1980" s="102" t="s">
        <v>6561</v>
      </c>
      <c r="J1980" s="94" t="s">
        <v>6562</v>
      </c>
      <c r="K1980" s="92">
        <v>942508813</v>
      </c>
      <c r="L1980" s="91" t="s">
        <v>60</v>
      </c>
      <c r="M1980" s="98">
        <f ca="1">(TODAY()-H1980)/365</f>
        <v>60.454794520547942</v>
      </c>
      <c r="N1980" s="99">
        <f>(G1980-H1980)/365</f>
        <v>58.983561643835614</v>
      </c>
      <c r="O1980" s="98">
        <f ca="1">(TODAY()-G1980)/365</f>
        <v>1.4712328767123288</v>
      </c>
      <c r="P1980" s="91" t="s">
        <v>43</v>
      </c>
      <c r="Q1980" s="91">
        <v>0</v>
      </c>
      <c r="R1980" s="91">
        <v>0</v>
      </c>
      <c r="S1980" s="91">
        <v>0</v>
      </c>
      <c r="T1980" s="91"/>
      <c r="U1980" s="91"/>
      <c r="V1980" s="91"/>
      <c r="W1980" s="91"/>
      <c r="X1980" s="91"/>
      <c r="Y1980" s="91"/>
      <c r="Z1980" s="91"/>
      <c r="AA1980" s="91"/>
      <c r="AB1980" s="91"/>
      <c r="AC1980" s="91"/>
      <c r="AD1980" s="91"/>
      <c r="AE1980" s="91"/>
      <c r="AF1980" s="91"/>
      <c r="AG1980" s="91"/>
      <c r="AH1980" s="91"/>
      <c r="AI1980" s="91"/>
      <c r="AJ1980" s="91"/>
      <c r="AK1980" s="91"/>
      <c r="AL1980" s="91"/>
      <c r="AM1980" s="91"/>
    </row>
    <row r="1981" spans="1:39" ht="20.25" hidden="1" customHeight="1">
      <c r="A1981" s="91"/>
      <c r="B1981" s="93" t="s">
        <v>11884</v>
      </c>
      <c r="C1981" s="91" t="s">
        <v>36</v>
      </c>
      <c r="D1981" s="106" t="s">
        <v>1325</v>
      </c>
      <c r="E1981" s="106" t="s">
        <v>6563</v>
      </c>
      <c r="F1981" s="92" t="s">
        <v>6564</v>
      </c>
      <c r="G1981" s="96">
        <v>45352</v>
      </c>
      <c r="H1981" s="97">
        <v>23742</v>
      </c>
      <c r="I1981" s="102" t="s">
        <v>6565</v>
      </c>
      <c r="J1981" s="94" t="s">
        <v>6566</v>
      </c>
      <c r="K1981" s="92">
        <v>992267259</v>
      </c>
      <c r="L1981" s="91" t="s">
        <v>60</v>
      </c>
      <c r="M1981" s="98">
        <f ca="1">(TODAY()-H1981)/365</f>
        <v>60.986301369863014</v>
      </c>
      <c r="N1981" s="99">
        <f>(G1981-H1981)/365</f>
        <v>59.205479452054796</v>
      </c>
      <c r="O1981" s="98">
        <f ca="1">(TODAY()-G1981)/365</f>
        <v>1.7808219178082192</v>
      </c>
      <c r="P1981" s="91" t="s">
        <v>272</v>
      </c>
      <c r="Q1981" s="91">
        <v>0</v>
      </c>
      <c r="R1981" s="91">
        <v>0</v>
      </c>
      <c r="S1981" s="91">
        <v>0</v>
      </c>
      <c r="T1981" s="91"/>
      <c r="U1981" s="91"/>
      <c r="V1981" s="91"/>
      <c r="W1981" s="91"/>
      <c r="X1981" s="91"/>
      <c r="Y1981" s="91"/>
      <c r="Z1981" s="91"/>
      <c r="AA1981" s="91"/>
      <c r="AB1981" s="91"/>
      <c r="AC1981" s="91"/>
      <c r="AD1981" s="91"/>
      <c r="AE1981" s="91"/>
      <c r="AF1981" s="91"/>
      <c r="AG1981" s="91"/>
      <c r="AH1981" s="91"/>
      <c r="AI1981" s="91"/>
      <c r="AJ1981" s="91"/>
      <c r="AK1981" s="91"/>
      <c r="AL1981" s="91"/>
      <c r="AM1981" s="91"/>
    </row>
    <row r="1982" spans="1:39" ht="20.25" hidden="1" customHeight="1">
      <c r="A1982" s="91"/>
      <c r="B1982" s="93" t="s">
        <v>11884</v>
      </c>
      <c r="C1982" s="91" t="s">
        <v>36</v>
      </c>
      <c r="D1982" s="106" t="s">
        <v>6567</v>
      </c>
      <c r="E1982" s="106" t="s">
        <v>6568</v>
      </c>
      <c r="F1982" s="92" t="s">
        <v>6569</v>
      </c>
      <c r="G1982" s="96">
        <v>45108</v>
      </c>
      <c r="H1982" s="97">
        <v>22916</v>
      </c>
      <c r="I1982" s="102" t="s">
        <v>6570</v>
      </c>
      <c r="J1982" s="94" t="s">
        <v>6571</v>
      </c>
      <c r="K1982" s="92">
        <v>988223026</v>
      </c>
      <c r="L1982" s="91" t="s">
        <v>60</v>
      </c>
      <c r="M1982" s="98">
        <f ca="1">(TODAY()-H1982)/365</f>
        <v>63.249315068493154</v>
      </c>
      <c r="N1982" s="99">
        <f>(G1982-H1982)/365</f>
        <v>60.8</v>
      </c>
      <c r="O1982" s="98">
        <f ca="1">(TODAY()-G1982)/365</f>
        <v>2.4493150684931506</v>
      </c>
      <c r="P1982" s="91" t="s">
        <v>43</v>
      </c>
      <c r="Q1982" s="91">
        <v>0</v>
      </c>
      <c r="R1982" s="91">
        <v>0</v>
      </c>
      <c r="S1982" s="91">
        <v>0</v>
      </c>
      <c r="T1982" s="91"/>
      <c r="U1982" s="91"/>
      <c r="V1982" s="91"/>
      <c r="W1982" s="91"/>
      <c r="X1982" s="91"/>
      <c r="Y1982" s="91"/>
      <c r="Z1982" s="91"/>
      <c r="AA1982" s="91"/>
      <c r="AB1982" s="91"/>
      <c r="AC1982" s="91"/>
      <c r="AD1982" s="91"/>
      <c r="AE1982" s="91"/>
      <c r="AF1982" s="91"/>
      <c r="AG1982" s="91"/>
      <c r="AH1982" s="91"/>
      <c r="AI1982" s="91"/>
      <c r="AJ1982" s="91"/>
      <c r="AK1982" s="91"/>
      <c r="AL1982" s="91"/>
      <c r="AM1982" s="91"/>
    </row>
    <row r="1983" spans="1:39" ht="20.25" hidden="1" customHeight="1">
      <c r="A1983" s="91"/>
      <c r="B1983" s="93" t="s">
        <v>11884</v>
      </c>
      <c r="C1983" s="91" t="s">
        <v>36</v>
      </c>
      <c r="D1983" s="107" t="s">
        <v>6572</v>
      </c>
      <c r="E1983" s="107" t="s">
        <v>6573</v>
      </c>
      <c r="F1983" s="92" t="s">
        <v>6574</v>
      </c>
      <c r="G1983" s="96">
        <v>42967</v>
      </c>
      <c r="H1983" s="97">
        <v>19837</v>
      </c>
      <c r="I1983" s="102" t="s">
        <v>6575</v>
      </c>
      <c r="J1983" s="94" t="s">
        <v>6576</v>
      </c>
      <c r="K1983" s="92">
        <v>995335364</v>
      </c>
      <c r="L1983" s="91" t="s">
        <v>216</v>
      </c>
      <c r="M1983" s="98">
        <f ca="1">(TODAY()-H1983)/365</f>
        <v>71.68493150684931</v>
      </c>
      <c r="N1983" s="99">
        <f>(G1983-H1983)/365</f>
        <v>63.369863013698627</v>
      </c>
      <c r="O1983" s="98">
        <f ca="1">(TODAY()-G1983)/365</f>
        <v>8.3150684931506849</v>
      </c>
      <c r="P1983" s="91" t="s">
        <v>43</v>
      </c>
      <c r="Q1983" s="91">
        <v>0</v>
      </c>
      <c r="R1983" s="91">
        <v>0</v>
      </c>
      <c r="S1983" s="91">
        <v>0</v>
      </c>
      <c r="T1983" s="91"/>
      <c r="U1983" s="91"/>
      <c r="V1983" s="91"/>
      <c r="W1983" s="91"/>
      <c r="X1983" s="91"/>
      <c r="Y1983" s="91"/>
      <c r="Z1983" s="91"/>
      <c r="AA1983" s="91"/>
      <c r="AB1983" s="91"/>
      <c r="AC1983" s="91"/>
      <c r="AD1983" s="91"/>
      <c r="AE1983" s="91"/>
      <c r="AF1983" s="91"/>
      <c r="AG1983" s="91"/>
      <c r="AH1983" s="91"/>
      <c r="AI1983" s="91"/>
      <c r="AJ1983" s="91"/>
      <c r="AK1983" s="91"/>
      <c r="AL1983" s="91"/>
      <c r="AM1983" s="91"/>
    </row>
    <row r="1984" spans="1:39" ht="20.25" hidden="1" customHeight="1">
      <c r="A1984" s="91"/>
      <c r="B1984" s="93" t="s">
        <v>11884</v>
      </c>
      <c r="C1984" s="91" t="s">
        <v>36</v>
      </c>
      <c r="D1984" s="106" t="s">
        <v>392</v>
      </c>
      <c r="E1984" s="106" t="s">
        <v>6494</v>
      </c>
      <c r="F1984" s="92" t="s">
        <v>6577</v>
      </c>
      <c r="G1984" s="96">
        <v>45474</v>
      </c>
      <c r="H1984" s="97">
        <v>22330</v>
      </c>
      <c r="I1984" s="102" t="s">
        <v>6578</v>
      </c>
      <c r="J1984" s="94" t="s">
        <v>6579</v>
      </c>
      <c r="K1984" s="92">
        <v>948807479</v>
      </c>
      <c r="L1984" s="91" t="s">
        <v>60</v>
      </c>
      <c r="M1984" s="98">
        <f ca="1">(TODAY()-H1984)/365</f>
        <v>64.854794520547941</v>
      </c>
      <c r="N1984" s="99">
        <f>(G1984-H1984)/365</f>
        <v>63.408219178082192</v>
      </c>
      <c r="O1984" s="98">
        <f ca="1">(TODAY()-G1984)/365</f>
        <v>1.4465753424657535</v>
      </c>
      <c r="P1984" s="91" t="s">
        <v>43</v>
      </c>
      <c r="Q1984" s="91">
        <v>0</v>
      </c>
      <c r="R1984" s="91">
        <v>0</v>
      </c>
      <c r="S1984" s="91">
        <v>0</v>
      </c>
      <c r="T1984" s="91"/>
      <c r="U1984" s="91"/>
      <c r="V1984" s="91"/>
      <c r="W1984" s="91"/>
      <c r="X1984" s="91"/>
      <c r="Y1984" s="91"/>
      <c r="Z1984" s="91"/>
      <c r="AA1984" s="91"/>
      <c r="AB1984" s="91"/>
      <c r="AC1984" s="91"/>
      <c r="AD1984" s="91"/>
      <c r="AE1984" s="91"/>
      <c r="AF1984" s="91"/>
      <c r="AG1984" s="91"/>
      <c r="AH1984" s="91"/>
      <c r="AI1984" s="91"/>
      <c r="AJ1984" s="91"/>
      <c r="AK1984" s="91"/>
      <c r="AL1984" s="91"/>
      <c r="AM1984" s="91"/>
    </row>
    <row r="1985" spans="1:39" ht="20.25" hidden="1" customHeight="1">
      <c r="A1985" s="91"/>
      <c r="B1985" s="93" t="s">
        <v>11884</v>
      </c>
      <c r="C1985" s="91" t="s">
        <v>36</v>
      </c>
      <c r="D1985" s="106" t="s">
        <v>6580</v>
      </c>
      <c r="E1985" s="106" t="s">
        <v>6581</v>
      </c>
      <c r="F1985" s="92" t="s">
        <v>6582</v>
      </c>
      <c r="G1985" s="96">
        <v>45477</v>
      </c>
      <c r="H1985" s="97">
        <v>22134</v>
      </c>
      <c r="I1985" s="102" t="s">
        <v>6583</v>
      </c>
      <c r="J1985" s="94" t="s">
        <v>6584</v>
      </c>
      <c r="K1985" s="92">
        <v>992044822</v>
      </c>
      <c r="L1985" s="91" t="s">
        <v>60</v>
      </c>
      <c r="M1985" s="98">
        <f ca="1">(TODAY()-H1985)/365</f>
        <v>65.391780821917806</v>
      </c>
      <c r="N1985" s="99">
        <f>(G1985-H1985)/365</f>
        <v>63.953424657534249</v>
      </c>
      <c r="O1985" s="98">
        <f ca="1">(TODAY()-G1985)/365</f>
        <v>1.4383561643835616</v>
      </c>
      <c r="P1985" s="91" t="s">
        <v>43</v>
      </c>
      <c r="Q1985" s="91">
        <v>0</v>
      </c>
      <c r="R1985" s="91">
        <v>0</v>
      </c>
      <c r="S1985" s="91">
        <v>0</v>
      </c>
      <c r="T1985" s="91"/>
      <c r="U1985" s="91"/>
      <c r="V1985" s="91"/>
      <c r="W1985" s="91"/>
      <c r="X1985" s="91"/>
      <c r="Y1985" s="91"/>
      <c r="Z1985" s="91"/>
      <c r="AA1985" s="91"/>
      <c r="AB1985" s="91"/>
      <c r="AC1985" s="91"/>
      <c r="AD1985" s="91"/>
      <c r="AE1985" s="91"/>
      <c r="AF1985" s="91"/>
      <c r="AG1985" s="91"/>
      <c r="AH1985" s="91"/>
      <c r="AI1985" s="91"/>
      <c r="AJ1985" s="91"/>
      <c r="AK1985" s="91"/>
      <c r="AL1985" s="91"/>
      <c r="AM1985" s="91"/>
    </row>
    <row r="1986" spans="1:39" ht="20.25" hidden="1" customHeight="1">
      <c r="A1986" s="91"/>
      <c r="B1986" s="93" t="s">
        <v>11884</v>
      </c>
      <c r="C1986" s="91" t="s">
        <v>36</v>
      </c>
      <c r="D1986" s="106" t="s">
        <v>6585</v>
      </c>
      <c r="E1986" s="106" t="s">
        <v>6586</v>
      </c>
      <c r="F1986" s="92" t="s">
        <v>6587</v>
      </c>
      <c r="G1986" s="96">
        <v>44621</v>
      </c>
      <c r="H1986" s="97">
        <v>19871</v>
      </c>
      <c r="I1986" s="102" t="s">
        <v>6588</v>
      </c>
      <c r="J1986" s="94" t="s">
        <v>6589</v>
      </c>
      <c r="K1986" s="92">
        <v>977687969</v>
      </c>
      <c r="L1986" s="91" t="s">
        <v>60</v>
      </c>
      <c r="M1986" s="98">
        <f ca="1">(TODAY()-H1986)/365</f>
        <v>71.591780821917808</v>
      </c>
      <c r="N1986" s="99">
        <f>(G1986-H1986)/365</f>
        <v>67.808219178082197</v>
      </c>
      <c r="O1986" s="98">
        <f ca="1">(TODAY()-G1986)/365</f>
        <v>3.7835616438356166</v>
      </c>
      <c r="P1986" s="91" t="s">
        <v>272</v>
      </c>
      <c r="Q1986" s="91">
        <v>0</v>
      </c>
      <c r="R1986" s="91">
        <v>0</v>
      </c>
      <c r="S1986" s="91">
        <v>0</v>
      </c>
      <c r="T1986" s="91"/>
      <c r="U1986" s="91"/>
      <c r="V1986" s="91"/>
      <c r="W1986" s="91"/>
      <c r="X1986" s="91"/>
      <c r="Y1986" s="91"/>
      <c r="Z1986" s="91"/>
      <c r="AA1986" s="91"/>
      <c r="AB1986" s="91"/>
      <c r="AC1986" s="91"/>
      <c r="AD1986" s="91"/>
      <c r="AE1986" s="91"/>
      <c r="AF1986" s="91"/>
      <c r="AG1986" s="91"/>
      <c r="AH1986" s="91"/>
      <c r="AI1986" s="91"/>
      <c r="AJ1986" s="91"/>
      <c r="AK1986" s="91"/>
      <c r="AL1986" s="91"/>
      <c r="AM1986" s="91"/>
    </row>
    <row r="1987" spans="1:39" ht="20.25" hidden="1" customHeight="1">
      <c r="A1987" s="91"/>
      <c r="B1987" s="93" t="s">
        <v>11884</v>
      </c>
      <c r="C1987" s="91" t="s">
        <v>36</v>
      </c>
      <c r="D1987" s="106" t="s">
        <v>6590</v>
      </c>
      <c r="E1987" s="106" t="s">
        <v>6591</v>
      </c>
      <c r="F1987" s="92" t="s">
        <v>6592</v>
      </c>
      <c r="G1987" s="96">
        <v>45477</v>
      </c>
      <c r="H1987" s="97">
        <v>19994</v>
      </c>
      <c r="I1987" s="102" t="s">
        <v>6593</v>
      </c>
      <c r="J1987" s="94" t="s">
        <v>6594</v>
      </c>
      <c r="K1987" s="92">
        <v>993091190</v>
      </c>
      <c r="L1987" s="91" t="s">
        <v>60</v>
      </c>
      <c r="M1987" s="98">
        <f ca="1">(TODAY()-H1987)/365</f>
        <v>71.254794520547946</v>
      </c>
      <c r="N1987" s="99">
        <f>(G1987-H1987)/365</f>
        <v>69.816438356164383</v>
      </c>
      <c r="O1987" s="98">
        <f ca="1">(TODAY()-G1987)/365</f>
        <v>1.4383561643835616</v>
      </c>
      <c r="P1987" s="91" t="s">
        <v>43</v>
      </c>
      <c r="Q1987" s="91">
        <v>0</v>
      </c>
      <c r="R1987" s="91">
        <v>0</v>
      </c>
      <c r="S1987" s="91">
        <v>0</v>
      </c>
      <c r="T1987" s="91"/>
      <c r="U1987" s="91"/>
      <c r="V1987" s="91"/>
      <c r="W1987" s="91"/>
      <c r="X1987" s="91"/>
      <c r="Y1987" s="91"/>
      <c r="Z1987" s="91"/>
      <c r="AA1987" s="91"/>
      <c r="AB1987" s="91"/>
      <c r="AC1987" s="91"/>
      <c r="AD1987" s="91"/>
      <c r="AE1987" s="91"/>
      <c r="AF1987" s="91"/>
      <c r="AG1987" s="91"/>
      <c r="AH1987" s="91"/>
      <c r="AI1987" s="91"/>
      <c r="AJ1987" s="91"/>
      <c r="AK1987" s="91"/>
      <c r="AL1987" s="91"/>
      <c r="AM1987" s="91"/>
    </row>
    <row r="1988" spans="1:39" ht="20.25" hidden="1" customHeight="1">
      <c r="A1988" s="91"/>
      <c r="B1988" s="93" t="s">
        <v>11884</v>
      </c>
      <c r="C1988" s="91" t="s">
        <v>36</v>
      </c>
      <c r="D1988" s="107" t="s">
        <v>675</v>
      </c>
      <c r="E1988" s="107" t="s">
        <v>6595</v>
      </c>
      <c r="F1988" s="92" t="s">
        <v>6596</v>
      </c>
      <c r="G1988" s="96">
        <v>45383</v>
      </c>
      <c r="H1988" s="97">
        <v>16521</v>
      </c>
      <c r="I1988" s="102" t="s">
        <v>6597</v>
      </c>
      <c r="J1988" s="94" t="s">
        <v>6598</v>
      </c>
      <c r="K1988" s="92">
        <v>998791492</v>
      </c>
      <c r="L1988" s="91" t="s">
        <v>60</v>
      </c>
      <c r="M1988" s="98">
        <f ca="1">(TODAY()-H1988)/365</f>
        <v>80.769863013698625</v>
      </c>
      <c r="N1988" s="99">
        <f>(G1988-H1988)/365</f>
        <v>79.07397260273973</v>
      </c>
      <c r="O1988" s="98">
        <f ca="1">(TODAY()-G1988)/365</f>
        <v>1.6958904109589041</v>
      </c>
      <c r="P1988" s="91" t="s">
        <v>43</v>
      </c>
      <c r="Q1988" s="91">
        <v>0</v>
      </c>
      <c r="R1988" s="91">
        <v>0</v>
      </c>
      <c r="S1988" s="91">
        <v>0</v>
      </c>
      <c r="T1988" s="91"/>
      <c r="U1988" s="91"/>
      <c r="V1988" s="91"/>
      <c r="W1988" s="91"/>
      <c r="X1988" s="91"/>
      <c r="Y1988" s="91"/>
      <c r="Z1988" s="91"/>
      <c r="AA1988" s="91"/>
      <c r="AB1988" s="91"/>
      <c r="AC1988" s="91"/>
      <c r="AD1988" s="91"/>
      <c r="AE1988" s="91"/>
      <c r="AF1988" s="91"/>
      <c r="AG1988" s="91"/>
      <c r="AH1988" s="91"/>
      <c r="AI1988" s="91"/>
      <c r="AJ1988" s="91"/>
      <c r="AK1988" s="91"/>
      <c r="AL1988" s="91"/>
      <c r="AM1988" s="91"/>
    </row>
    <row r="1989" spans="1:39" ht="20.25" hidden="1" customHeight="1">
      <c r="A1989" s="91"/>
      <c r="B1989" s="93" t="s">
        <v>11884</v>
      </c>
      <c r="C1989" s="91" t="s">
        <v>36</v>
      </c>
      <c r="D1989" s="107" t="s">
        <v>6599</v>
      </c>
      <c r="E1989" s="107" t="s">
        <v>6600</v>
      </c>
      <c r="F1989" s="92" t="s">
        <v>6601</v>
      </c>
      <c r="G1989" s="103" t="s">
        <v>58</v>
      </c>
      <c r="H1989" s="97">
        <v>18309</v>
      </c>
      <c r="I1989" s="102" t="s">
        <v>6602</v>
      </c>
      <c r="J1989" s="94" t="s">
        <v>6603</v>
      </c>
      <c r="K1989" s="92">
        <v>991718737</v>
      </c>
      <c r="L1989" s="91" t="s">
        <v>60</v>
      </c>
      <c r="M1989" s="98">
        <f ca="1">(TODAY()-H1989)/365</f>
        <v>75.871232876712327</v>
      </c>
      <c r="N1989" s="95" t="s">
        <v>58</v>
      </c>
      <c r="O1989" s="98" t="e">
        <f ca="1">(TODAY()-G1989)/365</f>
        <v>#VALUE!</v>
      </c>
      <c r="P1989" s="91" t="s">
        <v>43</v>
      </c>
      <c r="Q1989" s="91">
        <v>0</v>
      </c>
      <c r="R1989" s="91">
        <v>0</v>
      </c>
      <c r="S1989" s="91">
        <v>0</v>
      </c>
      <c r="T1989" s="91"/>
      <c r="U1989" s="91"/>
      <c r="V1989" s="91"/>
      <c r="W1989" s="91"/>
      <c r="X1989" s="91"/>
      <c r="Y1989" s="91"/>
      <c r="Z1989" s="91"/>
      <c r="AA1989" s="91"/>
      <c r="AB1989" s="91"/>
      <c r="AC1989" s="91"/>
      <c r="AD1989" s="91"/>
      <c r="AE1989" s="91"/>
      <c r="AF1989" s="91"/>
      <c r="AG1989" s="91"/>
      <c r="AH1989" s="91"/>
      <c r="AI1989" s="91"/>
      <c r="AJ1989" s="91"/>
      <c r="AK1989" s="91"/>
      <c r="AL1989" s="91"/>
      <c r="AM1989" s="91"/>
    </row>
    <row r="1990" spans="1:39" ht="20.25" hidden="1" customHeight="1">
      <c r="A1990" s="91"/>
      <c r="B1990" s="93" t="s">
        <v>11884</v>
      </c>
      <c r="C1990" s="91" t="s">
        <v>36</v>
      </c>
      <c r="D1990" s="107" t="s">
        <v>889</v>
      </c>
      <c r="E1990" s="107" t="s">
        <v>6604</v>
      </c>
      <c r="F1990" s="92" t="s">
        <v>6605</v>
      </c>
      <c r="G1990" s="103" t="s">
        <v>58</v>
      </c>
      <c r="H1990" s="97">
        <v>23829</v>
      </c>
      <c r="I1990" s="102" t="s">
        <v>6606</v>
      </c>
      <c r="J1990" s="94" t="s">
        <v>6607</v>
      </c>
      <c r="K1990" s="92">
        <v>977971334</v>
      </c>
      <c r="L1990" s="91" t="s">
        <v>60</v>
      </c>
      <c r="M1990" s="98">
        <f ca="1">(TODAY()-H1990)/365</f>
        <v>60.747945205479454</v>
      </c>
      <c r="N1990" s="95" t="s">
        <v>58</v>
      </c>
      <c r="O1990" s="98" t="e">
        <f ca="1">(TODAY()-G1990)/365</f>
        <v>#VALUE!</v>
      </c>
      <c r="P1990" s="91" t="s">
        <v>43</v>
      </c>
      <c r="Q1990" s="91">
        <v>0</v>
      </c>
      <c r="R1990" s="91">
        <v>0</v>
      </c>
      <c r="S1990" s="91">
        <v>0</v>
      </c>
      <c r="T1990" s="91"/>
      <c r="U1990" s="91"/>
      <c r="V1990" s="91"/>
      <c r="W1990" s="91"/>
      <c r="X1990" s="91"/>
      <c r="Y1990" s="91"/>
      <c r="Z1990" s="91"/>
      <c r="AA1990" s="91"/>
      <c r="AB1990" s="91"/>
      <c r="AC1990" s="91"/>
      <c r="AD1990" s="91"/>
      <c r="AE1990" s="91"/>
      <c r="AF1990" s="91"/>
      <c r="AG1990" s="91"/>
      <c r="AH1990" s="91"/>
      <c r="AI1990" s="91"/>
      <c r="AJ1990" s="91"/>
      <c r="AK1990" s="91"/>
      <c r="AL1990" s="91"/>
      <c r="AM1990" s="91"/>
    </row>
    <row r="1991" spans="1:39" ht="20.25" hidden="1" customHeight="1">
      <c r="A1991" s="91"/>
      <c r="B1991" s="93" t="s">
        <v>6608</v>
      </c>
      <c r="C1991" s="91" t="s">
        <v>36</v>
      </c>
      <c r="D1991" s="107" t="s">
        <v>3304</v>
      </c>
      <c r="E1991" s="107" t="s">
        <v>6609</v>
      </c>
      <c r="F1991" s="91" t="s">
        <v>6610</v>
      </c>
      <c r="G1991" s="96">
        <v>35618</v>
      </c>
      <c r="H1991" s="97">
        <v>32399</v>
      </c>
      <c r="I1991" s="94" t="s">
        <v>58</v>
      </c>
      <c r="J1991" s="94" t="s">
        <v>58</v>
      </c>
      <c r="K1991" s="91">
        <v>961258650</v>
      </c>
      <c r="L1991" s="91" t="s">
        <v>42</v>
      </c>
      <c r="M1991" s="98">
        <f ca="1">(TODAY()-H1991)/365</f>
        <v>37.268493150684932</v>
      </c>
      <c r="N1991" s="99">
        <f>(G1991-H1991)/365</f>
        <v>8.8191780821917813</v>
      </c>
      <c r="O1991" s="98">
        <f ca="1">(TODAY()-G1991)/365</f>
        <v>28.449315068493149</v>
      </c>
      <c r="P1991" s="91" t="s">
        <v>43</v>
      </c>
      <c r="Q1991" s="91">
        <v>0</v>
      </c>
      <c r="R1991" s="91">
        <v>0</v>
      </c>
      <c r="S1991" s="91">
        <v>0</v>
      </c>
      <c r="T1991" s="91"/>
      <c r="U1991" s="91"/>
      <c r="V1991" s="91"/>
      <c r="W1991" s="91"/>
      <c r="X1991" s="91"/>
      <c r="Y1991" s="91"/>
      <c r="Z1991" s="91"/>
      <c r="AA1991" s="91"/>
      <c r="AB1991" s="91"/>
      <c r="AC1991" s="91"/>
      <c r="AD1991" s="91"/>
      <c r="AE1991" s="91"/>
      <c r="AF1991" s="91"/>
      <c r="AG1991" s="91"/>
      <c r="AH1991" s="91"/>
      <c r="AI1991" s="91"/>
      <c r="AJ1991" s="91"/>
      <c r="AK1991" s="91"/>
      <c r="AL1991" s="91"/>
      <c r="AM1991" s="91"/>
    </row>
    <row r="1992" spans="1:39" ht="20.25" hidden="1" customHeight="1">
      <c r="A1992" s="91"/>
      <c r="B1992" s="93" t="s">
        <v>6608</v>
      </c>
      <c r="C1992" s="91" t="s">
        <v>36</v>
      </c>
      <c r="D1992" s="107" t="s">
        <v>5327</v>
      </c>
      <c r="E1992" s="107" t="s">
        <v>6611</v>
      </c>
      <c r="F1992" s="91" t="s">
        <v>6612</v>
      </c>
      <c r="G1992" s="96">
        <v>45199</v>
      </c>
      <c r="H1992" s="97">
        <v>38377</v>
      </c>
      <c r="I1992" s="94" t="s">
        <v>58</v>
      </c>
      <c r="J1992" s="94" t="s">
        <v>58</v>
      </c>
      <c r="K1992" s="91">
        <v>982762151</v>
      </c>
      <c r="L1992" s="91" t="s">
        <v>60</v>
      </c>
      <c r="M1992" s="98">
        <f ca="1">(TODAY()-H1992)/365</f>
        <v>20.890410958904109</v>
      </c>
      <c r="N1992" s="99">
        <f>(G1992-H1992)/365</f>
        <v>18.69041095890411</v>
      </c>
      <c r="O1992" s="98">
        <f ca="1">(TODAY()-G1992)/365</f>
        <v>2.2000000000000002</v>
      </c>
      <c r="P1992" s="91" t="s">
        <v>43</v>
      </c>
      <c r="Q1992" s="91">
        <v>0</v>
      </c>
      <c r="R1992" s="91">
        <v>0</v>
      </c>
      <c r="S1992" s="91">
        <v>0</v>
      </c>
      <c r="T1992" s="91"/>
      <c r="U1992" s="91"/>
      <c r="V1992" s="91"/>
      <c r="W1992" s="91"/>
      <c r="X1992" s="91"/>
      <c r="Y1992" s="91"/>
      <c r="Z1992" s="91"/>
      <c r="AA1992" s="91"/>
      <c r="AB1992" s="91"/>
      <c r="AC1992" s="91"/>
      <c r="AD1992" s="91"/>
      <c r="AE1992" s="91"/>
      <c r="AF1992" s="91"/>
      <c r="AG1992" s="91"/>
      <c r="AH1992" s="91"/>
      <c r="AI1992" s="91"/>
      <c r="AJ1992" s="91"/>
      <c r="AK1992" s="91"/>
      <c r="AL1992" s="91"/>
      <c r="AM1992" s="91"/>
    </row>
    <row r="1993" spans="1:39" ht="20.25" hidden="1" customHeight="1">
      <c r="A1993" s="91"/>
      <c r="B1993" s="113" t="s">
        <v>6608</v>
      </c>
      <c r="C1993" s="91" t="s">
        <v>36</v>
      </c>
      <c r="D1993" s="107" t="s">
        <v>3928</v>
      </c>
      <c r="E1993" s="107" t="s">
        <v>6613</v>
      </c>
      <c r="F1993" s="91" t="s">
        <v>6614</v>
      </c>
      <c r="G1993" s="96">
        <v>44132</v>
      </c>
      <c r="H1993" s="97">
        <v>34284</v>
      </c>
      <c r="I1993" s="94" t="s">
        <v>58</v>
      </c>
      <c r="J1993" s="94" t="s">
        <v>58</v>
      </c>
      <c r="K1993" s="91">
        <v>985983395</v>
      </c>
      <c r="L1993" s="91" t="s">
        <v>49</v>
      </c>
      <c r="M1993" s="98">
        <f ca="1">(TODAY()-H1993)/365</f>
        <v>32.104109589041094</v>
      </c>
      <c r="N1993" s="99">
        <f>(G1993-H1993)/365</f>
        <v>26.980821917808218</v>
      </c>
      <c r="O1993" s="98">
        <f ca="1">(TODAY()-G1993)/365</f>
        <v>5.1232876712328768</v>
      </c>
      <c r="P1993" s="91" t="s">
        <v>43</v>
      </c>
      <c r="Q1993" s="91">
        <v>1</v>
      </c>
      <c r="R1993" s="91">
        <v>0</v>
      </c>
      <c r="S1993" s="91">
        <v>0</v>
      </c>
      <c r="T1993" s="91"/>
      <c r="U1993" s="91"/>
      <c r="V1993" s="91"/>
      <c r="W1993" s="91"/>
      <c r="X1993" s="91"/>
      <c r="Y1993" s="91"/>
      <c r="Z1993" s="91"/>
      <c r="AA1993" s="91"/>
      <c r="AB1993" s="91"/>
      <c r="AC1993" s="91"/>
      <c r="AD1993" s="91"/>
      <c r="AE1993" s="91"/>
      <c r="AF1993" s="91"/>
      <c r="AG1993" s="91"/>
      <c r="AH1993" s="91"/>
      <c r="AI1993" s="91"/>
      <c r="AJ1993" s="91"/>
      <c r="AK1993" s="91"/>
      <c r="AL1993" s="91"/>
      <c r="AM1993" s="91"/>
    </row>
    <row r="1994" spans="1:39" ht="20.25" hidden="1" customHeight="1">
      <c r="A1994" s="91"/>
      <c r="B1994" s="93" t="s">
        <v>6608</v>
      </c>
      <c r="C1994" s="91" t="s">
        <v>36</v>
      </c>
      <c r="D1994" s="107" t="s">
        <v>367</v>
      </c>
      <c r="E1994" s="107" t="s">
        <v>6615</v>
      </c>
      <c r="F1994" s="91" t="s">
        <v>6616</v>
      </c>
      <c r="G1994" s="96">
        <v>43647</v>
      </c>
      <c r="H1994" s="97">
        <v>33065</v>
      </c>
      <c r="I1994" s="94" t="s">
        <v>58</v>
      </c>
      <c r="J1994" s="94" t="s">
        <v>58</v>
      </c>
      <c r="K1994" s="91">
        <v>996637271</v>
      </c>
      <c r="L1994" s="91" t="s">
        <v>60</v>
      </c>
      <c r="M1994" s="98">
        <f ca="1">(TODAY()-H1994)/365</f>
        <v>35.443835616438356</v>
      </c>
      <c r="N1994" s="99">
        <f>(G1994-H1994)/365</f>
        <v>28.991780821917807</v>
      </c>
      <c r="O1994" s="98">
        <f ca="1">(TODAY()-G1994)/365</f>
        <v>6.4520547945205475</v>
      </c>
      <c r="P1994" s="91" t="s">
        <v>43</v>
      </c>
      <c r="Q1994" s="91">
        <v>0</v>
      </c>
      <c r="R1994" s="91">
        <v>0</v>
      </c>
      <c r="S1994" s="91">
        <v>0</v>
      </c>
      <c r="T1994" s="91"/>
      <c r="U1994" s="91"/>
      <c r="V1994" s="91"/>
      <c r="W1994" s="91"/>
      <c r="X1994" s="91"/>
      <c r="Y1994" s="91"/>
      <c r="Z1994" s="91"/>
      <c r="AA1994" s="91"/>
      <c r="AB1994" s="91"/>
      <c r="AC1994" s="91"/>
      <c r="AD1994" s="91"/>
      <c r="AE1994" s="91"/>
      <c r="AF1994" s="91"/>
      <c r="AG1994" s="91"/>
      <c r="AH1994" s="91"/>
      <c r="AI1994" s="91"/>
      <c r="AJ1994" s="91"/>
      <c r="AK1994" s="91"/>
      <c r="AL1994" s="91"/>
      <c r="AM1994" s="91"/>
    </row>
    <row r="1995" spans="1:39" ht="20.25" hidden="1" customHeight="1">
      <c r="A1995" s="91"/>
      <c r="B1995" s="93" t="s">
        <v>6608</v>
      </c>
      <c r="C1995" s="91" t="s">
        <v>36</v>
      </c>
      <c r="D1995" s="107" t="s">
        <v>6617</v>
      </c>
      <c r="E1995" s="107" t="s">
        <v>6618</v>
      </c>
      <c r="F1995" s="91" t="s">
        <v>6619</v>
      </c>
      <c r="G1995" s="96">
        <v>35338</v>
      </c>
      <c r="H1995" s="97">
        <v>23038</v>
      </c>
      <c r="I1995" s="94" t="s">
        <v>58</v>
      </c>
      <c r="J1995" s="94" t="s">
        <v>58</v>
      </c>
      <c r="K1995" s="91">
        <v>962481520</v>
      </c>
      <c r="L1995" s="91" t="s">
        <v>151</v>
      </c>
      <c r="M1995" s="98">
        <f ca="1">(TODAY()-H1995)/365</f>
        <v>62.915068493150685</v>
      </c>
      <c r="N1995" s="99">
        <f>(G1995-H1995)/365</f>
        <v>33.698630136986303</v>
      </c>
      <c r="O1995" s="98">
        <f ca="1">(TODAY()-G1995)/365</f>
        <v>29.216438356164385</v>
      </c>
      <c r="P1995" s="91" t="s">
        <v>43</v>
      </c>
      <c r="Q1995" s="91">
        <v>0</v>
      </c>
      <c r="R1995" s="91">
        <v>0</v>
      </c>
      <c r="S1995" s="91">
        <v>0</v>
      </c>
      <c r="T1995" s="91"/>
      <c r="U1995" s="91"/>
      <c r="V1995" s="91"/>
      <c r="W1995" s="91"/>
      <c r="X1995" s="91"/>
      <c r="Y1995" s="91"/>
      <c r="Z1995" s="91"/>
      <c r="AA1995" s="91"/>
      <c r="AB1995" s="91"/>
      <c r="AC1995" s="91"/>
      <c r="AD1995" s="91"/>
      <c r="AE1995" s="91"/>
      <c r="AF1995" s="91"/>
      <c r="AG1995" s="91"/>
      <c r="AH1995" s="91"/>
      <c r="AI1995" s="91"/>
      <c r="AJ1995" s="91"/>
      <c r="AK1995" s="91"/>
      <c r="AL1995" s="91"/>
      <c r="AM1995" s="91"/>
    </row>
    <row r="1996" spans="1:39" ht="20.25" hidden="1" customHeight="1">
      <c r="A1996" s="91"/>
      <c r="B1996" s="93" t="s">
        <v>6608</v>
      </c>
      <c r="C1996" s="91" t="s">
        <v>36</v>
      </c>
      <c r="D1996" s="107" t="s">
        <v>2500</v>
      </c>
      <c r="E1996" s="107" t="s">
        <v>6620</v>
      </c>
      <c r="F1996" s="91" t="s">
        <v>6621</v>
      </c>
      <c r="G1996" s="96">
        <v>27487</v>
      </c>
      <c r="H1996" s="97">
        <v>13985</v>
      </c>
      <c r="I1996" s="94" t="s">
        <v>58</v>
      </c>
      <c r="J1996" s="94" t="s">
        <v>58</v>
      </c>
      <c r="K1996" s="91">
        <v>992681541</v>
      </c>
      <c r="L1996" s="91" t="s">
        <v>66</v>
      </c>
      <c r="M1996" s="98">
        <f ca="1">(TODAY()-H1996)/365</f>
        <v>87.717808219178082</v>
      </c>
      <c r="N1996" s="99">
        <f>(G1996-H1996)/365</f>
        <v>36.991780821917807</v>
      </c>
      <c r="O1996" s="98">
        <f ca="1">(TODAY()-G1996)/365</f>
        <v>50.726027397260275</v>
      </c>
      <c r="P1996" s="91" t="s">
        <v>43</v>
      </c>
      <c r="Q1996" s="91">
        <v>0</v>
      </c>
      <c r="R1996" s="91">
        <v>0</v>
      </c>
      <c r="S1996" s="91">
        <v>0</v>
      </c>
      <c r="T1996" s="91"/>
      <c r="U1996" s="91"/>
      <c r="V1996" s="91"/>
      <c r="W1996" s="91"/>
      <c r="X1996" s="91"/>
      <c r="Y1996" s="91"/>
      <c r="Z1996" s="91"/>
      <c r="AA1996" s="91"/>
      <c r="AB1996" s="91"/>
      <c r="AC1996" s="91"/>
      <c r="AD1996" s="91"/>
      <c r="AE1996" s="91"/>
      <c r="AF1996" s="91"/>
      <c r="AG1996" s="91"/>
      <c r="AH1996" s="91"/>
      <c r="AI1996" s="91"/>
      <c r="AJ1996" s="91"/>
      <c r="AK1996" s="91"/>
      <c r="AL1996" s="91"/>
      <c r="AM1996" s="91"/>
    </row>
    <row r="1997" spans="1:39" ht="20.25" hidden="1" customHeight="1">
      <c r="A1997" s="91"/>
      <c r="B1997" s="93" t="s">
        <v>6608</v>
      </c>
      <c r="C1997" s="91" t="s">
        <v>36</v>
      </c>
      <c r="D1997" s="107" t="s">
        <v>3890</v>
      </c>
      <c r="E1997" s="107" t="s">
        <v>6622</v>
      </c>
      <c r="F1997" s="91" t="s">
        <v>6623</v>
      </c>
      <c r="G1997" s="96">
        <v>38543</v>
      </c>
      <c r="H1997" s="97">
        <v>25009</v>
      </c>
      <c r="I1997" s="94" t="s">
        <v>58</v>
      </c>
      <c r="J1997" s="94" t="s">
        <v>58</v>
      </c>
      <c r="K1997" s="91">
        <v>998345958</v>
      </c>
      <c r="L1997" s="91" t="s">
        <v>197</v>
      </c>
      <c r="M1997" s="98">
        <f ca="1">(TODAY()-H1997)/365</f>
        <v>57.515068493150686</v>
      </c>
      <c r="N1997" s="99">
        <f>(G1997-H1997)/365</f>
        <v>37.079452054794523</v>
      </c>
      <c r="O1997" s="98">
        <f ca="1">(TODAY()-G1997)/365</f>
        <v>20.435616438356163</v>
      </c>
      <c r="P1997" s="91" t="s">
        <v>43</v>
      </c>
      <c r="Q1997" s="91">
        <v>1</v>
      </c>
      <c r="R1997" s="91">
        <v>0</v>
      </c>
      <c r="S1997" s="91">
        <v>0</v>
      </c>
      <c r="T1997" s="91"/>
      <c r="U1997" s="91"/>
      <c r="V1997" s="91"/>
      <c r="W1997" s="91"/>
      <c r="X1997" s="91"/>
      <c r="Y1997" s="91"/>
      <c r="Z1997" s="91"/>
      <c r="AA1997" s="91"/>
      <c r="AB1997" s="91"/>
      <c r="AC1997" s="91"/>
      <c r="AD1997" s="91"/>
      <c r="AE1997" s="91"/>
      <c r="AF1997" s="91"/>
      <c r="AG1997" s="91"/>
      <c r="AH1997" s="91"/>
      <c r="AI1997" s="91"/>
      <c r="AJ1997" s="91"/>
      <c r="AK1997" s="91"/>
      <c r="AL1997" s="91"/>
      <c r="AM1997" s="91"/>
    </row>
    <row r="1998" spans="1:39" ht="20.25" hidden="1" customHeight="1">
      <c r="A1998" s="91"/>
      <c r="B1998" s="93" t="s">
        <v>6608</v>
      </c>
      <c r="C1998" s="91" t="s">
        <v>36</v>
      </c>
      <c r="D1998" s="107" t="s">
        <v>4609</v>
      </c>
      <c r="E1998" s="107" t="s">
        <v>6624</v>
      </c>
      <c r="F1998" s="91" t="s">
        <v>6625</v>
      </c>
      <c r="G1998" s="96">
        <v>40660</v>
      </c>
      <c r="H1998" s="97">
        <v>25137</v>
      </c>
      <c r="I1998" s="94" t="s">
        <v>58</v>
      </c>
      <c r="J1998" s="94" t="s">
        <v>58</v>
      </c>
      <c r="K1998" s="91">
        <v>958633457</v>
      </c>
      <c r="L1998" s="91" t="s">
        <v>60</v>
      </c>
      <c r="M1998" s="98">
        <f ca="1">(TODAY()-H1998)/365</f>
        <v>57.164383561643838</v>
      </c>
      <c r="N1998" s="99">
        <f>(G1998-H1998)/365</f>
        <v>42.528767123287672</v>
      </c>
      <c r="O1998" s="98">
        <f ca="1">(TODAY()-G1998)/365</f>
        <v>14.635616438356164</v>
      </c>
      <c r="P1998" s="91" t="s">
        <v>43</v>
      </c>
      <c r="Q1998" s="91">
        <v>0</v>
      </c>
      <c r="R1998" s="91">
        <v>0</v>
      </c>
      <c r="S1998" s="91">
        <v>0</v>
      </c>
      <c r="T1998" s="91"/>
      <c r="U1998" s="91"/>
      <c r="V1998" s="91"/>
      <c r="W1998" s="91"/>
      <c r="X1998" s="91"/>
      <c r="Y1998" s="91"/>
      <c r="Z1998" s="91"/>
      <c r="AA1998" s="91"/>
      <c r="AB1998" s="91"/>
      <c r="AC1998" s="91"/>
      <c r="AD1998" s="91"/>
      <c r="AE1998" s="91"/>
      <c r="AF1998" s="91"/>
      <c r="AG1998" s="91"/>
      <c r="AH1998" s="91"/>
      <c r="AI1998" s="91"/>
      <c r="AJ1998" s="91"/>
      <c r="AK1998" s="91"/>
      <c r="AL1998" s="91"/>
      <c r="AM1998" s="91"/>
    </row>
    <row r="1999" spans="1:39" ht="20.25" hidden="1" customHeight="1">
      <c r="A1999" s="91"/>
      <c r="B1999" s="93" t="s">
        <v>6608</v>
      </c>
      <c r="C1999" s="91" t="s">
        <v>36</v>
      </c>
      <c r="D1999" s="107" t="s">
        <v>416</v>
      </c>
      <c r="E1999" s="107" t="s">
        <v>6626</v>
      </c>
      <c r="F1999" s="91" t="s">
        <v>6627</v>
      </c>
      <c r="G1999" s="96">
        <v>36628</v>
      </c>
      <c r="H1999" s="97">
        <v>19061</v>
      </c>
      <c r="I1999" s="94" t="s">
        <v>58</v>
      </c>
      <c r="J1999" s="94" t="s">
        <v>58</v>
      </c>
      <c r="K1999" s="91">
        <v>953357263</v>
      </c>
      <c r="L1999" s="91" t="s">
        <v>60</v>
      </c>
      <c r="M1999" s="98">
        <f ca="1">(TODAY()-H1999)/365</f>
        <v>73.810958904109583</v>
      </c>
      <c r="N1999" s="99">
        <f>(G1999-H1999)/365</f>
        <v>48.128767123287673</v>
      </c>
      <c r="O1999" s="98">
        <f ca="1">(TODAY()-G1999)/365</f>
        <v>25.682191780821917</v>
      </c>
      <c r="P1999" s="91" t="s">
        <v>43</v>
      </c>
      <c r="Q1999" s="91">
        <v>0</v>
      </c>
      <c r="R1999" s="91">
        <v>0</v>
      </c>
      <c r="S1999" s="91">
        <v>0</v>
      </c>
      <c r="T1999" s="91"/>
      <c r="U1999" s="91"/>
      <c r="V1999" s="91"/>
      <c r="W1999" s="91"/>
      <c r="X1999" s="91"/>
      <c r="Y1999" s="91"/>
      <c r="Z1999" s="91"/>
      <c r="AA1999" s="91"/>
      <c r="AB1999" s="91"/>
      <c r="AC1999" s="91"/>
      <c r="AD1999" s="91"/>
      <c r="AE1999" s="91"/>
      <c r="AF1999" s="91"/>
      <c r="AG1999" s="91"/>
      <c r="AH1999" s="91"/>
      <c r="AI1999" s="91"/>
      <c r="AJ1999" s="91"/>
      <c r="AK1999" s="91"/>
      <c r="AL1999" s="91"/>
      <c r="AM1999" s="91"/>
    </row>
    <row r="2000" spans="1:39" ht="20.25" hidden="1" customHeight="1">
      <c r="A2000" s="91"/>
      <c r="B2000" s="93" t="s">
        <v>6608</v>
      </c>
      <c r="C2000" s="91" t="s">
        <v>36</v>
      </c>
      <c r="D2000" s="107" t="s">
        <v>576</v>
      </c>
      <c r="E2000" s="107" t="s">
        <v>6628</v>
      </c>
      <c r="F2000" s="91" t="s">
        <v>6629</v>
      </c>
      <c r="G2000" s="96">
        <v>38126</v>
      </c>
      <c r="H2000" s="97">
        <v>20261</v>
      </c>
      <c r="I2000" s="94" t="s">
        <v>58</v>
      </c>
      <c r="J2000" s="94" t="s">
        <v>58</v>
      </c>
      <c r="K2000" s="91">
        <v>959194648</v>
      </c>
      <c r="L2000" s="91" t="s">
        <v>60</v>
      </c>
      <c r="M2000" s="98">
        <f ca="1">(TODAY()-H2000)/365</f>
        <v>70.523287671232879</v>
      </c>
      <c r="N2000" s="99">
        <f>(G2000-H2000)/365</f>
        <v>48.945205479452056</v>
      </c>
      <c r="O2000" s="98">
        <f ca="1">(TODAY()-G2000)/365</f>
        <v>21.578082191780823</v>
      </c>
      <c r="P2000" s="91" t="s">
        <v>43</v>
      </c>
      <c r="Q2000" s="91">
        <v>0</v>
      </c>
      <c r="R2000" s="91">
        <v>0</v>
      </c>
      <c r="S2000" s="91">
        <v>0</v>
      </c>
      <c r="T2000" s="91"/>
      <c r="U2000" s="91"/>
      <c r="V2000" s="91"/>
      <c r="W2000" s="91"/>
      <c r="X2000" s="91"/>
      <c r="Y2000" s="91"/>
      <c r="Z2000" s="91"/>
      <c r="AA2000" s="91"/>
      <c r="AB2000" s="91"/>
      <c r="AC2000" s="91"/>
      <c r="AD2000" s="91"/>
      <c r="AE2000" s="91"/>
      <c r="AF2000" s="91"/>
      <c r="AG2000" s="91"/>
      <c r="AH2000" s="91"/>
      <c r="AI2000" s="91"/>
      <c r="AJ2000" s="91"/>
      <c r="AK2000" s="91"/>
      <c r="AL2000" s="91"/>
      <c r="AM2000" s="91"/>
    </row>
    <row r="2001" spans="1:39" ht="20.25" hidden="1" customHeight="1">
      <c r="A2001" s="91"/>
      <c r="B2001" s="93" t="s">
        <v>6608</v>
      </c>
      <c r="C2001" s="91" t="s">
        <v>36</v>
      </c>
      <c r="D2001" s="107" t="s">
        <v>416</v>
      </c>
      <c r="E2001" s="107" t="s">
        <v>6630</v>
      </c>
      <c r="F2001" s="91" t="s">
        <v>6631</v>
      </c>
      <c r="G2001" s="96">
        <v>35202</v>
      </c>
      <c r="H2001" s="97">
        <v>16910</v>
      </c>
      <c r="I2001" s="94" t="s">
        <v>58</v>
      </c>
      <c r="J2001" s="94" t="s">
        <v>58</v>
      </c>
      <c r="K2001" s="91">
        <v>988567837</v>
      </c>
      <c r="L2001" s="91" t="s">
        <v>60</v>
      </c>
      <c r="M2001" s="98">
        <f ca="1">(TODAY()-H2001)/365</f>
        <v>79.704109589041096</v>
      </c>
      <c r="N2001" s="99">
        <f>(G2001-H2001)/365</f>
        <v>50.115068493150687</v>
      </c>
      <c r="O2001" s="98">
        <f ca="1">(TODAY()-G2001)/365</f>
        <v>29.589041095890412</v>
      </c>
      <c r="P2001" s="91" t="s">
        <v>43</v>
      </c>
      <c r="Q2001" s="91">
        <v>0</v>
      </c>
      <c r="R2001" s="91">
        <v>0</v>
      </c>
      <c r="S2001" s="91">
        <v>0</v>
      </c>
      <c r="T2001" s="91"/>
      <c r="U2001" s="91"/>
      <c r="V2001" s="91"/>
      <c r="W2001" s="91"/>
      <c r="X2001" s="91"/>
      <c r="Y2001" s="91"/>
      <c r="Z2001" s="91"/>
      <c r="AA2001" s="91"/>
      <c r="AB2001" s="91"/>
      <c r="AC2001" s="91"/>
      <c r="AD2001" s="91"/>
      <c r="AE2001" s="91"/>
      <c r="AF2001" s="91"/>
      <c r="AG2001" s="91"/>
      <c r="AH2001" s="91"/>
      <c r="AI2001" s="91"/>
      <c r="AJ2001" s="91"/>
      <c r="AK2001" s="91"/>
      <c r="AL2001" s="91"/>
      <c r="AM2001" s="91"/>
    </row>
    <row r="2002" spans="1:39" ht="20.25" hidden="1" customHeight="1">
      <c r="A2002" s="91"/>
      <c r="B2002" s="93" t="s">
        <v>6608</v>
      </c>
      <c r="C2002" s="91" t="s">
        <v>36</v>
      </c>
      <c r="D2002" s="107" t="s">
        <v>754</v>
      </c>
      <c r="E2002" s="107" t="s">
        <v>6632</v>
      </c>
      <c r="F2002" s="91" t="s">
        <v>6633</v>
      </c>
      <c r="G2002" s="96">
        <v>40646</v>
      </c>
      <c r="H2002" s="97">
        <v>21932</v>
      </c>
      <c r="I2002" s="94" t="s">
        <v>58</v>
      </c>
      <c r="J2002" s="94" t="s">
        <v>58</v>
      </c>
      <c r="K2002" s="91">
        <v>981529750</v>
      </c>
      <c r="L2002" s="91" t="s">
        <v>167</v>
      </c>
      <c r="M2002" s="98">
        <f ca="1">(TODAY()-H2002)/365</f>
        <v>65.945205479452056</v>
      </c>
      <c r="N2002" s="99">
        <f>(G2002-H2002)/365</f>
        <v>51.271232876712325</v>
      </c>
      <c r="O2002" s="98">
        <f ca="1">(TODAY()-G2002)/365</f>
        <v>14.673972602739726</v>
      </c>
      <c r="P2002" s="91" t="s">
        <v>43</v>
      </c>
      <c r="Q2002" s="91">
        <v>0</v>
      </c>
      <c r="R2002" s="91">
        <v>0</v>
      </c>
      <c r="S2002" s="91">
        <v>0</v>
      </c>
      <c r="T2002" s="91"/>
      <c r="U2002" s="91"/>
      <c r="V2002" s="91"/>
      <c r="W2002" s="91"/>
      <c r="X2002" s="91"/>
      <c r="Y2002" s="91"/>
      <c r="Z2002" s="91"/>
      <c r="AA2002" s="91"/>
      <c r="AB2002" s="91"/>
      <c r="AC2002" s="91"/>
      <c r="AD2002" s="91"/>
      <c r="AE2002" s="91"/>
      <c r="AF2002" s="91"/>
      <c r="AG2002" s="91"/>
      <c r="AH2002" s="91"/>
      <c r="AI2002" s="91"/>
      <c r="AJ2002" s="91"/>
      <c r="AK2002" s="91"/>
      <c r="AL2002" s="91"/>
      <c r="AM2002" s="91"/>
    </row>
    <row r="2003" spans="1:39" ht="20.25" hidden="1" customHeight="1">
      <c r="A2003" s="91"/>
      <c r="B2003" s="93" t="s">
        <v>6608</v>
      </c>
      <c r="C2003" s="91" t="s">
        <v>36</v>
      </c>
      <c r="D2003" s="107" t="s">
        <v>367</v>
      </c>
      <c r="E2003" s="107" t="s">
        <v>6634</v>
      </c>
      <c r="F2003" s="91" t="s">
        <v>6635</v>
      </c>
      <c r="G2003" s="96">
        <v>41786</v>
      </c>
      <c r="H2003" s="97">
        <v>22568</v>
      </c>
      <c r="I2003" s="94" t="s">
        <v>58</v>
      </c>
      <c r="J2003" s="94" t="s">
        <v>58</v>
      </c>
      <c r="K2003" s="91">
        <v>995709351</v>
      </c>
      <c r="L2003" s="91" t="s">
        <v>60</v>
      </c>
      <c r="M2003" s="98">
        <f ca="1">(TODAY()-H2003)/365</f>
        <v>64.202739726027403</v>
      </c>
      <c r="N2003" s="99">
        <f>(G2003-H2003)/365</f>
        <v>52.652054794520545</v>
      </c>
      <c r="O2003" s="98">
        <f ca="1">(TODAY()-G2003)/365</f>
        <v>11.550684931506849</v>
      </c>
      <c r="P2003" s="91" t="s">
        <v>43</v>
      </c>
      <c r="Q2003" s="91">
        <v>0</v>
      </c>
      <c r="R2003" s="91">
        <v>0</v>
      </c>
      <c r="S2003" s="91">
        <v>0</v>
      </c>
      <c r="T2003" s="91"/>
      <c r="U2003" s="91"/>
      <c r="V2003" s="91"/>
      <c r="W2003" s="91"/>
      <c r="X2003" s="91"/>
      <c r="Y2003" s="91"/>
      <c r="Z2003" s="91"/>
      <c r="AA2003" s="91"/>
      <c r="AB2003" s="91"/>
      <c r="AC2003" s="91"/>
      <c r="AD2003" s="91"/>
      <c r="AE2003" s="91"/>
      <c r="AF2003" s="91"/>
      <c r="AG2003" s="91"/>
      <c r="AH2003" s="91"/>
      <c r="AI2003" s="91"/>
      <c r="AJ2003" s="91"/>
      <c r="AK2003" s="91"/>
      <c r="AL2003" s="91"/>
      <c r="AM2003" s="91"/>
    </row>
    <row r="2004" spans="1:39" ht="20.25" hidden="1" customHeight="1">
      <c r="A2004" s="91"/>
      <c r="B2004" s="93" t="s">
        <v>6608</v>
      </c>
      <c r="C2004" s="91" t="s">
        <v>36</v>
      </c>
      <c r="D2004" s="107" t="s">
        <v>6636</v>
      </c>
      <c r="E2004" s="107" t="s">
        <v>6637</v>
      </c>
      <c r="F2004" s="91" t="s">
        <v>6638</v>
      </c>
      <c r="G2004" s="96">
        <v>45201</v>
      </c>
      <c r="H2004" s="97">
        <v>24974</v>
      </c>
      <c r="I2004" s="94" t="s">
        <v>58</v>
      </c>
      <c r="J2004" s="94" t="s">
        <v>58</v>
      </c>
      <c r="K2004" s="91">
        <v>977592389</v>
      </c>
      <c r="L2004" s="91" t="s">
        <v>60</v>
      </c>
      <c r="M2004" s="98">
        <f ca="1">(TODAY()-H2004)/365</f>
        <v>57.610958904109587</v>
      </c>
      <c r="N2004" s="99">
        <f>(G2004-H2004)/365</f>
        <v>55.416438356164385</v>
      </c>
      <c r="O2004" s="98">
        <f ca="1">(TODAY()-G2004)/365</f>
        <v>2.1945205479452055</v>
      </c>
      <c r="P2004" s="91" t="s">
        <v>43</v>
      </c>
      <c r="Q2004" s="91">
        <v>0</v>
      </c>
      <c r="R2004" s="91">
        <v>0</v>
      </c>
      <c r="S2004" s="91">
        <v>0</v>
      </c>
      <c r="T2004" s="91"/>
      <c r="U2004" s="91"/>
      <c r="V2004" s="91"/>
      <c r="W2004" s="91"/>
      <c r="X2004" s="91"/>
      <c r="Y2004" s="91"/>
      <c r="Z2004" s="91"/>
      <c r="AA2004" s="91"/>
      <c r="AB2004" s="91"/>
      <c r="AC2004" s="91"/>
      <c r="AD2004" s="91"/>
      <c r="AE2004" s="91"/>
      <c r="AF2004" s="91"/>
      <c r="AG2004" s="91"/>
      <c r="AH2004" s="91"/>
      <c r="AI2004" s="91"/>
      <c r="AJ2004" s="91"/>
      <c r="AK2004" s="91"/>
      <c r="AL2004" s="91"/>
      <c r="AM2004" s="91"/>
    </row>
    <row r="2005" spans="1:39" ht="20.25" hidden="1" customHeight="1">
      <c r="A2005" s="91"/>
      <c r="B2005" s="93" t="s">
        <v>6608</v>
      </c>
      <c r="C2005" s="91" t="s">
        <v>36</v>
      </c>
      <c r="D2005" s="107" t="s">
        <v>6639</v>
      </c>
      <c r="E2005" s="107" t="s">
        <v>6640</v>
      </c>
      <c r="F2005" s="91" t="s">
        <v>6641</v>
      </c>
      <c r="G2005" s="96">
        <v>45434</v>
      </c>
      <c r="H2005" s="97">
        <v>24662</v>
      </c>
      <c r="I2005" s="94" t="s">
        <v>58</v>
      </c>
      <c r="J2005" s="94" t="s">
        <v>58</v>
      </c>
      <c r="K2005" s="91">
        <v>996405472</v>
      </c>
      <c r="L2005" s="91" t="s">
        <v>60</v>
      </c>
      <c r="M2005" s="98">
        <f ca="1">(TODAY()-H2005)/365</f>
        <v>58.465753424657535</v>
      </c>
      <c r="N2005" s="99">
        <f>(G2005-H2005)/365</f>
        <v>56.909589041095892</v>
      </c>
      <c r="O2005" s="98">
        <f ca="1">(TODAY()-G2005)/365</f>
        <v>1.5561643835616439</v>
      </c>
      <c r="P2005" s="91" t="s">
        <v>272</v>
      </c>
      <c r="Q2005" s="91">
        <v>0</v>
      </c>
      <c r="R2005" s="91">
        <v>0</v>
      </c>
      <c r="S2005" s="91">
        <v>0</v>
      </c>
      <c r="T2005" s="91"/>
      <c r="U2005" s="91"/>
      <c r="V2005" s="91"/>
      <c r="W2005" s="91"/>
      <c r="X2005" s="91"/>
      <c r="Y2005" s="91"/>
      <c r="Z2005" s="91"/>
      <c r="AA2005" s="91"/>
      <c r="AB2005" s="91"/>
      <c r="AC2005" s="91"/>
      <c r="AD2005" s="91"/>
      <c r="AE2005" s="91"/>
      <c r="AF2005" s="91"/>
      <c r="AG2005" s="91"/>
      <c r="AH2005" s="91"/>
      <c r="AI2005" s="91"/>
      <c r="AJ2005" s="91"/>
      <c r="AK2005" s="91"/>
      <c r="AL2005" s="91"/>
      <c r="AM2005" s="91"/>
    </row>
    <row r="2006" spans="1:39" ht="20.25" hidden="1" customHeight="1">
      <c r="A2006" s="91"/>
      <c r="B2006" s="93" t="s">
        <v>6608</v>
      </c>
      <c r="C2006" s="91" t="s">
        <v>36</v>
      </c>
      <c r="D2006" s="107" t="s">
        <v>6642</v>
      </c>
      <c r="E2006" s="107" t="s">
        <v>6643</v>
      </c>
      <c r="F2006" s="91" t="s">
        <v>6644</v>
      </c>
      <c r="G2006" s="96">
        <v>45434</v>
      </c>
      <c r="H2006" s="97">
        <v>23874</v>
      </c>
      <c r="I2006" s="94" t="s">
        <v>58</v>
      </c>
      <c r="J2006" s="94" t="s">
        <v>58</v>
      </c>
      <c r="K2006" s="91">
        <v>977062796</v>
      </c>
      <c r="L2006" s="91" t="s">
        <v>60</v>
      </c>
      <c r="M2006" s="98">
        <f ca="1">(TODAY()-H2006)/365</f>
        <v>60.624657534246573</v>
      </c>
      <c r="N2006" s="99">
        <f>(G2006-H2006)/365</f>
        <v>59.06849315068493</v>
      </c>
      <c r="O2006" s="98">
        <f ca="1">(TODAY()-G2006)/365</f>
        <v>1.5561643835616439</v>
      </c>
      <c r="P2006" s="91" t="s">
        <v>272</v>
      </c>
      <c r="Q2006" s="91">
        <v>0</v>
      </c>
      <c r="R2006" s="91">
        <v>0</v>
      </c>
      <c r="S2006" s="91">
        <v>0</v>
      </c>
      <c r="T2006" s="91"/>
      <c r="U2006" s="91"/>
      <c r="V2006" s="91"/>
      <c r="W2006" s="91"/>
      <c r="X2006" s="91"/>
      <c r="Y2006" s="91"/>
      <c r="Z2006" s="91"/>
      <c r="AA2006" s="91"/>
      <c r="AB2006" s="91"/>
      <c r="AC2006" s="91"/>
      <c r="AD2006" s="91"/>
      <c r="AE2006" s="91"/>
      <c r="AF2006" s="91"/>
      <c r="AG2006" s="91"/>
      <c r="AH2006" s="91"/>
      <c r="AI2006" s="91"/>
      <c r="AJ2006" s="91"/>
      <c r="AK2006" s="91"/>
      <c r="AL2006" s="91"/>
      <c r="AM2006" s="91"/>
    </row>
    <row r="2007" spans="1:39" ht="20.25" hidden="1" customHeight="1">
      <c r="A2007" s="91"/>
      <c r="B2007" s="93" t="s">
        <v>6608</v>
      </c>
      <c r="C2007" s="91" t="s">
        <v>36</v>
      </c>
      <c r="D2007" s="107" t="s">
        <v>6645</v>
      </c>
      <c r="E2007" s="107" t="s">
        <v>6646</v>
      </c>
      <c r="F2007" s="91" t="s">
        <v>6647</v>
      </c>
      <c r="G2007" s="96">
        <v>41400</v>
      </c>
      <c r="H2007" s="97">
        <v>19824</v>
      </c>
      <c r="I2007" s="94" t="s">
        <v>58</v>
      </c>
      <c r="J2007" s="94" t="s">
        <v>58</v>
      </c>
      <c r="K2007" s="91">
        <v>982028482</v>
      </c>
      <c r="L2007" s="91" t="s">
        <v>60</v>
      </c>
      <c r="M2007" s="98">
        <f ca="1">(TODAY()-H2007)/365</f>
        <v>71.720547945205482</v>
      </c>
      <c r="N2007" s="99">
        <f>(G2007-H2007)/365</f>
        <v>59.112328767123287</v>
      </c>
      <c r="O2007" s="98">
        <f ca="1">(TODAY()-G2007)/365</f>
        <v>12.608219178082193</v>
      </c>
      <c r="P2007" s="91" t="s">
        <v>43</v>
      </c>
      <c r="Q2007" s="91">
        <v>0</v>
      </c>
      <c r="R2007" s="91">
        <v>0</v>
      </c>
      <c r="S2007" s="91">
        <v>0</v>
      </c>
      <c r="T2007" s="91"/>
      <c r="U2007" s="91"/>
      <c r="V2007" s="91"/>
      <c r="W2007" s="91"/>
      <c r="X2007" s="91"/>
      <c r="Y2007" s="91"/>
      <c r="Z2007" s="91"/>
      <c r="AA2007" s="91"/>
      <c r="AB2007" s="91"/>
      <c r="AC2007" s="91"/>
      <c r="AD2007" s="91"/>
      <c r="AE2007" s="91"/>
      <c r="AF2007" s="91"/>
      <c r="AG2007" s="91"/>
      <c r="AH2007" s="91"/>
      <c r="AI2007" s="91"/>
      <c r="AJ2007" s="91"/>
      <c r="AK2007" s="91"/>
      <c r="AL2007" s="91"/>
      <c r="AM2007" s="91"/>
    </row>
    <row r="2008" spans="1:39" ht="20.25" hidden="1" customHeight="1">
      <c r="A2008" s="91"/>
      <c r="B2008" s="93" t="s">
        <v>6608</v>
      </c>
      <c r="C2008" s="91" t="s">
        <v>36</v>
      </c>
      <c r="D2008" s="107" t="s">
        <v>3580</v>
      </c>
      <c r="E2008" s="107" t="s">
        <v>6648</v>
      </c>
      <c r="F2008" s="91" t="s">
        <v>6649</v>
      </c>
      <c r="G2008" s="96">
        <v>37378</v>
      </c>
      <c r="H2008" s="97">
        <v>14549</v>
      </c>
      <c r="I2008" s="94" t="s">
        <v>58</v>
      </c>
      <c r="J2008" s="94" t="s">
        <v>58</v>
      </c>
      <c r="K2008" s="91">
        <v>973838787</v>
      </c>
      <c r="L2008" s="91" t="s">
        <v>216</v>
      </c>
      <c r="M2008" s="98">
        <f ca="1">(TODAY()-H2008)/365</f>
        <v>86.172602739726031</v>
      </c>
      <c r="N2008" s="99">
        <f>(G2008-H2008)/365</f>
        <v>62.545205479452058</v>
      </c>
      <c r="O2008" s="98">
        <f ca="1">(TODAY()-G2008)/365</f>
        <v>23.627397260273973</v>
      </c>
      <c r="P2008" s="91" t="s">
        <v>43</v>
      </c>
      <c r="Q2008" s="91">
        <v>0</v>
      </c>
      <c r="R2008" s="91">
        <v>0</v>
      </c>
      <c r="S2008" s="91">
        <v>0</v>
      </c>
      <c r="T2008" s="91"/>
      <c r="U2008" s="91"/>
      <c r="V2008" s="91"/>
      <c r="W2008" s="91"/>
      <c r="X2008" s="91"/>
      <c r="Y2008" s="91"/>
      <c r="Z2008" s="91"/>
      <c r="AA2008" s="91"/>
      <c r="AB2008" s="91"/>
      <c r="AC2008" s="91"/>
      <c r="AD2008" s="91"/>
      <c r="AE2008" s="91"/>
      <c r="AF2008" s="91"/>
      <c r="AG2008" s="91"/>
      <c r="AH2008" s="91"/>
      <c r="AI2008" s="91"/>
      <c r="AJ2008" s="91"/>
      <c r="AK2008" s="91"/>
      <c r="AL2008" s="91"/>
      <c r="AM2008" s="91"/>
    </row>
    <row r="2009" spans="1:39" ht="20.25" hidden="1" customHeight="1">
      <c r="A2009" s="91"/>
      <c r="B2009" s="93" t="s">
        <v>6608</v>
      </c>
      <c r="C2009" s="91" t="s">
        <v>36</v>
      </c>
      <c r="D2009" s="107" t="s">
        <v>6650</v>
      </c>
      <c r="E2009" s="107" t="s">
        <v>6651</v>
      </c>
      <c r="F2009" s="91" t="s">
        <v>6652</v>
      </c>
      <c r="G2009" s="96">
        <v>41151</v>
      </c>
      <c r="H2009" s="97">
        <v>18215</v>
      </c>
      <c r="I2009" s="94" t="s">
        <v>58</v>
      </c>
      <c r="J2009" s="94" t="s">
        <v>58</v>
      </c>
      <c r="K2009" s="91">
        <v>990110107</v>
      </c>
      <c r="L2009" s="91" t="s">
        <v>54</v>
      </c>
      <c r="M2009" s="98">
        <f ca="1">(TODAY()-H2009)/365</f>
        <v>76.128767123287673</v>
      </c>
      <c r="N2009" s="99">
        <f>(G2009-H2009)/365</f>
        <v>62.838356164383562</v>
      </c>
      <c r="O2009" s="98">
        <f ca="1">(TODAY()-G2009)/365</f>
        <v>13.29041095890411</v>
      </c>
      <c r="P2009" s="91" t="s">
        <v>43</v>
      </c>
      <c r="Q2009" s="91">
        <v>0</v>
      </c>
      <c r="R2009" s="91">
        <v>0</v>
      </c>
      <c r="S2009" s="91">
        <v>0</v>
      </c>
      <c r="T2009" s="91"/>
      <c r="U2009" s="91"/>
      <c r="V2009" s="91"/>
      <c r="W2009" s="91"/>
      <c r="X2009" s="91"/>
      <c r="Y2009" s="91"/>
      <c r="Z2009" s="91"/>
      <c r="AA2009" s="91"/>
      <c r="AB2009" s="91"/>
      <c r="AC2009" s="91"/>
      <c r="AD2009" s="91"/>
      <c r="AE2009" s="91"/>
      <c r="AF2009" s="91"/>
      <c r="AG2009" s="91"/>
      <c r="AH2009" s="91"/>
      <c r="AI2009" s="91"/>
      <c r="AJ2009" s="91"/>
      <c r="AK2009" s="91"/>
      <c r="AL2009" s="91"/>
      <c r="AM2009" s="91"/>
    </row>
    <row r="2010" spans="1:39" ht="20.25" hidden="1" customHeight="1">
      <c r="A2010" s="91"/>
      <c r="B2010" s="93" t="s">
        <v>6608</v>
      </c>
      <c r="C2010" s="91" t="s">
        <v>36</v>
      </c>
      <c r="D2010" s="107" t="s">
        <v>1325</v>
      </c>
      <c r="E2010" s="107" t="s">
        <v>6653</v>
      </c>
      <c r="F2010" s="91" t="s">
        <v>6654</v>
      </c>
      <c r="G2010" s="96">
        <v>45240</v>
      </c>
      <c r="H2010" s="97">
        <v>21523</v>
      </c>
      <c r="I2010" s="94" t="s">
        <v>58</v>
      </c>
      <c r="J2010" s="94" t="s">
        <v>58</v>
      </c>
      <c r="K2010" s="91">
        <v>997992334</v>
      </c>
      <c r="L2010" s="91" t="s">
        <v>60</v>
      </c>
      <c r="M2010" s="98">
        <f ca="1">(TODAY()-H2010)/365</f>
        <v>67.06575342465753</v>
      </c>
      <c r="N2010" s="99">
        <f>(G2010-H2010)/365</f>
        <v>64.978082191780828</v>
      </c>
      <c r="O2010" s="98">
        <f ca="1">(TODAY()-G2010)/365</f>
        <v>2.0876712328767124</v>
      </c>
      <c r="P2010" s="91" t="s">
        <v>272</v>
      </c>
      <c r="Q2010" s="91">
        <v>0</v>
      </c>
      <c r="R2010" s="91">
        <v>0</v>
      </c>
      <c r="S2010" s="91">
        <v>0</v>
      </c>
      <c r="T2010" s="91"/>
      <c r="U2010" s="91"/>
      <c r="V2010" s="91"/>
      <c r="W2010" s="91"/>
      <c r="X2010" s="91"/>
      <c r="Y2010" s="91"/>
      <c r="Z2010" s="91"/>
      <c r="AA2010" s="91"/>
      <c r="AB2010" s="91"/>
      <c r="AC2010" s="91"/>
      <c r="AD2010" s="91"/>
      <c r="AE2010" s="91"/>
      <c r="AF2010" s="91"/>
      <c r="AG2010" s="91"/>
      <c r="AH2010" s="91"/>
      <c r="AI2010" s="91"/>
      <c r="AJ2010" s="91"/>
      <c r="AK2010" s="91"/>
      <c r="AL2010" s="91"/>
      <c r="AM2010" s="91"/>
    </row>
    <row r="2011" spans="1:39" ht="20.25" hidden="1" customHeight="1">
      <c r="A2011" s="91"/>
      <c r="B2011" s="93" t="s">
        <v>6608</v>
      </c>
      <c r="C2011" s="91" t="s">
        <v>36</v>
      </c>
      <c r="D2011" s="107" t="s">
        <v>416</v>
      </c>
      <c r="E2011" s="107" t="s">
        <v>6655</v>
      </c>
      <c r="F2011" s="91" t="s">
        <v>6656</v>
      </c>
      <c r="G2011" s="96">
        <v>45395</v>
      </c>
      <c r="H2011" s="97">
        <v>20076</v>
      </c>
      <c r="I2011" s="94" t="s">
        <v>58</v>
      </c>
      <c r="J2011" s="94" t="s">
        <v>58</v>
      </c>
      <c r="K2011" s="91">
        <v>985839299</v>
      </c>
      <c r="L2011" s="91" t="s">
        <v>60</v>
      </c>
      <c r="M2011" s="98">
        <f ca="1">(TODAY()-H2011)/365</f>
        <v>71.030136986301372</v>
      </c>
      <c r="N2011" s="99">
        <f>(G2011-H2011)/365</f>
        <v>69.367123287671234</v>
      </c>
      <c r="O2011" s="98">
        <f ca="1">(TODAY()-G2011)/365</f>
        <v>1.6630136986301369</v>
      </c>
      <c r="P2011" s="91" t="s">
        <v>43</v>
      </c>
      <c r="Q2011" s="91">
        <v>0</v>
      </c>
      <c r="R2011" s="91">
        <v>0</v>
      </c>
      <c r="S2011" s="91">
        <v>0</v>
      </c>
      <c r="T2011" s="91"/>
      <c r="U2011" s="91"/>
      <c r="V2011" s="91"/>
      <c r="W2011" s="91"/>
      <c r="X2011" s="91"/>
      <c r="Y2011" s="91"/>
      <c r="Z2011" s="91"/>
      <c r="AA2011" s="91"/>
      <c r="AB2011" s="91"/>
      <c r="AC2011" s="91"/>
      <c r="AD2011" s="91"/>
      <c r="AE2011" s="91"/>
      <c r="AF2011" s="91"/>
      <c r="AG2011" s="91"/>
      <c r="AH2011" s="91"/>
      <c r="AI2011" s="91"/>
      <c r="AJ2011" s="91"/>
      <c r="AK2011" s="91"/>
      <c r="AL2011" s="91"/>
      <c r="AM2011" s="91"/>
    </row>
    <row r="2012" spans="1:39" ht="20.25" hidden="1" customHeight="1">
      <c r="A2012" s="91"/>
      <c r="B2012" s="93" t="s">
        <v>6657</v>
      </c>
      <c r="C2012" s="91" t="s">
        <v>36</v>
      </c>
      <c r="D2012" s="94" t="s">
        <v>6658</v>
      </c>
      <c r="E2012" s="94" t="s">
        <v>6659</v>
      </c>
      <c r="F2012" s="95" t="s">
        <v>6660</v>
      </c>
      <c r="G2012" s="96">
        <v>43101</v>
      </c>
      <c r="H2012" s="97">
        <v>38510</v>
      </c>
      <c r="I2012" s="105" t="s">
        <v>6661</v>
      </c>
      <c r="J2012" s="94" t="s">
        <v>6662</v>
      </c>
      <c r="K2012" s="95">
        <v>966426348</v>
      </c>
      <c r="L2012" s="91" t="s">
        <v>60</v>
      </c>
      <c r="M2012" s="98">
        <f ca="1">(TODAY()-H2012)/365</f>
        <v>20.526027397260275</v>
      </c>
      <c r="N2012" s="99">
        <f>(G2012-H2012)/365</f>
        <v>12.578082191780823</v>
      </c>
      <c r="O2012" s="98">
        <f ca="1">(TODAY()-G2012)/365</f>
        <v>7.9479452054794519</v>
      </c>
      <c r="P2012" s="91" t="s">
        <v>43</v>
      </c>
      <c r="Q2012" s="91">
        <v>0</v>
      </c>
      <c r="R2012" s="91">
        <v>0</v>
      </c>
      <c r="S2012" s="91">
        <v>0</v>
      </c>
      <c r="T2012" s="91"/>
      <c r="U2012" s="91"/>
      <c r="V2012" s="91"/>
      <c r="W2012" s="91"/>
      <c r="X2012" s="91"/>
      <c r="Y2012" s="91"/>
      <c r="Z2012" s="91"/>
      <c r="AA2012" s="91"/>
      <c r="AB2012" s="91"/>
      <c r="AC2012" s="91"/>
      <c r="AD2012" s="91"/>
      <c r="AE2012" s="91"/>
      <c r="AF2012" s="91"/>
      <c r="AG2012" s="91"/>
      <c r="AH2012" s="91"/>
      <c r="AI2012" s="91"/>
      <c r="AJ2012" s="91"/>
      <c r="AK2012" s="91"/>
      <c r="AL2012" s="91"/>
      <c r="AM2012" s="91"/>
    </row>
    <row r="2013" spans="1:39" ht="20.25" hidden="1" customHeight="1">
      <c r="A2013" s="91"/>
      <c r="B2013" s="93" t="s">
        <v>6657</v>
      </c>
      <c r="C2013" s="91" t="s">
        <v>36</v>
      </c>
      <c r="D2013" s="94" t="s">
        <v>6663</v>
      </c>
      <c r="E2013" s="94" t="s">
        <v>6664</v>
      </c>
      <c r="F2013" s="95" t="s">
        <v>6665</v>
      </c>
      <c r="G2013" s="96">
        <v>40760</v>
      </c>
      <c r="H2013" s="97">
        <v>36022</v>
      </c>
      <c r="I2013" s="105" t="s">
        <v>6666</v>
      </c>
      <c r="J2013" s="94" t="s">
        <v>6667</v>
      </c>
      <c r="K2013" s="95">
        <v>977128164</v>
      </c>
      <c r="L2013" s="91" t="s">
        <v>60</v>
      </c>
      <c r="M2013" s="98">
        <f ca="1">(TODAY()-H2013)/365</f>
        <v>27.342465753424658</v>
      </c>
      <c r="N2013" s="99">
        <f>(G2013-H2013)/365</f>
        <v>12.980821917808219</v>
      </c>
      <c r="O2013" s="98">
        <f ca="1">(TODAY()-G2013)/365</f>
        <v>14.361643835616439</v>
      </c>
      <c r="P2013" s="91" t="s">
        <v>43</v>
      </c>
      <c r="Q2013" s="91">
        <v>0</v>
      </c>
      <c r="R2013" s="91">
        <v>0</v>
      </c>
      <c r="S2013" s="91">
        <v>0</v>
      </c>
      <c r="T2013" s="91"/>
      <c r="U2013" s="91"/>
      <c r="V2013" s="91"/>
      <c r="W2013" s="91"/>
      <c r="X2013" s="91"/>
      <c r="Y2013" s="91"/>
      <c r="Z2013" s="91"/>
      <c r="AA2013" s="91"/>
      <c r="AB2013" s="91"/>
      <c r="AC2013" s="91"/>
      <c r="AD2013" s="91"/>
      <c r="AE2013" s="91"/>
      <c r="AF2013" s="91"/>
      <c r="AG2013" s="91"/>
      <c r="AH2013" s="91"/>
      <c r="AI2013" s="91"/>
      <c r="AJ2013" s="91"/>
      <c r="AK2013" s="91"/>
      <c r="AL2013" s="91"/>
      <c r="AM2013" s="91"/>
    </row>
    <row r="2014" spans="1:39" ht="20.25" hidden="1" customHeight="1">
      <c r="A2014" s="91"/>
      <c r="B2014" s="93" t="s">
        <v>6657</v>
      </c>
      <c r="C2014" s="91" t="s">
        <v>36</v>
      </c>
      <c r="D2014" s="94" t="s">
        <v>6668</v>
      </c>
      <c r="E2014" s="94" t="s">
        <v>6669</v>
      </c>
      <c r="F2014" s="95" t="s">
        <v>6670</v>
      </c>
      <c r="G2014" s="96">
        <v>44362</v>
      </c>
      <c r="H2014" s="97">
        <v>39440</v>
      </c>
      <c r="I2014" s="105" t="s">
        <v>6671</v>
      </c>
      <c r="J2014" s="94" t="s">
        <v>6672</v>
      </c>
      <c r="K2014" s="95">
        <v>975143198</v>
      </c>
      <c r="L2014" s="91" t="s">
        <v>60</v>
      </c>
      <c r="M2014" s="98">
        <f ca="1">(TODAY()-H2014)/365</f>
        <v>17.978082191780821</v>
      </c>
      <c r="N2014" s="99">
        <f>(G2014-H2014)/365</f>
        <v>13.484931506849316</v>
      </c>
      <c r="O2014" s="98">
        <f ca="1">(TODAY()-G2014)/365</f>
        <v>4.493150684931507</v>
      </c>
      <c r="P2014" s="91" t="s">
        <v>43</v>
      </c>
      <c r="Q2014" s="91">
        <v>0</v>
      </c>
      <c r="R2014" s="91">
        <v>0</v>
      </c>
      <c r="S2014" s="91">
        <v>0</v>
      </c>
      <c r="T2014" s="91"/>
      <c r="U2014" s="91"/>
      <c r="V2014" s="91"/>
      <c r="W2014" s="91"/>
      <c r="X2014" s="91"/>
      <c r="Y2014" s="91"/>
      <c r="Z2014" s="91"/>
      <c r="AA2014" s="91"/>
      <c r="AB2014" s="91"/>
      <c r="AC2014" s="91"/>
      <c r="AD2014" s="91"/>
      <c r="AE2014" s="91"/>
      <c r="AF2014" s="91"/>
      <c r="AG2014" s="91"/>
      <c r="AH2014" s="91"/>
      <c r="AI2014" s="91"/>
      <c r="AJ2014" s="91"/>
      <c r="AK2014" s="91"/>
      <c r="AL2014" s="91"/>
      <c r="AM2014" s="91"/>
    </row>
    <row r="2015" spans="1:39" ht="20.25" hidden="1" customHeight="1">
      <c r="A2015" s="91"/>
      <c r="B2015" s="93" t="s">
        <v>6657</v>
      </c>
      <c r="C2015" s="91" t="s">
        <v>36</v>
      </c>
      <c r="D2015" s="94" t="s">
        <v>6673</v>
      </c>
      <c r="E2015" s="94" t="s">
        <v>6674</v>
      </c>
      <c r="F2015" s="95" t="s">
        <v>6675</v>
      </c>
      <c r="G2015" s="96">
        <v>40025</v>
      </c>
      <c r="H2015" s="97">
        <v>34188</v>
      </c>
      <c r="I2015" s="105" t="s">
        <v>6676</v>
      </c>
      <c r="J2015" s="94" t="s">
        <v>6677</v>
      </c>
      <c r="K2015" s="95">
        <v>974575254</v>
      </c>
      <c r="L2015" s="91" t="s">
        <v>121</v>
      </c>
      <c r="M2015" s="98">
        <f ca="1">(TODAY()-H2015)/365</f>
        <v>32.367123287671234</v>
      </c>
      <c r="N2015" s="99">
        <f>(G2015-H2015)/365</f>
        <v>15.991780821917809</v>
      </c>
      <c r="O2015" s="98">
        <f ca="1">(TODAY()-G2015)/365</f>
        <v>16.375342465753423</v>
      </c>
      <c r="P2015" s="91" t="s">
        <v>43</v>
      </c>
      <c r="Q2015" s="91">
        <v>1</v>
      </c>
      <c r="R2015" s="91">
        <v>0</v>
      </c>
      <c r="S2015" s="91">
        <v>1</v>
      </c>
      <c r="T2015" s="91"/>
      <c r="U2015" s="91"/>
      <c r="V2015" s="91"/>
      <c r="W2015" s="91"/>
      <c r="X2015" s="91"/>
      <c r="Y2015" s="91"/>
      <c r="Z2015" s="91"/>
      <c r="AA2015" s="91"/>
      <c r="AB2015" s="91"/>
      <c r="AC2015" s="91"/>
      <c r="AD2015" s="91"/>
      <c r="AE2015" s="91"/>
      <c r="AF2015" s="91"/>
      <c r="AG2015" s="91"/>
      <c r="AH2015" s="91"/>
      <c r="AI2015" s="91"/>
      <c r="AJ2015" s="91"/>
      <c r="AK2015" s="91"/>
      <c r="AL2015" s="91"/>
      <c r="AM2015" s="91"/>
    </row>
    <row r="2016" spans="1:39" ht="20.25" hidden="1" customHeight="1">
      <c r="A2016" s="91"/>
      <c r="B2016" s="93" t="s">
        <v>6657</v>
      </c>
      <c r="C2016" s="91" t="s">
        <v>36</v>
      </c>
      <c r="D2016" s="94" t="s">
        <v>5051</v>
      </c>
      <c r="E2016" s="94" t="s">
        <v>6678</v>
      </c>
      <c r="F2016" s="95" t="s">
        <v>6679</v>
      </c>
      <c r="G2016" s="96">
        <v>41230</v>
      </c>
      <c r="H2016" s="97">
        <v>35325</v>
      </c>
      <c r="I2016" s="94" t="s">
        <v>6680</v>
      </c>
      <c r="J2016" s="94" t="s">
        <v>6681</v>
      </c>
      <c r="K2016" s="95">
        <v>934859786</v>
      </c>
      <c r="L2016" s="91" t="s">
        <v>167</v>
      </c>
      <c r="M2016" s="98">
        <f ca="1">(TODAY()-H2016)/365</f>
        <v>29.252054794520546</v>
      </c>
      <c r="N2016" s="99">
        <f>(G2016-H2016)/365</f>
        <v>16.17808219178082</v>
      </c>
      <c r="O2016" s="98">
        <f ca="1">(TODAY()-G2016)/365</f>
        <v>13.073972602739726</v>
      </c>
      <c r="P2016" s="91" t="s">
        <v>43</v>
      </c>
      <c r="Q2016" s="91">
        <v>0</v>
      </c>
      <c r="R2016" s="91">
        <v>0</v>
      </c>
      <c r="S2016" s="91">
        <v>0</v>
      </c>
      <c r="T2016" s="91"/>
      <c r="U2016" s="91"/>
      <c r="V2016" s="91"/>
      <c r="W2016" s="91"/>
      <c r="X2016" s="91"/>
      <c r="Y2016" s="91"/>
      <c r="Z2016" s="91"/>
      <c r="AA2016" s="91"/>
      <c r="AB2016" s="91"/>
      <c r="AC2016" s="91"/>
      <c r="AD2016" s="91"/>
      <c r="AE2016" s="91"/>
      <c r="AF2016" s="91"/>
      <c r="AG2016" s="91"/>
      <c r="AH2016" s="91"/>
      <c r="AI2016" s="91"/>
      <c r="AJ2016" s="91"/>
      <c r="AK2016" s="91"/>
      <c r="AL2016" s="91"/>
      <c r="AM2016" s="91"/>
    </row>
    <row r="2017" spans="1:39" ht="20.25" hidden="1" customHeight="1">
      <c r="A2017" s="91"/>
      <c r="B2017" s="93" t="s">
        <v>6657</v>
      </c>
      <c r="C2017" s="91" t="s">
        <v>36</v>
      </c>
      <c r="D2017" s="94" t="s">
        <v>6682</v>
      </c>
      <c r="E2017" s="94" t="s">
        <v>6683</v>
      </c>
      <c r="F2017" s="95" t="s">
        <v>6684</v>
      </c>
      <c r="G2017" s="96">
        <v>44905</v>
      </c>
      <c r="H2017" s="97">
        <v>38574</v>
      </c>
      <c r="I2017" s="105" t="s">
        <v>6685</v>
      </c>
      <c r="J2017" s="94" t="s">
        <v>6686</v>
      </c>
      <c r="K2017" s="95">
        <v>998169697</v>
      </c>
      <c r="L2017" s="91" t="s">
        <v>60</v>
      </c>
      <c r="M2017" s="98">
        <f ca="1">(TODAY()-H2017)/365</f>
        <v>20.350684931506848</v>
      </c>
      <c r="N2017" s="99">
        <f>(G2017-H2017)/365</f>
        <v>17.345205479452055</v>
      </c>
      <c r="O2017" s="98">
        <f ca="1">(TODAY()-G2017)/365</f>
        <v>3.0054794520547947</v>
      </c>
      <c r="P2017" s="91" t="s">
        <v>272</v>
      </c>
      <c r="Q2017" s="91">
        <v>0</v>
      </c>
      <c r="R2017" s="91">
        <v>0</v>
      </c>
      <c r="S2017" s="91">
        <v>0</v>
      </c>
      <c r="T2017" s="91"/>
      <c r="U2017" s="91"/>
      <c r="V2017" s="91"/>
      <c r="W2017" s="91"/>
      <c r="X2017" s="91"/>
      <c r="Y2017" s="91"/>
      <c r="Z2017" s="91"/>
      <c r="AA2017" s="91"/>
      <c r="AB2017" s="91"/>
      <c r="AC2017" s="91"/>
      <c r="AD2017" s="91"/>
      <c r="AE2017" s="91"/>
      <c r="AF2017" s="91"/>
      <c r="AG2017" s="91"/>
      <c r="AH2017" s="91"/>
      <c r="AI2017" s="91"/>
      <c r="AJ2017" s="91"/>
      <c r="AK2017" s="91"/>
      <c r="AL2017" s="91"/>
      <c r="AM2017" s="91"/>
    </row>
    <row r="2018" spans="1:39" ht="20.25" hidden="1" customHeight="1">
      <c r="A2018" s="91"/>
      <c r="B2018" s="93" t="s">
        <v>6657</v>
      </c>
      <c r="C2018" s="91" t="s">
        <v>36</v>
      </c>
      <c r="D2018" s="94" t="s">
        <v>6687</v>
      </c>
      <c r="E2018" s="94" t="s">
        <v>6688</v>
      </c>
      <c r="F2018" s="95" t="s">
        <v>6689</v>
      </c>
      <c r="G2018" s="96">
        <v>45066</v>
      </c>
      <c r="H2018" s="97">
        <v>38164</v>
      </c>
      <c r="I2018" s="105" t="s">
        <v>6690</v>
      </c>
      <c r="J2018" s="94" t="s">
        <v>6691</v>
      </c>
      <c r="K2018" s="95">
        <v>988673075</v>
      </c>
      <c r="L2018" s="91" t="s">
        <v>60</v>
      </c>
      <c r="M2018" s="98">
        <f ca="1">(TODAY()-H2018)/365</f>
        <v>21.473972602739725</v>
      </c>
      <c r="N2018" s="99">
        <f>(G2018-H2018)/365</f>
        <v>18.909589041095892</v>
      </c>
      <c r="O2018" s="98">
        <f ca="1">(TODAY()-G2018)/365</f>
        <v>2.5643835616438357</v>
      </c>
      <c r="P2018" s="91" t="s">
        <v>272</v>
      </c>
      <c r="Q2018" s="91">
        <v>0</v>
      </c>
      <c r="R2018" s="91">
        <v>0</v>
      </c>
      <c r="S2018" s="91">
        <v>0</v>
      </c>
      <c r="T2018" s="91"/>
      <c r="U2018" s="91"/>
      <c r="V2018" s="91"/>
      <c r="W2018" s="91"/>
      <c r="X2018" s="91"/>
      <c r="Y2018" s="91"/>
      <c r="Z2018" s="91"/>
      <c r="AA2018" s="91"/>
      <c r="AB2018" s="91"/>
      <c r="AC2018" s="91"/>
      <c r="AD2018" s="91"/>
      <c r="AE2018" s="91"/>
      <c r="AF2018" s="91"/>
      <c r="AG2018" s="91"/>
      <c r="AH2018" s="91"/>
      <c r="AI2018" s="91"/>
      <c r="AJ2018" s="91"/>
      <c r="AK2018" s="91"/>
      <c r="AL2018" s="91"/>
      <c r="AM2018" s="91"/>
    </row>
    <row r="2019" spans="1:39" ht="20.25" hidden="1" customHeight="1">
      <c r="A2019" s="91"/>
      <c r="B2019" s="93" t="s">
        <v>6657</v>
      </c>
      <c r="C2019" s="91" t="s">
        <v>36</v>
      </c>
      <c r="D2019" s="94" t="s">
        <v>6692</v>
      </c>
      <c r="E2019" s="94" t="s">
        <v>6693</v>
      </c>
      <c r="F2019" s="95" t="s">
        <v>6694</v>
      </c>
      <c r="G2019" s="96">
        <v>45415</v>
      </c>
      <c r="H2019" s="97">
        <v>38116</v>
      </c>
      <c r="I2019" s="94" t="s">
        <v>6695</v>
      </c>
      <c r="J2019" s="94" t="s">
        <v>6696</v>
      </c>
      <c r="K2019" s="95">
        <v>997968732</v>
      </c>
      <c r="L2019" s="91" t="s">
        <v>60</v>
      </c>
      <c r="M2019" s="98">
        <f ca="1">(TODAY()-H2019)/365</f>
        <v>21.605479452054794</v>
      </c>
      <c r="N2019" s="99">
        <f>(G2019-H2019)/365</f>
        <v>19.997260273972604</v>
      </c>
      <c r="O2019" s="98">
        <f ca="1">(TODAY()-G2019)/365</f>
        <v>1.6082191780821917</v>
      </c>
      <c r="P2019" s="91" t="s">
        <v>43</v>
      </c>
      <c r="Q2019" s="91">
        <v>0</v>
      </c>
      <c r="R2019" s="91">
        <v>0</v>
      </c>
      <c r="S2019" s="91">
        <v>0</v>
      </c>
      <c r="T2019" s="91"/>
      <c r="U2019" s="91"/>
      <c r="V2019" s="91"/>
      <c r="W2019" s="91"/>
      <c r="X2019" s="91"/>
      <c r="Y2019" s="91"/>
      <c r="Z2019" s="91"/>
      <c r="AA2019" s="91"/>
      <c r="AB2019" s="91"/>
      <c r="AC2019" s="91"/>
      <c r="AD2019" s="91"/>
      <c r="AE2019" s="91"/>
      <c r="AF2019" s="91"/>
      <c r="AG2019" s="91"/>
      <c r="AH2019" s="91"/>
      <c r="AI2019" s="91"/>
      <c r="AJ2019" s="91"/>
      <c r="AK2019" s="91"/>
      <c r="AL2019" s="91"/>
      <c r="AM2019" s="91"/>
    </row>
    <row r="2020" spans="1:39" ht="20.25" hidden="1" customHeight="1">
      <c r="A2020" s="91"/>
      <c r="B2020" s="93" t="s">
        <v>6657</v>
      </c>
      <c r="C2020" s="91" t="s">
        <v>36</v>
      </c>
      <c r="D2020" s="94" t="s">
        <v>6697</v>
      </c>
      <c r="E2020" s="94" t="s">
        <v>6698</v>
      </c>
      <c r="F2020" s="95" t="s">
        <v>6699</v>
      </c>
      <c r="G2020" s="96">
        <v>30950</v>
      </c>
      <c r="H2020" s="97">
        <v>23510</v>
      </c>
      <c r="I2020" s="105" t="s">
        <v>6700</v>
      </c>
      <c r="J2020" s="94" t="s">
        <v>6677</v>
      </c>
      <c r="K2020" s="95">
        <v>996341353</v>
      </c>
      <c r="L2020" s="91" t="s">
        <v>42</v>
      </c>
      <c r="M2020" s="98">
        <f ca="1">(TODAY()-H2020)/365</f>
        <v>61.62191780821918</v>
      </c>
      <c r="N2020" s="99">
        <f>(G2020-H2020)/365</f>
        <v>20.383561643835616</v>
      </c>
      <c r="O2020" s="98">
        <f ca="1">(TODAY()-G2020)/365</f>
        <v>41.238356164383561</v>
      </c>
      <c r="P2020" s="91" t="s">
        <v>43</v>
      </c>
      <c r="Q2020" s="91">
        <v>0</v>
      </c>
      <c r="R2020" s="91">
        <v>0</v>
      </c>
      <c r="S2020" s="91">
        <v>0</v>
      </c>
      <c r="T2020" s="91"/>
      <c r="U2020" s="91"/>
      <c r="V2020" s="91"/>
      <c r="W2020" s="91"/>
      <c r="X2020" s="91"/>
      <c r="Y2020" s="91"/>
      <c r="Z2020" s="91"/>
      <c r="AA2020" s="91"/>
      <c r="AB2020" s="91"/>
      <c r="AC2020" s="91"/>
      <c r="AD2020" s="91"/>
      <c r="AE2020" s="91"/>
      <c r="AF2020" s="91"/>
      <c r="AG2020" s="91"/>
      <c r="AH2020" s="91"/>
      <c r="AI2020" s="91"/>
      <c r="AJ2020" s="91"/>
      <c r="AK2020" s="91"/>
      <c r="AL2020" s="91"/>
      <c r="AM2020" s="91"/>
    </row>
    <row r="2021" spans="1:39" ht="20.25" hidden="1" customHeight="1">
      <c r="A2021" s="91"/>
      <c r="B2021" s="93" t="s">
        <v>6657</v>
      </c>
      <c r="C2021" s="91" t="s">
        <v>36</v>
      </c>
      <c r="D2021" s="94" t="s">
        <v>4789</v>
      </c>
      <c r="E2021" s="94" t="s">
        <v>6701</v>
      </c>
      <c r="F2021" s="95" t="s">
        <v>6702</v>
      </c>
      <c r="G2021" s="96">
        <v>31622</v>
      </c>
      <c r="H2021" s="97">
        <v>22975</v>
      </c>
      <c r="I2021" s="105" t="s">
        <v>6703</v>
      </c>
      <c r="J2021" s="94" t="s">
        <v>6704</v>
      </c>
      <c r="K2021" s="95">
        <v>98811488</v>
      </c>
      <c r="L2021" s="91" t="s">
        <v>60</v>
      </c>
      <c r="M2021" s="98">
        <f ca="1">(TODAY()-H2021)/365</f>
        <v>63.087671232876716</v>
      </c>
      <c r="N2021" s="99">
        <f>(G2021-H2021)/365</f>
        <v>23.69041095890411</v>
      </c>
      <c r="O2021" s="98">
        <f ca="1">(TODAY()-G2021)/365</f>
        <v>39.397260273972606</v>
      </c>
      <c r="P2021" s="91" t="s">
        <v>272</v>
      </c>
      <c r="Q2021" s="91">
        <v>0</v>
      </c>
      <c r="R2021" s="91">
        <v>0</v>
      </c>
      <c r="S2021" s="91">
        <v>0</v>
      </c>
      <c r="T2021" s="91"/>
      <c r="U2021" s="91"/>
      <c r="V2021" s="91"/>
      <c r="W2021" s="91"/>
      <c r="X2021" s="91"/>
      <c r="Y2021" s="91"/>
      <c r="Z2021" s="91"/>
      <c r="AA2021" s="91"/>
      <c r="AB2021" s="91"/>
      <c r="AC2021" s="91"/>
      <c r="AD2021" s="91"/>
      <c r="AE2021" s="91"/>
      <c r="AF2021" s="91"/>
      <c r="AG2021" s="91"/>
      <c r="AH2021" s="91"/>
      <c r="AI2021" s="91"/>
      <c r="AJ2021" s="91"/>
      <c r="AK2021" s="91"/>
      <c r="AL2021" s="91"/>
      <c r="AM2021" s="91"/>
    </row>
    <row r="2022" spans="1:39" ht="20.25" hidden="1" customHeight="1">
      <c r="A2022" s="91"/>
      <c r="B2022" s="93" t="s">
        <v>6657</v>
      </c>
      <c r="C2022" s="91" t="s">
        <v>36</v>
      </c>
      <c r="D2022" s="94" t="s">
        <v>6705</v>
      </c>
      <c r="E2022" s="94" t="s">
        <v>6706</v>
      </c>
      <c r="F2022" s="95" t="s">
        <v>6707</v>
      </c>
      <c r="G2022" s="96">
        <v>37394</v>
      </c>
      <c r="H2022" s="97">
        <v>28516</v>
      </c>
      <c r="I2022" s="94" t="s">
        <v>6708</v>
      </c>
      <c r="J2022" s="94" t="s">
        <v>6709</v>
      </c>
      <c r="K2022" s="95">
        <v>987626697</v>
      </c>
      <c r="L2022" s="91" t="s">
        <v>60</v>
      </c>
      <c r="M2022" s="98">
        <f ca="1">(TODAY()-H2022)/365</f>
        <v>47.906849315068492</v>
      </c>
      <c r="N2022" s="99">
        <f>(G2022-H2022)/365</f>
        <v>24.323287671232876</v>
      </c>
      <c r="O2022" s="98">
        <f ca="1">(TODAY()-G2022)/365</f>
        <v>23.583561643835615</v>
      </c>
      <c r="P2022" s="91" t="s">
        <v>43</v>
      </c>
      <c r="Q2022" s="91">
        <v>0</v>
      </c>
      <c r="R2022" s="91">
        <v>0</v>
      </c>
      <c r="S2022" s="91">
        <v>0</v>
      </c>
      <c r="T2022" s="91"/>
      <c r="U2022" s="91"/>
      <c r="V2022" s="91"/>
      <c r="W2022" s="91"/>
      <c r="X2022" s="91"/>
      <c r="Y2022" s="91"/>
      <c r="Z2022" s="91"/>
      <c r="AA2022" s="91"/>
      <c r="AB2022" s="91"/>
      <c r="AC2022" s="91"/>
      <c r="AD2022" s="91"/>
      <c r="AE2022" s="91"/>
      <c r="AF2022" s="91"/>
      <c r="AG2022" s="91"/>
      <c r="AH2022" s="91"/>
      <c r="AI2022" s="91"/>
      <c r="AJ2022" s="91"/>
      <c r="AK2022" s="91"/>
      <c r="AL2022" s="91"/>
      <c r="AM2022" s="91"/>
    </row>
    <row r="2023" spans="1:39" ht="20.25" hidden="1" customHeight="1">
      <c r="A2023" s="91"/>
      <c r="B2023" s="93" t="s">
        <v>6657</v>
      </c>
      <c r="C2023" s="91" t="s">
        <v>36</v>
      </c>
      <c r="D2023" s="94" t="s">
        <v>6710</v>
      </c>
      <c r="E2023" s="94" t="s">
        <v>6711</v>
      </c>
      <c r="F2023" s="95" t="s">
        <v>6712</v>
      </c>
      <c r="G2023" s="96">
        <v>29795</v>
      </c>
      <c r="H2023" s="97">
        <v>19836</v>
      </c>
      <c r="I2023" s="105" t="s">
        <v>6713</v>
      </c>
      <c r="J2023" s="94" t="s">
        <v>6714</v>
      </c>
      <c r="K2023" s="95">
        <v>930979102</v>
      </c>
      <c r="L2023" s="91" t="s">
        <v>197</v>
      </c>
      <c r="M2023" s="98">
        <f ca="1">(TODAY()-H2023)/365</f>
        <v>71.68767123287671</v>
      </c>
      <c r="N2023" s="99">
        <f>(G2023-H2023)/365</f>
        <v>27.284931506849315</v>
      </c>
      <c r="O2023" s="98">
        <f ca="1">(TODAY()-G2023)/365</f>
        <v>44.402739726027399</v>
      </c>
      <c r="P2023" s="91" t="s">
        <v>43</v>
      </c>
      <c r="Q2023" s="91">
        <v>0</v>
      </c>
      <c r="R2023" s="91">
        <v>0</v>
      </c>
      <c r="S2023" s="91">
        <v>0</v>
      </c>
      <c r="T2023" s="91"/>
      <c r="U2023" s="91"/>
      <c r="V2023" s="91"/>
      <c r="W2023" s="91"/>
      <c r="X2023" s="91"/>
      <c r="Y2023" s="91"/>
      <c r="Z2023" s="91"/>
      <c r="AA2023" s="91"/>
      <c r="AB2023" s="91"/>
      <c r="AC2023" s="91"/>
      <c r="AD2023" s="91"/>
      <c r="AE2023" s="91"/>
      <c r="AF2023" s="91"/>
      <c r="AG2023" s="91"/>
      <c r="AH2023" s="91"/>
      <c r="AI2023" s="91"/>
      <c r="AJ2023" s="91"/>
      <c r="AK2023" s="91"/>
      <c r="AL2023" s="91"/>
      <c r="AM2023" s="91"/>
    </row>
    <row r="2024" spans="1:39" ht="20.25" hidden="1" customHeight="1">
      <c r="A2024" s="91"/>
      <c r="B2024" s="93" t="s">
        <v>6657</v>
      </c>
      <c r="C2024" s="91" t="s">
        <v>36</v>
      </c>
      <c r="D2024" s="94" t="s">
        <v>6715</v>
      </c>
      <c r="E2024" s="94" t="s">
        <v>6716</v>
      </c>
      <c r="F2024" s="95" t="s">
        <v>6717</v>
      </c>
      <c r="G2024" s="96">
        <v>45444</v>
      </c>
      <c r="H2024" s="97">
        <v>34123</v>
      </c>
      <c r="I2024" s="105" t="s">
        <v>6718</v>
      </c>
      <c r="J2024" s="94" t="s">
        <v>6719</v>
      </c>
      <c r="K2024" s="95">
        <v>927508313</v>
      </c>
      <c r="L2024" s="91" t="s">
        <v>60</v>
      </c>
      <c r="M2024" s="98">
        <f ca="1">(TODAY()-H2024)/365</f>
        <v>32.545205479452058</v>
      </c>
      <c r="N2024" s="99">
        <f>(G2024-H2024)/365</f>
        <v>31.016438356164382</v>
      </c>
      <c r="O2024" s="98">
        <f ca="1">(TODAY()-G2024)/365</f>
        <v>1.5287671232876712</v>
      </c>
      <c r="P2024" s="91" t="s">
        <v>43</v>
      </c>
      <c r="Q2024" s="91">
        <v>0</v>
      </c>
      <c r="R2024" s="91">
        <v>0</v>
      </c>
      <c r="S2024" s="91">
        <v>0</v>
      </c>
      <c r="T2024" s="91"/>
      <c r="U2024" s="91"/>
      <c r="V2024" s="91"/>
      <c r="W2024" s="91"/>
      <c r="X2024" s="91"/>
      <c r="Y2024" s="91"/>
      <c r="Z2024" s="91"/>
      <c r="AA2024" s="91"/>
      <c r="AB2024" s="91"/>
      <c r="AC2024" s="91"/>
      <c r="AD2024" s="91"/>
      <c r="AE2024" s="91"/>
      <c r="AF2024" s="91"/>
      <c r="AG2024" s="91"/>
      <c r="AH2024" s="91"/>
      <c r="AI2024" s="91"/>
      <c r="AJ2024" s="91"/>
      <c r="AK2024" s="91"/>
      <c r="AL2024" s="91"/>
      <c r="AM2024" s="91"/>
    </row>
    <row r="2025" spans="1:39" ht="20.25" hidden="1" customHeight="1">
      <c r="A2025" s="91"/>
      <c r="B2025" s="93" t="s">
        <v>6657</v>
      </c>
      <c r="C2025" s="91" t="s">
        <v>36</v>
      </c>
      <c r="D2025" s="94" t="s">
        <v>6720</v>
      </c>
      <c r="E2025" s="94" t="s">
        <v>6721</v>
      </c>
      <c r="F2025" s="95" t="s">
        <v>6722</v>
      </c>
      <c r="G2025" s="96">
        <v>44574</v>
      </c>
      <c r="H2025" s="97">
        <v>33037</v>
      </c>
      <c r="I2025" s="94" t="s">
        <v>6723</v>
      </c>
      <c r="J2025" s="94" t="s">
        <v>6724</v>
      </c>
      <c r="K2025" s="95" t="s">
        <v>6725</v>
      </c>
      <c r="L2025" s="91" t="s">
        <v>60</v>
      </c>
      <c r="M2025" s="98">
        <f ca="1">(TODAY()-H2025)/365</f>
        <v>35.520547945205479</v>
      </c>
      <c r="N2025" s="99">
        <f>(G2025-H2025)/365</f>
        <v>31.608219178082191</v>
      </c>
      <c r="O2025" s="98">
        <f ca="1">(TODAY()-G2025)/365</f>
        <v>3.9123287671232876</v>
      </c>
      <c r="P2025" s="91" t="s">
        <v>43</v>
      </c>
      <c r="Q2025" s="91">
        <v>0</v>
      </c>
      <c r="R2025" s="91">
        <v>0</v>
      </c>
      <c r="S2025" s="91">
        <v>0</v>
      </c>
      <c r="T2025" s="91"/>
      <c r="U2025" s="91"/>
      <c r="V2025" s="91"/>
      <c r="W2025" s="91"/>
      <c r="X2025" s="91"/>
      <c r="Y2025" s="91"/>
      <c r="Z2025" s="91"/>
      <c r="AA2025" s="91"/>
      <c r="AB2025" s="91"/>
      <c r="AC2025" s="91"/>
      <c r="AD2025" s="91"/>
      <c r="AE2025" s="91"/>
      <c r="AF2025" s="91"/>
      <c r="AG2025" s="91"/>
      <c r="AH2025" s="91"/>
      <c r="AI2025" s="91"/>
      <c r="AJ2025" s="91"/>
      <c r="AK2025" s="91"/>
      <c r="AL2025" s="91"/>
      <c r="AM2025" s="91"/>
    </row>
    <row r="2026" spans="1:39" ht="20.25" hidden="1" customHeight="1">
      <c r="A2026" s="91"/>
      <c r="B2026" s="93" t="s">
        <v>6657</v>
      </c>
      <c r="C2026" s="91" t="s">
        <v>36</v>
      </c>
      <c r="D2026" s="94" t="s">
        <v>3335</v>
      </c>
      <c r="E2026" s="94" t="s">
        <v>6726</v>
      </c>
      <c r="F2026" s="95" t="s">
        <v>6727</v>
      </c>
      <c r="G2026" s="96">
        <v>30761</v>
      </c>
      <c r="H2026" s="97">
        <v>18617</v>
      </c>
      <c r="I2026" s="94" t="s">
        <v>58</v>
      </c>
      <c r="J2026" s="94" t="s">
        <v>6728</v>
      </c>
      <c r="K2026" s="95">
        <v>993437179</v>
      </c>
      <c r="L2026" s="91" t="s">
        <v>60</v>
      </c>
      <c r="M2026" s="98">
        <f ca="1">(TODAY()-H2026)/365</f>
        <v>75.027397260273972</v>
      </c>
      <c r="N2026" s="99">
        <f>(G2026-H2026)/365</f>
        <v>33.271232876712325</v>
      </c>
      <c r="O2026" s="98">
        <f ca="1">(TODAY()-G2026)/365</f>
        <v>41.756164383561647</v>
      </c>
      <c r="P2026" s="91" t="s">
        <v>43</v>
      </c>
      <c r="Q2026" s="91">
        <v>0</v>
      </c>
      <c r="R2026" s="91">
        <v>0</v>
      </c>
      <c r="S2026" s="91">
        <v>0</v>
      </c>
      <c r="T2026" s="91"/>
      <c r="U2026" s="91"/>
      <c r="V2026" s="91"/>
      <c r="W2026" s="91"/>
      <c r="X2026" s="91"/>
      <c r="Y2026" s="91"/>
      <c r="Z2026" s="91"/>
      <c r="AA2026" s="91"/>
      <c r="AB2026" s="91"/>
      <c r="AC2026" s="91"/>
      <c r="AD2026" s="91"/>
      <c r="AE2026" s="91"/>
      <c r="AF2026" s="91"/>
      <c r="AG2026" s="91"/>
      <c r="AH2026" s="91"/>
      <c r="AI2026" s="91"/>
      <c r="AJ2026" s="91"/>
      <c r="AK2026" s="91"/>
      <c r="AL2026" s="91"/>
      <c r="AM2026" s="91"/>
    </row>
    <row r="2027" spans="1:39" ht="20.25" hidden="1" customHeight="1">
      <c r="A2027" s="91"/>
      <c r="B2027" s="93" t="s">
        <v>6657</v>
      </c>
      <c r="C2027" s="91" t="s">
        <v>36</v>
      </c>
      <c r="D2027" s="94" t="s">
        <v>3335</v>
      </c>
      <c r="E2027" s="94" t="s">
        <v>6729</v>
      </c>
      <c r="F2027" s="95" t="s">
        <v>6730</v>
      </c>
      <c r="G2027" s="96">
        <v>42804</v>
      </c>
      <c r="H2027" s="97">
        <v>30516</v>
      </c>
      <c r="I2027" s="94" t="s">
        <v>6731</v>
      </c>
      <c r="J2027" s="94" t="s">
        <v>6732</v>
      </c>
      <c r="K2027" s="95">
        <v>971211986</v>
      </c>
      <c r="L2027" s="91" t="s">
        <v>60</v>
      </c>
      <c r="M2027" s="98">
        <f ca="1">(TODAY()-H2027)/365</f>
        <v>42.42739726027397</v>
      </c>
      <c r="N2027" s="99">
        <f>(G2027-H2027)/365</f>
        <v>33.665753424657531</v>
      </c>
      <c r="O2027" s="98">
        <f ca="1">(TODAY()-G2027)/365</f>
        <v>8.7616438356164377</v>
      </c>
      <c r="P2027" s="91" t="s">
        <v>43</v>
      </c>
      <c r="Q2027" s="91">
        <v>0</v>
      </c>
      <c r="R2027" s="91">
        <v>0</v>
      </c>
      <c r="S2027" s="91">
        <v>0</v>
      </c>
      <c r="T2027" s="91"/>
      <c r="U2027" s="91"/>
      <c r="V2027" s="91"/>
      <c r="W2027" s="91"/>
      <c r="X2027" s="91"/>
      <c r="Y2027" s="91"/>
      <c r="Z2027" s="91"/>
      <c r="AA2027" s="91"/>
      <c r="AB2027" s="91"/>
      <c r="AC2027" s="91"/>
      <c r="AD2027" s="91"/>
      <c r="AE2027" s="91"/>
      <c r="AF2027" s="91"/>
      <c r="AG2027" s="91"/>
      <c r="AH2027" s="91"/>
      <c r="AI2027" s="91"/>
      <c r="AJ2027" s="91"/>
      <c r="AK2027" s="91"/>
      <c r="AL2027" s="91"/>
      <c r="AM2027" s="91"/>
    </row>
    <row r="2028" spans="1:39" ht="20.25" hidden="1" customHeight="1">
      <c r="A2028" s="91"/>
      <c r="B2028" s="93" t="s">
        <v>6657</v>
      </c>
      <c r="C2028" s="91" t="s">
        <v>36</v>
      </c>
      <c r="D2028" s="94" t="s">
        <v>6733</v>
      </c>
      <c r="E2028" s="94" t="s">
        <v>6734</v>
      </c>
      <c r="F2028" s="95" t="s">
        <v>6735</v>
      </c>
      <c r="G2028" s="96">
        <v>42795</v>
      </c>
      <c r="H2028" s="97">
        <v>30323</v>
      </c>
      <c r="I2028" s="94" t="s">
        <v>6736</v>
      </c>
      <c r="J2028" s="94" t="s">
        <v>6737</v>
      </c>
      <c r="K2028" s="95">
        <v>990396175</v>
      </c>
      <c r="L2028" s="91" t="s">
        <v>60</v>
      </c>
      <c r="M2028" s="98">
        <f ca="1">(TODAY()-H2028)/365</f>
        <v>42.956164383561642</v>
      </c>
      <c r="N2028" s="99">
        <f>(G2028-H2028)/365</f>
        <v>34.169863013698631</v>
      </c>
      <c r="O2028" s="98">
        <f ca="1">(TODAY()-G2028)/365</f>
        <v>8.786301369863013</v>
      </c>
      <c r="P2028" s="91" t="s">
        <v>272</v>
      </c>
      <c r="Q2028" s="91">
        <v>0</v>
      </c>
      <c r="R2028" s="91">
        <v>0</v>
      </c>
      <c r="S2028" s="91">
        <v>0</v>
      </c>
      <c r="T2028" s="91"/>
      <c r="U2028" s="91"/>
      <c r="V2028" s="91"/>
      <c r="W2028" s="91"/>
      <c r="X2028" s="91"/>
      <c r="Y2028" s="91"/>
      <c r="Z2028" s="91"/>
      <c r="AA2028" s="91"/>
      <c r="AB2028" s="91"/>
      <c r="AC2028" s="91"/>
      <c r="AD2028" s="91"/>
      <c r="AE2028" s="91"/>
      <c r="AF2028" s="91"/>
      <c r="AG2028" s="91"/>
      <c r="AH2028" s="91"/>
      <c r="AI2028" s="91"/>
      <c r="AJ2028" s="91"/>
      <c r="AK2028" s="91"/>
      <c r="AL2028" s="91"/>
      <c r="AM2028" s="91"/>
    </row>
    <row r="2029" spans="1:39" ht="20.25" hidden="1" customHeight="1">
      <c r="A2029" s="91"/>
      <c r="B2029" s="93" t="s">
        <v>6657</v>
      </c>
      <c r="C2029" s="91" t="s">
        <v>36</v>
      </c>
      <c r="D2029" s="94" t="s">
        <v>6738</v>
      </c>
      <c r="E2029" s="94" t="s">
        <v>6739</v>
      </c>
      <c r="F2029" s="95" t="s">
        <v>6740</v>
      </c>
      <c r="G2029" s="96">
        <v>32295</v>
      </c>
      <c r="H2029" s="97">
        <v>19693</v>
      </c>
      <c r="I2029" s="94" t="s">
        <v>58</v>
      </c>
      <c r="J2029" s="94" t="s">
        <v>6677</v>
      </c>
      <c r="K2029" s="95">
        <v>991609678</v>
      </c>
      <c r="L2029" s="91" t="s">
        <v>60</v>
      </c>
      <c r="M2029" s="98">
        <f ca="1">(TODAY()-H2029)/365</f>
        <v>72.079452054794515</v>
      </c>
      <c r="N2029" s="99">
        <f>(G2029-H2029)/365</f>
        <v>34.526027397260272</v>
      </c>
      <c r="O2029" s="98">
        <f ca="1">(TODAY()-G2029)/365</f>
        <v>37.553424657534244</v>
      </c>
      <c r="P2029" s="91" t="s">
        <v>272</v>
      </c>
      <c r="Q2029" s="91">
        <v>0</v>
      </c>
      <c r="R2029" s="91">
        <v>0</v>
      </c>
      <c r="S2029" s="91">
        <v>0</v>
      </c>
      <c r="T2029" s="91"/>
      <c r="U2029" s="91"/>
      <c r="V2029" s="91"/>
      <c r="W2029" s="91"/>
      <c r="X2029" s="91"/>
      <c r="Y2029" s="91"/>
      <c r="Z2029" s="91"/>
      <c r="AA2029" s="91"/>
      <c r="AB2029" s="91"/>
      <c r="AC2029" s="91"/>
      <c r="AD2029" s="91"/>
      <c r="AE2029" s="91"/>
      <c r="AF2029" s="91"/>
      <c r="AG2029" s="91"/>
      <c r="AH2029" s="91"/>
      <c r="AI2029" s="91"/>
      <c r="AJ2029" s="91"/>
      <c r="AK2029" s="91"/>
      <c r="AL2029" s="91"/>
      <c r="AM2029" s="91"/>
    </row>
    <row r="2030" spans="1:39" ht="20.25" hidden="1" customHeight="1">
      <c r="A2030" s="91"/>
      <c r="B2030" s="93" t="s">
        <v>6657</v>
      </c>
      <c r="C2030" s="91" t="s">
        <v>36</v>
      </c>
      <c r="D2030" s="94" t="s">
        <v>6741</v>
      </c>
      <c r="E2030" s="94" t="s">
        <v>6742</v>
      </c>
      <c r="F2030" s="95" t="s">
        <v>6743</v>
      </c>
      <c r="G2030" s="96">
        <v>43164</v>
      </c>
      <c r="H2030" s="97">
        <v>30041</v>
      </c>
      <c r="I2030" s="105" t="s">
        <v>6744</v>
      </c>
      <c r="J2030" s="94" t="s">
        <v>6745</v>
      </c>
      <c r="K2030" s="95" t="s">
        <v>6746</v>
      </c>
      <c r="L2030" s="91" t="s">
        <v>72</v>
      </c>
      <c r="M2030" s="98">
        <f ca="1">(TODAY()-H2030)/365</f>
        <v>43.728767123287675</v>
      </c>
      <c r="N2030" s="99">
        <f>(G2030-H2030)/365</f>
        <v>35.953424657534249</v>
      </c>
      <c r="O2030" s="98">
        <f ca="1">(TODAY()-G2030)/365</f>
        <v>7.7753424657534245</v>
      </c>
      <c r="P2030" s="91" t="s">
        <v>43</v>
      </c>
      <c r="Q2030" s="91">
        <v>0</v>
      </c>
      <c r="R2030" s="91">
        <v>0</v>
      </c>
      <c r="S2030" s="91">
        <v>0</v>
      </c>
      <c r="T2030" s="91"/>
      <c r="U2030" s="91"/>
      <c r="V2030" s="91"/>
      <c r="W2030" s="91"/>
      <c r="X2030" s="91"/>
      <c r="Y2030" s="91"/>
      <c r="Z2030" s="91"/>
      <c r="AA2030" s="91"/>
      <c r="AB2030" s="91"/>
      <c r="AC2030" s="91"/>
      <c r="AD2030" s="91"/>
      <c r="AE2030" s="91"/>
      <c r="AF2030" s="91"/>
      <c r="AG2030" s="91"/>
      <c r="AH2030" s="91"/>
      <c r="AI2030" s="91"/>
      <c r="AJ2030" s="91"/>
      <c r="AK2030" s="91"/>
      <c r="AL2030" s="91"/>
      <c r="AM2030" s="91"/>
    </row>
    <row r="2031" spans="1:39" ht="20.25" hidden="1" customHeight="1">
      <c r="A2031" s="91"/>
      <c r="B2031" s="93" t="s">
        <v>6657</v>
      </c>
      <c r="C2031" s="91" t="s">
        <v>36</v>
      </c>
      <c r="D2031" s="94" t="s">
        <v>2126</v>
      </c>
      <c r="E2031" s="94" t="s">
        <v>6747</v>
      </c>
      <c r="F2031" s="95" t="s">
        <v>6748</v>
      </c>
      <c r="G2031" s="96">
        <v>40168</v>
      </c>
      <c r="H2031" s="97">
        <v>26299</v>
      </c>
      <c r="I2031" s="105" t="s">
        <v>6749</v>
      </c>
      <c r="J2031" s="94" t="s">
        <v>6750</v>
      </c>
      <c r="K2031" s="95">
        <v>964291976</v>
      </c>
      <c r="L2031" s="91" t="s">
        <v>60</v>
      </c>
      <c r="M2031" s="98">
        <f ca="1">(TODAY()-H2031)/365</f>
        <v>53.980821917808221</v>
      </c>
      <c r="N2031" s="99">
        <f>(G2031-H2031)/365</f>
        <v>37.9972602739726</v>
      </c>
      <c r="O2031" s="98">
        <f ca="1">(TODAY()-G2031)/365</f>
        <v>15.983561643835616</v>
      </c>
      <c r="P2031" s="91" t="s">
        <v>43</v>
      </c>
      <c r="Q2031" s="91">
        <v>0</v>
      </c>
      <c r="R2031" s="91">
        <v>0</v>
      </c>
      <c r="S2031" s="91">
        <v>0</v>
      </c>
      <c r="T2031" s="91"/>
      <c r="U2031" s="91"/>
      <c r="V2031" s="91"/>
      <c r="W2031" s="91"/>
      <c r="X2031" s="91"/>
      <c r="Y2031" s="91"/>
      <c r="Z2031" s="91"/>
      <c r="AA2031" s="91"/>
      <c r="AB2031" s="91"/>
      <c r="AC2031" s="91"/>
      <c r="AD2031" s="91"/>
      <c r="AE2031" s="91"/>
      <c r="AF2031" s="91"/>
      <c r="AG2031" s="91"/>
      <c r="AH2031" s="91"/>
      <c r="AI2031" s="91"/>
      <c r="AJ2031" s="91"/>
      <c r="AK2031" s="91"/>
      <c r="AL2031" s="91"/>
      <c r="AM2031" s="91"/>
    </row>
    <row r="2032" spans="1:39" ht="20.25" hidden="1" customHeight="1">
      <c r="A2032" s="91"/>
      <c r="B2032" s="93" t="s">
        <v>6657</v>
      </c>
      <c r="C2032" s="91" t="s">
        <v>36</v>
      </c>
      <c r="D2032" s="94" t="s">
        <v>6751</v>
      </c>
      <c r="E2032" s="94" t="s">
        <v>6752</v>
      </c>
      <c r="F2032" s="95" t="s">
        <v>6753</v>
      </c>
      <c r="G2032" s="96">
        <v>42644</v>
      </c>
      <c r="H2032" s="97">
        <v>27995</v>
      </c>
      <c r="I2032" s="105" t="s">
        <v>6754</v>
      </c>
      <c r="J2032" s="94" t="s">
        <v>6755</v>
      </c>
      <c r="K2032" s="95">
        <v>997290725</v>
      </c>
      <c r="L2032" s="91" t="s">
        <v>49</v>
      </c>
      <c r="M2032" s="98">
        <f ca="1">(TODAY()-H2032)/365</f>
        <v>49.334246575342469</v>
      </c>
      <c r="N2032" s="99">
        <f>(G2032-H2032)/365</f>
        <v>40.134246575342466</v>
      </c>
      <c r="O2032" s="98">
        <f ca="1">(TODAY()-G2032)/365</f>
        <v>9.1999999999999993</v>
      </c>
      <c r="P2032" s="91" t="s">
        <v>43</v>
      </c>
      <c r="Q2032" s="91">
        <v>0</v>
      </c>
      <c r="R2032" s="91">
        <v>0</v>
      </c>
      <c r="S2032" s="91">
        <v>0</v>
      </c>
      <c r="T2032" s="91"/>
      <c r="U2032" s="91"/>
      <c r="V2032" s="91"/>
      <c r="W2032" s="91"/>
      <c r="X2032" s="91"/>
      <c r="Y2032" s="91">
        <v>2024</v>
      </c>
      <c r="Z2032" s="91"/>
      <c r="AA2032" s="91"/>
      <c r="AB2032" s="91"/>
      <c r="AC2032" s="91"/>
      <c r="AD2032" s="91"/>
      <c r="AE2032" s="91"/>
      <c r="AF2032" s="91"/>
      <c r="AG2032" s="91"/>
      <c r="AH2032" s="91"/>
      <c r="AI2032" s="91"/>
      <c r="AJ2032" s="91"/>
      <c r="AK2032" s="91"/>
      <c r="AL2032" s="91"/>
      <c r="AM2032" s="91"/>
    </row>
    <row r="2033" spans="1:39" ht="20.25" hidden="1" customHeight="1">
      <c r="A2033" s="91"/>
      <c r="B2033" s="93" t="s">
        <v>6657</v>
      </c>
      <c r="C2033" s="91" t="s">
        <v>36</v>
      </c>
      <c r="D2033" s="94" t="s">
        <v>6756</v>
      </c>
      <c r="E2033" s="94" t="s">
        <v>6757</v>
      </c>
      <c r="F2033" s="95" t="s">
        <v>6758</v>
      </c>
      <c r="G2033" s="96">
        <v>40820</v>
      </c>
      <c r="H2033" s="97">
        <v>25207</v>
      </c>
      <c r="I2033" s="105" t="s">
        <v>6759</v>
      </c>
      <c r="J2033" s="94" t="s">
        <v>6677</v>
      </c>
      <c r="K2033" s="95" t="s">
        <v>6760</v>
      </c>
      <c r="L2033" s="91" t="s">
        <v>54</v>
      </c>
      <c r="M2033" s="98">
        <f ca="1">(TODAY()-H2033)/365</f>
        <v>56.972602739726028</v>
      </c>
      <c r="N2033" s="99">
        <f>(G2033-H2033)/365</f>
        <v>42.775342465753425</v>
      </c>
      <c r="O2033" s="98">
        <f ca="1">(TODAY()-G2033)/365</f>
        <v>14.197260273972603</v>
      </c>
      <c r="P2033" s="91" t="s">
        <v>272</v>
      </c>
      <c r="Q2033" s="91">
        <v>0</v>
      </c>
      <c r="R2033" s="91">
        <v>0</v>
      </c>
      <c r="S2033" s="91">
        <v>0</v>
      </c>
      <c r="T2033" s="91"/>
      <c r="U2033" s="91"/>
      <c r="V2033" s="91"/>
      <c r="W2033" s="91"/>
      <c r="X2033" s="91"/>
      <c r="Y2033" s="91"/>
      <c r="Z2033" s="91"/>
      <c r="AA2033" s="91"/>
      <c r="AB2033" s="91"/>
      <c r="AC2033" s="91"/>
      <c r="AD2033" s="91"/>
      <c r="AE2033" s="91"/>
      <c r="AF2033" s="91"/>
      <c r="AG2033" s="91"/>
      <c r="AH2033" s="91"/>
      <c r="AI2033" s="91"/>
      <c r="AJ2033" s="91"/>
      <c r="AK2033" s="91"/>
      <c r="AL2033" s="91"/>
      <c r="AM2033" s="91"/>
    </row>
    <row r="2034" spans="1:39" ht="20.25" hidden="1" customHeight="1">
      <c r="A2034" s="91"/>
      <c r="B2034" s="93" t="s">
        <v>6657</v>
      </c>
      <c r="C2034" s="91" t="s">
        <v>36</v>
      </c>
      <c r="D2034" s="94" t="s">
        <v>6761</v>
      </c>
      <c r="E2034" s="94" t="s">
        <v>6762</v>
      </c>
      <c r="F2034" s="95" t="s">
        <v>6763</v>
      </c>
      <c r="G2034" s="96">
        <v>40168</v>
      </c>
      <c r="H2034" s="97">
        <v>21290</v>
      </c>
      <c r="I2034" s="94" t="s">
        <v>6764</v>
      </c>
      <c r="J2034" s="94" t="s">
        <v>6765</v>
      </c>
      <c r="K2034" s="95">
        <v>989787966</v>
      </c>
      <c r="L2034" s="91" t="s">
        <v>60</v>
      </c>
      <c r="M2034" s="98">
        <f ca="1">(TODAY()-H2034)/365</f>
        <v>67.704109589041096</v>
      </c>
      <c r="N2034" s="99">
        <f>(G2034-H2034)/365</f>
        <v>51.720547945205482</v>
      </c>
      <c r="O2034" s="98">
        <f ca="1">(TODAY()-G2034)/365</f>
        <v>15.983561643835616</v>
      </c>
      <c r="P2034" s="91" t="s">
        <v>43</v>
      </c>
      <c r="Q2034" s="91">
        <v>0</v>
      </c>
      <c r="R2034" s="91">
        <v>0</v>
      </c>
      <c r="S2034" s="91">
        <v>0</v>
      </c>
      <c r="T2034" s="91"/>
      <c r="U2034" s="91"/>
      <c r="V2034" s="91"/>
      <c r="W2034" s="91"/>
      <c r="X2034" s="91"/>
      <c r="Y2034" s="91"/>
      <c r="Z2034" s="91"/>
      <c r="AA2034" s="91"/>
      <c r="AB2034" s="91"/>
      <c r="AC2034" s="91"/>
      <c r="AD2034" s="91"/>
      <c r="AE2034" s="91"/>
      <c r="AF2034" s="91"/>
      <c r="AG2034" s="91"/>
      <c r="AH2034" s="91"/>
      <c r="AI2034" s="91"/>
      <c r="AJ2034" s="91"/>
      <c r="AK2034" s="91"/>
      <c r="AL2034" s="91"/>
      <c r="AM2034" s="91"/>
    </row>
    <row r="2035" spans="1:39" ht="20.25" hidden="1" customHeight="1">
      <c r="A2035" s="91"/>
      <c r="B2035" s="93" t="s">
        <v>6657</v>
      </c>
      <c r="C2035" s="91" t="s">
        <v>36</v>
      </c>
      <c r="D2035" s="94" t="s">
        <v>6766</v>
      </c>
      <c r="E2035" s="94" t="s">
        <v>6767</v>
      </c>
      <c r="F2035" s="95" t="s">
        <v>6768</v>
      </c>
      <c r="G2035" s="96">
        <v>42444</v>
      </c>
      <c r="H2035" s="97">
        <v>23064</v>
      </c>
      <c r="I2035" s="94" t="s">
        <v>58</v>
      </c>
      <c r="J2035" s="94" t="s">
        <v>6677</v>
      </c>
      <c r="K2035" s="95">
        <v>974168440</v>
      </c>
      <c r="L2035" s="91" t="s">
        <v>60</v>
      </c>
      <c r="M2035" s="98">
        <f ca="1">(TODAY()-H2035)/365</f>
        <v>62.843835616438355</v>
      </c>
      <c r="N2035" s="99">
        <f>(G2035-H2035)/365</f>
        <v>53.095890410958901</v>
      </c>
      <c r="O2035" s="98">
        <f ca="1">(TODAY()-G2035)/365</f>
        <v>9.7479452054794518</v>
      </c>
      <c r="P2035" s="91" t="s">
        <v>43</v>
      </c>
      <c r="Q2035" s="91">
        <v>0</v>
      </c>
      <c r="R2035" s="91">
        <v>0</v>
      </c>
      <c r="S2035" s="91">
        <v>0</v>
      </c>
      <c r="T2035" s="91"/>
      <c r="U2035" s="91"/>
      <c r="V2035" s="91"/>
      <c r="W2035" s="91"/>
      <c r="X2035" s="91"/>
      <c r="Y2035" s="91"/>
      <c r="Z2035" s="91"/>
      <c r="AA2035" s="91"/>
      <c r="AB2035" s="91"/>
      <c r="AC2035" s="91"/>
      <c r="AD2035" s="91"/>
      <c r="AE2035" s="91"/>
      <c r="AF2035" s="91"/>
      <c r="AG2035" s="91"/>
      <c r="AH2035" s="91"/>
      <c r="AI2035" s="91"/>
      <c r="AJ2035" s="91"/>
      <c r="AK2035" s="91"/>
      <c r="AL2035" s="91"/>
      <c r="AM2035" s="91"/>
    </row>
    <row r="2036" spans="1:39" ht="20.25" hidden="1" customHeight="1">
      <c r="A2036" s="91"/>
      <c r="B2036" s="93" t="s">
        <v>6657</v>
      </c>
      <c r="C2036" s="91" t="s">
        <v>36</v>
      </c>
      <c r="D2036" s="94" t="s">
        <v>6769</v>
      </c>
      <c r="E2036" s="94" t="s">
        <v>6770</v>
      </c>
      <c r="F2036" s="95" t="s">
        <v>6771</v>
      </c>
      <c r="G2036" s="96" t="s">
        <v>58</v>
      </c>
      <c r="H2036" s="96" t="s">
        <v>58</v>
      </c>
      <c r="I2036" s="94" t="s">
        <v>6772</v>
      </c>
      <c r="J2036" s="94" t="s">
        <v>6773</v>
      </c>
      <c r="K2036" s="95">
        <v>988685116</v>
      </c>
      <c r="L2036" s="91" t="s">
        <v>60</v>
      </c>
      <c r="M2036" s="98">
        <v>0</v>
      </c>
      <c r="N2036" s="95"/>
      <c r="O2036" s="98" t="e">
        <f ca="1">(TODAY()-G2036)/365</f>
        <v>#VALUE!</v>
      </c>
      <c r="P2036" s="91" t="s">
        <v>43</v>
      </c>
      <c r="Q2036" s="91">
        <v>0</v>
      </c>
      <c r="R2036" s="91">
        <v>0</v>
      </c>
      <c r="S2036" s="91">
        <v>0</v>
      </c>
      <c r="T2036" s="91"/>
      <c r="U2036" s="91"/>
      <c r="V2036" s="91"/>
      <c r="W2036" s="91"/>
      <c r="X2036" s="91"/>
      <c r="Y2036" s="91"/>
      <c r="Z2036" s="91"/>
      <c r="AA2036" s="91"/>
      <c r="AB2036" s="91"/>
      <c r="AC2036" s="91"/>
      <c r="AD2036" s="91"/>
      <c r="AE2036" s="91"/>
      <c r="AF2036" s="91"/>
      <c r="AG2036" s="91"/>
      <c r="AH2036" s="91"/>
      <c r="AI2036" s="91"/>
      <c r="AJ2036" s="91"/>
      <c r="AK2036" s="91"/>
      <c r="AL2036" s="91"/>
      <c r="AM2036" s="91"/>
    </row>
    <row r="2037" spans="1:39" ht="20.25" hidden="1" customHeight="1">
      <c r="A2037" s="91"/>
      <c r="B2037" s="93" t="s">
        <v>6657</v>
      </c>
      <c r="C2037" s="91" t="s">
        <v>36</v>
      </c>
      <c r="D2037" s="94" t="s">
        <v>6774</v>
      </c>
      <c r="E2037" s="94" t="s">
        <v>6775</v>
      </c>
      <c r="F2037" s="95" t="s">
        <v>6776</v>
      </c>
      <c r="G2037" s="96">
        <v>45444</v>
      </c>
      <c r="H2037" s="97">
        <v>24812</v>
      </c>
      <c r="I2037" s="94" t="s">
        <v>6777</v>
      </c>
      <c r="J2037" s="94" t="s">
        <v>6778</v>
      </c>
      <c r="K2037" s="95">
        <v>976984111</v>
      </c>
      <c r="L2037" s="91" t="s">
        <v>60</v>
      </c>
      <c r="M2037" s="98">
        <f ca="1">(TODAY()-H2037)/365</f>
        <v>58.054794520547944</v>
      </c>
      <c r="N2037" s="99">
        <f>(G2037-H2037)/365</f>
        <v>56.526027397260272</v>
      </c>
      <c r="O2037" s="98">
        <f ca="1">(TODAY()-G2037)/365</f>
        <v>1.5287671232876712</v>
      </c>
      <c r="P2037" s="91" t="s">
        <v>43</v>
      </c>
      <c r="Q2037" s="91">
        <v>0</v>
      </c>
      <c r="R2037" s="91">
        <v>0</v>
      </c>
      <c r="S2037" s="91">
        <v>0</v>
      </c>
      <c r="T2037" s="91"/>
      <c r="U2037" s="91"/>
      <c r="V2037" s="91"/>
      <c r="W2037" s="91"/>
      <c r="X2037" s="91"/>
      <c r="Y2037" s="91"/>
      <c r="Z2037" s="91"/>
      <c r="AA2037" s="91"/>
      <c r="AB2037" s="91"/>
      <c r="AC2037" s="91"/>
      <c r="AD2037" s="91"/>
      <c r="AE2037" s="91"/>
      <c r="AF2037" s="91"/>
      <c r="AG2037" s="91"/>
      <c r="AH2037" s="91"/>
      <c r="AI2037" s="91"/>
      <c r="AJ2037" s="91"/>
      <c r="AK2037" s="91"/>
      <c r="AL2037" s="91"/>
      <c r="AM2037" s="91"/>
    </row>
    <row r="2038" spans="1:39" ht="20.25" hidden="1" customHeight="1">
      <c r="A2038" s="91"/>
      <c r="B2038" s="93" t="s">
        <v>6657</v>
      </c>
      <c r="C2038" s="91" t="s">
        <v>36</v>
      </c>
      <c r="D2038" s="94" t="s">
        <v>6779</v>
      </c>
      <c r="E2038" s="94" t="s">
        <v>6780</v>
      </c>
      <c r="F2038" s="95" t="s">
        <v>6781</v>
      </c>
      <c r="G2038" s="96">
        <v>45169</v>
      </c>
      <c r="H2038" s="97">
        <v>23967</v>
      </c>
      <c r="I2038" s="105" t="s">
        <v>12307</v>
      </c>
      <c r="J2038" s="94" t="s">
        <v>6782</v>
      </c>
      <c r="K2038" s="95">
        <v>964729721</v>
      </c>
      <c r="L2038" s="91" t="s">
        <v>60</v>
      </c>
      <c r="M2038" s="98">
        <f ca="1">(TODAY()-H2038)/365</f>
        <v>60.369863013698627</v>
      </c>
      <c r="N2038" s="99">
        <f>(G2038-H2038)/365</f>
        <v>58.087671232876716</v>
      </c>
      <c r="O2038" s="98">
        <f ca="1">(TODAY()-G2038)/365</f>
        <v>2.2821917808219179</v>
      </c>
      <c r="P2038" s="91" t="s">
        <v>43</v>
      </c>
      <c r="Q2038" s="91">
        <v>0</v>
      </c>
      <c r="R2038" s="91">
        <v>0</v>
      </c>
      <c r="S2038" s="91">
        <v>0</v>
      </c>
      <c r="T2038" s="91"/>
      <c r="U2038" s="91"/>
      <c r="V2038" s="91"/>
      <c r="W2038" s="91"/>
      <c r="X2038" s="91"/>
      <c r="Y2038" s="91"/>
      <c r="Z2038" s="91"/>
      <c r="AA2038" s="91"/>
      <c r="AB2038" s="91"/>
      <c r="AC2038" s="91"/>
      <c r="AD2038" s="91"/>
      <c r="AE2038" s="91"/>
      <c r="AF2038" s="91"/>
      <c r="AG2038" s="91"/>
      <c r="AH2038" s="91"/>
      <c r="AI2038" s="91"/>
      <c r="AJ2038" s="91"/>
      <c r="AK2038" s="91"/>
      <c r="AL2038" s="91"/>
      <c r="AM2038" s="91"/>
    </row>
    <row r="2039" spans="1:39" ht="20.25" hidden="1" customHeight="1">
      <c r="A2039" s="91"/>
      <c r="B2039" s="93" t="s">
        <v>6657</v>
      </c>
      <c r="C2039" s="91" t="s">
        <v>36</v>
      </c>
      <c r="D2039" s="94" t="s">
        <v>6783</v>
      </c>
      <c r="E2039" s="94" t="s">
        <v>6784</v>
      </c>
      <c r="F2039" s="95" t="s">
        <v>6785</v>
      </c>
      <c r="G2039" s="96">
        <v>45458</v>
      </c>
      <c r="H2039" s="97">
        <v>18216</v>
      </c>
      <c r="I2039" s="94" t="s">
        <v>58</v>
      </c>
      <c r="J2039" s="94" t="s">
        <v>6786</v>
      </c>
      <c r="K2039" s="95">
        <v>982634201</v>
      </c>
      <c r="L2039" s="91" t="s">
        <v>60</v>
      </c>
      <c r="M2039" s="98">
        <f ca="1">(TODAY()-H2039)/365</f>
        <v>76.126027397260273</v>
      </c>
      <c r="N2039" s="99">
        <f>(G2039-H2039)/365</f>
        <v>74.635616438356166</v>
      </c>
      <c r="O2039" s="98">
        <f ca="1">(TODAY()-G2039)/365</f>
        <v>1.4904109589041097</v>
      </c>
      <c r="P2039" s="91" t="s">
        <v>43</v>
      </c>
      <c r="Q2039" s="91">
        <v>0</v>
      </c>
      <c r="R2039" s="91">
        <v>0</v>
      </c>
      <c r="S2039" s="91">
        <v>0</v>
      </c>
      <c r="T2039" s="91"/>
      <c r="U2039" s="91"/>
      <c r="V2039" s="91"/>
      <c r="W2039" s="91"/>
      <c r="X2039" s="91"/>
      <c r="Y2039" s="91"/>
      <c r="Z2039" s="91"/>
      <c r="AA2039" s="91"/>
      <c r="AB2039" s="91"/>
      <c r="AC2039" s="91"/>
      <c r="AD2039" s="91"/>
      <c r="AE2039" s="91"/>
      <c r="AF2039" s="91"/>
      <c r="AG2039" s="91"/>
      <c r="AH2039" s="91"/>
      <c r="AI2039" s="91"/>
      <c r="AJ2039" s="91"/>
      <c r="AK2039" s="91"/>
      <c r="AL2039" s="91"/>
      <c r="AM2039" s="91"/>
    </row>
    <row r="2040" spans="1:39" ht="20.25" hidden="1" customHeight="1">
      <c r="A2040" s="128"/>
      <c r="B2040" s="93" t="s">
        <v>11273</v>
      </c>
      <c r="C2040" s="91" t="s">
        <v>36</v>
      </c>
      <c r="D2040" s="106" t="s">
        <v>11274</v>
      </c>
      <c r="E2040" s="106" t="s">
        <v>11275</v>
      </c>
      <c r="F2040" s="92" t="s">
        <v>11276</v>
      </c>
      <c r="G2040" s="103">
        <v>44562</v>
      </c>
      <c r="H2040" s="103">
        <v>16589</v>
      </c>
      <c r="I2040" s="94" t="s">
        <v>58</v>
      </c>
      <c r="J2040" s="94" t="s">
        <v>11277</v>
      </c>
      <c r="K2040" s="92">
        <v>972889963</v>
      </c>
      <c r="L2040" s="91"/>
      <c r="M2040" s="98">
        <f ca="1">(TODAY()-H2040)/365</f>
        <v>80.583561643835623</v>
      </c>
      <c r="N2040" s="99">
        <f>(G2040-H2040)/365</f>
        <v>76.638356164383566</v>
      </c>
      <c r="O2040" s="98">
        <f ca="1">(TODAY()-G2040)/365</f>
        <v>3.9452054794520546</v>
      </c>
      <c r="P2040" s="91" t="s">
        <v>43</v>
      </c>
      <c r="Q2040" s="91"/>
      <c r="R2040" s="91"/>
      <c r="S2040" s="91"/>
      <c r="T2040" s="91"/>
      <c r="U2040" s="91"/>
      <c r="V2040" s="91"/>
      <c r="W2040" s="91"/>
      <c r="X2040" s="91"/>
      <c r="Y2040" s="91"/>
      <c r="Z2040" s="91"/>
      <c r="AA2040" s="91"/>
      <c r="AB2040" s="91"/>
      <c r="AC2040" s="91"/>
      <c r="AD2040" s="91"/>
      <c r="AE2040" s="91"/>
      <c r="AF2040" s="91"/>
      <c r="AG2040" s="91"/>
      <c r="AH2040" s="91"/>
      <c r="AI2040" s="91"/>
      <c r="AJ2040" s="91"/>
      <c r="AK2040" s="91"/>
      <c r="AL2040" s="91"/>
      <c r="AM2040" s="91"/>
    </row>
    <row r="2041" spans="1:39" ht="20.25" hidden="1" customHeight="1">
      <c r="A2041" s="128"/>
      <c r="B2041" s="93" t="s">
        <v>11273</v>
      </c>
      <c r="C2041" s="91" t="s">
        <v>36</v>
      </c>
      <c r="D2041" s="106" t="s">
        <v>11278</v>
      </c>
      <c r="E2041" s="106" t="s">
        <v>11279</v>
      </c>
      <c r="F2041" s="92" t="s">
        <v>12703</v>
      </c>
      <c r="G2041" s="103">
        <v>32582</v>
      </c>
      <c r="H2041" s="103">
        <v>16108</v>
      </c>
      <c r="I2041" s="100" t="s">
        <v>11280</v>
      </c>
      <c r="J2041" s="94" t="s">
        <v>11281</v>
      </c>
      <c r="K2041" s="92">
        <v>993324962</v>
      </c>
      <c r="L2041" s="91"/>
      <c r="M2041" s="98">
        <f ca="1">(TODAY()-H2041)/365</f>
        <v>81.901369863013699</v>
      </c>
      <c r="N2041" s="99">
        <f>(G2041-H2041)/365</f>
        <v>45.134246575342466</v>
      </c>
      <c r="O2041" s="98">
        <f ca="1">(TODAY()-G2041)/365</f>
        <v>36.767123287671232</v>
      </c>
      <c r="P2041" s="91" t="s">
        <v>43</v>
      </c>
      <c r="Q2041" s="91"/>
      <c r="R2041" s="91"/>
      <c r="S2041" s="91"/>
      <c r="T2041" s="91"/>
      <c r="U2041" s="91"/>
      <c r="V2041" s="91"/>
      <c r="W2041" s="91"/>
      <c r="X2041" s="91"/>
      <c r="Y2041" s="91"/>
      <c r="Z2041" s="91"/>
      <c r="AA2041" s="91"/>
      <c r="AB2041" s="91"/>
      <c r="AC2041" s="91"/>
      <c r="AD2041" s="91"/>
      <c r="AE2041" s="91"/>
      <c r="AF2041" s="91"/>
      <c r="AG2041" s="91"/>
      <c r="AH2041" s="91"/>
      <c r="AI2041" s="91"/>
      <c r="AJ2041" s="91"/>
      <c r="AK2041" s="91"/>
      <c r="AL2041" s="91"/>
      <c r="AM2041" s="91"/>
    </row>
    <row r="2042" spans="1:39" ht="20.25" hidden="1" customHeight="1">
      <c r="A2042" s="128"/>
      <c r="B2042" s="93" t="s">
        <v>11273</v>
      </c>
      <c r="C2042" s="91" t="s">
        <v>36</v>
      </c>
      <c r="D2042" s="106" t="s">
        <v>1424</v>
      </c>
      <c r="E2042" s="106" t="s">
        <v>11282</v>
      </c>
      <c r="F2042" s="92" t="s">
        <v>12704</v>
      </c>
      <c r="G2042" s="103">
        <v>26618</v>
      </c>
      <c r="H2042" s="103">
        <v>17009</v>
      </c>
      <c r="I2042" s="100" t="s">
        <v>11283</v>
      </c>
      <c r="J2042" s="94" t="s">
        <v>11284</v>
      </c>
      <c r="K2042" s="92">
        <v>999406770</v>
      </c>
      <c r="L2042" s="91" t="s">
        <v>11158</v>
      </c>
      <c r="M2042" s="98">
        <f ca="1">(TODAY()-H2042)/365</f>
        <v>79.432876712328763</v>
      </c>
      <c r="N2042" s="99">
        <f>(G2042-H2042)/365</f>
        <v>26.326027397260273</v>
      </c>
      <c r="O2042" s="98">
        <f ca="1">(TODAY()-G2042)/365</f>
        <v>53.106849315068494</v>
      </c>
      <c r="P2042" s="91" t="s">
        <v>43</v>
      </c>
      <c r="Q2042" s="91"/>
      <c r="R2042" s="91"/>
      <c r="S2042" s="91"/>
      <c r="T2042" s="91"/>
      <c r="U2042" s="91"/>
      <c r="V2042" s="91"/>
      <c r="W2042" s="91"/>
      <c r="X2042" s="91"/>
      <c r="Y2042" s="91"/>
      <c r="Z2042" s="91"/>
      <c r="AA2042" s="91"/>
      <c r="AB2042" s="91"/>
      <c r="AC2042" s="91"/>
      <c r="AD2042" s="91"/>
      <c r="AE2042" s="91"/>
      <c r="AF2042" s="91"/>
      <c r="AG2042" s="91"/>
      <c r="AH2042" s="91"/>
      <c r="AI2042" s="91"/>
      <c r="AJ2042" s="91"/>
      <c r="AK2042" s="91"/>
      <c r="AL2042" s="91"/>
      <c r="AM2042" s="91"/>
    </row>
    <row r="2043" spans="1:39" ht="20.25" hidden="1" customHeight="1">
      <c r="A2043" s="128"/>
      <c r="B2043" s="93" t="s">
        <v>11273</v>
      </c>
      <c r="C2043" s="91" t="s">
        <v>36</v>
      </c>
      <c r="D2043" s="106" t="s">
        <v>291</v>
      </c>
      <c r="E2043" s="106" t="s">
        <v>11285</v>
      </c>
      <c r="F2043" s="92" t="s">
        <v>12705</v>
      </c>
      <c r="G2043" s="103">
        <v>32582</v>
      </c>
      <c r="H2043" s="103">
        <v>16899</v>
      </c>
      <c r="I2043" s="100" t="s">
        <v>11286</v>
      </c>
      <c r="J2043" s="94" t="s">
        <v>11287</v>
      </c>
      <c r="K2043" s="92">
        <v>979124186</v>
      </c>
      <c r="L2043" s="91"/>
      <c r="M2043" s="98">
        <f ca="1">(TODAY()-H2043)/365</f>
        <v>79.734246575342468</v>
      </c>
      <c r="N2043" s="99">
        <f>(G2043-H2043)/365</f>
        <v>42.967123287671235</v>
      </c>
      <c r="O2043" s="98">
        <f ca="1">(TODAY()-G2043)/365</f>
        <v>36.767123287671232</v>
      </c>
      <c r="P2043" s="91" t="s">
        <v>43</v>
      </c>
      <c r="Q2043" s="91"/>
      <c r="R2043" s="91"/>
      <c r="S2043" s="91"/>
      <c r="T2043" s="91"/>
      <c r="U2043" s="91"/>
      <c r="V2043" s="91"/>
      <c r="W2043" s="91"/>
      <c r="X2043" s="91"/>
      <c r="Y2043" s="91"/>
      <c r="Z2043" s="91"/>
      <c r="AA2043" s="91"/>
      <c r="AB2043" s="91"/>
      <c r="AC2043" s="91"/>
      <c r="AD2043" s="91"/>
      <c r="AE2043" s="91"/>
      <c r="AF2043" s="91"/>
      <c r="AG2043" s="91"/>
      <c r="AH2043" s="91"/>
      <c r="AI2043" s="91"/>
      <c r="AJ2043" s="91"/>
      <c r="AK2043" s="91"/>
      <c r="AL2043" s="91"/>
      <c r="AM2043" s="91"/>
    </row>
    <row r="2044" spans="1:39" ht="20.25" hidden="1" customHeight="1">
      <c r="A2044" s="128"/>
      <c r="B2044" s="93" t="s">
        <v>11273</v>
      </c>
      <c r="C2044" s="91" t="s">
        <v>36</v>
      </c>
      <c r="D2044" s="106" t="s">
        <v>675</v>
      </c>
      <c r="E2044" s="106" t="s">
        <v>3846</v>
      </c>
      <c r="F2044" s="92" t="s">
        <v>12706</v>
      </c>
      <c r="G2044" s="103">
        <v>45390</v>
      </c>
      <c r="H2044" s="103">
        <v>21854</v>
      </c>
      <c r="I2044" s="100" t="s">
        <v>11288</v>
      </c>
      <c r="J2044" s="94" t="s">
        <v>11289</v>
      </c>
      <c r="K2044" s="92">
        <v>967122034</v>
      </c>
      <c r="L2044" s="91"/>
      <c r="M2044" s="98">
        <f ca="1">(TODAY()-H2044)/365</f>
        <v>66.158904109589045</v>
      </c>
      <c r="N2044" s="99">
        <f>(G2044-H2044)/365</f>
        <v>64.482191780821921</v>
      </c>
      <c r="O2044" s="98">
        <f ca="1">(TODAY()-G2044)/365</f>
        <v>1.6767123287671233</v>
      </c>
      <c r="P2044" s="91" t="s">
        <v>43</v>
      </c>
      <c r="Q2044" s="91"/>
      <c r="R2044" s="91"/>
      <c r="S2044" s="91"/>
      <c r="T2044" s="91"/>
      <c r="U2044" s="91"/>
      <c r="V2044" s="91"/>
      <c r="W2044" s="91"/>
      <c r="X2044" s="91"/>
      <c r="Y2044" s="91"/>
      <c r="Z2044" s="91"/>
      <c r="AA2044" s="91"/>
      <c r="AB2044" s="91"/>
      <c r="AC2044" s="91"/>
      <c r="AD2044" s="91"/>
      <c r="AE2044" s="91"/>
      <c r="AF2044" s="91"/>
      <c r="AG2044" s="91"/>
      <c r="AH2044" s="91"/>
      <c r="AI2044" s="91"/>
      <c r="AJ2044" s="91"/>
      <c r="AK2044" s="91"/>
      <c r="AL2044" s="91"/>
      <c r="AM2044" s="91"/>
    </row>
    <row r="2045" spans="1:39" ht="20.25" hidden="1" customHeight="1">
      <c r="A2045" s="128"/>
      <c r="B2045" s="93" t="s">
        <v>11273</v>
      </c>
      <c r="C2045" s="91" t="s">
        <v>36</v>
      </c>
      <c r="D2045" s="106" t="s">
        <v>1276</v>
      </c>
      <c r="E2045" s="106" t="s">
        <v>11290</v>
      </c>
      <c r="F2045" s="92" t="s">
        <v>11291</v>
      </c>
      <c r="G2045" s="103">
        <v>45519</v>
      </c>
      <c r="H2045" s="103">
        <v>38130</v>
      </c>
      <c r="I2045" s="100" t="s">
        <v>11292</v>
      </c>
      <c r="J2045" s="94" t="s">
        <v>11293</v>
      </c>
      <c r="K2045" s="92">
        <v>950734908</v>
      </c>
      <c r="L2045" s="91"/>
      <c r="M2045" s="98">
        <f ca="1">(TODAY()-H2045)/365</f>
        <v>21.567123287671233</v>
      </c>
      <c r="N2045" s="99">
        <f>(G2045-H2045)/365</f>
        <v>20.243835616438357</v>
      </c>
      <c r="O2045" s="98">
        <f ca="1">(TODAY()-G2045)/365</f>
        <v>1.3232876712328767</v>
      </c>
      <c r="P2045" s="91" t="s">
        <v>43</v>
      </c>
      <c r="Q2045" s="91"/>
      <c r="R2045" s="91"/>
      <c r="S2045" s="91"/>
      <c r="T2045" s="91"/>
      <c r="U2045" s="91"/>
      <c r="V2045" s="91"/>
      <c r="W2045" s="91"/>
      <c r="X2045" s="91"/>
      <c r="Y2045" s="91"/>
      <c r="Z2045" s="91"/>
      <c r="AA2045" s="91"/>
      <c r="AB2045" s="91"/>
      <c r="AC2045" s="91"/>
      <c r="AD2045" s="91"/>
      <c r="AE2045" s="91"/>
      <c r="AF2045" s="91"/>
      <c r="AG2045" s="91"/>
      <c r="AH2045" s="91"/>
      <c r="AI2045" s="91"/>
      <c r="AJ2045" s="91"/>
      <c r="AK2045" s="91"/>
      <c r="AL2045" s="91"/>
      <c r="AM2045" s="91"/>
    </row>
    <row r="2046" spans="1:39" ht="20.25" hidden="1" customHeight="1">
      <c r="A2046" s="128"/>
      <c r="B2046" s="93" t="s">
        <v>11273</v>
      </c>
      <c r="C2046" s="91" t="s">
        <v>36</v>
      </c>
      <c r="D2046" s="106" t="s">
        <v>7585</v>
      </c>
      <c r="E2046" s="106" t="s">
        <v>11294</v>
      </c>
      <c r="F2046" s="92" t="s">
        <v>11295</v>
      </c>
      <c r="G2046" s="103">
        <v>45527</v>
      </c>
      <c r="H2046" s="103">
        <v>20881</v>
      </c>
      <c r="I2046" s="100" t="s">
        <v>11296</v>
      </c>
      <c r="J2046" s="94" t="s">
        <v>11297</v>
      </c>
      <c r="K2046" s="92">
        <v>94844414</v>
      </c>
      <c r="L2046" s="91"/>
      <c r="M2046" s="98">
        <f ca="1">(TODAY()-H2046)/365</f>
        <v>68.824657534246569</v>
      </c>
      <c r="N2046" s="99">
        <f>(G2046-H2046)/365</f>
        <v>67.523287671232879</v>
      </c>
      <c r="O2046" s="98">
        <f ca="1">(TODAY()-G2046)/365</f>
        <v>1.3013698630136987</v>
      </c>
      <c r="P2046" s="91" t="s">
        <v>43</v>
      </c>
      <c r="Q2046" s="91"/>
      <c r="R2046" s="91"/>
      <c r="S2046" s="91"/>
      <c r="T2046" s="91"/>
      <c r="U2046" s="91"/>
      <c r="V2046" s="91"/>
      <c r="W2046" s="91"/>
      <c r="X2046" s="91"/>
      <c r="Y2046" s="91"/>
      <c r="Z2046" s="91"/>
      <c r="AA2046" s="91"/>
      <c r="AB2046" s="91"/>
      <c r="AC2046" s="91"/>
      <c r="AD2046" s="91"/>
      <c r="AE2046" s="91"/>
      <c r="AF2046" s="91"/>
      <c r="AG2046" s="91"/>
      <c r="AH2046" s="91"/>
      <c r="AI2046" s="91"/>
      <c r="AJ2046" s="91"/>
      <c r="AK2046" s="91"/>
      <c r="AL2046" s="91"/>
      <c r="AM2046" s="91"/>
    </row>
    <row r="2047" spans="1:39" ht="20.25" hidden="1" customHeight="1">
      <c r="A2047" s="128"/>
      <c r="B2047" s="93" t="s">
        <v>11273</v>
      </c>
      <c r="C2047" s="91" t="s">
        <v>36</v>
      </c>
      <c r="D2047" s="106" t="s">
        <v>11298</v>
      </c>
      <c r="E2047" s="106" t="s">
        <v>11299</v>
      </c>
      <c r="F2047" s="92" t="s">
        <v>11300</v>
      </c>
      <c r="G2047" s="103">
        <v>40606</v>
      </c>
      <c r="H2047" s="103">
        <v>22744</v>
      </c>
      <c r="I2047" s="94" t="s">
        <v>58</v>
      </c>
      <c r="J2047" s="94" t="s">
        <v>11301</v>
      </c>
      <c r="K2047" s="92">
        <v>983469702</v>
      </c>
      <c r="L2047" s="91"/>
      <c r="M2047" s="98">
        <f ca="1">(TODAY()-H2047)/365</f>
        <v>63.720547945205482</v>
      </c>
      <c r="N2047" s="99">
        <f>(G2047-H2047)/365</f>
        <v>48.936986301369863</v>
      </c>
      <c r="O2047" s="98">
        <f ca="1">(TODAY()-G2047)/365</f>
        <v>14.783561643835617</v>
      </c>
      <c r="P2047" s="91" t="s">
        <v>43</v>
      </c>
      <c r="Q2047" s="91"/>
      <c r="R2047" s="91"/>
      <c r="S2047" s="91"/>
      <c r="T2047" s="91"/>
      <c r="U2047" s="91"/>
      <c r="V2047" s="91"/>
      <c r="W2047" s="91"/>
      <c r="X2047" s="91"/>
      <c r="Y2047" s="91"/>
      <c r="Z2047" s="91"/>
      <c r="AA2047" s="91"/>
      <c r="AB2047" s="91"/>
      <c r="AC2047" s="91"/>
      <c r="AD2047" s="91"/>
      <c r="AE2047" s="91"/>
      <c r="AF2047" s="91"/>
      <c r="AG2047" s="91"/>
      <c r="AH2047" s="91"/>
      <c r="AI2047" s="91"/>
      <c r="AJ2047" s="91"/>
      <c r="AK2047" s="91"/>
      <c r="AL2047" s="91"/>
      <c r="AM2047" s="91"/>
    </row>
    <row r="2048" spans="1:39" ht="20.25" hidden="1" customHeight="1">
      <c r="A2048" s="128"/>
      <c r="B2048" s="93" t="s">
        <v>11273</v>
      </c>
      <c r="C2048" s="91" t="s">
        <v>36</v>
      </c>
      <c r="D2048" s="106" t="s">
        <v>11302</v>
      </c>
      <c r="E2048" s="106" t="s">
        <v>11303</v>
      </c>
      <c r="F2048" s="92" t="s">
        <v>11304</v>
      </c>
      <c r="G2048" s="103">
        <v>43047</v>
      </c>
      <c r="H2048" s="103">
        <v>21202</v>
      </c>
      <c r="I2048" s="100" t="s">
        <v>11305</v>
      </c>
      <c r="J2048" s="94" t="s">
        <v>11306</v>
      </c>
      <c r="K2048" s="92">
        <v>987193290</v>
      </c>
      <c r="L2048" s="91"/>
      <c r="M2048" s="98">
        <f ca="1">(TODAY()-H2048)/365</f>
        <v>67.945205479452056</v>
      </c>
      <c r="N2048" s="99">
        <f>(G2048-H2048)/365</f>
        <v>59.849315068493148</v>
      </c>
      <c r="O2048" s="98">
        <f ca="1">(TODAY()-G2048)/365</f>
        <v>8.0958904109589049</v>
      </c>
      <c r="P2048" s="91" t="s">
        <v>43</v>
      </c>
      <c r="Q2048" s="91"/>
      <c r="R2048" s="91"/>
      <c r="S2048" s="91"/>
      <c r="T2048" s="91"/>
      <c r="U2048" s="91"/>
      <c r="V2048" s="91"/>
      <c r="W2048" s="91"/>
      <c r="X2048" s="91"/>
      <c r="Y2048" s="91"/>
      <c r="Z2048" s="91"/>
      <c r="AA2048" s="91"/>
      <c r="AB2048" s="91"/>
      <c r="AC2048" s="91"/>
      <c r="AD2048" s="91"/>
      <c r="AE2048" s="91"/>
      <c r="AF2048" s="91"/>
      <c r="AG2048" s="91"/>
      <c r="AH2048" s="91"/>
      <c r="AI2048" s="91"/>
      <c r="AJ2048" s="91"/>
      <c r="AK2048" s="91"/>
      <c r="AL2048" s="91"/>
      <c r="AM2048" s="91"/>
    </row>
    <row r="2049" spans="1:39" ht="20.25" hidden="1" customHeight="1">
      <c r="A2049" s="128"/>
      <c r="B2049" s="93" t="s">
        <v>11273</v>
      </c>
      <c r="C2049" s="91" t="s">
        <v>36</v>
      </c>
      <c r="D2049" s="106" t="s">
        <v>11307</v>
      </c>
      <c r="E2049" s="106" t="s">
        <v>11308</v>
      </c>
      <c r="F2049" s="92" t="s">
        <v>11309</v>
      </c>
      <c r="G2049" s="103">
        <v>27470</v>
      </c>
      <c r="H2049" s="103">
        <v>14437</v>
      </c>
      <c r="I2049" s="100" t="s">
        <v>11310</v>
      </c>
      <c r="J2049" s="94" t="s">
        <v>11311</v>
      </c>
      <c r="K2049" s="92">
        <v>990220399</v>
      </c>
      <c r="L2049" s="91" t="s">
        <v>11312</v>
      </c>
      <c r="M2049" s="98">
        <f ca="1">(TODAY()-H2049)/365</f>
        <v>86.479452054794521</v>
      </c>
      <c r="N2049" s="99">
        <f>(G2049-H2049)/365</f>
        <v>35.706849315068496</v>
      </c>
      <c r="O2049" s="98">
        <f ca="1">(TODAY()-G2049)/365</f>
        <v>50.772602739726025</v>
      </c>
      <c r="P2049" s="91" t="s">
        <v>43</v>
      </c>
      <c r="Q2049" s="91"/>
      <c r="R2049" s="91"/>
      <c r="S2049" s="91"/>
      <c r="T2049" s="91"/>
      <c r="U2049" s="91"/>
      <c r="V2049" s="91"/>
      <c r="W2049" s="91"/>
      <c r="X2049" s="91"/>
      <c r="Y2049" s="91"/>
      <c r="Z2049" s="91"/>
      <c r="AA2049" s="91"/>
      <c r="AB2049" s="91"/>
      <c r="AC2049" s="91"/>
      <c r="AD2049" s="91"/>
      <c r="AE2049" s="91"/>
      <c r="AF2049" s="91"/>
      <c r="AG2049" s="91"/>
      <c r="AH2049" s="91"/>
      <c r="AI2049" s="91"/>
      <c r="AJ2049" s="91"/>
      <c r="AK2049" s="91"/>
      <c r="AL2049" s="91"/>
      <c r="AM2049" s="91"/>
    </row>
    <row r="2050" spans="1:39" ht="20.25" hidden="1" customHeight="1">
      <c r="A2050" s="128"/>
      <c r="B2050" s="93" t="s">
        <v>11273</v>
      </c>
      <c r="C2050" s="91" t="s">
        <v>36</v>
      </c>
      <c r="D2050" s="106" t="s">
        <v>2444</v>
      </c>
      <c r="E2050" s="106" t="s">
        <v>11313</v>
      </c>
      <c r="F2050" s="92" t="s">
        <v>11314</v>
      </c>
      <c r="G2050" s="103">
        <v>44869</v>
      </c>
      <c r="H2050" s="103">
        <v>36080</v>
      </c>
      <c r="I2050" s="94" t="s">
        <v>58</v>
      </c>
      <c r="J2050" s="94" t="s">
        <v>11315</v>
      </c>
      <c r="K2050" s="92">
        <v>925092250</v>
      </c>
      <c r="L2050" s="91"/>
      <c r="M2050" s="98">
        <f ca="1">(TODAY()-H2050)/365</f>
        <v>27.183561643835617</v>
      </c>
      <c r="N2050" s="99">
        <f>(G2050-H2050)/365</f>
        <v>24.079452054794519</v>
      </c>
      <c r="O2050" s="98">
        <f ca="1">(TODAY()-G2050)/365</f>
        <v>3.1041095890410957</v>
      </c>
      <c r="P2050" s="91" t="s">
        <v>43</v>
      </c>
      <c r="Q2050" s="91"/>
      <c r="R2050" s="91"/>
      <c r="S2050" s="91"/>
      <c r="T2050" s="91"/>
      <c r="U2050" s="91"/>
      <c r="V2050" s="91"/>
      <c r="W2050" s="91"/>
      <c r="X2050" s="91"/>
      <c r="Y2050" s="91"/>
      <c r="Z2050" s="91"/>
      <c r="AA2050" s="91"/>
      <c r="AB2050" s="91"/>
      <c r="AC2050" s="91"/>
      <c r="AD2050" s="91"/>
      <c r="AE2050" s="91"/>
      <c r="AF2050" s="91"/>
      <c r="AG2050" s="91"/>
      <c r="AH2050" s="91"/>
      <c r="AI2050" s="91"/>
      <c r="AJ2050" s="91"/>
      <c r="AK2050" s="91"/>
      <c r="AL2050" s="91"/>
      <c r="AM2050" s="91"/>
    </row>
    <row r="2051" spans="1:39" ht="20.25" hidden="1" customHeight="1">
      <c r="A2051" s="128"/>
      <c r="B2051" s="93" t="s">
        <v>11273</v>
      </c>
      <c r="C2051" s="91" t="s">
        <v>36</v>
      </c>
      <c r="D2051" s="106" t="s">
        <v>67</v>
      </c>
      <c r="E2051" s="106" t="s">
        <v>11316</v>
      </c>
      <c r="F2051" s="92" t="s">
        <v>12702</v>
      </c>
      <c r="G2051" s="103">
        <v>43047</v>
      </c>
      <c r="H2051" s="103">
        <v>21028</v>
      </c>
      <c r="I2051" s="100" t="s">
        <v>11317</v>
      </c>
      <c r="J2051" s="94" t="s">
        <v>11306</v>
      </c>
      <c r="K2051" s="92">
        <v>982759459</v>
      </c>
      <c r="L2051" s="91"/>
      <c r="M2051" s="98">
        <f ca="1">(TODAY()-H2051)/365</f>
        <v>68.421917808219177</v>
      </c>
      <c r="N2051" s="99">
        <f>(G2051-H2051)/365</f>
        <v>60.326027397260276</v>
      </c>
      <c r="O2051" s="98">
        <f ca="1">(TODAY()-G2051)/365</f>
        <v>8.0958904109589049</v>
      </c>
      <c r="P2051" s="91" t="s">
        <v>43</v>
      </c>
      <c r="Q2051" s="91"/>
      <c r="R2051" s="91"/>
      <c r="S2051" s="91"/>
      <c r="T2051" s="91"/>
      <c r="U2051" s="91"/>
      <c r="V2051" s="91"/>
      <c r="W2051" s="91"/>
      <c r="X2051" s="91"/>
      <c r="Y2051" s="91"/>
      <c r="Z2051" s="91"/>
      <c r="AA2051" s="91"/>
      <c r="AB2051" s="91"/>
      <c r="AC2051" s="91"/>
      <c r="AD2051" s="91"/>
      <c r="AE2051" s="91"/>
      <c r="AF2051" s="91"/>
      <c r="AG2051" s="91"/>
      <c r="AH2051" s="91"/>
      <c r="AI2051" s="91"/>
      <c r="AJ2051" s="91"/>
      <c r="AK2051" s="91"/>
      <c r="AL2051" s="91"/>
      <c r="AM2051" s="91"/>
    </row>
    <row r="2052" spans="1:39" ht="20.25" hidden="1" customHeight="1">
      <c r="A2052" s="128"/>
      <c r="B2052" s="93" t="s">
        <v>11273</v>
      </c>
      <c r="C2052" s="91" t="s">
        <v>36</v>
      </c>
      <c r="D2052" s="106" t="s">
        <v>11318</v>
      </c>
      <c r="E2052" s="106" t="s">
        <v>11319</v>
      </c>
      <c r="F2052" s="92" t="s">
        <v>11320</v>
      </c>
      <c r="G2052" s="103">
        <v>43042</v>
      </c>
      <c r="H2052" s="103">
        <v>37270</v>
      </c>
      <c r="I2052" s="100" t="s">
        <v>11321</v>
      </c>
      <c r="J2052" s="94" t="s">
        <v>11322</v>
      </c>
      <c r="K2052" s="92">
        <v>938864768</v>
      </c>
      <c r="L2052" s="91"/>
      <c r="M2052" s="98">
        <f ca="1">(TODAY()-H2052)/365</f>
        <v>23.923287671232877</v>
      </c>
      <c r="N2052" s="99">
        <f>(G2052-H2052)/365</f>
        <v>15.813698630136987</v>
      </c>
      <c r="O2052" s="98">
        <f ca="1">(TODAY()-G2052)/365</f>
        <v>8.1095890410958908</v>
      </c>
      <c r="P2052" s="91" t="s">
        <v>272</v>
      </c>
      <c r="Q2052" s="91"/>
      <c r="R2052" s="91"/>
      <c r="S2052" s="91"/>
      <c r="T2052" s="91"/>
      <c r="U2052" s="91"/>
      <c r="V2052" s="91"/>
      <c r="W2052" s="91"/>
      <c r="X2052" s="91"/>
      <c r="Y2052" s="91"/>
      <c r="Z2052" s="91"/>
      <c r="AA2052" s="91"/>
      <c r="AB2052" s="91"/>
      <c r="AC2052" s="91"/>
      <c r="AD2052" s="91"/>
      <c r="AE2052" s="91"/>
      <c r="AF2052" s="91"/>
      <c r="AG2052" s="91"/>
      <c r="AH2052" s="91"/>
      <c r="AI2052" s="91"/>
      <c r="AJ2052" s="91"/>
      <c r="AK2052" s="91"/>
      <c r="AL2052" s="91"/>
      <c r="AM2052" s="91"/>
    </row>
    <row r="2053" spans="1:39" ht="20.25" hidden="1" customHeight="1">
      <c r="A2053" s="128"/>
      <c r="B2053" s="93" t="s">
        <v>11273</v>
      </c>
      <c r="C2053" s="91" t="s">
        <v>36</v>
      </c>
      <c r="D2053" s="106" t="s">
        <v>11323</v>
      </c>
      <c r="E2053" s="106" t="s">
        <v>11324</v>
      </c>
      <c r="F2053" s="92" t="s">
        <v>12687</v>
      </c>
      <c r="G2053" s="103">
        <v>43160</v>
      </c>
      <c r="H2053" s="103">
        <v>16492</v>
      </c>
      <c r="I2053" s="100" t="s">
        <v>11325</v>
      </c>
      <c r="J2053" s="94" t="s">
        <v>11326</v>
      </c>
      <c r="K2053" s="92">
        <v>966355890</v>
      </c>
      <c r="L2053" s="91"/>
      <c r="M2053" s="98">
        <f ca="1">(TODAY()-H2053)/365</f>
        <v>80.849315068493155</v>
      </c>
      <c r="N2053" s="99">
        <f>(G2053-H2053)/365</f>
        <v>73.063013698630144</v>
      </c>
      <c r="O2053" s="98">
        <f ca="1">(TODAY()-G2053)/365</f>
        <v>7.7863013698630139</v>
      </c>
      <c r="P2053" s="91" t="s">
        <v>43</v>
      </c>
      <c r="Q2053" s="91"/>
      <c r="R2053" s="91"/>
      <c r="S2053" s="91"/>
      <c r="T2053" s="91"/>
      <c r="U2053" s="91"/>
      <c r="V2053" s="91"/>
      <c r="W2053" s="91"/>
      <c r="X2053" s="91"/>
      <c r="Y2053" s="91"/>
      <c r="Z2053" s="91"/>
      <c r="AA2053" s="91"/>
      <c r="AB2053" s="91"/>
      <c r="AC2053" s="91"/>
      <c r="AD2053" s="91"/>
      <c r="AE2053" s="91"/>
      <c r="AF2053" s="91"/>
      <c r="AG2053" s="91"/>
      <c r="AH2053" s="91"/>
      <c r="AI2053" s="91"/>
      <c r="AJ2053" s="91"/>
      <c r="AK2053" s="91"/>
      <c r="AL2053" s="91"/>
      <c r="AM2053" s="91"/>
    </row>
    <row r="2054" spans="1:39" ht="20.25" hidden="1" customHeight="1">
      <c r="A2054" s="128"/>
      <c r="B2054" s="93" t="s">
        <v>11273</v>
      </c>
      <c r="C2054" s="91" t="s">
        <v>36</v>
      </c>
      <c r="D2054" s="106" t="s">
        <v>11327</v>
      </c>
      <c r="E2054" s="106" t="s">
        <v>11328</v>
      </c>
      <c r="F2054" s="92" t="s">
        <v>11329</v>
      </c>
      <c r="G2054" s="103">
        <v>45614</v>
      </c>
      <c r="H2054" s="103">
        <v>27956</v>
      </c>
      <c r="I2054" s="100" t="s">
        <v>11330</v>
      </c>
      <c r="J2054" s="94" t="s">
        <v>11331</v>
      </c>
      <c r="K2054" s="92">
        <v>987756831</v>
      </c>
      <c r="L2054" s="91"/>
      <c r="M2054" s="98">
        <f ca="1">(TODAY()-H2054)/365</f>
        <v>49.441095890410956</v>
      </c>
      <c r="N2054" s="99">
        <f>(G2054-H2054)/365</f>
        <v>48.37808219178082</v>
      </c>
      <c r="O2054" s="98">
        <f ca="1">(TODAY()-G2054)/365</f>
        <v>1.0630136986301371</v>
      </c>
      <c r="P2054" s="91" t="s">
        <v>43</v>
      </c>
      <c r="Q2054" s="91"/>
      <c r="R2054" s="91"/>
      <c r="S2054" s="91"/>
      <c r="T2054" s="91"/>
      <c r="U2054" s="91"/>
      <c r="V2054" s="91"/>
      <c r="W2054" s="91"/>
      <c r="X2054" s="91"/>
      <c r="Y2054" s="91"/>
      <c r="Z2054" s="91"/>
      <c r="AA2054" s="91"/>
      <c r="AB2054" s="91"/>
      <c r="AC2054" s="91"/>
      <c r="AD2054" s="91"/>
      <c r="AE2054" s="91"/>
      <c r="AF2054" s="91"/>
      <c r="AG2054" s="91"/>
      <c r="AH2054" s="91"/>
      <c r="AI2054" s="91"/>
      <c r="AJ2054" s="91"/>
      <c r="AK2054" s="91"/>
      <c r="AL2054" s="91"/>
      <c r="AM2054" s="91"/>
    </row>
    <row r="2055" spans="1:39" ht="20.25" hidden="1" customHeight="1">
      <c r="A2055" s="128"/>
      <c r="B2055" s="93" t="s">
        <v>11273</v>
      </c>
      <c r="C2055" s="91" t="s">
        <v>36</v>
      </c>
      <c r="D2055" s="106" t="s">
        <v>11332</v>
      </c>
      <c r="E2055" s="106" t="s">
        <v>11333</v>
      </c>
      <c r="F2055" s="92" t="s">
        <v>11334</v>
      </c>
      <c r="G2055" s="103">
        <v>45536</v>
      </c>
      <c r="H2055" s="103">
        <v>37924</v>
      </c>
      <c r="I2055" s="129" t="s">
        <v>11335</v>
      </c>
      <c r="J2055" s="94" t="s">
        <v>11336</v>
      </c>
      <c r="K2055" s="92">
        <v>966959267</v>
      </c>
      <c r="L2055" s="91"/>
      <c r="M2055" s="98">
        <f ca="1">(TODAY()-H2055)/365</f>
        <v>22.13150684931507</v>
      </c>
      <c r="N2055" s="99">
        <f>(G2055-H2055)/365</f>
        <v>20.854794520547944</v>
      </c>
      <c r="O2055" s="98">
        <f ca="1">(TODAY()-G2055)/365</f>
        <v>1.2767123287671234</v>
      </c>
      <c r="P2055" s="91" t="s">
        <v>43</v>
      </c>
      <c r="Q2055" s="91"/>
      <c r="R2055" s="91"/>
      <c r="S2055" s="91"/>
      <c r="T2055" s="91"/>
      <c r="U2055" s="91"/>
      <c r="V2055" s="91"/>
      <c r="W2055" s="91"/>
      <c r="X2055" s="91"/>
      <c r="Y2055" s="91"/>
      <c r="Z2055" s="91"/>
      <c r="AA2055" s="91"/>
      <c r="AB2055" s="91"/>
      <c r="AC2055" s="91"/>
      <c r="AD2055" s="91"/>
      <c r="AE2055" s="91"/>
      <c r="AF2055" s="91"/>
      <c r="AG2055" s="91"/>
      <c r="AH2055" s="91"/>
      <c r="AI2055" s="91"/>
      <c r="AJ2055" s="91"/>
      <c r="AK2055" s="91"/>
      <c r="AL2055" s="91"/>
      <c r="AM2055" s="91"/>
    </row>
    <row r="2056" spans="1:39" ht="20.25" hidden="1" customHeight="1">
      <c r="A2056" s="128"/>
      <c r="B2056" s="93" t="s">
        <v>11273</v>
      </c>
      <c r="C2056" s="91" t="s">
        <v>36</v>
      </c>
      <c r="D2056" s="106" t="s">
        <v>11337</v>
      </c>
      <c r="E2056" s="106" t="s">
        <v>11338</v>
      </c>
      <c r="F2056" s="92" t="s">
        <v>11339</v>
      </c>
      <c r="G2056" s="103">
        <v>44267</v>
      </c>
      <c r="H2056" s="103">
        <v>38358</v>
      </c>
      <c r="I2056" s="100" t="s">
        <v>11340</v>
      </c>
      <c r="J2056" s="94" t="s">
        <v>11341</v>
      </c>
      <c r="K2056" s="92">
        <v>963521783</v>
      </c>
      <c r="L2056" s="91"/>
      <c r="M2056" s="98">
        <f ca="1">(TODAY()-H2056)/365</f>
        <v>20.942465753424656</v>
      </c>
      <c r="N2056" s="99">
        <f>(G2056-H2056)/365</f>
        <v>16.18904109589041</v>
      </c>
      <c r="O2056" s="98">
        <f ca="1">(TODAY()-G2056)/365</f>
        <v>4.7534246575342465</v>
      </c>
      <c r="P2056" s="91" t="s">
        <v>43</v>
      </c>
      <c r="Q2056" s="91"/>
      <c r="R2056" s="91"/>
      <c r="S2056" s="91"/>
      <c r="T2056" s="91"/>
      <c r="U2056" s="91"/>
      <c r="V2056" s="91"/>
      <c r="W2056" s="91"/>
      <c r="X2056" s="91"/>
      <c r="Y2056" s="91"/>
      <c r="Z2056" s="91"/>
      <c r="AA2056" s="91"/>
      <c r="AB2056" s="91"/>
      <c r="AC2056" s="91"/>
      <c r="AD2056" s="91"/>
      <c r="AE2056" s="91"/>
      <c r="AF2056" s="91"/>
      <c r="AG2056" s="91"/>
      <c r="AH2056" s="91"/>
      <c r="AI2056" s="91"/>
      <c r="AJ2056" s="91"/>
      <c r="AK2056" s="91"/>
      <c r="AL2056" s="91"/>
      <c r="AM2056" s="91"/>
    </row>
    <row r="2057" spans="1:39" ht="20.25" hidden="1" customHeight="1">
      <c r="A2057" s="128"/>
      <c r="B2057" s="93" t="s">
        <v>11273</v>
      </c>
      <c r="C2057" s="91" t="s">
        <v>36</v>
      </c>
      <c r="D2057" s="106" t="s">
        <v>11342</v>
      </c>
      <c r="E2057" s="106" t="s">
        <v>11343</v>
      </c>
      <c r="F2057" s="92" t="s">
        <v>11344</v>
      </c>
      <c r="G2057" s="103">
        <v>25729</v>
      </c>
      <c r="H2057" s="103">
        <v>13936</v>
      </c>
      <c r="I2057" s="100" t="s">
        <v>11345</v>
      </c>
      <c r="J2057" s="94" t="s">
        <v>11346</v>
      </c>
      <c r="K2057" s="92">
        <v>993957968</v>
      </c>
      <c r="L2057" s="91" t="s">
        <v>11347</v>
      </c>
      <c r="M2057" s="98">
        <f ca="1">(TODAY()-H2057)/365</f>
        <v>87.852054794520555</v>
      </c>
      <c r="N2057" s="99">
        <f>(G2057-H2057)/365</f>
        <v>32.30958904109589</v>
      </c>
      <c r="O2057" s="98">
        <f ca="1">(TODAY()-G2057)/365</f>
        <v>55.542465753424658</v>
      </c>
      <c r="P2057" s="91" t="s">
        <v>43</v>
      </c>
      <c r="Q2057" s="91"/>
      <c r="R2057" s="91"/>
      <c r="S2057" s="91"/>
      <c r="T2057" s="91"/>
      <c r="U2057" s="91"/>
      <c r="V2057" s="91"/>
      <c r="W2057" s="91"/>
      <c r="X2057" s="91"/>
      <c r="Y2057" s="91"/>
      <c r="Z2057" s="91"/>
      <c r="AA2057" s="91"/>
      <c r="AB2057" s="91"/>
      <c r="AC2057" s="91"/>
      <c r="AD2057" s="91"/>
      <c r="AE2057" s="91"/>
      <c r="AF2057" s="91"/>
      <c r="AG2057" s="91"/>
      <c r="AH2057" s="91"/>
      <c r="AI2057" s="91"/>
      <c r="AJ2057" s="91"/>
      <c r="AK2057" s="91"/>
      <c r="AL2057" s="91"/>
      <c r="AM2057" s="91"/>
    </row>
    <row r="2058" spans="1:39" ht="20.25" hidden="1" customHeight="1">
      <c r="A2058" s="128"/>
      <c r="B2058" s="93" t="s">
        <v>11273</v>
      </c>
      <c r="C2058" s="91" t="s">
        <v>36</v>
      </c>
      <c r="D2058" s="106" t="s">
        <v>1225</v>
      </c>
      <c r="E2058" s="106" t="s">
        <v>11348</v>
      </c>
      <c r="F2058" s="92" t="s">
        <v>11349</v>
      </c>
      <c r="G2058" s="103">
        <v>30403</v>
      </c>
      <c r="H2058" s="103">
        <v>17794</v>
      </c>
      <c r="I2058" s="100" t="s">
        <v>11350</v>
      </c>
      <c r="J2058" s="94" t="s">
        <v>11351</v>
      </c>
      <c r="K2058" s="92">
        <v>991500472</v>
      </c>
      <c r="L2058" s="91" t="s">
        <v>11352</v>
      </c>
      <c r="M2058" s="98">
        <f ca="1">(TODAY()-H2058)/365</f>
        <v>77.282191780821918</v>
      </c>
      <c r="N2058" s="99">
        <f>(G2058-H2058)/365</f>
        <v>34.545205479452058</v>
      </c>
      <c r="O2058" s="98">
        <f ca="1">(TODAY()-G2058)/365</f>
        <v>42.736986301369861</v>
      </c>
      <c r="P2058" s="91" t="s">
        <v>43</v>
      </c>
      <c r="Q2058" s="91"/>
      <c r="R2058" s="91"/>
      <c r="S2058" s="91"/>
      <c r="T2058" s="91"/>
      <c r="U2058" s="91"/>
      <c r="V2058" s="91"/>
      <c r="W2058" s="91"/>
      <c r="X2058" s="91"/>
      <c r="Y2058" s="91"/>
      <c r="Z2058" s="91"/>
      <c r="AA2058" s="91"/>
      <c r="AB2058" s="91"/>
      <c r="AC2058" s="91"/>
      <c r="AD2058" s="91"/>
      <c r="AE2058" s="91"/>
      <c r="AF2058" s="91"/>
      <c r="AG2058" s="91"/>
      <c r="AH2058" s="91"/>
      <c r="AI2058" s="91"/>
      <c r="AJ2058" s="91"/>
      <c r="AK2058" s="91"/>
      <c r="AL2058" s="91"/>
      <c r="AM2058" s="91"/>
    </row>
    <row r="2059" spans="1:39" ht="20.25" hidden="1" customHeight="1">
      <c r="A2059" s="128"/>
      <c r="B2059" s="93" t="s">
        <v>11273</v>
      </c>
      <c r="C2059" s="91" t="s">
        <v>36</v>
      </c>
      <c r="D2059" s="106" t="s">
        <v>11353</v>
      </c>
      <c r="E2059" s="106" t="s">
        <v>11354</v>
      </c>
      <c r="F2059" s="92" t="s">
        <v>11355</v>
      </c>
      <c r="G2059" s="103">
        <v>42947</v>
      </c>
      <c r="H2059" s="103">
        <v>20646</v>
      </c>
      <c r="I2059" s="100" t="s">
        <v>11356</v>
      </c>
      <c r="J2059" s="94" t="s">
        <v>11357</v>
      </c>
      <c r="K2059" s="92">
        <v>976599711</v>
      </c>
      <c r="L2059" s="91" t="s">
        <v>11358</v>
      </c>
      <c r="M2059" s="98">
        <f ca="1">(TODAY()-H2059)/365</f>
        <v>69.468493150684935</v>
      </c>
      <c r="N2059" s="99">
        <f>(G2059-H2059)/365</f>
        <v>61.098630136986301</v>
      </c>
      <c r="O2059" s="98">
        <f ca="1">(TODAY()-G2059)/365</f>
        <v>8.3698630136986303</v>
      </c>
      <c r="P2059" s="91" t="s">
        <v>43</v>
      </c>
      <c r="Q2059" s="91"/>
      <c r="R2059" s="91"/>
      <c r="S2059" s="91"/>
      <c r="T2059" s="91"/>
      <c r="U2059" s="91"/>
      <c r="V2059" s="91"/>
      <c r="W2059" s="91"/>
      <c r="X2059" s="91"/>
      <c r="Y2059" s="91"/>
      <c r="Z2059" s="91"/>
      <c r="AA2059" s="91"/>
      <c r="AB2059" s="91"/>
      <c r="AC2059" s="91"/>
      <c r="AD2059" s="91"/>
      <c r="AE2059" s="91"/>
      <c r="AF2059" s="91"/>
      <c r="AG2059" s="91"/>
      <c r="AH2059" s="91"/>
      <c r="AI2059" s="91"/>
      <c r="AJ2059" s="91"/>
      <c r="AK2059" s="91"/>
      <c r="AL2059" s="91"/>
      <c r="AM2059" s="91"/>
    </row>
    <row r="2060" spans="1:39" ht="20.25" hidden="1" customHeight="1">
      <c r="A2060" s="128"/>
      <c r="B2060" s="93" t="s">
        <v>11273</v>
      </c>
      <c r="C2060" s="91" t="s">
        <v>36</v>
      </c>
      <c r="D2060" s="106" t="s">
        <v>11359</v>
      </c>
      <c r="E2060" s="106" t="s">
        <v>11360</v>
      </c>
      <c r="F2060" s="92" t="s">
        <v>11361</v>
      </c>
      <c r="G2060" s="103">
        <v>43682</v>
      </c>
      <c r="H2060" s="103">
        <v>23391</v>
      </c>
      <c r="I2060" s="100" t="s">
        <v>11362</v>
      </c>
      <c r="J2060" s="100" t="s">
        <v>11363</v>
      </c>
      <c r="K2060" s="92">
        <v>993056147</v>
      </c>
      <c r="L2060" s="91"/>
      <c r="M2060" s="98">
        <f ca="1">(TODAY()-H2060)/365</f>
        <v>61.947945205479449</v>
      </c>
      <c r="N2060" s="99">
        <f>(G2060-H2060)/365</f>
        <v>55.591780821917808</v>
      </c>
      <c r="O2060" s="98">
        <f ca="1">(TODAY()-G2060)/365</f>
        <v>6.3561643835616435</v>
      </c>
      <c r="P2060" s="91" t="s">
        <v>43</v>
      </c>
      <c r="Q2060" s="91"/>
      <c r="R2060" s="91"/>
      <c r="S2060" s="91"/>
      <c r="T2060" s="91"/>
      <c r="U2060" s="91"/>
      <c r="V2060" s="91"/>
      <c r="W2060" s="91"/>
      <c r="X2060" s="91"/>
      <c r="Y2060" s="91"/>
      <c r="Z2060" s="91"/>
      <c r="AA2060" s="91"/>
      <c r="AB2060" s="91"/>
      <c r="AC2060" s="91"/>
      <c r="AD2060" s="91"/>
      <c r="AE2060" s="91"/>
      <c r="AF2060" s="91"/>
      <c r="AG2060" s="91"/>
      <c r="AH2060" s="91"/>
      <c r="AI2060" s="91"/>
      <c r="AJ2060" s="91"/>
      <c r="AK2060" s="91"/>
      <c r="AL2060" s="91"/>
      <c r="AM2060" s="91"/>
    </row>
    <row r="2061" spans="1:39" ht="20.25" hidden="1" customHeight="1">
      <c r="A2061" s="128"/>
      <c r="B2061" s="93" t="s">
        <v>11273</v>
      </c>
      <c r="C2061" s="91" t="s">
        <v>36</v>
      </c>
      <c r="D2061" s="106" t="s">
        <v>10796</v>
      </c>
      <c r="E2061" s="106" t="s">
        <v>11364</v>
      </c>
      <c r="F2061" s="92" t="s">
        <v>11365</v>
      </c>
      <c r="G2061" s="103">
        <v>43414</v>
      </c>
      <c r="H2061" s="103">
        <v>38451</v>
      </c>
      <c r="I2061" s="100" t="s">
        <v>11366</v>
      </c>
      <c r="J2061" s="94" t="s">
        <v>11367</v>
      </c>
      <c r="K2061" s="92">
        <v>989830502</v>
      </c>
      <c r="L2061" s="91"/>
      <c r="M2061" s="98">
        <f ca="1">(TODAY()-H2061)/365</f>
        <v>20.687671232876713</v>
      </c>
      <c r="N2061" s="99">
        <f>(G2061-H2061)/365</f>
        <v>13.597260273972603</v>
      </c>
      <c r="O2061" s="98">
        <f ca="1">(TODAY()-G2061)/365</f>
        <v>7.0904109589041093</v>
      </c>
      <c r="P2061" s="91" t="s">
        <v>43</v>
      </c>
      <c r="Q2061" s="91"/>
      <c r="R2061" s="91"/>
      <c r="S2061" s="91"/>
      <c r="T2061" s="91"/>
      <c r="U2061" s="91"/>
      <c r="V2061" s="91"/>
      <c r="W2061" s="91"/>
      <c r="X2061" s="91"/>
      <c r="Y2061" s="91"/>
      <c r="Z2061" s="91"/>
      <c r="AA2061" s="91"/>
      <c r="AB2061" s="91"/>
      <c r="AC2061" s="91"/>
      <c r="AD2061" s="91"/>
      <c r="AE2061" s="91"/>
      <c r="AF2061" s="91"/>
      <c r="AG2061" s="91"/>
      <c r="AH2061" s="91"/>
      <c r="AI2061" s="91"/>
      <c r="AJ2061" s="91"/>
      <c r="AK2061" s="91"/>
      <c r="AL2061" s="91"/>
      <c r="AM2061" s="91"/>
    </row>
    <row r="2062" spans="1:39" ht="20.25" hidden="1" customHeight="1">
      <c r="A2062" s="128"/>
      <c r="B2062" s="93" t="s">
        <v>11273</v>
      </c>
      <c r="C2062" s="91" t="s">
        <v>36</v>
      </c>
      <c r="D2062" s="106" t="s">
        <v>11368</v>
      </c>
      <c r="E2062" s="106" t="s">
        <v>11369</v>
      </c>
      <c r="F2062" s="132" t="s">
        <v>12290</v>
      </c>
      <c r="G2062" s="103">
        <v>28564</v>
      </c>
      <c r="H2062" s="103">
        <v>17759</v>
      </c>
      <c r="I2062" s="108" t="s">
        <v>12648</v>
      </c>
      <c r="J2062" s="94" t="s">
        <v>11370</v>
      </c>
      <c r="K2062" s="92">
        <v>992505094</v>
      </c>
      <c r="L2062" s="91"/>
      <c r="M2062" s="98">
        <f ca="1">(TODAY()-H2062)/365</f>
        <v>77.37808219178082</v>
      </c>
      <c r="N2062" s="99">
        <f>(G2062-H2062)/365</f>
        <v>29.602739726027398</v>
      </c>
      <c r="O2062" s="98">
        <f ca="1">(TODAY()-G2062)/365</f>
        <v>47.775342465753425</v>
      </c>
      <c r="P2062" s="91" t="s">
        <v>43</v>
      </c>
      <c r="Q2062" s="91"/>
      <c r="R2062" s="91"/>
      <c r="S2062" s="91"/>
      <c r="T2062" s="91"/>
      <c r="U2062" s="91"/>
      <c r="V2062" s="91"/>
      <c r="W2062" s="91"/>
      <c r="X2062" s="91"/>
      <c r="Y2062" s="91"/>
      <c r="Z2062" s="91"/>
      <c r="AA2062" s="91"/>
      <c r="AB2062" s="91"/>
      <c r="AC2062" s="91"/>
      <c r="AD2062" s="91"/>
      <c r="AE2062" s="91"/>
      <c r="AF2062" s="91"/>
      <c r="AG2062" s="91"/>
      <c r="AH2062" s="91"/>
      <c r="AI2062" s="91"/>
      <c r="AJ2062" s="91"/>
      <c r="AK2062" s="91"/>
      <c r="AL2062" s="91"/>
      <c r="AM2062" s="91"/>
    </row>
    <row r="2063" spans="1:39" ht="20.25" hidden="1" customHeight="1">
      <c r="A2063" s="128"/>
      <c r="B2063" s="93" t="s">
        <v>11273</v>
      </c>
      <c r="C2063" s="91" t="s">
        <v>36</v>
      </c>
      <c r="D2063" s="106" t="s">
        <v>3692</v>
      </c>
      <c r="E2063" s="106" t="s">
        <v>11371</v>
      </c>
      <c r="F2063" s="92" t="s">
        <v>11372</v>
      </c>
      <c r="G2063" s="103">
        <v>43312</v>
      </c>
      <c r="H2063" s="103">
        <v>18622</v>
      </c>
      <c r="I2063" s="100" t="s">
        <v>11373</v>
      </c>
      <c r="J2063" s="94" t="s">
        <v>11374</v>
      </c>
      <c r="K2063" s="92">
        <v>9822039449</v>
      </c>
      <c r="L2063" s="91" t="s">
        <v>11375</v>
      </c>
      <c r="M2063" s="98">
        <f ca="1">(TODAY()-H2063)/365</f>
        <v>75.013698630136986</v>
      </c>
      <c r="N2063" s="99">
        <f>(G2063-H2063)/365</f>
        <v>67.643835616438352</v>
      </c>
      <c r="O2063" s="98">
        <f ca="1">(TODAY()-G2063)/365</f>
        <v>7.3698630136986303</v>
      </c>
      <c r="P2063" s="91" t="s">
        <v>43</v>
      </c>
      <c r="Q2063" s="91"/>
      <c r="R2063" s="91"/>
      <c r="S2063" s="91"/>
      <c r="T2063" s="91"/>
      <c r="U2063" s="91"/>
      <c r="V2063" s="91"/>
      <c r="W2063" s="91"/>
      <c r="X2063" s="91"/>
      <c r="Y2063" s="91"/>
      <c r="Z2063" s="91"/>
      <c r="AA2063" s="91"/>
      <c r="AB2063" s="91"/>
      <c r="AC2063" s="91"/>
      <c r="AD2063" s="91"/>
      <c r="AE2063" s="91"/>
      <c r="AF2063" s="91"/>
      <c r="AG2063" s="91"/>
      <c r="AH2063" s="91"/>
      <c r="AI2063" s="91"/>
      <c r="AJ2063" s="91"/>
      <c r="AK2063" s="91"/>
      <c r="AL2063" s="91"/>
      <c r="AM2063" s="91"/>
    </row>
    <row r="2064" spans="1:39" ht="20.25" hidden="1" customHeight="1">
      <c r="A2064" s="128"/>
      <c r="B2064" s="93" t="s">
        <v>11273</v>
      </c>
      <c r="C2064" s="91" t="s">
        <v>36</v>
      </c>
      <c r="D2064" s="106" t="s">
        <v>11376</v>
      </c>
      <c r="E2064" s="106" t="s">
        <v>11377</v>
      </c>
      <c r="F2064" s="92" t="s">
        <v>11378</v>
      </c>
      <c r="G2064" s="103">
        <v>37726</v>
      </c>
      <c r="H2064" s="103">
        <v>23230</v>
      </c>
      <c r="I2064" s="100" t="s">
        <v>11379</v>
      </c>
      <c r="J2064" s="94" t="s">
        <v>11380</v>
      </c>
      <c r="K2064" s="92">
        <v>9822830529</v>
      </c>
      <c r="L2064" s="91"/>
      <c r="M2064" s="98">
        <f ca="1">(TODAY()-H2064)/365</f>
        <v>62.389041095890413</v>
      </c>
      <c r="N2064" s="99">
        <f>(G2064-H2064)/365</f>
        <v>39.715068493150682</v>
      </c>
      <c r="O2064" s="98">
        <f ca="1">(TODAY()-G2064)/365</f>
        <v>22.673972602739727</v>
      </c>
      <c r="P2064" s="91" t="s">
        <v>43</v>
      </c>
      <c r="Q2064" s="91"/>
      <c r="R2064" s="91"/>
      <c r="S2064" s="91"/>
      <c r="T2064" s="91"/>
      <c r="U2064" s="91"/>
      <c r="V2064" s="91"/>
      <c r="W2064" s="91"/>
      <c r="X2064" s="91"/>
      <c r="Y2064" s="91"/>
      <c r="Z2064" s="91"/>
      <c r="AA2064" s="91"/>
      <c r="AB2064" s="91"/>
      <c r="AC2064" s="91"/>
      <c r="AD2064" s="91"/>
      <c r="AE2064" s="91"/>
      <c r="AF2064" s="91"/>
      <c r="AG2064" s="91"/>
      <c r="AH2064" s="91"/>
      <c r="AI2064" s="91"/>
      <c r="AJ2064" s="91"/>
      <c r="AK2064" s="91"/>
      <c r="AL2064" s="91"/>
      <c r="AM2064" s="91"/>
    </row>
    <row r="2065" spans="1:39" ht="20.25" hidden="1" customHeight="1">
      <c r="A2065" s="128"/>
      <c r="B2065" s="93" t="s">
        <v>11273</v>
      </c>
      <c r="C2065" s="91" t="s">
        <v>36</v>
      </c>
      <c r="D2065" s="106" t="s">
        <v>11381</v>
      </c>
      <c r="E2065" s="106" t="s">
        <v>11382</v>
      </c>
      <c r="F2065" s="92" t="s">
        <v>11383</v>
      </c>
      <c r="G2065" s="103">
        <v>45139</v>
      </c>
      <c r="H2065" s="103">
        <v>34887</v>
      </c>
      <c r="I2065" s="100" t="s">
        <v>11384</v>
      </c>
      <c r="J2065" s="94" t="s">
        <v>11385</v>
      </c>
      <c r="K2065" s="92">
        <v>968400298</v>
      </c>
      <c r="L2065" s="91"/>
      <c r="M2065" s="98">
        <f ca="1">(TODAY()-H2065)/365</f>
        <v>30.452054794520549</v>
      </c>
      <c r="N2065" s="99">
        <f>(G2065-H2065)/365</f>
        <v>28.087671232876712</v>
      </c>
      <c r="O2065" s="98">
        <f ca="1">(TODAY()-G2065)/365</f>
        <v>2.3643835616438356</v>
      </c>
      <c r="P2065" s="91" t="s">
        <v>272</v>
      </c>
      <c r="Q2065" s="91"/>
      <c r="R2065" s="91"/>
      <c r="S2065" s="91"/>
      <c r="T2065" s="91"/>
      <c r="U2065" s="91"/>
      <c r="V2065" s="91"/>
      <c r="W2065" s="91"/>
      <c r="X2065" s="91"/>
      <c r="Y2065" s="91"/>
      <c r="Z2065" s="91"/>
      <c r="AA2065" s="91"/>
      <c r="AB2065" s="91"/>
      <c r="AC2065" s="91"/>
      <c r="AD2065" s="91"/>
      <c r="AE2065" s="91"/>
      <c r="AF2065" s="91"/>
      <c r="AG2065" s="91"/>
      <c r="AH2065" s="91"/>
      <c r="AI2065" s="91"/>
      <c r="AJ2065" s="91"/>
      <c r="AK2065" s="91"/>
      <c r="AL2065" s="91"/>
      <c r="AM2065" s="91"/>
    </row>
    <row r="2066" spans="1:39" ht="20.25" hidden="1" customHeight="1">
      <c r="A2066" s="128"/>
      <c r="B2066" s="93" t="s">
        <v>11273</v>
      </c>
      <c r="C2066" s="91" t="s">
        <v>36</v>
      </c>
      <c r="D2066" s="106" t="s">
        <v>11386</v>
      </c>
      <c r="E2066" s="106" t="s">
        <v>11387</v>
      </c>
      <c r="F2066" s="92" t="s">
        <v>11388</v>
      </c>
      <c r="G2066" s="103">
        <v>38537</v>
      </c>
      <c r="H2066" s="103">
        <v>21949</v>
      </c>
      <c r="I2066" s="100" t="s">
        <v>11389</v>
      </c>
      <c r="J2066" s="94" t="s">
        <v>11390</v>
      </c>
      <c r="K2066" s="92">
        <v>944526168</v>
      </c>
      <c r="L2066" s="91"/>
      <c r="M2066" s="98">
        <f ca="1">(TODAY()-H2066)/365</f>
        <v>65.898630136986299</v>
      </c>
      <c r="N2066" s="99">
        <f>(G2066-H2066)/365</f>
        <v>45.446575342465756</v>
      </c>
      <c r="O2066" s="98">
        <f ca="1">(TODAY()-G2066)/365</f>
        <v>20.452054794520549</v>
      </c>
      <c r="P2066" s="91" t="s">
        <v>43</v>
      </c>
      <c r="Q2066" s="91"/>
      <c r="R2066" s="91"/>
      <c r="S2066" s="91"/>
      <c r="T2066" s="91"/>
      <c r="U2066" s="91"/>
      <c r="V2066" s="91"/>
      <c r="W2066" s="91"/>
      <c r="X2066" s="91"/>
      <c r="Y2066" s="91"/>
      <c r="Z2066" s="91"/>
      <c r="AA2066" s="91"/>
      <c r="AB2066" s="91"/>
      <c r="AC2066" s="91"/>
      <c r="AD2066" s="91"/>
      <c r="AE2066" s="91"/>
      <c r="AF2066" s="91"/>
      <c r="AG2066" s="91"/>
      <c r="AH2066" s="91"/>
      <c r="AI2066" s="91"/>
      <c r="AJ2066" s="91"/>
      <c r="AK2066" s="91"/>
      <c r="AL2066" s="91"/>
      <c r="AM2066" s="91"/>
    </row>
    <row r="2067" spans="1:39" ht="20.25" hidden="1" customHeight="1">
      <c r="A2067" s="128"/>
      <c r="B2067" s="93" t="s">
        <v>11273</v>
      </c>
      <c r="C2067" s="91" t="s">
        <v>36</v>
      </c>
      <c r="D2067" s="106" t="s">
        <v>11391</v>
      </c>
      <c r="E2067" s="106" t="s">
        <v>11392</v>
      </c>
      <c r="F2067" s="92" t="s">
        <v>11393</v>
      </c>
      <c r="G2067" s="103">
        <v>36241</v>
      </c>
      <c r="H2067" s="103">
        <v>14370</v>
      </c>
      <c r="I2067" s="94" t="s">
        <v>58</v>
      </c>
      <c r="J2067" s="94" t="s">
        <v>11394</v>
      </c>
      <c r="K2067" s="92">
        <v>228508682</v>
      </c>
      <c r="L2067" s="91"/>
      <c r="M2067" s="98">
        <f ca="1">(TODAY()-H2067)/365</f>
        <v>86.663013698630138</v>
      </c>
      <c r="N2067" s="99">
        <f>(G2067-H2067)/365</f>
        <v>59.920547945205477</v>
      </c>
      <c r="O2067" s="98">
        <f ca="1">(TODAY()-G2067)/365</f>
        <v>26.742465753424657</v>
      </c>
      <c r="P2067" s="91" t="s">
        <v>43</v>
      </c>
      <c r="Q2067" s="91"/>
      <c r="R2067" s="91"/>
      <c r="S2067" s="91"/>
      <c r="T2067" s="91"/>
      <c r="U2067" s="91"/>
      <c r="V2067" s="91"/>
      <c r="W2067" s="91"/>
      <c r="X2067" s="91"/>
      <c r="Y2067" s="91"/>
      <c r="Z2067" s="91"/>
      <c r="AA2067" s="91"/>
      <c r="AB2067" s="91"/>
      <c r="AC2067" s="91"/>
      <c r="AD2067" s="91"/>
      <c r="AE2067" s="91"/>
      <c r="AF2067" s="91"/>
      <c r="AG2067" s="91"/>
      <c r="AH2067" s="91"/>
      <c r="AI2067" s="91"/>
      <c r="AJ2067" s="91"/>
      <c r="AK2067" s="91"/>
      <c r="AL2067" s="91"/>
      <c r="AM2067" s="91"/>
    </row>
    <row r="2068" spans="1:39" ht="20.25" hidden="1" customHeight="1">
      <c r="A2068" s="128"/>
      <c r="B2068" s="93" t="s">
        <v>11273</v>
      </c>
      <c r="C2068" s="91" t="s">
        <v>36</v>
      </c>
      <c r="D2068" s="106" t="s">
        <v>11395</v>
      </c>
      <c r="E2068" s="106" t="s">
        <v>11396</v>
      </c>
      <c r="F2068" s="92" t="s">
        <v>11397</v>
      </c>
      <c r="G2068" s="103">
        <v>44345</v>
      </c>
      <c r="H2068" s="103">
        <v>25854</v>
      </c>
      <c r="I2068" s="100" t="s">
        <v>11398</v>
      </c>
      <c r="J2068" s="94" t="s">
        <v>11399</v>
      </c>
      <c r="K2068" s="92">
        <v>973536092</v>
      </c>
      <c r="L2068" s="91" t="s">
        <v>11400</v>
      </c>
      <c r="M2068" s="98">
        <f ca="1">(TODAY()-H2068)/365</f>
        <v>55.2</v>
      </c>
      <c r="N2068" s="99">
        <f>(G2068-H2068)/365</f>
        <v>50.660273972602738</v>
      </c>
      <c r="O2068" s="98">
        <f ca="1">(TODAY()-G2068)/365</f>
        <v>4.5397260273972604</v>
      </c>
      <c r="P2068" s="91" t="s">
        <v>43</v>
      </c>
      <c r="Q2068" s="91"/>
      <c r="R2068" s="91"/>
      <c r="S2068" s="91"/>
      <c r="T2068" s="91"/>
      <c r="U2068" s="91"/>
      <c r="V2068" s="91"/>
      <c r="W2068" s="91"/>
      <c r="X2068" s="91"/>
      <c r="Y2068" s="91"/>
      <c r="Z2068" s="91"/>
      <c r="AA2068" s="91"/>
      <c r="AB2068" s="91"/>
      <c r="AC2068" s="91"/>
      <c r="AD2068" s="91"/>
      <c r="AE2068" s="91"/>
      <c r="AF2068" s="91"/>
      <c r="AG2068" s="91"/>
      <c r="AH2068" s="91"/>
      <c r="AI2068" s="91"/>
      <c r="AJ2068" s="91"/>
      <c r="AK2068" s="91"/>
      <c r="AL2068" s="91"/>
      <c r="AM2068" s="91"/>
    </row>
    <row r="2069" spans="1:39" ht="20.25" hidden="1" customHeight="1">
      <c r="A2069" s="128"/>
      <c r="B2069" s="93" t="s">
        <v>11273</v>
      </c>
      <c r="C2069" s="91" t="s">
        <v>36</v>
      </c>
      <c r="D2069" s="106" t="s">
        <v>11401</v>
      </c>
      <c r="E2069" s="106" t="s">
        <v>11402</v>
      </c>
      <c r="F2069" s="92" t="s">
        <v>11403</v>
      </c>
      <c r="G2069" s="103">
        <v>43105</v>
      </c>
      <c r="H2069" s="103">
        <v>37628</v>
      </c>
      <c r="I2069" s="100" t="s">
        <v>11404</v>
      </c>
      <c r="J2069" s="94" t="s">
        <v>11405</v>
      </c>
      <c r="K2069" s="92">
        <v>991506221</v>
      </c>
      <c r="L2069" s="91"/>
      <c r="M2069" s="98">
        <f ca="1">(TODAY()-H2069)/365</f>
        <v>22.942465753424656</v>
      </c>
      <c r="N2069" s="99">
        <f>(G2069-H2069)/365</f>
        <v>15.005479452054795</v>
      </c>
      <c r="O2069" s="98">
        <f ca="1">(TODAY()-G2069)/365</f>
        <v>7.9369863013698634</v>
      </c>
      <c r="P2069" s="91" t="s">
        <v>272</v>
      </c>
      <c r="Q2069" s="91"/>
      <c r="R2069" s="91"/>
      <c r="S2069" s="91"/>
      <c r="T2069" s="91"/>
      <c r="U2069" s="91"/>
      <c r="V2069" s="91"/>
      <c r="W2069" s="91"/>
      <c r="X2069" s="91"/>
      <c r="Y2069" s="91"/>
      <c r="Z2069" s="91"/>
      <c r="AA2069" s="91"/>
      <c r="AB2069" s="91"/>
      <c r="AC2069" s="91"/>
      <c r="AD2069" s="91"/>
      <c r="AE2069" s="91"/>
      <c r="AF2069" s="91"/>
      <c r="AG2069" s="91"/>
      <c r="AH2069" s="91"/>
      <c r="AI2069" s="91"/>
      <c r="AJ2069" s="91"/>
      <c r="AK2069" s="91"/>
      <c r="AL2069" s="91"/>
      <c r="AM2069" s="91"/>
    </row>
    <row r="2070" spans="1:39" ht="20.25" hidden="1" customHeight="1">
      <c r="A2070" s="128"/>
      <c r="B2070" s="93" t="s">
        <v>11273</v>
      </c>
      <c r="C2070" s="91" t="s">
        <v>36</v>
      </c>
      <c r="D2070" s="106" t="s">
        <v>11406</v>
      </c>
      <c r="E2070" s="106" t="s">
        <v>11407</v>
      </c>
      <c r="F2070" s="92" t="s">
        <v>11408</v>
      </c>
      <c r="G2070" s="103">
        <v>42522</v>
      </c>
      <c r="H2070" s="103">
        <v>26856</v>
      </c>
      <c r="I2070" s="100" t="s">
        <v>11409</v>
      </c>
      <c r="J2070" s="94" t="s">
        <v>11410</v>
      </c>
      <c r="K2070" s="92">
        <v>956146011</v>
      </c>
      <c r="L2070" s="91"/>
      <c r="M2070" s="98">
        <f ca="1">(TODAY()-H2070)/365</f>
        <v>52.454794520547942</v>
      </c>
      <c r="N2070" s="99">
        <f>(G2070-H2070)/365</f>
        <v>42.920547945205477</v>
      </c>
      <c r="O2070" s="98">
        <f ca="1">(TODAY()-G2070)/365</f>
        <v>9.5342465753424666</v>
      </c>
      <c r="P2070" s="91" t="s">
        <v>43</v>
      </c>
      <c r="Q2070" s="91"/>
      <c r="R2070" s="91"/>
      <c r="S2070" s="91"/>
      <c r="T2070" s="91"/>
      <c r="U2070" s="91"/>
      <c r="V2070" s="91"/>
      <c r="W2070" s="91"/>
      <c r="X2070" s="91"/>
      <c r="Y2070" s="91"/>
      <c r="Z2070" s="91"/>
      <c r="AA2070" s="91"/>
      <c r="AB2070" s="91"/>
      <c r="AC2070" s="91"/>
      <c r="AD2070" s="91"/>
      <c r="AE2070" s="91"/>
      <c r="AF2070" s="91"/>
      <c r="AG2070" s="91"/>
      <c r="AH2070" s="91"/>
      <c r="AI2070" s="91"/>
      <c r="AJ2070" s="91"/>
      <c r="AK2070" s="91"/>
      <c r="AL2070" s="91"/>
      <c r="AM2070" s="91"/>
    </row>
    <row r="2071" spans="1:39" ht="20.25" hidden="1" customHeight="1">
      <c r="A2071" s="128"/>
      <c r="B2071" s="93" t="s">
        <v>11273</v>
      </c>
      <c r="C2071" s="91" t="s">
        <v>36</v>
      </c>
      <c r="D2071" s="106" t="s">
        <v>11411</v>
      </c>
      <c r="E2071" s="106" t="s">
        <v>11412</v>
      </c>
      <c r="F2071" s="92" t="s">
        <v>11413</v>
      </c>
      <c r="G2071" s="103">
        <v>40605</v>
      </c>
      <c r="H2071" s="103">
        <v>16385</v>
      </c>
      <c r="I2071" s="100" t="s">
        <v>11414</v>
      </c>
      <c r="J2071" s="94" t="s">
        <v>11415</v>
      </c>
      <c r="K2071" s="92">
        <v>998888698</v>
      </c>
      <c r="L2071" s="91"/>
      <c r="M2071" s="98">
        <f ca="1">(TODAY()-H2071)/365</f>
        <v>81.142465753424659</v>
      </c>
      <c r="N2071" s="99">
        <f>(G2071-H2071)/365</f>
        <v>66.356164383561648</v>
      </c>
      <c r="O2071" s="98">
        <f ca="1">(TODAY()-G2071)/365</f>
        <v>14.786301369863013</v>
      </c>
      <c r="P2071" s="91" t="s">
        <v>43</v>
      </c>
      <c r="Q2071" s="91"/>
      <c r="R2071" s="91"/>
      <c r="S2071" s="91"/>
      <c r="T2071" s="91"/>
      <c r="U2071" s="91"/>
      <c r="V2071" s="91"/>
      <c r="W2071" s="91"/>
      <c r="X2071" s="91"/>
      <c r="Y2071" s="91"/>
      <c r="Z2071" s="91"/>
      <c r="AA2071" s="91"/>
      <c r="AB2071" s="91"/>
      <c r="AC2071" s="91"/>
      <c r="AD2071" s="91"/>
      <c r="AE2071" s="91"/>
      <c r="AF2071" s="91"/>
      <c r="AG2071" s="91"/>
      <c r="AH2071" s="91"/>
      <c r="AI2071" s="91"/>
      <c r="AJ2071" s="91"/>
      <c r="AK2071" s="91"/>
      <c r="AL2071" s="91"/>
      <c r="AM2071" s="91"/>
    </row>
    <row r="2072" spans="1:39" ht="20.25" customHeight="1">
      <c r="A2072" s="128"/>
      <c r="B2072" s="93" t="s">
        <v>11558</v>
      </c>
      <c r="C2072" s="91" t="s">
        <v>73</v>
      </c>
      <c r="D2072" s="106" t="s">
        <v>5802</v>
      </c>
      <c r="E2072" s="106" t="s">
        <v>11592</v>
      </c>
      <c r="F2072" s="92" t="s">
        <v>11600</v>
      </c>
      <c r="G2072" s="103">
        <v>45352</v>
      </c>
      <c r="H2072" s="103">
        <v>34344</v>
      </c>
      <c r="I2072" s="94" t="s">
        <v>11601</v>
      </c>
      <c r="J2072" s="100" t="s">
        <v>58</v>
      </c>
      <c r="K2072" s="95" t="s">
        <v>58</v>
      </c>
      <c r="L2072" s="91"/>
      <c r="M2072" s="98">
        <f ca="1">(TODAY()-H2072)/365</f>
        <v>31.93972602739726</v>
      </c>
      <c r="N2072" s="99">
        <f>(G2072-H2072)/365</f>
        <v>30.158904109589042</v>
      </c>
      <c r="O2072" s="98">
        <f ca="1">(TODAY()-G2072)/365</f>
        <v>1.7808219178082192</v>
      </c>
      <c r="P2072" s="91" t="s">
        <v>272</v>
      </c>
      <c r="Q2072" s="91"/>
      <c r="R2072" s="91"/>
      <c r="S2072" s="91"/>
      <c r="T2072" s="91"/>
      <c r="U2072" s="91"/>
      <c r="V2072" s="91"/>
      <c r="W2072" s="91"/>
      <c r="X2072" s="91"/>
      <c r="Y2072" s="91"/>
      <c r="Z2072" s="91"/>
      <c r="AA2072" s="91"/>
      <c r="AB2072" s="91"/>
      <c r="AC2072" s="91"/>
      <c r="AD2072" s="91"/>
      <c r="AE2072" s="91"/>
      <c r="AF2072" s="91"/>
      <c r="AG2072" s="91"/>
      <c r="AH2072" s="91"/>
      <c r="AI2072" s="91"/>
      <c r="AJ2072" s="91"/>
      <c r="AK2072" s="91"/>
      <c r="AL2072" s="91"/>
      <c r="AM2072" s="91"/>
    </row>
    <row r="2073" spans="1:39" ht="20.25" customHeight="1">
      <c r="A2073" s="128"/>
      <c r="B2073" s="93" t="s">
        <v>11240</v>
      </c>
      <c r="C2073" s="91" t="s">
        <v>73</v>
      </c>
      <c r="D2073" s="106" t="s">
        <v>11260</v>
      </c>
      <c r="E2073" s="106" t="s">
        <v>11261</v>
      </c>
      <c r="F2073" s="92" t="s">
        <v>11262</v>
      </c>
      <c r="G2073" s="103">
        <v>45292</v>
      </c>
      <c r="H2073" s="103">
        <v>29694</v>
      </c>
      <c r="I2073" s="94" t="s">
        <v>58</v>
      </c>
      <c r="J2073" s="100" t="s">
        <v>58</v>
      </c>
      <c r="K2073" s="95" t="s">
        <v>58</v>
      </c>
      <c r="L2073" s="91"/>
      <c r="M2073" s="98">
        <f ca="1">(TODAY()-H2073)/365</f>
        <v>44.679452054794524</v>
      </c>
      <c r="N2073" s="99">
        <f>(G2073-H2073)/365</f>
        <v>42.734246575342468</v>
      </c>
      <c r="O2073" s="98">
        <f ca="1">(TODAY()-G2073)/365</f>
        <v>1.9452054794520548</v>
      </c>
      <c r="P2073" s="91" t="s">
        <v>43</v>
      </c>
      <c r="Q2073" s="91"/>
      <c r="R2073" s="91"/>
      <c r="S2073" s="91"/>
      <c r="T2073" s="91"/>
      <c r="U2073" s="91"/>
      <c r="V2073" s="91"/>
      <c r="W2073" s="91"/>
      <c r="X2073" s="91"/>
      <c r="Y2073" s="91"/>
      <c r="Z2073" s="91"/>
      <c r="AA2073" s="91"/>
      <c r="AB2073" s="91"/>
      <c r="AC2073" s="91"/>
      <c r="AD2073" s="91"/>
      <c r="AE2073" s="91"/>
      <c r="AF2073" s="91"/>
      <c r="AG2073" s="91"/>
      <c r="AH2073" s="91"/>
      <c r="AI2073" s="91"/>
      <c r="AJ2073" s="91"/>
      <c r="AK2073" s="91"/>
      <c r="AL2073" s="91"/>
      <c r="AM2073" s="91"/>
    </row>
    <row r="2074" spans="1:39" ht="20.25" customHeight="1">
      <c r="A2074" s="91"/>
      <c r="B2074" s="93" t="s">
        <v>5291</v>
      </c>
      <c r="C2074" s="91" t="s">
        <v>73</v>
      </c>
      <c r="D2074" s="94" t="s">
        <v>5313</v>
      </c>
      <c r="E2074" s="94" t="s">
        <v>5314</v>
      </c>
      <c r="F2074" s="95" t="s">
        <v>5315</v>
      </c>
      <c r="G2074" s="96">
        <v>38565</v>
      </c>
      <c r="H2074" s="97">
        <v>22174</v>
      </c>
      <c r="I2074" s="100" t="s">
        <v>58</v>
      </c>
      <c r="J2074" s="100" t="s">
        <v>58</v>
      </c>
      <c r="K2074" s="91" t="s">
        <v>58</v>
      </c>
      <c r="L2074" s="91" t="s">
        <v>60</v>
      </c>
      <c r="M2074" s="98">
        <f ca="1">(TODAY()-H2074)/365</f>
        <v>65.282191780821918</v>
      </c>
      <c r="N2074" s="99">
        <f>(G2074-H2074)/365</f>
        <v>44.906849315068492</v>
      </c>
      <c r="O2074" s="98">
        <f ca="1">(TODAY()-G2074)/365</f>
        <v>20.375342465753423</v>
      </c>
      <c r="P2074" s="91" t="s">
        <v>43</v>
      </c>
      <c r="Q2074" s="91">
        <v>0</v>
      </c>
      <c r="R2074" s="91">
        <v>0</v>
      </c>
      <c r="S2074" s="91">
        <v>0</v>
      </c>
      <c r="T2074" s="91"/>
      <c r="U2074" s="91"/>
      <c r="V2074" s="91"/>
      <c r="W2074" s="91"/>
      <c r="X2074" s="91"/>
      <c r="Y2074" s="91"/>
      <c r="Z2074" s="91"/>
      <c r="AA2074" s="91"/>
      <c r="AB2074" s="91"/>
      <c r="AC2074" s="91"/>
      <c r="AD2074" s="91"/>
      <c r="AE2074" s="91"/>
      <c r="AF2074" s="91"/>
      <c r="AG2074" s="91"/>
      <c r="AH2074" s="91"/>
      <c r="AI2074" s="91"/>
      <c r="AJ2074" s="91"/>
      <c r="AK2074" s="91"/>
      <c r="AL2074" s="91"/>
      <c r="AM2074" s="91"/>
    </row>
    <row r="2075" spans="1:39" ht="20.25" customHeight="1">
      <c r="A2075" s="91"/>
      <c r="B2075" s="93" t="s">
        <v>9861</v>
      </c>
      <c r="C2075" s="91" t="s">
        <v>73</v>
      </c>
      <c r="D2075" s="106" t="s">
        <v>10025</v>
      </c>
      <c r="E2075" s="106" t="s">
        <v>10026</v>
      </c>
      <c r="F2075" s="92" t="s">
        <v>10027</v>
      </c>
      <c r="G2075" s="103">
        <v>44877</v>
      </c>
      <c r="H2075" s="103">
        <v>36298</v>
      </c>
      <c r="I2075" s="94" t="s">
        <v>10028</v>
      </c>
      <c r="J2075" s="100" t="s">
        <v>58</v>
      </c>
      <c r="K2075" s="95" t="s">
        <v>58</v>
      </c>
      <c r="L2075" s="91"/>
      <c r="M2075" s="98">
        <f ca="1">(TODAY()-H2075)/365</f>
        <v>26.586301369863012</v>
      </c>
      <c r="N2075" s="99">
        <f>(G2075-H2075)/365</f>
        <v>23.504109589041096</v>
      </c>
      <c r="O2075" s="98">
        <f ca="1">(TODAY()-G2075)/365</f>
        <v>3.0821917808219177</v>
      </c>
      <c r="P2075" s="91" t="s">
        <v>43</v>
      </c>
      <c r="Q2075" s="91"/>
      <c r="R2075" s="91"/>
      <c r="S2075" s="91"/>
      <c r="T2075" s="91"/>
      <c r="U2075" s="91"/>
      <c r="V2075" s="91"/>
      <c r="W2075" s="91"/>
      <c r="X2075" s="91"/>
      <c r="Y2075" s="91"/>
      <c r="Z2075" s="91"/>
      <c r="AA2075" s="91"/>
      <c r="AB2075" s="91"/>
      <c r="AC2075" s="91"/>
      <c r="AD2075" s="91"/>
      <c r="AE2075" s="91"/>
      <c r="AF2075" s="91"/>
      <c r="AG2075" s="91"/>
      <c r="AH2075" s="91"/>
      <c r="AI2075" s="91"/>
      <c r="AJ2075" s="91"/>
      <c r="AK2075" s="91"/>
      <c r="AL2075" s="91"/>
      <c r="AM2075" s="91"/>
    </row>
    <row r="2076" spans="1:39" ht="20.25" customHeight="1">
      <c r="A2076" s="91"/>
      <c r="B2076" s="93" t="s">
        <v>11748</v>
      </c>
      <c r="C2076" s="91" t="s">
        <v>73</v>
      </c>
      <c r="D2076" s="107" t="s">
        <v>416</v>
      </c>
      <c r="E2076" s="107" t="s">
        <v>2843</v>
      </c>
      <c r="F2076" s="91" t="s">
        <v>2844</v>
      </c>
      <c r="G2076" s="96">
        <v>43997</v>
      </c>
      <c r="H2076" s="97">
        <v>24460</v>
      </c>
      <c r="I2076" s="94" t="s">
        <v>58</v>
      </c>
      <c r="J2076" s="94" t="s">
        <v>58</v>
      </c>
      <c r="K2076" s="95" t="s">
        <v>58</v>
      </c>
      <c r="L2076" s="91" t="s">
        <v>197</v>
      </c>
      <c r="M2076" s="98">
        <f ca="1">(TODAY()-H2076)/365</f>
        <v>59.019178082191779</v>
      </c>
      <c r="N2076" s="99">
        <f>(G2076-H2076)/365</f>
        <v>53.526027397260272</v>
      </c>
      <c r="O2076" s="98">
        <f ca="1">(TODAY()-G2076)/365</f>
        <v>5.493150684931507</v>
      </c>
      <c r="P2076" s="91" t="s">
        <v>43</v>
      </c>
      <c r="Q2076" s="91">
        <v>0</v>
      </c>
      <c r="R2076" s="91">
        <v>0</v>
      </c>
      <c r="S2076" s="91">
        <v>0</v>
      </c>
      <c r="T2076" s="91"/>
      <c r="U2076" s="91"/>
      <c r="V2076" s="91"/>
      <c r="W2076" s="91"/>
      <c r="X2076" s="91"/>
      <c r="Y2076" s="91"/>
      <c r="Z2076" s="91"/>
      <c r="AA2076" s="91"/>
      <c r="AB2076" s="91"/>
      <c r="AC2076" s="91"/>
      <c r="AD2076" s="91"/>
      <c r="AE2076" s="91"/>
      <c r="AF2076" s="91"/>
      <c r="AG2076" s="91"/>
      <c r="AH2076" s="91"/>
      <c r="AI2076" s="91"/>
      <c r="AJ2076" s="91"/>
      <c r="AK2076" s="91"/>
      <c r="AL2076" s="91"/>
      <c r="AM2076" s="91"/>
    </row>
    <row r="2077" spans="1:39" ht="20.25" customHeight="1">
      <c r="A2077" s="91"/>
      <c r="B2077" s="93" t="s">
        <v>3610</v>
      </c>
      <c r="C2077" s="91" t="s">
        <v>73</v>
      </c>
      <c r="D2077" s="94" t="s">
        <v>2812</v>
      </c>
      <c r="E2077" s="94" t="s">
        <v>3655</v>
      </c>
      <c r="F2077" s="95" t="s">
        <v>3656</v>
      </c>
      <c r="G2077" s="96">
        <v>42952</v>
      </c>
      <c r="H2077" s="97">
        <v>28414</v>
      </c>
      <c r="I2077" s="94" t="s">
        <v>3657</v>
      </c>
      <c r="J2077" s="100" t="s">
        <v>58</v>
      </c>
      <c r="K2077" s="91" t="s">
        <v>58</v>
      </c>
      <c r="L2077" s="91" t="s">
        <v>60</v>
      </c>
      <c r="M2077" s="98">
        <f ca="1">(TODAY()-H2077)/365</f>
        <v>48.186301369863017</v>
      </c>
      <c r="N2077" s="99">
        <f>(G2077-H2077)/365</f>
        <v>39.830136986301369</v>
      </c>
      <c r="O2077" s="98">
        <f ca="1">(TODAY()-G2077)/365</f>
        <v>8.3561643835616444</v>
      </c>
      <c r="P2077" s="91" t="s">
        <v>43</v>
      </c>
      <c r="Q2077" s="91">
        <v>1</v>
      </c>
      <c r="R2077" s="91">
        <v>1</v>
      </c>
      <c r="S2077" s="91">
        <v>0</v>
      </c>
      <c r="T2077" s="91"/>
      <c r="U2077" s="91"/>
      <c r="V2077" s="91"/>
      <c r="W2077" s="91"/>
      <c r="X2077" s="91"/>
      <c r="Y2077" s="91"/>
      <c r="Z2077" s="91"/>
      <c r="AA2077" s="91"/>
      <c r="AB2077" s="91"/>
      <c r="AC2077" s="91"/>
      <c r="AD2077" s="91"/>
      <c r="AE2077" s="91"/>
      <c r="AF2077" s="91"/>
      <c r="AG2077" s="91"/>
      <c r="AH2077" s="91"/>
      <c r="AI2077" s="91"/>
      <c r="AJ2077" s="91"/>
      <c r="AK2077" s="91"/>
      <c r="AL2077" s="91"/>
      <c r="AM2077" s="91"/>
    </row>
    <row r="2078" spans="1:39" ht="20.25" customHeight="1">
      <c r="A2078" s="91"/>
      <c r="B2078" s="93" t="s">
        <v>7270</v>
      </c>
      <c r="C2078" s="91" t="s">
        <v>73</v>
      </c>
      <c r="D2078" s="94" t="s">
        <v>7305</v>
      </c>
      <c r="E2078" s="94" t="s">
        <v>7306</v>
      </c>
      <c r="F2078" s="95" t="s">
        <v>7307</v>
      </c>
      <c r="G2078" s="96">
        <v>45449</v>
      </c>
      <c r="H2078" s="97">
        <v>29742</v>
      </c>
      <c r="I2078" s="100" t="s">
        <v>58</v>
      </c>
      <c r="J2078" s="100" t="s">
        <v>58</v>
      </c>
      <c r="K2078" s="91" t="s">
        <v>58</v>
      </c>
      <c r="L2078" s="91" t="s">
        <v>60</v>
      </c>
      <c r="M2078" s="98">
        <f ca="1">(TODAY()-H2078)/365</f>
        <v>44.547945205479451</v>
      </c>
      <c r="N2078" s="99">
        <f>(G2078-H2078)/365</f>
        <v>43.032876712328765</v>
      </c>
      <c r="O2078" s="98">
        <f ca="1">(TODAY()-G2078)/365</f>
        <v>1.515068493150685</v>
      </c>
      <c r="P2078" s="91" t="s">
        <v>43</v>
      </c>
      <c r="Q2078" s="91">
        <v>0</v>
      </c>
      <c r="R2078" s="91">
        <v>0</v>
      </c>
      <c r="S2078" s="91">
        <v>0</v>
      </c>
      <c r="T2078" s="91"/>
      <c r="U2078" s="91"/>
      <c r="V2078" s="91"/>
      <c r="W2078" s="91"/>
      <c r="X2078" s="91"/>
      <c r="Y2078" s="91"/>
      <c r="Z2078" s="91"/>
      <c r="AA2078" s="91"/>
      <c r="AB2078" s="91"/>
      <c r="AC2078" s="91"/>
      <c r="AD2078" s="91"/>
      <c r="AE2078" s="91"/>
      <c r="AF2078" s="91"/>
      <c r="AG2078" s="91"/>
      <c r="AH2078" s="91"/>
      <c r="AI2078" s="91"/>
      <c r="AJ2078" s="91"/>
      <c r="AK2078" s="91"/>
      <c r="AL2078" s="91"/>
      <c r="AM2078" s="91"/>
    </row>
    <row r="2079" spans="1:39" ht="20.25" customHeight="1">
      <c r="A2079" s="91"/>
      <c r="B2079" s="93" t="s">
        <v>11748</v>
      </c>
      <c r="C2079" s="91" t="s">
        <v>73</v>
      </c>
      <c r="D2079" s="107" t="s">
        <v>2812</v>
      </c>
      <c r="E2079" s="107" t="s">
        <v>2815</v>
      </c>
      <c r="F2079" s="91" t="s">
        <v>2816</v>
      </c>
      <c r="G2079" s="96">
        <v>43989</v>
      </c>
      <c r="H2079" s="97">
        <v>29880</v>
      </c>
      <c r="I2079" s="94" t="s">
        <v>58</v>
      </c>
      <c r="J2079" s="94" t="s">
        <v>58</v>
      </c>
      <c r="K2079" s="95" t="s">
        <v>58</v>
      </c>
      <c r="L2079" s="91" t="s">
        <v>60</v>
      </c>
      <c r="M2079" s="98">
        <f ca="1">(TODAY()-H2079)/365</f>
        <v>44.169863013698631</v>
      </c>
      <c r="N2079" s="99">
        <f>(G2079-H2079)/365</f>
        <v>38.654794520547945</v>
      </c>
      <c r="O2079" s="98">
        <f ca="1">(TODAY()-G2079)/365</f>
        <v>5.515068493150685</v>
      </c>
      <c r="P2079" s="91" t="s">
        <v>43</v>
      </c>
      <c r="Q2079" s="91">
        <v>0</v>
      </c>
      <c r="R2079" s="91">
        <v>0</v>
      </c>
      <c r="S2079" s="91">
        <v>0</v>
      </c>
      <c r="T2079" s="91"/>
      <c r="U2079" s="91"/>
      <c r="V2079" s="91"/>
      <c r="W2079" s="91"/>
      <c r="X2079" s="91"/>
      <c r="Y2079" s="91"/>
      <c r="Z2079" s="91"/>
      <c r="AA2079" s="91"/>
      <c r="AB2079" s="91"/>
      <c r="AC2079" s="91"/>
      <c r="AD2079" s="91"/>
      <c r="AE2079" s="91"/>
      <c r="AF2079" s="91"/>
      <c r="AG2079" s="91"/>
      <c r="AH2079" s="91"/>
      <c r="AI2079" s="91"/>
      <c r="AJ2079" s="91"/>
      <c r="AK2079" s="91"/>
      <c r="AL2079" s="91"/>
      <c r="AM2079" s="91"/>
    </row>
    <row r="2080" spans="1:39" ht="20.25" customHeight="1">
      <c r="A2080" s="91"/>
      <c r="B2080" s="93" t="s">
        <v>8524</v>
      </c>
      <c r="C2080" s="91" t="s">
        <v>73</v>
      </c>
      <c r="D2080" s="94" t="s">
        <v>8594</v>
      </c>
      <c r="E2080" s="94" t="s">
        <v>8595</v>
      </c>
      <c r="F2080" s="95" t="s">
        <v>8596</v>
      </c>
      <c r="G2080" s="96">
        <v>35704</v>
      </c>
      <c r="H2080" s="96" t="s">
        <v>58</v>
      </c>
      <c r="I2080" s="94" t="s">
        <v>8597</v>
      </c>
      <c r="J2080" s="100" t="s">
        <v>58</v>
      </c>
      <c r="K2080" s="91" t="s">
        <v>58</v>
      </c>
      <c r="L2080" s="91" t="s">
        <v>60</v>
      </c>
      <c r="M2080" s="98">
        <v>0</v>
      </c>
      <c r="N2080" s="99"/>
      <c r="O2080" s="98">
        <f ca="1">(TODAY()-G2080)/365</f>
        <v>28.213698630136985</v>
      </c>
      <c r="P2080" s="91" t="s">
        <v>43</v>
      </c>
      <c r="Q2080" s="91">
        <v>0</v>
      </c>
      <c r="R2080" s="91">
        <v>0</v>
      </c>
      <c r="S2080" s="91">
        <v>0</v>
      </c>
      <c r="T2080" s="91"/>
      <c r="U2080" s="91"/>
      <c r="V2080" s="91"/>
      <c r="W2080" s="91"/>
      <c r="X2080" s="91"/>
      <c r="Y2080" s="91"/>
      <c r="Z2080" s="91"/>
      <c r="AA2080" s="91"/>
      <c r="AB2080" s="91"/>
      <c r="AC2080" s="91"/>
      <c r="AD2080" s="91"/>
      <c r="AE2080" s="91"/>
      <c r="AF2080" s="91"/>
      <c r="AG2080" s="91"/>
      <c r="AH2080" s="91"/>
      <c r="AI2080" s="91"/>
      <c r="AJ2080" s="91"/>
      <c r="AK2080" s="91"/>
      <c r="AL2080" s="91"/>
      <c r="AM2080" s="91"/>
    </row>
    <row r="2081" spans="1:39" ht="20.25" hidden="1" customHeight="1">
      <c r="A2081" s="91"/>
      <c r="B2081" s="93" t="s">
        <v>6787</v>
      </c>
      <c r="C2081" s="91" t="s">
        <v>36</v>
      </c>
      <c r="D2081" s="107" t="s">
        <v>4315</v>
      </c>
      <c r="E2081" s="107" t="s">
        <v>6788</v>
      </c>
      <c r="F2081" s="91" t="s">
        <v>6789</v>
      </c>
      <c r="G2081" s="96">
        <v>28633</v>
      </c>
      <c r="H2081" s="97">
        <v>19465</v>
      </c>
      <c r="I2081" s="94" t="s">
        <v>6790</v>
      </c>
      <c r="J2081" s="94" t="s">
        <v>6791</v>
      </c>
      <c r="K2081" s="91">
        <v>971006827</v>
      </c>
      <c r="L2081" s="91" t="s">
        <v>42</v>
      </c>
      <c r="M2081" s="98">
        <f ca="1">(TODAY()-H2081)/365</f>
        <v>72.704109589041096</v>
      </c>
      <c r="N2081" s="99">
        <f>(G2081-H2081)/365</f>
        <v>25.117808219178084</v>
      </c>
      <c r="O2081" s="98">
        <f ca="1">(TODAY()-G2081)/365</f>
        <v>47.586301369863016</v>
      </c>
      <c r="P2081" s="91" t="s">
        <v>43</v>
      </c>
      <c r="Q2081" s="91">
        <v>0</v>
      </c>
      <c r="R2081" s="91">
        <v>0</v>
      </c>
      <c r="S2081" s="91">
        <v>0</v>
      </c>
      <c r="T2081" s="91"/>
      <c r="U2081" s="91"/>
      <c r="V2081" s="91"/>
      <c r="W2081" s="91"/>
      <c r="X2081" s="91"/>
      <c r="Y2081" s="91"/>
      <c r="Z2081" s="91"/>
      <c r="AA2081" s="91"/>
      <c r="AB2081" s="91"/>
      <c r="AC2081" s="91"/>
      <c r="AD2081" s="91"/>
      <c r="AE2081" s="91"/>
      <c r="AF2081" s="91"/>
      <c r="AG2081" s="91"/>
      <c r="AH2081" s="91"/>
      <c r="AI2081" s="91"/>
      <c r="AJ2081" s="91"/>
      <c r="AK2081" s="91"/>
      <c r="AL2081" s="91"/>
      <c r="AM2081" s="91"/>
    </row>
    <row r="2082" spans="1:39" ht="20.25" customHeight="1">
      <c r="A2082" s="91"/>
      <c r="B2082" s="93" t="s">
        <v>10137</v>
      </c>
      <c r="C2082" s="91" t="s">
        <v>73</v>
      </c>
      <c r="D2082" s="106" t="s">
        <v>10154</v>
      </c>
      <c r="E2082" s="106" t="s">
        <v>10206</v>
      </c>
      <c r="F2082" s="92" t="s">
        <v>10207</v>
      </c>
      <c r="G2082" s="103">
        <v>39670</v>
      </c>
      <c r="H2082" s="103">
        <v>23009</v>
      </c>
      <c r="I2082" s="108" t="s">
        <v>12591</v>
      </c>
      <c r="J2082" s="100" t="s">
        <v>58</v>
      </c>
      <c r="K2082" s="95" t="s">
        <v>58</v>
      </c>
      <c r="L2082" s="91"/>
      <c r="M2082" s="98">
        <f ca="1">(TODAY()-H2082)/365</f>
        <v>62.994520547945207</v>
      </c>
      <c r="N2082" s="99">
        <f>(G2082-H2082)/365</f>
        <v>45.646575342465752</v>
      </c>
      <c r="O2082" s="98">
        <f ca="1">(TODAY()-G2082)/365</f>
        <v>17.347945205479451</v>
      </c>
      <c r="P2082" s="91" t="s">
        <v>43</v>
      </c>
      <c r="Q2082" s="91"/>
      <c r="R2082" s="91"/>
      <c r="S2082" s="91"/>
      <c r="T2082" s="91"/>
      <c r="U2082" s="91"/>
      <c r="V2082" s="91"/>
      <c r="W2082" s="91"/>
      <c r="X2082" s="91"/>
      <c r="Y2082" s="91"/>
      <c r="Z2082" s="91"/>
      <c r="AA2082" s="91"/>
      <c r="AB2082" s="91"/>
      <c r="AC2082" s="91"/>
      <c r="AD2082" s="91"/>
      <c r="AE2082" s="91"/>
      <c r="AF2082" s="91"/>
      <c r="AG2082" s="91"/>
      <c r="AH2082" s="91"/>
      <c r="AI2082" s="91"/>
      <c r="AJ2082" s="91"/>
      <c r="AK2082" s="91"/>
      <c r="AL2082" s="91"/>
      <c r="AM2082" s="91"/>
    </row>
    <row r="2083" spans="1:39" ht="20.25" hidden="1" customHeight="1">
      <c r="A2083" s="91"/>
      <c r="B2083" s="93" t="s">
        <v>6787</v>
      </c>
      <c r="C2083" s="91" t="s">
        <v>36</v>
      </c>
      <c r="D2083" s="107" t="s">
        <v>3692</v>
      </c>
      <c r="E2083" s="107" t="s">
        <v>6794</v>
      </c>
      <c r="F2083" s="91" t="s">
        <v>6795</v>
      </c>
      <c r="G2083" s="96">
        <v>32601</v>
      </c>
      <c r="H2083" s="97">
        <v>19877</v>
      </c>
      <c r="I2083" s="94" t="s">
        <v>6796</v>
      </c>
      <c r="J2083" s="94" t="s">
        <v>6797</v>
      </c>
      <c r="K2083" s="91">
        <v>969828450</v>
      </c>
      <c r="L2083" s="91" t="s">
        <v>60</v>
      </c>
      <c r="M2083" s="98">
        <f ca="1">(TODAY()-H2083)/365</f>
        <v>71.575342465753423</v>
      </c>
      <c r="N2083" s="99">
        <f>(G2083-H2083)/365</f>
        <v>34.860273972602741</v>
      </c>
      <c r="O2083" s="98">
        <f ca="1">(TODAY()-G2083)/365</f>
        <v>36.715068493150682</v>
      </c>
      <c r="P2083" s="91" t="s">
        <v>43</v>
      </c>
      <c r="Q2083" s="91">
        <v>0</v>
      </c>
      <c r="R2083" s="91">
        <v>0</v>
      </c>
      <c r="S2083" s="91">
        <v>0</v>
      </c>
      <c r="T2083" s="91"/>
      <c r="U2083" s="91"/>
      <c r="V2083" s="91"/>
      <c r="W2083" s="91"/>
      <c r="X2083" s="91"/>
      <c r="Y2083" s="91"/>
      <c r="Z2083" s="91"/>
      <c r="AA2083" s="91"/>
      <c r="AB2083" s="91"/>
      <c r="AC2083" s="91"/>
      <c r="AD2083" s="91"/>
      <c r="AE2083" s="91"/>
      <c r="AF2083" s="91"/>
      <c r="AG2083" s="91"/>
      <c r="AH2083" s="91"/>
      <c r="AI2083" s="91"/>
      <c r="AJ2083" s="91"/>
      <c r="AK2083" s="91"/>
      <c r="AL2083" s="91"/>
      <c r="AM2083" s="91"/>
    </row>
    <row r="2084" spans="1:39" ht="20.25" hidden="1" customHeight="1">
      <c r="A2084" s="91"/>
      <c r="B2084" s="93" t="s">
        <v>6787</v>
      </c>
      <c r="C2084" s="91" t="s">
        <v>36</v>
      </c>
      <c r="D2084" s="107" t="s">
        <v>739</v>
      </c>
      <c r="E2084" s="107" t="s">
        <v>6798</v>
      </c>
      <c r="F2084" s="91" t="s">
        <v>6799</v>
      </c>
      <c r="G2084" s="96">
        <v>45300</v>
      </c>
      <c r="H2084" s="97">
        <v>32085</v>
      </c>
      <c r="I2084" s="94" t="s">
        <v>6800</v>
      </c>
      <c r="J2084" s="94" t="s">
        <v>6801</v>
      </c>
      <c r="K2084" s="91">
        <v>923993736</v>
      </c>
      <c r="L2084" s="91" t="s">
        <v>60</v>
      </c>
      <c r="M2084" s="98">
        <f ca="1">(TODAY()-H2084)/365</f>
        <v>38.128767123287673</v>
      </c>
      <c r="N2084" s="99">
        <f>(G2084-H2084)/365</f>
        <v>36.205479452054796</v>
      </c>
      <c r="O2084" s="98">
        <f ca="1">(TODAY()-G2084)/365</f>
        <v>1.9232876712328768</v>
      </c>
      <c r="P2084" s="91" t="s">
        <v>272</v>
      </c>
      <c r="Q2084" s="91">
        <v>0</v>
      </c>
      <c r="R2084" s="91">
        <v>0</v>
      </c>
      <c r="S2084" s="91">
        <v>0</v>
      </c>
      <c r="T2084" s="91"/>
      <c r="U2084" s="91"/>
      <c r="V2084" s="91"/>
      <c r="W2084" s="91"/>
      <c r="X2084" s="91"/>
      <c r="Y2084" s="91"/>
      <c r="Z2084" s="91"/>
      <c r="AA2084" s="91"/>
      <c r="AB2084" s="91"/>
      <c r="AC2084" s="91"/>
      <c r="AD2084" s="91"/>
      <c r="AE2084" s="91"/>
      <c r="AF2084" s="91"/>
      <c r="AG2084" s="91"/>
      <c r="AH2084" s="91"/>
      <c r="AI2084" s="91"/>
      <c r="AJ2084" s="91"/>
      <c r="AK2084" s="91"/>
      <c r="AL2084" s="91"/>
      <c r="AM2084" s="91"/>
    </row>
    <row r="2085" spans="1:39" ht="20.25" hidden="1" customHeight="1">
      <c r="A2085" s="91"/>
      <c r="B2085" s="93" t="s">
        <v>6787</v>
      </c>
      <c r="C2085" s="91" t="s">
        <v>36</v>
      </c>
      <c r="D2085" s="107" t="s">
        <v>5844</v>
      </c>
      <c r="E2085" s="107" t="s">
        <v>6802</v>
      </c>
      <c r="F2085" s="91" t="s">
        <v>6803</v>
      </c>
      <c r="G2085" s="96">
        <v>28949</v>
      </c>
      <c r="H2085" s="97">
        <v>14686</v>
      </c>
      <c r="I2085" s="94" t="s">
        <v>58</v>
      </c>
      <c r="J2085" s="94" t="s">
        <v>58</v>
      </c>
      <c r="K2085" s="91">
        <v>979996091</v>
      </c>
      <c r="L2085" s="91" t="s">
        <v>60</v>
      </c>
      <c r="M2085" s="98">
        <f ca="1">(TODAY()-H2085)/365</f>
        <v>85.797260273972597</v>
      </c>
      <c r="N2085" s="99">
        <f>(G2085-H2085)/365</f>
        <v>39.076712328767123</v>
      </c>
      <c r="O2085" s="98">
        <f ca="1">(TODAY()-G2085)/365</f>
        <v>46.720547945205482</v>
      </c>
      <c r="P2085" s="91" t="s">
        <v>43</v>
      </c>
      <c r="Q2085" s="91">
        <v>0</v>
      </c>
      <c r="R2085" s="91">
        <v>0</v>
      </c>
      <c r="S2085" s="91">
        <v>0</v>
      </c>
      <c r="T2085" s="91"/>
      <c r="U2085" s="91"/>
      <c r="V2085" s="91"/>
      <c r="W2085" s="91"/>
      <c r="X2085" s="91"/>
      <c r="Y2085" s="91"/>
      <c r="Z2085" s="91"/>
      <c r="AA2085" s="91"/>
      <c r="AB2085" s="91"/>
      <c r="AC2085" s="91"/>
      <c r="AD2085" s="91"/>
      <c r="AE2085" s="91"/>
      <c r="AF2085" s="91"/>
      <c r="AG2085" s="91"/>
      <c r="AH2085" s="91"/>
      <c r="AI2085" s="91"/>
      <c r="AJ2085" s="91"/>
      <c r="AK2085" s="91"/>
      <c r="AL2085" s="91"/>
      <c r="AM2085" s="91"/>
    </row>
    <row r="2086" spans="1:39" ht="20.25" hidden="1" customHeight="1">
      <c r="A2086" s="91"/>
      <c r="B2086" s="93" t="s">
        <v>6787</v>
      </c>
      <c r="C2086" s="91" t="s">
        <v>36</v>
      </c>
      <c r="D2086" s="107" t="s">
        <v>2633</v>
      </c>
      <c r="E2086" s="107" t="s">
        <v>6804</v>
      </c>
      <c r="F2086" s="91" t="s">
        <v>6805</v>
      </c>
      <c r="G2086" s="96">
        <v>40639</v>
      </c>
      <c r="H2086" s="97">
        <v>24207</v>
      </c>
      <c r="I2086" s="94" t="s">
        <v>6806</v>
      </c>
      <c r="J2086" s="94" t="s">
        <v>6807</v>
      </c>
      <c r="K2086" s="91">
        <v>956095812</v>
      </c>
      <c r="L2086" s="91" t="s">
        <v>60</v>
      </c>
      <c r="M2086" s="98">
        <f ca="1">(TODAY()-H2086)/365</f>
        <v>59.712328767123289</v>
      </c>
      <c r="N2086" s="99">
        <f>(G2086-H2086)/365</f>
        <v>45.019178082191779</v>
      </c>
      <c r="O2086" s="98">
        <f ca="1">(TODAY()-G2086)/365</f>
        <v>14.693150684931506</v>
      </c>
      <c r="P2086" s="91" t="s">
        <v>43</v>
      </c>
      <c r="Q2086" s="91">
        <v>0</v>
      </c>
      <c r="R2086" s="91">
        <v>0</v>
      </c>
      <c r="S2086" s="91">
        <v>0</v>
      </c>
      <c r="T2086" s="91"/>
      <c r="U2086" s="91"/>
      <c r="V2086" s="91"/>
      <c r="W2086" s="91"/>
      <c r="X2086" s="91"/>
      <c r="Y2086" s="91"/>
      <c r="Z2086" s="91"/>
      <c r="AA2086" s="91"/>
      <c r="AB2086" s="91"/>
      <c r="AC2086" s="91"/>
      <c r="AD2086" s="91"/>
      <c r="AE2086" s="91"/>
      <c r="AF2086" s="91"/>
      <c r="AG2086" s="91"/>
      <c r="AH2086" s="91"/>
      <c r="AI2086" s="91"/>
      <c r="AJ2086" s="91"/>
      <c r="AK2086" s="91"/>
      <c r="AL2086" s="91"/>
      <c r="AM2086" s="91"/>
    </row>
    <row r="2087" spans="1:39" ht="20.25" customHeight="1">
      <c r="A2087" s="91"/>
      <c r="B2087" s="93" t="s">
        <v>10137</v>
      </c>
      <c r="C2087" s="91" t="s">
        <v>73</v>
      </c>
      <c r="D2087" s="106" t="s">
        <v>10189</v>
      </c>
      <c r="E2087" s="106" t="s">
        <v>10190</v>
      </c>
      <c r="F2087" s="92" t="s">
        <v>10191</v>
      </c>
      <c r="G2087" s="103">
        <v>37722</v>
      </c>
      <c r="H2087" s="103">
        <v>21851</v>
      </c>
      <c r="I2087" s="94" t="s">
        <v>58</v>
      </c>
      <c r="J2087" s="100" t="s">
        <v>58</v>
      </c>
      <c r="K2087" s="95" t="s">
        <v>58</v>
      </c>
      <c r="L2087" s="91"/>
      <c r="M2087" s="98">
        <f ca="1">(TODAY()-H2087)/365</f>
        <v>66.167123287671231</v>
      </c>
      <c r="N2087" s="99">
        <f>(G2087-H2087)/365</f>
        <v>43.482191780821921</v>
      </c>
      <c r="O2087" s="98">
        <f ca="1">(TODAY()-G2087)/365</f>
        <v>22.684931506849313</v>
      </c>
      <c r="P2087" s="91" t="s">
        <v>43</v>
      </c>
      <c r="Q2087" s="91"/>
      <c r="R2087" s="91"/>
      <c r="S2087" s="91"/>
      <c r="T2087" s="91"/>
      <c r="U2087" s="91"/>
      <c r="V2087" s="91"/>
      <c r="W2087" s="91"/>
      <c r="X2087" s="91"/>
      <c r="Y2087" s="91"/>
      <c r="Z2087" s="91"/>
      <c r="AA2087" s="91"/>
      <c r="AB2087" s="91"/>
      <c r="AC2087" s="91"/>
      <c r="AD2087" s="91"/>
      <c r="AE2087" s="91"/>
      <c r="AF2087" s="91"/>
      <c r="AG2087" s="91"/>
      <c r="AH2087" s="91"/>
      <c r="AI2087" s="91"/>
      <c r="AJ2087" s="91"/>
      <c r="AK2087" s="91"/>
      <c r="AL2087" s="91"/>
      <c r="AM2087" s="91"/>
    </row>
    <row r="2088" spans="1:39" ht="20.25" customHeight="1">
      <c r="A2088" s="91"/>
      <c r="B2088" s="93" t="s">
        <v>8930</v>
      </c>
      <c r="C2088" s="91" t="s">
        <v>73</v>
      </c>
      <c r="D2088" s="107" t="s">
        <v>1412</v>
      </c>
      <c r="E2088" s="107" t="s">
        <v>8967</v>
      </c>
      <c r="F2088" s="91" t="s">
        <v>8968</v>
      </c>
      <c r="G2088" s="96">
        <v>40870</v>
      </c>
      <c r="H2088" s="97">
        <v>23491</v>
      </c>
      <c r="I2088" s="94" t="s">
        <v>58</v>
      </c>
      <c r="J2088" s="94" t="s">
        <v>58</v>
      </c>
      <c r="K2088" s="91">
        <v>986218308</v>
      </c>
      <c r="L2088" s="91" t="s">
        <v>60</v>
      </c>
      <c r="M2088" s="98">
        <f ca="1">(TODAY()-H2088)/365</f>
        <v>61.673972602739724</v>
      </c>
      <c r="N2088" s="99">
        <f>(G2088-H2088)/365</f>
        <v>47.613698630136987</v>
      </c>
      <c r="O2088" s="98">
        <f ca="1">(TODAY()-G2088)/365</f>
        <v>14.06027397260274</v>
      </c>
      <c r="P2088" s="91" t="s">
        <v>43</v>
      </c>
      <c r="Q2088" s="91">
        <v>0</v>
      </c>
      <c r="R2088" s="91">
        <v>0</v>
      </c>
      <c r="S2088" s="91">
        <v>0</v>
      </c>
      <c r="T2088" s="91"/>
      <c r="U2088" s="91"/>
      <c r="V2088" s="91"/>
      <c r="W2088" s="91"/>
      <c r="X2088" s="91"/>
      <c r="Y2088" s="91"/>
      <c r="Z2088" s="91"/>
      <c r="AA2088" s="91"/>
      <c r="AB2088" s="91"/>
      <c r="AC2088" s="91"/>
      <c r="AD2088" s="91"/>
      <c r="AE2088" s="91"/>
      <c r="AF2088" s="91"/>
      <c r="AG2088" s="91"/>
      <c r="AH2088" s="91"/>
      <c r="AI2088" s="91"/>
      <c r="AJ2088" s="91"/>
      <c r="AK2088" s="91"/>
      <c r="AL2088" s="91"/>
      <c r="AM2088" s="91"/>
    </row>
    <row r="2089" spans="1:39" ht="20.25" hidden="1" customHeight="1">
      <c r="A2089" s="91"/>
      <c r="B2089" s="93" t="s">
        <v>6787</v>
      </c>
      <c r="C2089" s="91" t="s">
        <v>36</v>
      </c>
      <c r="D2089" s="107" t="s">
        <v>6815</v>
      </c>
      <c r="E2089" s="107" t="s">
        <v>6816</v>
      </c>
      <c r="F2089" s="91" t="s">
        <v>6817</v>
      </c>
      <c r="G2089" s="96">
        <v>45205</v>
      </c>
      <c r="H2089" s="97">
        <v>27632</v>
      </c>
      <c r="I2089" s="94" t="s">
        <v>6818</v>
      </c>
      <c r="J2089" s="94" t="s">
        <v>6819</v>
      </c>
      <c r="K2089" s="91">
        <v>963179220</v>
      </c>
      <c r="L2089" s="91" t="s">
        <v>60</v>
      </c>
      <c r="M2089" s="98">
        <f ca="1">(TODAY()-H2089)/365</f>
        <v>50.328767123287669</v>
      </c>
      <c r="N2089" s="99">
        <f>(G2089-H2089)/365</f>
        <v>48.145205479452052</v>
      </c>
      <c r="O2089" s="98">
        <f ca="1">(TODAY()-G2089)/365</f>
        <v>2.1835616438356165</v>
      </c>
      <c r="P2089" s="91" t="s">
        <v>43</v>
      </c>
      <c r="Q2089" s="91">
        <v>0</v>
      </c>
      <c r="R2089" s="91">
        <v>0</v>
      </c>
      <c r="S2089" s="91">
        <v>0</v>
      </c>
      <c r="T2089" s="91"/>
      <c r="U2089" s="91"/>
      <c r="V2089" s="91"/>
      <c r="W2089" s="91"/>
      <c r="X2089" s="91"/>
      <c r="Y2089" s="91"/>
      <c r="Z2089" s="91"/>
      <c r="AA2089" s="91"/>
      <c r="AB2089" s="91"/>
      <c r="AC2089" s="91"/>
      <c r="AD2089" s="91"/>
      <c r="AE2089" s="91"/>
      <c r="AF2089" s="91"/>
      <c r="AG2089" s="91"/>
      <c r="AH2089" s="91"/>
      <c r="AI2089" s="91"/>
      <c r="AJ2089" s="91"/>
      <c r="AK2089" s="91"/>
      <c r="AL2089" s="91"/>
      <c r="AM2089" s="91"/>
    </row>
    <row r="2090" spans="1:39" ht="20.25" hidden="1" customHeight="1">
      <c r="A2090" s="91"/>
      <c r="B2090" s="93" t="s">
        <v>6787</v>
      </c>
      <c r="C2090" s="91" t="s">
        <v>36</v>
      </c>
      <c r="D2090" s="107" t="s">
        <v>5296</v>
      </c>
      <c r="E2090" s="107" t="s">
        <v>6820</v>
      </c>
      <c r="F2090" s="91" t="s">
        <v>6821</v>
      </c>
      <c r="G2090" s="96">
        <v>40817</v>
      </c>
      <c r="H2090" s="97">
        <v>21397</v>
      </c>
      <c r="I2090" s="94" t="s">
        <v>6822</v>
      </c>
      <c r="J2090" s="94" t="s">
        <v>6823</v>
      </c>
      <c r="K2090" s="91">
        <v>958646833</v>
      </c>
      <c r="L2090" s="91" t="s">
        <v>49</v>
      </c>
      <c r="M2090" s="98">
        <f ca="1">(TODAY()-H2090)/365</f>
        <v>67.410958904109592</v>
      </c>
      <c r="N2090" s="99">
        <f>(G2090-H2090)/365</f>
        <v>53.205479452054796</v>
      </c>
      <c r="O2090" s="98">
        <f ca="1">(TODAY()-G2090)/365</f>
        <v>14.205479452054794</v>
      </c>
      <c r="P2090" s="91" t="s">
        <v>43</v>
      </c>
      <c r="Q2090" s="91">
        <v>0</v>
      </c>
      <c r="R2090" s="91">
        <v>0</v>
      </c>
      <c r="S2090" s="91">
        <v>0</v>
      </c>
      <c r="T2090" s="91"/>
      <c r="U2090" s="91"/>
      <c r="V2090" s="91"/>
      <c r="W2090" s="91"/>
      <c r="X2090" s="91"/>
      <c r="Y2090" s="91"/>
      <c r="Z2090" s="91"/>
      <c r="AA2090" s="91"/>
      <c r="AB2090" s="91"/>
      <c r="AC2090" s="91"/>
      <c r="AD2090" s="91"/>
      <c r="AE2090" s="91"/>
      <c r="AF2090" s="91"/>
      <c r="AG2090" s="91"/>
      <c r="AH2090" s="91"/>
      <c r="AI2090" s="91"/>
      <c r="AJ2090" s="91"/>
      <c r="AK2090" s="91"/>
      <c r="AL2090" s="91"/>
      <c r="AM2090" s="91"/>
    </row>
    <row r="2091" spans="1:39" ht="20.25" hidden="1" customHeight="1">
      <c r="A2091" s="91"/>
      <c r="B2091" s="93" t="s">
        <v>6787</v>
      </c>
      <c r="C2091" s="91" t="s">
        <v>36</v>
      </c>
      <c r="D2091" s="107" t="s">
        <v>5802</v>
      </c>
      <c r="E2091" s="107" t="s">
        <v>6824</v>
      </c>
      <c r="F2091" s="91" t="s">
        <v>6825</v>
      </c>
      <c r="G2091" s="96">
        <v>40825</v>
      </c>
      <c r="H2091" s="97">
        <v>21039</v>
      </c>
      <c r="I2091" s="94" t="s">
        <v>6826</v>
      </c>
      <c r="J2091" s="94" t="s">
        <v>6827</v>
      </c>
      <c r="K2091" s="91">
        <v>923989910</v>
      </c>
      <c r="L2091" s="91" t="s">
        <v>197</v>
      </c>
      <c r="M2091" s="98">
        <f ca="1">(TODAY()-H2091)/365</f>
        <v>68.391780821917806</v>
      </c>
      <c r="N2091" s="99">
        <f>(G2091-H2091)/365</f>
        <v>54.208219178082189</v>
      </c>
      <c r="O2091" s="98">
        <f ca="1">(TODAY()-G2091)/365</f>
        <v>14.183561643835617</v>
      </c>
      <c r="P2091" s="91" t="s">
        <v>272</v>
      </c>
      <c r="Q2091" s="91">
        <v>1</v>
      </c>
      <c r="R2091" s="91">
        <v>0</v>
      </c>
      <c r="S2091" s="91">
        <v>0</v>
      </c>
      <c r="T2091" s="91"/>
      <c r="U2091" s="91"/>
      <c r="V2091" s="91"/>
      <c r="W2091" s="91"/>
      <c r="X2091" s="91"/>
      <c r="Y2091" s="91"/>
      <c r="Z2091" s="91"/>
      <c r="AA2091" s="91"/>
      <c r="AB2091" s="91"/>
      <c r="AC2091" s="91"/>
      <c r="AD2091" s="91"/>
      <c r="AE2091" s="91"/>
      <c r="AF2091" s="91"/>
      <c r="AG2091" s="91"/>
      <c r="AH2091" s="91"/>
      <c r="AI2091" s="91"/>
      <c r="AJ2091" s="91"/>
      <c r="AK2091" s="91"/>
      <c r="AL2091" s="91"/>
      <c r="AM2091" s="91"/>
    </row>
    <row r="2092" spans="1:39" ht="20.25" hidden="1" customHeight="1">
      <c r="A2092" s="91"/>
      <c r="B2092" s="93" t="s">
        <v>6787</v>
      </c>
      <c r="C2092" s="91" t="s">
        <v>36</v>
      </c>
      <c r="D2092" s="107" t="s">
        <v>6828</v>
      </c>
      <c r="E2092" s="107" t="s">
        <v>6829</v>
      </c>
      <c r="F2092" s="91" t="s">
        <v>6830</v>
      </c>
      <c r="G2092" s="96">
        <v>44661</v>
      </c>
      <c r="H2092" s="97">
        <v>20196</v>
      </c>
      <c r="I2092" s="94" t="s">
        <v>6831</v>
      </c>
      <c r="J2092" s="94" t="s">
        <v>6832</v>
      </c>
      <c r="K2092" s="91">
        <v>956454427</v>
      </c>
      <c r="L2092" s="91" t="s">
        <v>60</v>
      </c>
      <c r="M2092" s="98">
        <f ca="1">(TODAY()-H2092)/365</f>
        <v>70.701369863013696</v>
      </c>
      <c r="N2092" s="99">
        <f>(G2092-H2092)/365</f>
        <v>67.027397260273972</v>
      </c>
      <c r="O2092" s="98">
        <f ca="1">(TODAY()-G2092)/365</f>
        <v>3.6739726027397261</v>
      </c>
      <c r="P2092" s="91" t="s">
        <v>43</v>
      </c>
      <c r="Q2092" s="91">
        <v>0</v>
      </c>
      <c r="R2092" s="91">
        <v>0</v>
      </c>
      <c r="S2092" s="91">
        <v>0</v>
      </c>
      <c r="T2092" s="91"/>
      <c r="U2092" s="91"/>
      <c r="V2092" s="91"/>
      <c r="W2092" s="91"/>
      <c r="X2092" s="91"/>
      <c r="Y2092" s="91"/>
      <c r="Z2092" s="91"/>
      <c r="AA2092" s="91"/>
      <c r="AB2092" s="91"/>
      <c r="AC2092" s="91"/>
      <c r="AD2092" s="91"/>
      <c r="AE2092" s="91"/>
      <c r="AF2092" s="91"/>
      <c r="AG2092" s="91"/>
      <c r="AH2092" s="91"/>
      <c r="AI2092" s="91"/>
      <c r="AJ2092" s="91"/>
      <c r="AK2092" s="91"/>
      <c r="AL2092" s="91"/>
      <c r="AM2092" s="91"/>
    </row>
    <row r="2093" spans="1:39" ht="20.25" hidden="1" customHeight="1">
      <c r="A2093" s="91"/>
      <c r="B2093" s="93" t="s">
        <v>6787</v>
      </c>
      <c r="C2093" s="91" t="s">
        <v>36</v>
      </c>
      <c r="D2093" s="107" t="s">
        <v>2455</v>
      </c>
      <c r="E2093" s="107" t="s">
        <v>6833</v>
      </c>
      <c r="F2093" s="91" t="s">
        <v>6834</v>
      </c>
      <c r="G2093" s="96">
        <v>44684</v>
      </c>
      <c r="H2093" s="97">
        <v>19660</v>
      </c>
      <c r="I2093" s="94" t="s">
        <v>58</v>
      </c>
      <c r="J2093" s="94" t="s">
        <v>58</v>
      </c>
      <c r="K2093" s="91">
        <v>963752125</v>
      </c>
      <c r="L2093" s="91" t="s">
        <v>60</v>
      </c>
      <c r="M2093" s="98">
        <f ca="1">(TODAY()-H2093)/365</f>
        <v>72.169863013698631</v>
      </c>
      <c r="N2093" s="99">
        <f>(G2093-H2093)/365</f>
        <v>68.558904109589037</v>
      </c>
      <c r="O2093" s="98">
        <f ca="1">(TODAY()-G2093)/365</f>
        <v>3.6109589041095891</v>
      </c>
      <c r="P2093" s="91" t="s">
        <v>43</v>
      </c>
      <c r="Q2093" s="91">
        <v>0</v>
      </c>
      <c r="R2093" s="91">
        <v>0</v>
      </c>
      <c r="S2093" s="91">
        <v>0</v>
      </c>
      <c r="T2093" s="91"/>
      <c r="U2093" s="91"/>
      <c r="V2093" s="91"/>
      <c r="W2093" s="91"/>
      <c r="X2093" s="91"/>
      <c r="Y2093" s="91"/>
      <c r="Z2093" s="91"/>
      <c r="AA2093" s="91"/>
      <c r="AB2093" s="91"/>
      <c r="AC2093" s="91"/>
      <c r="AD2093" s="91"/>
      <c r="AE2093" s="91"/>
      <c r="AF2093" s="91"/>
      <c r="AG2093" s="91"/>
      <c r="AH2093" s="91"/>
      <c r="AI2093" s="91"/>
      <c r="AJ2093" s="91"/>
      <c r="AK2093" s="91"/>
      <c r="AL2093" s="91"/>
      <c r="AM2093" s="91"/>
    </row>
    <row r="2094" spans="1:39" ht="20.25" hidden="1" customHeight="1">
      <c r="A2094" s="91"/>
      <c r="B2094" s="93" t="s">
        <v>6787</v>
      </c>
      <c r="C2094" s="91" t="s">
        <v>36</v>
      </c>
      <c r="D2094" s="107" t="s">
        <v>6835</v>
      </c>
      <c r="E2094" s="107" t="s">
        <v>6836</v>
      </c>
      <c r="F2094" s="91" t="s">
        <v>6837</v>
      </c>
      <c r="G2094" s="96">
        <v>40277</v>
      </c>
      <c r="H2094" s="97">
        <v>13558</v>
      </c>
      <c r="I2094" s="94" t="s">
        <v>58</v>
      </c>
      <c r="J2094" s="94" t="s">
        <v>58</v>
      </c>
      <c r="K2094" s="91">
        <v>98266794</v>
      </c>
      <c r="L2094" s="91" t="s">
        <v>54</v>
      </c>
      <c r="M2094" s="98">
        <f ca="1">(TODAY()-H2094)/365</f>
        <v>88.887671232876713</v>
      </c>
      <c r="N2094" s="99">
        <f>(G2094-H2094)/365</f>
        <v>73.202739726027403</v>
      </c>
      <c r="O2094" s="98">
        <f ca="1">(TODAY()-G2094)/365</f>
        <v>15.684931506849315</v>
      </c>
      <c r="P2094" s="91" t="s">
        <v>43</v>
      </c>
      <c r="Q2094" s="91">
        <v>0</v>
      </c>
      <c r="R2094" s="91">
        <v>0</v>
      </c>
      <c r="S2094" s="91">
        <v>0</v>
      </c>
      <c r="T2094" s="91"/>
      <c r="U2094" s="91"/>
      <c r="V2094" s="91"/>
      <c r="W2094" s="91"/>
      <c r="X2094" s="91"/>
      <c r="Y2094" s="91"/>
      <c r="Z2094" s="91"/>
      <c r="AA2094" s="91"/>
      <c r="AB2094" s="91"/>
      <c r="AC2094" s="91"/>
      <c r="AD2094" s="91"/>
      <c r="AE2094" s="91"/>
      <c r="AF2094" s="91"/>
      <c r="AG2094" s="91"/>
      <c r="AH2094" s="91"/>
      <c r="AI2094" s="91"/>
      <c r="AJ2094" s="91"/>
      <c r="AK2094" s="91"/>
      <c r="AL2094" s="91"/>
      <c r="AM2094" s="91"/>
    </row>
    <row r="2095" spans="1:39" ht="20.25" hidden="1" customHeight="1">
      <c r="A2095" s="91"/>
      <c r="B2095" s="93" t="s">
        <v>6838</v>
      </c>
      <c r="C2095" s="91" t="s">
        <v>36</v>
      </c>
      <c r="D2095" s="94" t="s">
        <v>6839</v>
      </c>
      <c r="E2095" s="94" t="s">
        <v>6840</v>
      </c>
      <c r="F2095" s="95" t="s">
        <v>6841</v>
      </c>
      <c r="G2095" s="96">
        <v>43665</v>
      </c>
      <c r="H2095" s="97">
        <v>37091</v>
      </c>
      <c r="I2095" s="100" t="s">
        <v>6842</v>
      </c>
      <c r="J2095" s="94" t="s">
        <v>6838</v>
      </c>
      <c r="K2095" s="95">
        <v>937128996</v>
      </c>
      <c r="L2095" s="91" t="s">
        <v>60</v>
      </c>
      <c r="M2095" s="98">
        <f ca="1">(TODAY()-H2095)/365</f>
        <v>24.413698630136988</v>
      </c>
      <c r="N2095" s="99">
        <f>(G2095-H2095)/365</f>
        <v>18.010958904109589</v>
      </c>
      <c r="O2095" s="98">
        <f ca="1">(TODAY()-G2095)/365</f>
        <v>6.4027397260273968</v>
      </c>
      <c r="P2095" s="91" t="s">
        <v>43</v>
      </c>
      <c r="Q2095" s="91">
        <v>0</v>
      </c>
      <c r="R2095" s="91">
        <v>0</v>
      </c>
      <c r="S2095" s="91">
        <v>0</v>
      </c>
      <c r="T2095" s="91"/>
      <c r="U2095" s="91"/>
      <c r="V2095" s="91"/>
      <c r="W2095" s="91"/>
      <c r="X2095" s="91"/>
      <c r="Y2095" s="91"/>
      <c r="Z2095" s="91"/>
      <c r="AA2095" s="91"/>
      <c r="AB2095" s="91"/>
      <c r="AC2095" s="91"/>
      <c r="AD2095" s="91"/>
      <c r="AE2095" s="91"/>
      <c r="AF2095" s="91"/>
      <c r="AG2095" s="91"/>
      <c r="AH2095" s="91"/>
      <c r="AI2095" s="91"/>
      <c r="AJ2095" s="91"/>
      <c r="AK2095" s="91"/>
      <c r="AL2095" s="91"/>
      <c r="AM2095" s="91"/>
    </row>
    <row r="2096" spans="1:39" ht="20.25" hidden="1" customHeight="1">
      <c r="A2096" s="91"/>
      <c r="B2096" s="93" t="s">
        <v>6838</v>
      </c>
      <c r="C2096" s="91" t="s">
        <v>36</v>
      </c>
      <c r="D2096" s="94" t="s">
        <v>6843</v>
      </c>
      <c r="E2096" s="94" t="s">
        <v>6844</v>
      </c>
      <c r="F2096" s="95" t="s">
        <v>6845</v>
      </c>
      <c r="G2096" s="96">
        <v>28202</v>
      </c>
      <c r="H2096" s="97">
        <v>17100</v>
      </c>
      <c r="I2096" s="100" t="s">
        <v>6846</v>
      </c>
      <c r="J2096" s="94" t="s">
        <v>6838</v>
      </c>
      <c r="K2096" s="95">
        <v>992157356</v>
      </c>
      <c r="L2096" s="91" t="s">
        <v>60</v>
      </c>
      <c r="M2096" s="98">
        <f ca="1">(TODAY()-H2096)/365</f>
        <v>79.183561643835617</v>
      </c>
      <c r="N2096" s="99">
        <f>(G2096-H2096)/365</f>
        <v>30.416438356164385</v>
      </c>
      <c r="O2096" s="98">
        <f ca="1">(TODAY()-G2096)/365</f>
        <v>48.767123287671232</v>
      </c>
      <c r="P2096" s="91" t="s">
        <v>43</v>
      </c>
      <c r="Q2096" s="91">
        <v>0</v>
      </c>
      <c r="R2096" s="91">
        <v>0</v>
      </c>
      <c r="S2096" s="91">
        <v>0</v>
      </c>
      <c r="T2096" s="91"/>
      <c r="U2096" s="91"/>
      <c r="V2096" s="91"/>
      <c r="W2096" s="91"/>
      <c r="X2096" s="91"/>
      <c r="Y2096" s="91"/>
      <c r="Z2096" s="91"/>
      <c r="AA2096" s="91"/>
      <c r="AB2096" s="91"/>
      <c r="AC2096" s="91"/>
      <c r="AD2096" s="91"/>
      <c r="AE2096" s="91"/>
      <c r="AF2096" s="91"/>
      <c r="AG2096" s="91"/>
      <c r="AH2096" s="91"/>
      <c r="AI2096" s="91"/>
      <c r="AJ2096" s="91"/>
      <c r="AK2096" s="91"/>
      <c r="AL2096" s="91"/>
      <c r="AM2096" s="91"/>
    </row>
    <row r="2097" spans="1:39" ht="20.25" hidden="1" customHeight="1">
      <c r="A2097" s="91"/>
      <c r="B2097" s="93" t="s">
        <v>6838</v>
      </c>
      <c r="C2097" s="91" t="s">
        <v>36</v>
      </c>
      <c r="D2097" s="94" t="s">
        <v>2477</v>
      </c>
      <c r="E2097" s="94" t="s">
        <v>6847</v>
      </c>
      <c r="F2097" s="95" t="s">
        <v>6848</v>
      </c>
      <c r="G2097" s="96">
        <v>33816</v>
      </c>
      <c r="H2097" s="97">
        <v>22048</v>
      </c>
      <c r="I2097" s="100" t="s">
        <v>6849</v>
      </c>
      <c r="J2097" s="94" t="s">
        <v>4214</v>
      </c>
      <c r="K2097" s="95">
        <v>942023492</v>
      </c>
      <c r="L2097" s="91" t="s">
        <v>54</v>
      </c>
      <c r="M2097" s="98">
        <f ca="1">(TODAY()-H2097)/365</f>
        <v>65.627397260273966</v>
      </c>
      <c r="N2097" s="99">
        <f>(G2097-H2097)/365</f>
        <v>32.241095890410961</v>
      </c>
      <c r="O2097" s="98">
        <f ca="1">(TODAY()-G2097)/365</f>
        <v>33.386301369863013</v>
      </c>
      <c r="P2097" s="91" t="s">
        <v>43</v>
      </c>
      <c r="Q2097" s="91">
        <v>0</v>
      </c>
      <c r="R2097" s="91">
        <v>0</v>
      </c>
      <c r="S2097" s="91">
        <v>0</v>
      </c>
      <c r="T2097" s="91"/>
      <c r="U2097" s="91"/>
      <c r="V2097" s="91"/>
      <c r="W2097" s="91"/>
      <c r="X2097" s="91"/>
      <c r="Y2097" s="91"/>
      <c r="Z2097" s="91"/>
      <c r="AA2097" s="91"/>
      <c r="AB2097" s="91"/>
      <c r="AC2097" s="91"/>
      <c r="AD2097" s="91"/>
      <c r="AE2097" s="91"/>
      <c r="AF2097" s="91"/>
      <c r="AG2097" s="91"/>
      <c r="AH2097" s="91"/>
      <c r="AI2097" s="91"/>
      <c r="AJ2097" s="91"/>
      <c r="AK2097" s="91"/>
      <c r="AL2097" s="91"/>
      <c r="AM2097" s="91"/>
    </row>
    <row r="2098" spans="1:39" ht="20.25" hidden="1" customHeight="1">
      <c r="A2098" s="91"/>
      <c r="B2098" s="93" t="s">
        <v>6838</v>
      </c>
      <c r="C2098" s="91" t="s">
        <v>36</v>
      </c>
      <c r="D2098" s="94" t="s">
        <v>3483</v>
      </c>
      <c r="E2098" s="94" t="s">
        <v>6850</v>
      </c>
      <c r="F2098" s="95" t="s">
        <v>6851</v>
      </c>
      <c r="G2098" s="96">
        <v>38135</v>
      </c>
      <c r="H2098" s="97">
        <v>23167</v>
      </c>
      <c r="I2098" s="100" t="s">
        <v>6852</v>
      </c>
      <c r="J2098" s="94" t="s">
        <v>6838</v>
      </c>
      <c r="K2098" s="95">
        <v>987252707</v>
      </c>
      <c r="L2098" s="91" t="s">
        <v>72</v>
      </c>
      <c r="M2098" s="98">
        <f ca="1">(TODAY()-H2098)/365</f>
        <v>62.561643835616437</v>
      </c>
      <c r="N2098" s="99">
        <f>(G2098-H2098)/365</f>
        <v>41.008219178082193</v>
      </c>
      <c r="O2098" s="98">
        <f ca="1">(TODAY()-G2098)/365</f>
        <v>21.553424657534247</v>
      </c>
      <c r="P2098" s="91" t="s">
        <v>43</v>
      </c>
      <c r="Q2098" s="91">
        <v>0</v>
      </c>
      <c r="R2098" s="91">
        <v>0</v>
      </c>
      <c r="S2098" s="91">
        <v>0</v>
      </c>
      <c r="T2098" s="91"/>
      <c r="U2098" s="91"/>
      <c r="V2098" s="91"/>
      <c r="W2098" s="91"/>
      <c r="X2098" s="91"/>
      <c r="Y2098" s="91"/>
      <c r="Z2098" s="91"/>
      <c r="AA2098" s="91"/>
      <c r="AB2098" s="91"/>
      <c r="AC2098" s="91"/>
      <c r="AD2098" s="91"/>
      <c r="AE2098" s="91"/>
      <c r="AF2098" s="91"/>
      <c r="AG2098" s="91"/>
      <c r="AH2098" s="91"/>
      <c r="AI2098" s="91"/>
      <c r="AJ2098" s="91"/>
      <c r="AK2098" s="91"/>
      <c r="AL2098" s="91"/>
      <c r="AM2098" s="91"/>
    </row>
    <row r="2099" spans="1:39" ht="20.25" hidden="1" customHeight="1">
      <c r="A2099" s="91"/>
      <c r="B2099" s="93" t="s">
        <v>6838</v>
      </c>
      <c r="C2099" s="91" t="s">
        <v>36</v>
      </c>
      <c r="D2099" s="94" t="s">
        <v>712</v>
      </c>
      <c r="E2099" s="94" t="s">
        <v>4216</v>
      </c>
      <c r="F2099" s="95" t="s">
        <v>6853</v>
      </c>
      <c r="G2099" s="96">
        <v>30771</v>
      </c>
      <c r="H2099" s="97">
        <v>15563</v>
      </c>
      <c r="I2099" s="100" t="s">
        <v>6854</v>
      </c>
      <c r="J2099" s="94" t="s">
        <v>6838</v>
      </c>
      <c r="K2099" s="95">
        <v>990898347</v>
      </c>
      <c r="L2099" s="91" t="s">
        <v>42</v>
      </c>
      <c r="M2099" s="98">
        <f ca="1">(TODAY()-H2099)/365</f>
        <v>83.394520547945206</v>
      </c>
      <c r="N2099" s="99">
        <f>(G2099-H2099)/365</f>
        <v>41.665753424657531</v>
      </c>
      <c r="O2099" s="98">
        <f ca="1">(TODAY()-G2099)/365</f>
        <v>41.728767123287675</v>
      </c>
      <c r="P2099" s="91" t="s">
        <v>43</v>
      </c>
      <c r="Q2099" s="91">
        <v>0</v>
      </c>
      <c r="R2099" s="91">
        <v>0</v>
      </c>
      <c r="S2099" s="91">
        <v>0</v>
      </c>
      <c r="T2099" s="91"/>
      <c r="U2099" s="91"/>
      <c r="V2099" s="91"/>
      <c r="W2099" s="91"/>
      <c r="X2099" s="91"/>
      <c r="Y2099" s="91"/>
      <c r="Z2099" s="91"/>
      <c r="AA2099" s="91"/>
      <c r="AB2099" s="91"/>
      <c r="AC2099" s="91"/>
      <c r="AD2099" s="91"/>
      <c r="AE2099" s="91"/>
      <c r="AF2099" s="91"/>
      <c r="AG2099" s="91"/>
      <c r="AH2099" s="91"/>
      <c r="AI2099" s="91"/>
      <c r="AJ2099" s="91"/>
      <c r="AK2099" s="91"/>
      <c r="AL2099" s="91"/>
      <c r="AM2099" s="91"/>
    </row>
    <row r="2100" spans="1:39" ht="20.25" hidden="1" customHeight="1">
      <c r="A2100" s="91"/>
      <c r="B2100" s="93" t="s">
        <v>6838</v>
      </c>
      <c r="C2100" s="91" t="s">
        <v>36</v>
      </c>
      <c r="D2100" s="94" t="s">
        <v>1221</v>
      </c>
      <c r="E2100" s="94" t="s">
        <v>6855</v>
      </c>
      <c r="F2100" s="95" t="s">
        <v>6856</v>
      </c>
      <c r="G2100" s="96">
        <v>36331</v>
      </c>
      <c r="H2100" s="97">
        <v>20249</v>
      </c>
      <c r="I2100" s="100" t="s">
        <v>6857</v>
      </c>
      <c r="J2100" s="94" t="s">
        <v>6838</v>
      </c>
      <c r="K2100" s="95">
        <v>984097918</v>
      </c>
      <c r="L2100" s="91" t="s">
        <v>49</v>
      </c>
      <c r="M2100" s="98">
        <f ca="1">(TODAY()-H2100)/365</f>
        <v>70.556164383561651</v>
      </c>
      <c r="N2100" s="99">
        <f>(G2100-H2100)/365</f>
        <v>44.060273972602737</v>
      </c>
      <c r="O2100" s="98">
        <f ca="1">(TODAY()-G2100)/365</f>
        <v>26.495890410958904</v>
      </c>
      <c r="P2100" s="91" t="s">
        <v>43</v>
      </c>
      <c r="Q2100" s="91">
        <v>0</v>
      </c>
      <c r="R2100" s="91">
        <v>0</v>
      </c>
      <c r="S2100" s="91">
        <v>0</v>
      </c>
      <c r="T2100" s="91"/>
      <c r="U2100" s="91"/>
      <c r="V2100" s="91"/>
      <c r="W2100" s="91"/>
      <c r="X2100" s="91"/>
      <c r="Y2100" s="91"/>
      <c r="Z2100" s="91"/>
      <c r="AA2100" s="91"/>
      <c r="AB2100" s="91"/>
      <c r="AC2100" s="91"/>
      <c r="AD2100" s="91"/>
      <c r="AE2100" s="91"/>
      <c r="AF2100" s="91"/>
      <c r="AG2100" s="91"/>
      <c r="AH2100" s="91"/>
      <c r="AI2100" s="91"/>
      <c r="AJ2100" s="91"/>
      <c r="AK2100" s="91"/>
      <c r="AL2100" s="91"/>
      <c r="AM2100" s="91"/>
    </row>
    <row r="2101" spans="1:39" ht="20.25" hidden="1" customHeight="1">
      <c r="A2101" s="91"/>
      <c r="B2101" s="93" t="s">
        <v>6838</v>
      </c>
      <c r="C2101" s="91" t="s">
        <v>36</v>
      </c>
      <c r="D2101" s="94" t="s">
        <v>4614</v>
      </c>
      <c r="E2101" s="94" t="s">
        <v>6858</v>
      </c>
      <c r="F2101" s="95" t="s">
        <v>6859</v>
      </c>
      <c r="G2101" s="96">
        <v>36339</v>
      </c>
      <c r="H2101" s="97">
        <v>20225</v>
      </c>
      <c r="I2101" s="100" t="s">
        <v>6860</v>
      </c>
      <c r="J2101" s="94" t="s">
        <v>6787</v>
      </c>
      <c r="K2101" s="95">
        <v>990472422</v>
      </c>
      <c r="L2101" s="91" t="s">
        <v>197</v>
      </c>
      <c r="M2101" s="98">
        <f ca="1">(TODAY()-H2101)/365</f>
        <v>70.62191780821918</v>
      </c>
      <c r="N2101" s="99">
        <f>(G2101-H2101)/365</f>
        <v>44.147945205479452</v>
      </c>
      <c r="O2101" s="98">
        <f ca="1">(TODAY()-G2101)/365</f>
        <v>26.473972602739725</v>
      </c>
      <c r="P2101" s="91" t="s">
        <v>43</v>
      </c>
      <c r="Q2101" s="91">
        <v>0</v>
      </c>
      <c r="R2101" s="91">
        <v>0</v>
      </c>
      <c r="S2101" s="91">
        <v>0</v>
      </c>
      <c r="T2101" s="91"/>
      <c r="U2101" s="91"/>
      <c r="V2101" s="91"/>
      <c r="W2101" s="91"/>
      <c r="X2101" s="91"/>
      <c r="Y2101" s="91"/>
      <c r="Z2101" s="91"/>
      <c r="AA2101" s="91"/>
      <c r="AB2101" s="91"/>
      <c r="AC2101" s="91"/>
      <c r="AD2101" s="91"/>
      <c r="AE2101" s="91"/>
      <c r="AF2101" s="91"/>
      <c r="AG2101" s="91"/>
      <c r="AH2101" s="91"/>
      <c r="AI2101" s="91"/>
      <c r="AJ2101" s="91"/>
      <c r="AK2101" s="91"/>
      <c r="AL2101" s="91"/>
      <c r="AM2101" s="91"/>
    </row>
    <row r="2102" spans="1:39" ht="20.25" hidden="1" customHeight="1">
      <c r="A2102" s="91"/>
      <c r="B2102" s="93" t="s">
        <v>6838</v>
      </c>
      <c r="C2102" s="91" t="s">
        <v>36</v>
      </c>
      <c r="D2102" s="94" t="s">
        <v>6274</v>
      </c>
      <c r="E2102" s="94" t="s">
        <v>6861</v>
      </c>
      <c r="F2102" s="95" t="s">
        <v>6862</v>
      </c>
      <c r="G2102" s="96">
        <v>39905</v>
      </c>
      <c r="H2102" s="97">
        <v>21591</v>
      </c>
      <c r="I2102" s="100" t="s">
        <v>6863</v>
      </c>
      <c r="J2102" s="94" t="s">
        <v>6838</v>
      </c>
      <c r="K2102" s="95">
        <v>994510100</v>
      </c>
      <c r="L2102" s="91" t="s">
        <v>66</v>
      </c>
      <c r="M2102" s="98">
        <f ca="1">(TODAY()-H2102)/365</f>
        <v>66.879452054794527</v>
      </c>
      <c r="N2102" s="99">
        <f>(G2102-H2102)/365</f>
        <v>50.175342465753424</v>
      </c>
      <c r="O2102" s="98">
        <f ca="1">(TODAY()-G2102)/365</f>
        <v>16.704109589041096</v>
      </c>
      <c r="P2102" s="91" t="s">
        <v>43</v>
      </c>
      <c r="Q2102" s="91">
        <v>1</v>
      </c>
      <c r="R2102" s="91">
        <v>1</v>
      </c>
      <c r="S2102" s="91">
        <v>0</v>
      </c>
      <c r="T2102" s="91"/>
      <c r="U2102" s="91"/>
      <c r="V2102" s="91"/>
      <c r="W2102" s="91"/>
      <c r="X2102" s="91"/>
      <c r="Y2102" s="91"/>
      <c r="Z2102" s="91"/>
      <c r="AA2102" s="91"/>
      <c r="AB2102" s="91"/>
      <c r="AC2102" s="91"/>
      <c r="AD2102" s="91"/>
      <c r="AE2102" s="91"/>
      <c r="AF2102" s="91"/>
      <c r="AG2102" s="91"/>
      <c r="AH2102" s="91"/>
      <c r="AI2102" s="91"/>
      <c r="AJ2102" s="91"/>
      <c r="AK2102" s="91"/>
      <c r="AL2102" s="91"/>
      <c r="AM2102" s="91"/>
    </row>
    <row r="2103" spans="1:39" ht="20.25" hidden="1" customHeight="1">
      <c r="A2103" s="91"/>
      <c r="B2103" s="93" t="s">
        <v>6838</v>
      </c>
      <c r="C2103" s="91" t="s">
        <v>36</v>
      </c>
      <c r="D2103" s="94" t="s">
        <v>866</v>
      </c>
      <c r="E2103" s="94" t="s">
        <v>6864</v>
      </c>
      <c r="F2103" s="95" t="s">
        <v>6865</v>
      </c>
      <c r="G2103" s="96">
        <v>45418</v>
      </c>
      <c r="H2103" s="97">
        <v>25061</v>
      </c>
      <c r="I2103" s="100" t="s">
        <v>6866</v>
      </c>
      <c r="J2103" s="94" t="s">
        <v>6838</v>
      </c>
      <c r="K2103" s="95">
        <v>933431340</v>
      </c>
      <c r="L2103" s="91" t="s">
        <v>60</v>
      </c>
      <c r="M2103" s="98">
        <f ca="1">(TODAY()-H2103)/365</f>
        <v>57.372602739726027</v>
      </c>
      <c r="N2103" s="99">
        <f>(G2103-H2103)/365</f>
        <v>55.772602739726025</v>
      </c>
      <c r="O2103" s="98">
        <f ca="1">(TODAY()-G2103)/365</f>
        <v>1.6</v>
      </c>
      <c r="P2103" s="91" t="s">
        <v>43</v>
      </c>
      <c r="Q2103" s="91">
        <v>0</v>
      </c>
      <c r="R2103" s="91">
        <v>0</v>
      </c>
      <c r="S2103" s="91">
        <v>0</v>
      </c>
      <c r="T2103" s="91"/>
      <c r="U2103" s="91"/>
      <c r="V2103" s="91"/>
      <c r="W2103" s="91"/>
      <c r="X2103" s="91"/>
      <c r="Y2103" s="91"/>
      <c r="Z2103" s="91"/>
      <c r="AA2103" s="91"/>
      <c r="AB2103" s="91"/>
      <c r="AC2103" s="91"/>
      <c r="AD2103" s="91"/>
      <c r="AE2103" s="91"/>
      <c r="AF2103" s="91"/>
      <c r="AG2103" s="91"/>
      <c r="AH2103" s="91"/>
      <c r="AI2103" s="91"/>
      <c r="AJ2103" s="91"/>
      <c r="AK2103" s="91"/>
      <c r="AL2103" s="91"/>
      <c r="AM2103" s="91"/>
    </row>
    <row r="2104" spans="1:39" ht="20.25" hidden="1" customHeight="1">
      <c r="A2104" s="91"/>
      <c r="B2104" s="93" t="s">
        <v>6838</v>
      </c>
      <c r="C2104" s="91" t="s">
        <v>36</v>
      </c>
      <c r="D2104" s="94" t="s">
        <v>6867</v>
      </c>
      <c r="E2104" s="94" t="s">
        <v>6868</v>
      </c>
      <c r="F2104" s="95" t="s">
        <v>6869</v>
      </c>
      <c r="G2104" s="96">
        <v>37403</v>
      </c>
      <c r="H2104" s="97">
        <v>15215</v>
      </c>
      <c r="I2104" s="100" t="s">
        <v>6870</v>
      </c>
      <c r="J2104" s="94" t="s">
        <v>6787</v>
      </c>
      <c r="K2104" s="95">
        <v>958169595</v>
      </c>
      <c r="L2104" s="91" t="s">
        <v>60</v>
      </c>
      <c r="M2104" s="98">
        <f ca="1">(TODAY()-H2104)/365</f>
        <v>84.347945205479448</v>
      </c>
      <c r="N2104" s="99">
        <f>(G2104-H2104)/365</f>
        <v>60.789041095890411</v>
      </c>
      <c r="O2104" s="98">
        <f ca="1">(TODAY()-G2104)/365</f>
        <v>23.55890410958904</v>
      </c>
      <c r="P2104" s="91" t="s">
        <v>43</v>
      </c>
      <c r="Q2104" s="91">
        <v>0</v>
      </c>
      <c r="R2104" s="91">
        <v>0</v>
      </c>
      <c r="S2104" s="91">
        <v>0</v>
      </c>
      <c r="T2104" s="91"/>
      <c r="U2104" s="91"/>
      <c r="V2104" s="91"/>
      <c r="W2104" s="91"/>
      <c r="X2104" s="91"/>
      <c r="Y2104" s="91"/>
      <c r="Z2104" s="91"/>
      <c r="AA2104" s="91"/>
      <c r="AB2104" s="91"/>
      <c r="AC2104" s="91"/>
      <c r="AD2104" s="91"/>
      <c r="AE2104" s="91"/>
      <c r="AF2104" s="91"/>
      <c r="AG2104" s="91"/>
      <c r="AH2104" s="91"/>
      <c r="AI2104" s="91"/>
      <c r="AJ2104" s="91"/>
      <c r="AK2104" s="91"/>
      <c r="AL2104" s="91"/>
      <c r="AM2104" s="91"/>
    </row>
    <row r="2105" spans="1:39" ht="20.25" hidden="1" customHeight="1">
      <c r="A2105" s="91"/>
      <c r="B2105" s="93" t="s">
        <v>6838</v>
      </c>
      <c r="C2105" s="91" t="s">
        <v>36</v>
      </c>
      <c r="D2105" s="94" t="s">
        <v>2429</v>
      </c>
      <c r="E2105" s="94" t="s">
        <v>6871</v>
      </c>
      <c r="F2105" s="95" t="s">
        <v>6872</v>
      </c>
      <c r="G2105" s="96">
        <v>45462</v>
      </c>
      <c r="H2105" s="97">
        <v>22889</v>
      </c>
      <c r="I2105" s="100" t="s">
        <v>6873</v>
      </c>
      <c r="J2105" s="94" t="s">
        <v>6838</v>
      </c>
      <c r="K2105" s="95">
        <v>973522598</v>
      </c>
      <c r="L2105" s="91" t="s">
        <v>60</v>
      </c>
      <c r="M2105" s="98">
        <f ca="1">(TODAY()-H2105)/365</f>
        <v>63.323287671232876</v>
      </c>
      <c r="N2105" s="99">
        <f>(G2105-H2105)/365</f>
        <v>61.843835616438355</v>
      </c>
      <c r="O2105" s="98">
        <f ca="1">(TODAY()-G2105)/365</f>
        <v>1.4794520547945205</v>
      </c>
      <c r="P2105" s="91" t="s">
        <v>43</v>
      </c>
      <c r="Q2105" s="91">
        <v>0</v>
      </c>
      <c r="R2105" s="91">
        <v>0</v>
      </c>
      <c r="S2105" s="91">
        <v>0</v>
      </c>
      <c r="T2105" s="91"/>
      <c r="U2105" s="91"/>
      <c r="V2105" s="91"/>
      <c r="W2105" s="91"/>
      <c r="X2105" s="91"/>
      <c r="Y2105" s="91"/>
      <c r="Z2105" s="91"/>
      <c r="AA2105" s="91"/>
      <c r="AB2105" s="91"/>
      <c r="AC2105" s="91"/>
      <c r="AD2105" s="91"/>
      <c r="AE2105" s="91"/>
      <c r="AF2105" s="91"/>
      <c r="AG2105" s="91"/>
      <c r="AH2105" s="91"/>
      <c r="AI2105" s="91"/>
      <c r="AJ2105" s="91"/>
      <c r="AK2105" s="91"/>
      <c r="AL2105" s="91"/>
      <c r="AM2105" s="91"/>
    </row>
    <row r="2106" spans="1:39" ht="20.25" hidden="1" customHeight="1">
      <c r="A2106" s="91"/>
      <c r="B2106" s="93" t="s">
        <v>6838</v>
      </c>
      <c r="C2106" s="91" t="s">
        <v>36</v>
      </c>
      <c r="D2106" s="94" t="s">
        <v>3890</v>
      </c>
      <c r="E2106" s="94" t="s">
        <v>6874</v>
      </c>
      <c r="F2106" s="95" t="s">
        <v>6875</v>
      </c>
      <c r="G2106" s="96">
        <v>45436</v>
      </c>
      <c r="H2106" s="97">
        <v>22209</v>
      </c>
      <c r="I2106" s="100" t="s">
        <v>6876</v>
      </c>
      <c r="J2106" s="94" t="s">
        <v>6838</v>
      </c>
      <c r="K2106" s="95">
        <v>973522598</v>
      </c>
      <c r="L2106" s="91" t="s">
        <v>60</v>
      </c>
      <c r="M2106" s="98">
        <f ca="1">(TODAY()-H2106)/365</f>
        <v>65.186301369863017</v>
      </c>
      <c r="N2106" s="99">
        <f>(G2106-H2106)/365</f>
        <v>63.635616438356166</v>
      </c>
      <c r="O2106" s="98">
        <f ca="1">(TODAY()-G2106)/365</f>
        <v>1.5506849315068494</v>
      </c>
      <c r="P2106" s="91" t="s">
        <v>43</v>
      </c>
      <c r="Q2106" s="91">
        <v>0</v>
      </c>
      <c r="R2106" s="91">
        <v>0</v>
      </c>
      <c r="S2106" s="91">
        <v>0</v>
      </c>
      <c r="T2106" s="91"/>
      <c r="U2106" s="91"/>
      <c r="V2106" s="91"/>
      <c r="W2106" s="91"/>
      <c r="X2106" s="91"/>
      <c r="Y2106" s="91"/>
      <c r="Z2106" s="91"/>
      <c r="AA2106" s="91"/>
      <c r="AB2106" s="91"/>
      <c r="AC2106" s="91"/>
      <c r="AD2106" s="91"/>
      <c r="AE2106" s="91"/>
      <c r="AF2106" s="91"/>
      <c r="AG2106" s="91"/>
      <c r="AH2106" s="91"/>
      <c r="AI2106" s="91"/>
      <c r="AJ2106" s="91"/>
      <c r="AK2106" s="91"/>
      <c r="AL2106" s="91"/>
      <c r="AM2106" s="91"/>
    </row>
    <row r="2107" spans="1:39" ht="20.25" hidden="1" customHeight="1">
      <c r="A2107" s="91"/>
      <c r="B2107" s="93" t="s">
        <v>6838</v>
      </c>
      <c r="C2107" s="91" t="s">
        <v>36</v>
      </c>
      <c r="D2107" s="94" t="s">
        <v>3692</v>
      </c>
      <c r="E2107" s="94" t="s">
        <v>6877</v>
      </c>
      <c r="F2107" s="95" t="s">
        <v>6878</v>
      </c>
      <c r="G2107" s="96">
        <v>45352</v>
      </c>
      <c r="H2107" s="97">
        <v>21694</v>
      </c>
      <c r="I2107" s="100" t="s">
        <v>6879</v>
      </c>
      <c r="J2107" s="94" t="s">
        <v>6838</v>
      </c>
      <c r="K2107" s="95">
        <v>993435100</v>
      </c>
      <c r="L2107" s="91" t="s">
        <v>60</v>
      </c>
      <c r="M2107" s="98">
        <f ca="1">(TODAY()-H2107)/365</f>
        <v>66.597260273972609</v>
      </c>
      <c r="N2107" s="99">
        <f>(G2107-H2107)/365</f>
        <v>64.816438356164383</v>
      </c>
      <c r="O2107" s="98">
        <f ca="1">(TODAY()-G2107)/365</f>
        <v>1.7808219178082192</v>
      </c>
      <c r="P2107" s="91" t="s">
        <v>43</v>
      </c>
      <c r="Q2107" s="91">
        <v>0</v>
      </c>
      <c r="R2107" s="91">
        <v>0</v>
      </c>
      <c r="S2107" s="91">
        <v>0</v>
      </c>
      <c r="T2107" s="91"/>
      <c r="U2107" s="91"/>
      <c r="V2107" s="91"/>
      <c r="W2107" s="91"/>
      <c r="X2107" s="91"/>
      <c r="Y2107" s="91"/>
      <c r="Z2107" s="91"/>
      <c r="AA2107" s="91"/>
      <c r="AB2107" s="91"/>
      <c r="AC2107" s="91"/>
      <c r="AD2107" s="91"/>
      <c r="AE2107" s="91"/>
      <c r="AF2107" s="91"/>
      <c r="AG2107" s="91"/>
      <c r="AH2107" s="91"/>
      <c r="AI2107" s="91"/>
      <c r="AJ2107" s="91"/>
      <c r="AK2107" s="91"/>
      <c r="AL2107" s="91"/>
      <c r="AM2107" s="91"/>
    </row>
    <row r="2108" spans="1:39" ht="20.25" hidden="1" customHeight="1">
      <c r="A2108" s="91"/>
      <c r="B2108" s="93" t="s">
        <v>6838</v>
      </c>
      <c r="C2108" s="91" t="s">
        <v>36</v>
      </c>
      <c r="D2108" s="94" t="s">
        <v>6880</v>
      </c>
      <c r="E2108" s="94" t="s">
        <v>6881</v>
      </c>
      <c r="F2108" s="95" t="s">
        <v>6882</v>
      </c>
      <c r="G2108" s="96">
        <v>40266</v>
      </c>
      <c r="H2108" s="97">
        <v>15958</v>
      </c>
      <c r="I2108" s="100" t="s">
        <v>6883</v>
      </c>
      <c r="J2108" s="94" t="s">
        <v>6838</v>
      </c>
      <c r="K2108" s="95">
        <v>991385591</v>
      </c>
      <c r="L2108" s="91" t="s">
        <v>60</v>
      </c>
      <c r="M2108" s="98">
        <f ca="1">(TODAY()-H2108)/365</f>
        <v>82.31232876712329</v>
      </c>
      <c r="N2108" s="99">
        <f>(G2108-H2108)/365</f>
        <v>66.597260273972609</v>
      </c>
      <c r="O2108" s="98">
        <f ca="1">(TODAY()-G2108)/365</f>
        <v>15.715068493150685</v>
      </c>
      <c r="P2108" s="91" t="s">
        <v>43</v>
      </c>
      <c r="Q2108" s="91">
        <v>0</v>
      </c>
      <c r="R2108" s="91">
        <v>0</v>
      </c>
      <c r="S2108" s="91">
        <v>0</v>
      </c>
      <c r="T2108" s="91"/>
      <c r="U2108" s="91"/>
      <c r="V2108" s="91"/>
      <c r="W2108" s="91"/>
      <c r="X2108" s="91"/>
      <c r="Y2108" s="91"/>
      <c r="Z2108" s="91"/>
      <c r="AA2108" s="91"/>
      <c r="AB2108" s="91"/>
      <c r="AC2108" s="91"/>
      <c r="AD2108" s="91"/>
      <c r="AE2108" s="91"/>
      <c r="AF2108" s="91"/>
      <c r="AG2108" s="91"/>
      <c r="AH2108" s="91"/>
      <c r="AI2108" s="91"/>
      <c r="AJ2108" s="91"/>
      <c r="AK2108" s="91"/>
      <c r="AL2108" s="91"/>
      <c r="AM2108" s="91"/>
    </row>
    <row r="2109" spans="1:39" ht="20.25" hidden="1" customHeight="1">
      <c r="A2109" s="91"/>
      <c r="B2109" s="93" t="s">
        <v>6838</v>
      </c>
      <c r="C2109" s="91" t="s">
        <v>36</v>
      </c>
      <c r="D2109" s="94" t="s">
        <v>4283</v>
      </c>
      <c r="E2109" s="94" t="s">
        <v>6884</v>
      </c>
      <c r="F2109" s="95" t="s">
        <v>6885</v>
      </c>
      <c r="G2109" s="96">
        <v>45418</v>
      </c>
      <c r="H2109" s="97">
        <v>20808</v>
      </c>
      <c r="I2109" s="100" t="s">
        <v>6886</v>
      </c>
      <c r="J2109" s="94" t="s">
        <v>6838</v>
      </c>
      <c r="K2109" s="95">
        <v>969189491</v>
      </c>
      <c r="L2109" s="91" t="s">
        <v>167</v>
      </c>
      <c r="M2109" s="98">
        <f ca="1">(TODAY()-H2109)/365</f>
        <v>69.024657534246572</v>
      </c>
      <c r="N2109" s="99">
        <f>(G2109-H2109)/365</f>
        <v>67.424657534246577</v>
      </c>
      <c r="O2109" s="98">
        <f ca="1">(TODAY()-G2109)/365</f>
        <v>1.6</v>
      </c>
      <c r="P2109" s="91" t="s">
        <v>43</v>
      </c>
      <c r="Q2109" s="91">
        <v>0</v>
      </c>
      <c r="R2109" s="91">
        <v>0</v>
      </c>
      <c r="S2109" s="91">
        <v>0</v>
      </c>
      <c r="T2109" s="91"/>
      <c r="U2109" s="91"/>
      <c r="V2109" s="91"/>
      <c r="W2109" s="91"/>
      <c r="X2109" s="91"/>
      <c r="Y2109" s="91"/>
      <c r="Z2109" s="91"/>
      <c r="AA2109" s="91"/>
      <c r="AB2109" s="91"/>
      <c r="AC2109" s="91"/>
      <c r="AD2109" s="91"/>
      <c r="AE2109" s="91"/>
      <c r="AF2109" s="91"/>
      <c r="AG2109" s="91"/>
      <c r="AH2109" s="91"/>
      <c r="AI2109" s="91"/>
      <c r="AJ2109" s="91"/>
      <c r="AK2109" s="91"/>
      <c r="AL2109" s="91"/>
      <c r="AM2109" s="91"/>
    </row>
    <row r="2110" spans="1:39" ht="20.25" hidden="1" customHeight="1">
      <c r="A2110" s="91"/>
      <c r="B2110" s="93" t="s">
        <v>6838</v>
      </c>
      <c r="C2110" s="91" t="s">
        <v>36</v>
      </c>
      <c r="D2110" s="94" t="s">
        <v>6887</v>
      </c>
      <c r="E2110" s="94" t="s">
        <v>6888</v>
      </c>
      <c r="F2110" s="95" t="s">
        <v>6889</v>
      </c>
      <c r="G2110" s="96">
        <v>43526</v>
      </c>
      <c r="H2110" s="97">
        <v>17917</v>
      </c>
      <c r="I2110" s="100" t="s">
        <v>6890</v>
      </c>
      <c r="J2110" s="94" t="s">
        <v>4214</v>
      </c>
      <c r="K2110" s="95">
        <v>982640666</v>
      </c>
      <c r="L2110" s="91" t="s">
        <v>60</v>
      </c>
      <c r="M2110" s="98">
        <f ca="1">(TODAY()-H2110)/365</f>
        <v>76.945205479452056</v>
      </c>
      <c r="N2110" s="99">
        <f>(G2110-H2110)/365</f>
        <v>70.161643835616445</v>
      </c>
      <c r="O2110" s="98">
        <f ca="1">(TODAY()-G2110)/365</f>
        <v>6.7835616438356166</v>
      </c>
      <c r="P2110" s="91" t="s">
        <v>43</v>
      </c>
      <c r="Q2110" s="91">
        <v>0</v>
      </c>
      <c r="R2110" s="91">
        <v>0</v>
      </c>
      <c r="S2110" s="91">
        <v>0</v>
      </c>
      <c r="T2110" s="91"/>
      <c r="U2110" s="91"/>
      <c r="V2110" s="91"/>
      <c r="W2110" s="91"/>
      <c r="X2110" s="91"/>
      <c r="Y2110" s="91"/>
      <c r="Z2110" s="91"/>
      <c r="AA2110" s="91"/>
      <c r="AB2110" s="91"/>
      <c r="AC2110" s="91"/>
      <c r="AD2110" s="91"/>
      <c r="AE2110" s="91"/>
      <c r="AF2110" s="91"/>
      <c r="AG2110" s="91"/>
      <c r="AH2110" s="91"/>
      <c r="AI2110" s="91"/>
      <c r="AJ2110" s="91"/>
      <c r="AK2110" s="91"/>
      <c r="AL2110" s="91"/>
      <c r="AM2110" s="91"/>
    </row>
    <row r="2111" spans="1:39" ht="20.25" hidden="1" customHeight="1">
      <c r="A2111" s="91"/>
      <c r="B2111" s="93" t="s">
        <v>10061</v>
      </c>
      <c r="C2111" s="91" t="s">
        <v>36</v>
      </c>
      <c r="D2111" s="106" t="s">
        <v>658</v>
      </c>
      <c r="E2111" s="106" t="s">
        <v>10062</v>
      </c>
      <c r="F2111" s="92" t="s">
        <v>10063</v>
      </c>
      <c r="G2111" s="103">
        <v>30046</v>
      </c>
      <c r="H2111" s="103">
        <v>16711</v>
      </c>
      <c r="I2111" s="94" t="s">
        <v>58</v>
      </c>
      <c r="J2111" s="94" t="s">
        <v>10064</v>
      </c>
      <c r="K2111" s="92">
        <v>990974302</v>
      </c>
      <c r="L2111" s="91"/>
      <c r="M2111" s="98">
        <f ca="1">(TODAY()-H2111)/365</f>
        <v>80.249315068493146</v>
      </c>
      <c r="N2111" s="99">
        <f>(G2111-H2111)/365</f>
        <v>36.534246575342465</v>
      </c>
      <c r="O2111" s="98">
        <f ca="1">(TODAY()-G2111)/365</f>
        <v>43.715068493150682</v>
      </c>
      <c r="P2111" s="91" t="s">
        <v>43</v>
      </c>
      <c r="Q2111" s="91"/>
      <c r="R2111" s="91"/>
      <c r="S2111" s="91"/>
      <c r="T2111" s="91"/>
      <c r="U2111" s="91"/>
      <c r="V2111" s="91"/>
      <c r="W2111" s="91"/>
      <c r="X2111" s="91"/>
      <c r="Y2111" s="91"/>
      <c r="Z2111" s="91"/>
      <c r="AA2111" s="91"/>
      <c r="AB2111" s="91"/>
      <c r="AC2111" s="91"/>
      <c r="AD2111" s="91"/>
      <c r="AE2111" s="91"/>
      <c r="AF2111" s="91"/>
      <c r="AG2111" s="91"/>
      <c r="AH2111" s="91"/>
      <c r="AI2111" s="91"/>
      <c r="AJ2111" s="91"/>
      <c r="AK2111" s="91"/>
      <c r="AL2111" s="91"/>
      <c r="AM2111" s="91"/>
    </row>
    <row r="2112" spans="1:39" ht="20.25" hidden="1" customHeight="1">
      <c r="A2112" s="91"/>
      <c r="B2112" s="93" t="s">
        <v>10061</v>
      </c>
      <c r="C2112" s="91" t="s">
        <v>36</v>
      </c>
      <c r="D2112" s="106" t="s">
        <v>346</v>
      </c>
      <c r="E2112" s="106" t="s">
        <v>10065</v>
      </c>
      <c r="F2112" s="92" t="s">
        <v>10066</v>
      </c>
      <c r="G2112" s="103">
        <v>36697</v>
      </c>
      <c r="H2112" s="103">
        <v>19747</v>
      </c>
      <c r="I2112" s="108" t="s">
        <v>12561</v>
      </c>
      <c r="J2112" s="94" t="s">
        <v>10067</v>
      </c>
      <c r="K2112" s="92">
        <v>999011749</v>
      </c>
      <c r="L2112" s="91"/>
      <c r="M2112" s="98">
        <f ca="1">(TODAY()-H2112)/365</f>
        <v>71.93150684931507</v>
      </c>
      <c r="N2112" s="99">
        <f>(G2112-H2112)/365</f>
        <v>46.438356164383563</v>
      </c>
      <c r="O2112" s="98">
        <f ca="1">(TODAY()-G2112)/365</f>
        <v>25.493150684931507</v>
      </c>
      <c r="P2112" s="91" t="s">
        <v>43</v>
      </c>
      <c r="Q2112" s="91"/>
      <c r="R2112" s="91"/>
      <c r="S2112" s="91"/>
      <c r="T2112" s="91"/>
      <c r="U2112" s="91"/>
      <c r="V2112" s="91"/>
      <c r="W2112" s="91"/>
      <c r="X2112" s="91"/>
      <c r="Y2112" s="91"/>
      <c r="Z2112" s="91"/>
      <c r="AA2112" s="91"/>
      <c r="AB2112" s="91"/>
      <c r="AC2112" s="91"/>
      <c r="AD2112" s="91"/>
      <c r="AE2112" s="91"/>
      <c r="AF2112" s="91"/>
      <c r="AG2112" s="91"/>
      <c r="AH2112" s="91"/>
      <c r="AI2112" s="91"/>
      <c r="AJ2112" s="91"/>
      <c r="AK2112" s="91"/>
      <c r="AL2112" s="91"/>
      <c r="AM2112" s="91"/>
    </row>
    <row r="2113" spans="1:39" ht="20.25" hidden="1" customHeight="1">
      <c r="A2113" s="91"/>
      <c r="B2113" s="93" t="s">
        <v>10061</v>
      </c>
      <c r="C2113" s="91" t="s">
        <v>36</v>
      </c>
      <c r="D2113" s="106" t="s">
        <v>9050</v>
      </c>
      <c r="E2113" s="106" t="s">
        <v>10068</v>
      </c>
      <c r="F2113" s="92" t="s">
        <v>10069</v>
      </c>
      <c r="G2113" s="103">
        <v>38811</v>
      </c>
      <c r="H2113" s="103">
        <v>23933</v>
      </c>
      <c r="I2113" s="108" t="s">
        <v>12562</v>
      </c>
      <c r="J2113" s="94" t="s">
        <v>10070</v>
      </c>
      <c r="K2113" s="92">
        <v>965777596</v>
      </c>
      <c r="L2113" s="91"/>
      <c r="M2113" s="98">
        <f ca="1">(TODAY()-H2113)/365</f>
        <v>60.463013698630135</v>
      </c>
      <c r="N2113" s="99">
        <f>(G2113-H2113)/365</f>
        <v>40.761643835616439</v>
      </c>
      <c r="O2113" s="98">
        <f ca="1">(TODAY()-G2113)/365</f>
        <v>19.701369863013699</v>
      </c>
      <c r="P2113" s="91" t="s">
        <v>43</v>
      </c>
      <c r="Q2113" s="91"/>
      <c r="R2113" s="91"/>
      <c r="S2113" s="91"/>
      <c r="T2113" s="91"/>
      <c r="U2113" s="91"/>
      <c r="V2113" s="91"/>
      <c r="W2113" s="91"/>
      <c r="X2113" s="91"/>
      <c r="Y2113" s="91"/>
      <c r="Z2113" s="91"/>
      <c r="AA2113" s="91"/>
      <c r="AB2113" s="91"/>
      <c r="AC2113" s="91"/>
      <c r="AD2113" s="91"/>
      <c r="AE2113" s="91"/>
      <c r="AF2113" s="91"/>
      <c r="AG2113" s="91"/>
      <c r="AH2113" s="91"/>
      <c r="AI2113" s="91"/>
      <c r="AJ2113" s="91"/>
      <c r="AK2113" s="91"/>
      <c r="AL2113" s="91"/>
      <c r="AM2113" s="91"/>
    </row>
    <row r="2114" spans="1:39" ht="20.25" hidden="1" customHeight="1">
      <c r="A2114" s="91"/>
      <c r="B2114" s="93" t="s">
        <v>10061</v>
      </c>
      <c r="C2114" s="91" t="s">
        <v>36</v>
      </c>
      <c r="D2114" s="106" t="s">
        <v>788</v>
      </c>
      <c r="E2114" s="106" t="s">
        <v>10071</v>
      </c>
      <c r="F2114" s="92" t="s">
        <v>10072</v>
      </c>
      <c r="G2114" s="103">
        <v>38447</v>
      </c>
      <c r="H2114" s="103">
        <v>20515</v>
      </c>
      <c r="I2114" s="108" t="s">
        <v>12563</v>
      </c>
      <c r="J2114" s="94" t="s">
        <v>10073</v>
      </c>
      <c r="K2114" s="92">
        <v>994610267</v>
      </c>
      <c r="L2114" s="91"/>
      <c r="M2114" s="98">
        <f ca="1">(TODAY()-H2114)/365</f>
        <v>69.827397260273969</v>
      </c>
      <c r="N2114" s="99">
        <f>(G2114-H2114)/365</f>
        <v>49.128767123287673</v>
      </c>
      <c r="O2114" s="98">
        <f ca="1">(TODAY()-G2114)/365</f>
        <v>20.698630136986303</v>
      </c>
      <c r="P2114" s="91" t="s">
        <v>43</v>
      </c>
      <c r="Q2114" s="91"/>
      <c r="R2114" s="91"/>
      <c r="S2114" s="91"/>
      <c r="T2114" s="91"/>
      <c r="U2114" s="91"/>
      <c r="V2114" s="91"/>
      <c r="W2114" s="91"/>
      <c r="X2114" s="91"/>
      <c r="Y2114" s="91"/>
      <c r="Z2114" s="91"/>
      <c r="AA2114" s="91"/>
      <c r="AB2114" s="91"/>
      <c r="AC2114" s="91"/>
      <c r="AD2114" s="91"/>
      <c r="AE2114" s="91"/>
      <c r="AF2114" s="91"/>
      <c r="AG2114" s="91"/>
      <c r="AH2114" s="91"/>
      <c r="AI2114" s="91"/>
      <c r="AJ2114" s="91"/>
      <c r="AK2114" s="91"/>
      <c r="AL2114" s="91"/>
      <c r="AM2114" s="91"/>
    </row>
    <row r="2115" spans="1:39" ht="20.25" hidden="1" customHeight="1">
      <c r="A2115" s="91"/>
      <c r="B2115" s="93" t="s">
        <v>10061</v>
      </c>
      <c r="C2115" s="91" t="s">
        <v>36</v>
      </c>
      <c r="D2115" s="106" t="s">
        <v>367</v>
      </c>
      <c r="E2115" s="106" t="s">
        <v>10074</v>
      </c>
      <c r="F2115" s="92" t="s">
        <v>10075</v>
      </c>
      <c r="G2115" s="103">
        <v>34400</v>
      </c>
      <c r="H2115" s="103">
        <v>22000</v>
      </c>
      <c r="I2115" s="94" t="s">
        <v>2873</v>
      </c>
      <c r="J2115" s="94" t="s">
        <v>10076</v>
      </c>
      <c r="K2115" s="92">
        <v>981663515</v>
      </c>
      <c r="L2115" s="91"/>
      <c r="M2115" s="98">
        <f ca="1">(TODAY()-H2115)/365</f>
        <v>65.758904109589039</v>
      </c>
      <c r="N2115" s="99">
        <f>(G2115-H2115)/365</f>
        <v>33.972602739726028</v>
      </c>
      <c r="O2115" s="98">
        <f ca="1">(TODAY()-G2115)/365</f>
        <v>31.786301369863015</v>
      </c>
      <c r="P2115" s="91" t="s">
        <v>43</v>
      </c>
      <c r="Q2115" s="91"/>
      <c r="R2115" s="91"/>
      <c r="S2115" s="91"/>
      <c r="T2115" s="91"/>
      <c r="U2115" s="91"/>
      <c r="V2115" s="91"/>
      <c r="W2115" s="91"/>
      <c r="X2115" s="91"/>
      <c r="Y2115" s="91"/>
      <c r="Z2115" s="91"/>
      <c r="AA2115" s="91"/>
      <c r="AB2115" s="91"/>
      <c r="AC2115" s="91"/>
      <c r="AD2115" s="91"/>
      <c r="AE2115" s="91"/>
      <c r="AF2115" s="91"/>
      <c r="AG2115" s="91"/>
      <c r="AH2115" s="91"/>
      <c r="AI2115" s="91"/>
      <c r="AJ2115" s="91"/>
      <c r="AK2115" s="91"/>
      <c r="AL2115" s="91"/>
      <c r="AM2115" s="91"/>
    </row>
    <row r="2116" spans="1:39" ht="20.25" hidden="1" customHeight="1">
      <c r="A2116" s="91"/>
      <c r="B2116" s="93" t="s">
        <v>10061</v>
      </c>
      <c r="C2116" s="91" t="s">
        <v>36</v>
      </c>
      <c r="D2116" s="106" t="s">
        <v>2840</v>
      </c>
      <c r="E2116" s="106" t="s">
        <v>10077</v>
      </c>
      <c r="F2116" s="92" t="s">
        <v>10078</v>
      </c>
      <c r="G2116" s="103">
        <v>30414</v>
      </c>
      <c r="H2116" s="103">
        <v>23637</v>
      </c>
      <c r="I2116" s="108" t="s">
        <v>12564</v>
      </c>
      <c r="J2116" s="94" t="s">
        <v>10079</v>
      </c>
      <c r="K2116" s="92">
        <v>985368680</v>
      </c>
      <c r="L2116" s="91"/>
      <c r="M2116" s="98">
        <f ca="1">(TODAY()-H2116)/365</f>
        <v>61.273972602739725</v>
      </c>
      <c r="N2116" s="99">
        <f>(G2116-H2116)/365</f>
        <v>18.567123287671233</v>
      </c>
      <c r="O2116" s="98">
        <f ca="1">(TODAY()-G2116)/365</f>
        <v>42.706849315068496</v>
      </c>
      <c r="P2116" s="91" t="s">
        <v>43</v>
      </c>
      <c r="Q2116" s="91"/>
      <c r="R2116" s="91"/>
      <c r="S2116" s="91"/>
      <c r="T2116" s="91"/>
      <c r="U2116" s="91"/>
      <c r="V2116" s="91"/>
      <c r="W2116" s="91"/>
      <c r="X2116" s="91"/>
      <c r="Y2116" s="91"/>
      <c r="Z2116" s="91"/>
      <c r="AA2116" s="91"/>
      <c r="AB2116" s="91"/>
      <c r="AC2116" s="91"/>
      <c r="AD2116" s="91"/>
      <c r="AE2116" s="91"/>
      <c r="AF2116" s="91"/>
      <c r="AG2116" s="91"/>
      <c r="AH2116" s="91"/>
      <c r="AI2116" s="91"/>
      <c r="AJ2116" s="91"/>
      <c r="AK2116" s="91"/>
      <c r="AL2116" s="91"/>
      <c r="AM2116" s="91"/>
    </row>
    <row r="2117" spans="1:39" ht="20.25" hidden="1" customHeight="1">
      <c r="A2117" s="91"/>
      <c r="B2117" s="93" t="s">
        <v>10061</v>
      </c>
      <c r="C2117" s="91" t="s">
        <v>36</v>
      </c>
      <c r="D2117" s="106" t="s">
        <v>4614</v>
      </c>
      <c r="E2117" s="106" t="s">
        <v>10080</v>
      </c>
      <c r="F2117" s="92" t="s">
        <v>10081</v>
      </c>
      <c r="G2117" s="103">
        <v>33317</v>
      </c>
      <c r="H2117" s="103">
        <v>18358</v>
      </c>
      <c r="I2117" s="94" t="s">
        <v>2873</v>
      </c>
      <c r="J2117" s="94" t="s">
        <v>10082</v>
      </c>
      <c r="K2117" s="92">
        <v>982783719</v>
      </c>
      <c r="L2117" s="91"/>
      <c r="M2117" s="98">
        <f ca="1">(TODAY()-H2117)/365</f>
        <v>75.736986301369868</v>
      </c>
      <c r="N2117" s="99">
        <f>(G2117-H2117)/365</f>
        <v>40.983561643835614</v>
      </c>
      <c r="O2117" s="98">
        <f ca="1">(TODAY()-G2117)/365</f>
        <v>34.753424657534246</v>
      </c>
      <c r="P2117" s="91" t="s">
        <v>43</v>
      </c>
      <c r="Q2117" s="91"/>
      <c r="R2117" s="91"/>
      <c r="S2117" s="91"/>
      <c r="T2117" s="91"/>
      <c r="U2117" s="91"/>
      <c r="V2117" s="91"/>
      <c r="W2117" s="91"/>
      <c r="X2117" s="91"/>
      <c r="Y2117" s="91"/>
      <c r="Z2117" s="91"/>
      <c r="AA2117" s="91"/>
      <c r="AB2117" s="91"/>
      <c r="AC2117" s="91"/>
      <c r="AD2117" s="91"/>
      <c r="AE2117" s="91"/>
      <c r="AF2117" s="91"/>
      <c r="AG2117" s="91"/>
      <c r="AH2117" s="91"/>
      <c r="AI2117" s="91"/>
      <c r="AJ2117" s="91"/>
      <c r="AK2117" s="91"/>
      <c r="AL2117" s="91"/>
      <c r="AM2117" s="91"/>
    </row>
    <row r="2118" spans="1:39" ht="20.25" hidden="1" customHeight="1">
      <c r="A2118" s="91"/>
      <c r="B2118" s="93" t="s">
        <v>10061</v>
      </c>
      <c r="C2118" s="91" t="s">
        <v>36</v>
      </c>
      <c r="D2118" s="106" t="s">
        <v>2230</v>
      </c>
      <c r="E2118" s="106" t="s">
        <v>10083</v>
      </c>
      <c r="F2118" s="92" t="s">
        <v>10084</v>
      </c>
      <c r="G2118" s="103">
        <v>37735</v>
      </c>
      <c r="H2118" s="103">
        <v>18605</v>
      </c>
      <c r="I2118" s="108" t="s">
        <v>12565</v>
      </c>
      <c r="J2118" s="94" t="s">
        <v>10085</v>
      </c>
      <c r="K2118" s="92">
        <v>996472843</v>
      </c>
      <c r="L2118" s="91"/>
      <c r="M2118" s="98">
        <f ca="1">(TODAY()-H2118)/365</f>
        <v>75.060273972602744</v>
      </c>
      <c r="N2118" s="99">
        <f>(G2118-H2118)/365</f>
        <v>52.410958904109592</v>
      </c>
      <c r="O2118" s="98">
        <f ca="1">(TODAY()-G2118)/365</f>
        <v>22.649315068493152</v>
      </c>
      <c r="P2118" s="91" t="s">
        <v>43</v>
      </c>
      <c r="Q2118" s="91"/>
      <c r="R2118" s="91"/>
      <c r="S2118" s="91"/>
      <c r="T2118" s="91"/>
      <c r="U2118" s="91"/>
      <c r="V2118" s="91"/>
      <c r="W2118" s="91"/>
      <c r="X2118" s="91"/>
      <c r="Y2118" s="91"/>
      <c r="Z2118" s="91"/>
      <c r="AA2118" s="91"/>
      <c r="AB2118" s="91"/>
      <c r="AC2118" s="91"/>
      <c r="AD2118" s="91"/>
      <c r="AE2118" s="91"/>
      <c r="AF2118" s="91"/>
      <c r="AG2118" s="91"/>
      <c r="AH2118" s="91"/>
      <c r="AI2118" s="91"/>
      <c r="AJ2118" s="91"/>
      <c r="AK2118" s="91"/>
      <c r="AL2118" s="91"/>
      <c r="AM2118" s="91"/>
    </row>
    <row r="2119" spans="1:39" ht="20.25" hidden="1" customHeight="1">
      <c r="A2119" s="91"/>
      <c r="B2119" s="93" t="s">
        <v>10061</v>
      </c>
      <c r="C2119" s="91" t="s">
        <v>36</v>
      </c>
      <c r="D2119" s="106" t="s">
        <v>675</v>
      </c>
      <c r="E2119" s="106" t="s">
        <v>10086</v>
      </c>
      <c r="F2119" s="92" t="s">
        <v>10087</v>
      </c>
      <c r="G2119" s="103">
        <v>41472</v>
      </c>
      <c r="H2119" s="103">
        <v>21800</v>
      </c>
      <c r="I2119" s="108" t="s">
        <v>12566</v>
      </c>
      <c r="J2119" s="94" t="s">
        <v>10088</v>
      </c>
      <c r="K2119" s="92">
        <v>974498099</v>
      </c>
      <c r="L2119" s="91"/>
      <c r="M2119" s="98">
        <f ca="1">(TODAY()-H2119)/365</f>
        <v>66.30684931506849</v>
      </c>
      <c r="N2119" s="99">
        <f>(G2119-H2119)/365</f>
        <v>53.895890410958906</v>
      </c>
      <c r="O2119" s="98">
        <f ca="1">(TODAY()-G2119)/365</f>
        <v>12.41095890410959</v>
      </c>
      <c r="P2119" s="91" t="s">
        <v>43</v>
      </c>
      <c r="Q2119" s="91"/>
      <c r="R2119" s="91"/>
      <c r="S2119" s="91"/>
      <c r="T2119" s="91"/>
      <c r="U2119" s="91"/>
      <c r="V2119" s="91"/>
      <c r="W2119" s="91"/>
      <c r="X2119" s="91"/>
      <c r="Y2119" s="91"/>
      <c r="Z2119" s="91"/>
      <c r="AA2119" s="91"/>
      <c r="AB2119" s="91"/>
      <c r="AC2119" s="91"/>
      <c r="AD2119" s="91"/>
      <c r="AE2119" s="91"/>
      <c r="AF2119" s="91"/>
      <c r="AG2119" s="91"/>
      <c r="AH2119" s="91"/>
      <c r="AI2119" s="91"/>
      <c r="AJ2119" s="91"/>
      <c r="AK2119" s="91"/>
      <c r="AL2119" s="91"/>
      <c r="AM2119" s="91"/>
    </row>
    <row r="2120" spans="1:39" ht="20.25" hidden="1" customHeight="1">
      <c r="A2120" s="91"/>
      <c r="B2120" s="93" t="s">
        <v>10061</v>
      </c>
      <c r="C2120" s="91" t="s">
        <v>36</v>
      </c>
      <c r="D2120" s="106" t="s">
        <v>10089</v>
      </c>
      <c r="E2120" s="106" t="s">
        <v>10090</v>
      </c>
      <c r="F2120" s="92" t="s">
        <v>10091</v>
      </c>
      <c r="G2120" s="103">
        <v>35129</v>
      </c>
      <c r="H2120" s="103">
        <v>20728</v>
      </c>
      <c r="I2120" s="108" t="s">
        <v>12567</v>
      </c>
      <c r="J2120" s="94" t="s">
        <v>10092</v>
      </c>
      <c r="K2120" s="92">
        <v>978984174</v>
      </c>
      <c r="L2120" s="91"/>
      <c r="M2120" s="98">
        <f ca="1">(TODAY()-H2120)/365</f>
        <v>69.243835616438361</v>
      </c>
      <c r="N2120" s="99">
        <f>(G2120-H2120)/365</f>
        <v>39.454794520547942</v>
      </c>
      <c r="O2120" s="98">
        <f ca="1">(TODAY()-G2120)/365</f>
        <v>29.789041095890411</v>
      </c>
      <c r="P2120" s="91" t="s">
        <v>43</v>
      </c>
      <c r="Q2120" s="91"/>
      <c r="R2120" s="91"/>
      <c r="S2120" s="91"/>
      <c r="T2120" s="91"/>
      <c r="U2120" s="91"/>
      <c r="V2120" s="91"/>
      <c r="W2120" s="91"/>
      <c r="X2120" s="91"/>
      <c r="Y2120" s="91"/>
      <c r="Z2120" s="91"/>
      <c r="AA2120" s="91"/>
      <c r="AB2120" s="91"/>
      <c r="AC2120" s="91"/>
      <c r="AD2120" s="91"/>
      <c r="AE2120" s="91"/>
      <c r="AF2120" s="91"/>
      <c r="AG2120" s="91"/>
      <c r="AH2120" s="91"/>
      <c r="AI2120" s="91"/>
      <c r="AJ2120" s="91"/>
      <c r="AK2120" s="91"/>
      <c r="AL2120" s="91"/>
      <c r="AM2120" s="91"/>
    </row>
    <row r="2121" spans="1:39" ht="20.25" hidden="1" customHeight="1">
      <c r="A2121" s="91"/>
      <c r="B2121" s="93" t="s">
        <v>10061</v>
      </c>
      <c r="C2121" s="91" t="s">
        <v>36</v>
      </c>
      <c r="D2121" s="106" t="s">
        <v>331</v>
      </c>
      <c r="E2121" s="106" t="s">
        <v>10093</v>
      </c>
      <c r="F2121" s="92" t="s">
        <v>10094</v>
      </c>
      <c r="G2121" s="103">
        <v>37299</v>
      </c>
      <c r="H2121" s="103">
        <v>22753</v>
      </c>
      <c r="I2121" s="108" t="s">
        <v>12568</v>
      </c>
      <c r="J2121" s="94" t="s">
        <v>10095</v>
      </c>
      <c r="K2121" s="92">
        <v>998326818</v>
      </c>
      <c r="L2121" s="91"/>
      <c r="M2121" s="98">
        <f ca="1">(TODAY()-H2121)/365</f>
        <v>63.695890410958903</v>
      </c>
      <c r="N2121" s="99">
        <f>(G2121-H2121)/365</f>
        <v>39.852054794520548</v>
      </c>
      <c r="O2121" s="98">
        <f ca="1">(TODAY()-G2121)/365</f>
        <v>23.843835616438355</v>
      </c>
      <c r="P2121" s="91" t="s">
        <v>43</v>
      </c>
      <c r="Q2121" s="91"/>
      <c r="R2121" s="91"/>
      <c r="S2121" s="91"/>
      <c r="T2121" s="91"/>
      <c r="U2121" s="91"/>
      <c r="V2121" s="91"/>
      <c r="W2121" s="91"/>
      <c r="X2121" s="91"/>
      <c r="Y2121" s="91"/>
      <c r="Z2121" s="91"/>
      <c r="AA2121" s="91"/>
      <c r="AB2121" s="91"/>
      <c r="AC2121" s="91"/>
      <c r="AD2121" s="91"/>
      <c r="AE2121" s="91"/>
      <c r="AF2121" s="91"/>
      <c r="AG2121" s="91"/>
      <c r="AH2121" s="91"/>
      <c r="AI2121" s="91"/>
      <c r="AJ2121" s="91"/>
      <c r="AK2121" s="91"/>
      <c r="AL2121" s="91"/>
      <c r="AM2121" s="91"/>
    </row>
    <row r="2122" spans="1:39" ht="20.25" hidden="1" customHeight="1">
      <c r="A2122" s="91"/>
      <c r="B2122" s="93" t="s">
        <v>10061</v>
      </c>
      <c r="C2122" s="91" t="s">
        <v>36</v>
      </c>
      <c r="D2122" s="106" t="s">
        <v>217</v>
      </c>
      <c r="E2122" s="106" t="s">
        <v>10096</v>
      </c>
      <c r="F2122" s="92" t="s">
        <v>10097</v>
      </c>
      <c r="G2122" s="103">
        <v>29690</v>
      </c>
      <c r="H2122" s="103">
        <v>16481</v>
      </c>
      <c r="I2122" s="94" t="s">
        <v>4486</v>
      </c>
      <c r="J2122" s="94" t="s">
        <v>10098</v>
      </c>
      <c r="K2122" s="92">
        <v>999647147</v>
      </c>
      <c r="L2122" s="91"/>
      <c r="M2122" s="98">
        <f ca="1">(TODAY()-H2122)/365</f>
        <v>80.879452054794527</v>
      </c>
      <c r="N2122" s="99">
        <f>(G2122-H2122)/365</f>
        <v>36.18904109589041</v>
      </c>
      <c r="O2122" s="98">
        <f ca="1">(TODAY()-G2122)/365</f>
        <v>44.69041095890411</v>
      </c>
      <c r="P2122" s="91" t="s">
        <v>43</v>
      </c>
      <c r="Q2122" s="91"/>
      <c r="R2122" s="91"/>
      <c r="S2122" s="91"/>
      <c r="T2122" s="91"/>
      <c r="U2122" s="91"/>
      <c r="V2122" s="91"/>
      <c r="W2122" s="91"/>
      <c r="X2122" s="91"/>
      <c r="Y2122" s="91"/>
      <c r="Z2122" s="91"/>
      <c r="AA2122" s="91"/>
      <c r="AB2122" s="91"/>
      <c r="AC2122" s="91"/>
      <c r="AD2122" s="91"/>
      <c r="AE2122" s="91"/>
      <c r="AF2122" s="91"/>
      <c r="AG2122" s="91"/>
      <c r="AH2122" s="91"/>
      <c r="AI2122" s="91"/>
      <c r="AJ2122" s="91"/>
      <c r="AK2122" s="91"/>
      <c r="AL2122" s="91"/>
      <c r="AM2122" s="91"/>
    </row>
    <row r="2123" spans="1:39" ht="20.25" hidden="1" customHeight="1">
      <c r="A2123" s="91"/>
      <c r="B2123" s="93" t="s">
        <v>10061</v>
      </c>
      <c r="C2123" s="91" t="s">
        <v>36</v>
      </c>
      <c r="D2123" s="106" t="s">
        <v>10099</v>
      </c>
      <c r="E2123" s="106" t="s">
        <v>10100</v>
      </c>
      <c r="F2123" s="92" t="s">
        <v>10101</v>
      </c>
      <c r="G2123" s="103">
        <v>41731</v>
      </c>
      <c r="H2123" s="103">
        <v>21971</v>
      </c>
      <c r="I2123" s="108" t="s">
        <v>12569</v>
      </c>
      <c r="J2123" s="94" t="s">
        <v>10102</v>
      </c>
      <c r="K2123" s="92">
        <v>983416878</v>
      </c>
      <c r="L2123" s="91"/>
      <c r="M2123" s="98">
        <f ca="1">(TODAY()-H2123)/365</f>
        <v>65.838356164383555</v>
      </c>
      <c r="N2123" s="99">
        <f>(G2123-H2123)/365</f>
        <v>54.136986301369866</v>
      </c>
      <c r="O2123" s="98">
        <f ca="1">(TODAY()-G2123)/365</f>
        <v>11.701369863013699</v>
      </c>
      <c r="P2123" s="91" t="s">
        <v>43</v>
      </c>
      <c r="Q2123" s="91"/>
      <c r="R2123" s="91"/>
      <c r="S2123" s="91"/>
      <c r="T2123" s="91"/>
      <c r="U2123" s="91"/>
      <c r="V2123" s="91"/>
      <c r="W2123" s="91"/>
      <c r="X2123" s="91"/>
      <c r="Y2123" s="91"/>
      <c r="Z2123" s="91"/>
      <c r="AA2123" s="91"/>
      <c r="AB2123" s="91"/>
      <c r="AC2123" s="91"/>
      <c r="AD2123" s="91"/>
      <c r="AE2123" s="91"/>
      <c r="AF2123" s="91"/>
      <c r="AG2123" s="91"/>
      <c r="AH2123" s="91"/>
      <c r="AI2123" s="91"/>
      <c r="AJ2123" s="91"/>
      <c r="AK2123" s="91"/>
      <c r="AL2123" s="91"/>
      <c r="AM2123" s="91"/>
    </row>
    <row r="2124" spans="1:39" ht="20.25" hidden="1" customHeight="1">
      <c r="A2124" s="91"/>
      <c r="B2124" s="93" t="s">
        <v>10061</v>
      </c>
      <c r="C2124" s="91" t="s">
        <v>36</v>
      </c>
      <c r="D2124" s="106" t="s">
        <v>5663</v>
      </c>
      <c r="E2124" s="106" t="s">
        <v>10103</v>
      </c>
      <c r="F2124" s="92" t="s">
        <v>10104</v>
      </c>
      <c r="G2124" s="103">
        <v>35871</v>
      </c>
      <c r="H2124" s="103">
        <v>17833</v>
      </c>
      <c r="I2124" s="108" t="s">
        <v>12570</v>
      </c>
      <c r="J2124" s="94" t="s">
        <v>10105</v>
      </c>
      <c r="K2124" s="92">
        <v>940360442</v>
      </c>
      <c r="L2124" s="91"/>
      <c r="M2124" s="98">
        <f ca="1">(TODAY()-H2124)/365</f>
        <v>77.175342465753431</v>
      </c>
      <c r="N2124" s="99">
        <f>(G2124-H2124)/365</f>
        <v>49.419178082191777</v>
      </c>
      <c r="O2124" s="98">
        <f ca="1">(TODAY()-G2124)/365</f>
        <v>27.756164383561643</v>
      </c>
      <c r="P2124" s="91" t="s">
        <v>43</v>
      </c>
      <c r="Q2124" s="91"/>
      <c r="R2124" s="91"/>
      <c r="S2124" s="91"/>
      <c r="T2124" s="91"/>
      <c r="U2124" s="91"/>
      <c r="V2124" s="91"/>
      <c r="W2124" s="91"/>
      <c r="X2124" s="91"/>
      <c r="Y2124" s="91"/>
      <c r="Z2124" s="91"/>
      <c r="AA2124" s="91"/>
      <c r="AB2124" s="91"/>
      <c r="AC2124" s="91"/>
      <c r="AD2124" s="91"/>
      <c r="AE2124" s="91"/>
      <c r="AF2124" s="91"/>
      <c r="AG2124" s="91"/>
      <c r="AH2124" s="91"/>
      <c r="AI2124" s="91"/>
      <c r="AJ2124" s="91"/>
      <c r="AK2124" s="91"/>
      <c r="AL2124" s="91"/>
      <c r="AM2124" s="91"/>
    </row>
    <row r="2125" spans="1:39" ht="20.25" hidden="1" customHeight="1">
      <c r="A2125" s="91"/>
      <c r="B2125" s="93" t="s">
        <v>10061</v>
      </c>
      <c r="C2125" s="91" t="s">
        <v>36</v>
      </c>
      <c r="D2125" s="106" t="s">
        <v>1450</v>
      </c>
      <c r="E2125" s="106" t="s">
        <v>10106</v>
      </c>
      <c r="F2125" s="92" t="s">
        <v>10107</v>
      </c>
      <c r="G2125" s="103">
        <v>35871</v>
      </c>
      <c r="H2125" s="103">
        <v>21681</v>
      </c>
      <c r="I2125" s="94" t="s">
        <v>4486</v>
      </c>
      <c r="J2125" s="127" t="s">
        <v>10108</v>
      </c>
      <c r="K2125" s="92">
        <v>963223837</v>
      </c>
      <c r="L2125" s="91"/>
      <c r="M2125" s="98">
        <f ca="1">(TODAY()-H2125)/365</f>
        <v>66.632876712328766</v>
      </c>
      <c r="N2125" s="99">
        <f>(G2125-H2125)/365</f>
        <v>38.876712328767127</v>
      </c>
      <c r="O2125" s="98">
        <f ca="1">(TODAY()-G2125)/365</f>
        <v>27.756164383561643</v>
      </c>
      <c r="P2125" s="91" t="s">
        <v>43</v>
      </c>
      <c r="Q2125" s="91"/>
      <c r="R2125" s="91"/>
      <c r="S2125" s="91"/>
      <c r="T2125" s="91"/>
      <c r="U2125" s="91"/>
      <c r="V2125" s="91"/>
      <c r="W2125" s="91"/>
      <c r="X2125" s="91"/>
      <c r="Y2125" s="91"/>
      <c r="Z2125" s="91"/>
      <c r="AA2125" s="91"/>
      <c r="AB2125" s="91"/>
      <c r="AC2125" s="91"/>
      <c r="AD2125" s="91"/>
      <c r="AE2125" s="91"/>
      <c r="AF2125" s="91"/>
      <c r="AG2125" s="91"/>
      <c r="AH2125" s="91"/>
      <c r="AI2125" s="91"/>
      <c r="AJ2125" s="91"/>
      <c r="AK2125" s="91"/>
      <c r="AL2125" s="91"/>
      <c r="AM2125" s="91"/>
    </row>
    <row r="2126" spans="1:39" ht="20.25" hidden="1" customHeight="1">
      <c r="A2126" s="91"/>
      <c r="B2126" s="93" t="s">
        <v>10061</v>
      </c>
      <c r="C2126" s="91" t="s">
        <v>36</v>
      </c>
      <c r="D2126" s="106" t="s">
        <v>10109</v>
      </c>
      <c r="E2126" s="106" t="s">
        <v>10110</v>
      </c>
      <c r="F2126" s="92" t="s">
        <v>10111</v>
      </c>
      <c r="G2126" s="103">
        <v>35506</v>
      </c>
      <c r="H2126" s="103">
        <v>21048</v>
      </c>
      <c r="I2126" s="108" t="s">
        <v>12571</v>
      </c>
      <c r="J2126" s="94" t="s">
        <v>10112</v>
      </c>
      <c r="K2126" s="92">
        <v>997561789</v>
      </c>
      <c r="L2126" s="91"/>
      <c r="M2126" s="98">
        <f ca="1">(TODAY()-H2126)/365</f>
        <v>68.367123287671234</v>
      </c>
      <c r="N2126" s="99">
        <f>(G2126-H2126)/365</f>
        <v>39.610958904109587</v>
      </c>
      <c r="O2126" s="98">
        <f ca="1">(TODAY()-G2126)/365</f>
        <v>28.756164383561643</v>
      </c>
      <c r="P2126" s="91" t="s">
        <v>43</v>
      </c>
      <c r="Q2126" s="91"/>
      <c r="R2126" s="91"/>
      <c r="S2126" s="91"/>
      <c r="T2126" s="91"/>
      <c r="U2126" s="91"/>
      <c r="V2126" s="91"/>
      <c r="W2126" s="91"/>
      <c r="X2126" s="91"/>
      <c r="Y2126" s="91"/>
      <c r="Z2126" s="91"/>
      <c r="AA2126" s="91"/>
      <c r="AB2126" s="91"/>
      <c r="AC2126" s="91"/>
      <c r="AD2126" s="91"/>
      <c r="AE2126" s="91"/>
      <c r="AF2126" s="91"/>
      <c r="AG2126" s="91"/>
      <c r="AH2126" s="91"/>
      <c r="AI2126" s="91"/>
      <c r="AJ2126" s="91"/>
      <c r="AK2126" s="91"/>
      <c r="AL2126" s="91"/>
      <c r="AM2126" s="91"/>
    </row>
    <row r="2127" spans="1:39" ht="20.25" hidden="1" customHeight="1">
      <c r="A2127" s="91"/>
      <c r="B2127" s="93" t="s">
        <v>10061</v>
      </c>
      <c r="C2127" s="91" t="s">
        <v>36</v>
      </c>
      <c r="D2127" s="106" t="s">
        <v>2648</v>
      </c>
      <c r="E2127" s="106" t="s">
        <v>10113</v>
      </c>
      <c r="F2127" s="92" t="s">
        <v>10114</v>
      </c>
      <c r="G2127" s="103">
        <v>36312</v>
      </c>
      <c r="H2127" s="103">
        <v>20213</v>
      </c>
      <c r="I2127" s="108" t="s">
        <v>12572</v>
      </c>
      <c r="J2127" s="94" t="s">
        <v>10115</v>
      </c>
      <c r="K2127" s="92">
        <v>962400818</v>
      </c>
      <c r="L2127" s="91"/>
      <c r="M2127" s="98">
        <f ca="1">(TODAY()-H2127)/365</f>
        <v>70.654794520547952</v>
      </c>
      <c r="N2127" s="99">
        <f>(G2127-H2127)/365</f>
        <v>44.106849315068494</v>
      </c>
      <c r="O2127" s="98">
        <f ca="1">(TODAY()-G2127)/365</f>
        <v>26.547945205479451</v>
      </c>
      <c r="P2127" s="91" t="s">
        <v>43</v>
      </c>
      <c r="Q2127" s="91"/>
      <c r="R2127" s="91"/>
      <c r="S2127" s="91"/>
      <c r="T2127" s="91"/>
      <c r="U2127" s="91"/>
      <c r="V2127" s="91"/>
      <c r="W2127" s="91"/>
      <c r="X2127" s="91"/>
      <c r="Y2127" s="91"/>
      <c r="Z2127" s="91"/>
      <c r="AA2127" s="91"/>
      <c r="AB2127" s="91"/>
      <c r="AC2127" s="91"/>
      <c r="AD2127" s="91"/>
      <c r="AE2127" s="91"/>
      <c r="AF2127" s="91"/>
      <c r="AG2127" s="91"/>
      <c r="AH2127" s="91"/>
      <c r="AI2127" s="91"/>
      <c r="AJ2127" s="91"/>
      <c r="AK2127" s="91"/>
      <c r="AL2127" s="91"/>
      <c r="AM2127" s="91"/>
    </row>
    <row r="2128" spans="1:39" ht="20.25" hidden="1" customHeight="1">
      <c r="A2128" s="91"/>
      <c r="B2128" s="93" t="s">
        <v>10061</v>
      </c>
      <c r="C2128" s="91" t="s">
        <v>36</v>
      </c>
      <c r="D2128" s="106" t="s">
        <v>4649</v>
      </c>
      <c r="E2128" s="106" t="s">
        <v>7738</v>
      </c>
      <c r="F2128" s="92" t="s">
        <v>10116</v>
      </c>
      <c r="G2128" s="103">
        <v>41150</v>
      </c>
      <c r="H2128" s="103">
        <v>19549</v>
      </c>
      <c r="I2128" s="108" t="s">
        <v>12573</v>
      </c>
      <c r="J2128" s="94" t="s">
        <v>10117</v>
      </c>
      <c r="K2128" s="92">
        <v>995015225</v>
      </c>
      <c r="L2128" s="91"/>
      <c r="M2128" s="98">
        <f ca="1">(TODAY()-H2128)/365</f>
        <v>72.473972602739721</v>
      </c>
      <c r="N2128" s="99">
        <f>(G2128-H2128)/365</f>
        <v>59.180821917808217</v>
      </c>
      <c r="O2128" s="98">
        <f ca="1">(TODAY()-G2128)/365</f>
        <v>13.293150684931506</v>
      </c>
      <c r="P2128" s="91" t="s">
        <v>43</v>
      </c>
      <c r="Q2128" s="91"/>
      <c r="R2128" s="91"/>
      <c r="S2128" s="91"/>
      <c r="T2128" s="91"/>
      <c r="U2128" s="91"/>
      <c r="V2128" s="91"/>
      <c r="W2128" s="91"/>
      <c r="X2128" s="91"/>
      <c r="Y2128" s="91"/>
      <c r="Z2128" s="91"/>
      <c r="AA2128" s="91"/>
      <c r="AB2128" s="91"/>
      <c r="AC2128" s="91"/>
      <c r="AD2128" s="91"/>
      <c r="AE2128" s="91"/>
      <c r="AF2128" s="91"/>
      <c r="AG2128" s="91"/>
      <c r="AH2128" s="91"/>
      <c r="AI2128" s="91"/>
      <c r="AJ2128" s="91"/>
      <c r="AK2128" s="91"/>
      <c r="AL2128" s="91"/>
      <c r="AM2128" s="91"/>
    </row>
    <row r="2129" spans="1:39" ht="20.25" hidden="1" customHeight="1">
      <c r="A2129" s="91"/>
      <c r="B2129" s="93" t="s">
        <v>10061</v>
      </c>
      <c r="C2129" s="91" t="s">
        <v>36</v>
      </c>
      <c r="D2129" s="106" t="s">
        <v>217</v>
      </c>
      <c r="E2129" s="106" t="s">
        <v>10118</v>
      </c>
      <c r="F2129" s="92" t="s">
        <v>10119</v>
      </c>
      <c r="G2129" s="103">
        <v>36997</v>
      </c>
      <c r="H2129" s="103">
        <v>18074</v>
      </c>
      <c r="I2129" s="108" t="s">
        <v>12574</v>
      </c>
      <c r="J2129" s="94" t="s">
        <v>10120</v>
      </c>
      <c r="K2129" s="92">
        <v>996407470</v>
      </c>
      <c r="L2129" s="91"/>
      <c r="M2129" s="98">
        <f ca="1">(TODAY()-H2129)/365</f>
        <v>76.515068493150679</v>
      </c>
      <c r="N2129" s="99">
        <f>(G2129-H2129)/365</f>
        <v>51.843835616438355</v>
      </c>
      <c r="O2129" s="98">
        <f ca="1">(TODAY()-G2129)/365</f>
        <v>24.671232876712327</v>
      </c>
      <c r="P2129" s="91" t="s">
        <v>43</v>
      </c>
      <c r="Q2129" s="91"/>
      <c r="R2129" s="91"/>
      <c r="S2129" s="91"/>
      <c r="T2129" s="91"/>
      <c r="U2129" s="91"/>
      <c r="V2129" s="91"/>
      <c r="W2129" s="91"/>
      <c r="X2129" s="91"/>
      <c r="Y2129" s="91"/>
      <c r="Z2129" s="91"/>
      <c r="AA2129" s="91"/>
      <c r="AB2129" s="91"/>
      <c r="AC2129" s="91"/>
      <c r="AD2129" s="91"/>
      <c r="AE2129" s="91"/>
      <c r="AF2129" s="91"/>
      <c r="AG2129" s="91"/>
      <c r="AH2129" s="91"/>
      <c r="AI2129" s="91"/>
      <c r="AJ2129" s="91"/>
      <c r="AK2129" s="91"/>
      <c r="AL2129" s="91"/>
      <c r="AM2129" s="91"/>
    </row>
    <row r="2130" spans="1:39" ht="20.25" customHeight="1">
      <c r="A2130" s="91"/>
      <c r="B2130" s="93" t="s">
        <v>9861</v>
      </c>
      <c r="C2130" s="91" t="s">
        <v>73</v>
      </c>
      <c r="D2130" s="106" t="s">
        <v>10021</v>
      </c>
      <c r="E2130" s="106" t="s">
        <v>10022</v>
      </c>
      <c r="F2130" s="92" t="s">
        <v>10023</v>
      </c>
      <c r="G2130" s="103">
        <v>44856</v>
      </c>
      <c r="H2130" s="103">
        <v>28704</v>
      </c>
      <c r="I2130" s="94" t="s">
        <v>10024</v>
      </c>
      <c r="J2130" s="100" t="s">
        <v>58</v>
      </c>
      <c r="K2130" s="95" t="s">
        <v>58</v>
      </c>
      <c r="L2130" s="91"/>
      <c r="M2130" s="98">
        <f ca="1">(TODAY()-H2130)/365</f>
        <v>47.391780821917806</v>
      </c>
      <c r="N2130" s="99">
        <f>(G2130-H2130)/365</f>
        <v>44.252054794520546</v>
      </c>
      <c r="O2130" s="98">
        <f ca="1">(TODAY()-G2130)/365</f>
        <v>3.1397260273972605</v>
      </c>
      <c r="P2130" s="91" t="s">
        <v>43</v>
      </c>
      <c r="Q2130" s="91"/>
      <c r="R2130" s="91"/>
      <c r="S2130" s="91"/>
      <c r="T2130" s="91"/>
      <c r="U2130" s="91"/>
      <c r="V2130" s="91"/>
      <c r="W2130" s="91"/>
      <c r="X2130" s="91"/>
      <c r="Y2130" s="91"/>
      <c r="Z2130" s="91"/>
      <c r="AA2130" s="91"/>
      <c r="AB2130" s="91"/>
      <c r="AC2130" s="91"/>
      <c r="AD2130" s="91"/>
      <c r="AE2130" s="91"/>
      <c r="AF2130" s="91"/>
      <c r="AG2130" s="91"/>
      <c r="AH2130" s="91"/>
      <c r="AI2130" s="91"/>
      <c r="AJ2130" s="91"/>
      <c r="AK2130" s="91"/>
      <c r="AL2130" s="91"/>
      <c r="AM2130" s="91"/>
    </row>
    <row r="2131" spans="1:39" ht="20.25" customHeight="1">
      <c r="A2131" s="91"/>
      <c r="B2131" s="93" t="s">
        <v>5023</v>
      </c>
      <c r="C2131" s="91" t="s">
        <v>73</v>
      </c>
      <c r="D2131" s="107" t="s">
        <v>5080</v>
      </c>
      <c r="E2131" s="107" t="s">
        <v>5081</v>
      </c>
      <c r="F2131" s="91" t="s">
        <v>5082</v>
      </c>
      <c r="G2131" s="96">
        <v>39605</v>
      </c>
      <c r="H2131" s="97">
        <v>27624</v>
      </c>
      <c r="I2131" s="100" t="s">
        <v>5083</v>
      </c>
      <c r="J2131" s="94" t="s">
        <v>58</v>
      </c>
      <c r="K2131" s="95" t="s">
        <v>58</v>
      </c>
      <c r="L2131" s="91" t="s">
        <v>60</v>
      </c>
      <c r="M2131" s="98">
        <f ca="1">(TODAY()-H2131)/365</f>
        <v>50.350684931506848</v>
      </c>
      <c r="N2131" s="99">
        <f>(G2131-H2131)/365</f>
        <v>32.824657534246576</v>
      </c>
      <c r="O2131" s="98">
        <f ca="1">(TODAY()-G2131)/365</f>
        <v>17.526027397260275</v>
      </c>
      <c r="P2131" s="91" t="s">
        <v>43</v>
      </c>
      <c r="Q2131" s="91">
        <v>0</v>
      </c>
      <c r="R2131" s="91">
        <v>0</v>
      </c>
      <c r="S2131" s="91">
        <v>0</v>
      </c>
      <c r="T2131" s="91"/>
      <c r="U2131" s="91"/>
      <c r="V2131" s="91"/>
      <c r="W2131" s="91"/>
      <c r="X2131" s="91"/>
      <c r="Y2131" s="91"/>
      <c r="Z2131" s="91"/>
      <c r="AA2131" s="91"/>
      <c r="AB2131" s="91"/>
      <c r="AC2131" s="91"/>
      <c r="AD2131" s="91"/>
      <c r="AE2131" s="91"/>
      <c r="AF2131" s="91"/>
      <c r="AG2131" s="91"/>
      <c r="AH2131" s="91"/>
      <c r="AI2131" s="91"/>
      <c r="AJ2131" s="91"/>
      <c r="AK2131" s="91"/>
      <c r="AL2131" s="91"/>
      <c r="AM2131" s="91"/>
    </row>
    <row r="2132" spans="1:39" ht="20.25" customHeight="1">
      <c r="A2132" s="91"/>
      <c r="B2132" s="93" t="s">
        <v>12263</v>
      </c>
      <c r="C2132" s="91" t="s">
        <v>73</v>
      </c>
      <c r="D2132" s="106" t="s">
        <v>11214</v>
      </c>
      <c r="E2132" s="106" t="s">
        <v>11215</v>
      </c>
      <c r="F2132" s="92" t="s">
        <v>11216</v>
      </c>
      <c r="G2132" s="103">
        <v>43063</v>
      </c>
      <c r="H2132" s="103">
        <v>36959</v>
      </c>
      <c r="I2132" s="94" t="s">
        <v>58</v>
      </c>
      <c r="J2132" s="100" t="s">
        <v>58</v>
      </c>
      <c r="K2132" s="95" t="s">
        <v>58</v>
      </c>
      <c r="L2132" s="91"/>
      <c r="M2132" s="98">
        <f ca="1">(TODAY()-H2132)/365</f>
        <v>24.775342465753425</v>
      </c>
      <c r="N2132" s="99">
        <f>(G2132-H2132)/365</f>
        <v>16.723287671232878</v>
      </c>
      <c r="O2132" s="98">
        <f ca="1">(TODAY()-G2132)/365</f>
        <v>8.0520547945205472</v>
      </c>
      <c r="P2132" s="91" t="s">
        <v>272</v>
      </c>
      <c r="Q2132" s="91"/>
      <c r="R2132" s="91"/>
      <c r="S2132" s="91"/>
      <c r="T2132" s="91"/>
      <c r="U2132" s="91"/>
      <c r="V2132" s="91"/>
      <c r="W2132" s="91"/>
      <c r="X2132" s="91"/>
      <c r="Y2132" s="91"/>
      <c r="Z2132" s="91"/>
      <c r="AA2132" s="91"/>
      <c r="AB2132" s="91"/>
      <c r="AC2132" s="91"/>
      <c r="AD2132" s="91"/>
      <c r="AE2132" s="91"/>
      <c r="AF2132" s="91"/>
      <c r="AG2132" s="91"/>
      <c r="AH2132" s="91"/>
      <c r="AI2132" s="91"/>
      <c r="AJ2132" s="91"/>
      <c r="AK2132" s="91"/>
      <c r="AL2132" s="91"/>
      <c r="AM2132" s="91"/>
    </row>
    <row r="2133" spans="1:39" ht="20.25" customHeight="1">
      <c r="A2133" s="91"/>
      <c r="B2133" s="93" t="s">
        <v>637</v>
      </c>
      <c r="C2133" s="91" t="s">
        <v>73</v>
      </c>
      <c r="D2133" s="94" t="s">
        <v>688</v>
      </c>
      <c r="E2133" s="94" t="s">
        <v>689</v>
      </c>
      <c r="F2133" s="95" t="s">
        <v>58</v>
      </c>
      <c r="G2133" s="96" t="s">
        <v>58</v>
      </c>
      <c r="H2133" s="96" t="s">
        <v>58</v>
      </c>
      <c r="I2133" s="94" t="s">
        <v>58</v>
      </c>
      <c r="J2133" s="94" t="s">
        <v>58</v>
      </c>
      <c r="K2133" s="95" t="s">
        <v>58</v>
      </c>
      <c r="L2133" s="91" t="s">
        <v>60</v>
      </c>
      <c r="M2133" s="98"/>
      <c r="N2133" s="95"/>
      <c r="O2133" s="98" t="e">
        <f ca="1">(TODAY()-G2133)/365</f>
        <v>#VALUE!</v>
      </c>
      <c r="P2133" s="91" t="s">
        <v>272</v>
      </c>
      <c r="Q2133" s="91">
        <v>0</v>
      </c>
      <c r="R2133" s="91">
        <v>0</v>
      </c>
      <c r="S2133" s="91">
        <v>0</v>
      </c>
      <c r="T2133" s="91"/>
      <c r="U2133" s="91"/>
      <c r="V2133" s="91"/>
      <c r="W2133" s="91"/>
      <c r="X2133" s="91"/>
      <c r="Y2133" s="91"/>
      <c r="Z2133" s="91"/>
      <c r="AA2133" s="91"/>
      <c r="AB2133" s="91"/>
      <c r="AC2133" s="91"/>
      <c r="AD2133" s="91"/>
      <c r="AE2133" s="91"/>
      <c r="AF2133" s="91"/>
      <c r="AG2133" s="91"/>
      <c r="AH2133" s="91"/>
      <c r="AI2133" s="91"/>
      <c r="AJ2133" s="91"/>
      <c r="AK2133" s="91"/>
      <c r="AL2133" s="91"/>
      <c r="AM2133" s="91"/>
    </row>
    <row r="2134" spans="1:39" ht="20.25" customHeight="1">
      <c r="A2134" s="91"/>
      <c r="B2134" s="93" t="s">
        <v>5484</v>
      </c>
      <c r="C2134" s="91" t="s">
        <v>73</v>
      </c>
      <c r="D2134" s="107" t="s">
        <v>716</v>
      </c>
      <c r="E2134" s="107" t="s">
        <v>5676</v>
      </c>
      <c r="F2134" s="91" t="s">
        <v>5677</v>
      </c>
      <c r="G2134" s="96">
        <v>40302</v>
      </c>
      <c r="H2134" s="103" t="s">
        <v>58</v>
      </c>
      <c r="I2134" s="100" t="s">
        <v>58</v>
      </c>
      <c r="J2134" s="100" t="s">
        <v>58</v>
      </c>
      <c r="K2134" s="91" t="s">
        <v>58</v>
      </c>
      <c r="L2134" s="91" t="s">
        <v>60</v>
      </c>
      <c r="M2134" s="98">
        <v>0</v>
      </c>
      <c r="N2134" s="91"/>
      <c r="O2134" s="98">
        <f ca="1">(TODAY()-G2134)/365</f>
        <v>15.616438356164384</v>
      </c>
      <c r="P2134" s="91" t="s">
        <v>43</v>
      </c>
      <c r="Q2134" s="91">
        <v>0</v>
      </c>
      <c r="R2134" s="91">
        <v>0</v>
      </c>
      <c r="S2134" s="91">
        <v>0</v>
      </c>
      <c r="T2134" s="91"/>
      <c r="U2134" s="91"/>
      <c r="V2134" s="91"/>
      <c r="W2134" s="91"/>
      <c r="X2134" s="91"/>
      <c r="Y2134" s="91"/>
      <c r="Z2134" s="91"/>
      <c r="AA2134" s="91"/>
      <c r="AB2134" s="91"/>
      <c r="AC2134" s="91"/>
      <c r="AD2134" s="91"/>
      <c r="AE2134" s="91"/>
      <c r="AF2134" s="91"/>
      <c r="AG2134" s="91"/>
      <c r="AH2134" s="91"/>
      <c r="AI2134" s="91"/>
      <c r="AJ2134" s="91"/>
      <c r="AK2134" s="91"/>
      <c r="AL2134" s="91"/>
      <c r="AM2134" s="91"/>
    </row>
    <row r="2135" spans="1:39" ht="20.25" customHeight="1">
      <c r="A2135" s="91"/>
      <c r="B2135" s="93" t="s">
        <v>8714</v>
      </c>
      <c r="C2135" s="91" t="s">
        <v>73</v>
      </c>
      <c r="D2135" s="106" t="s">
        <v>8845</v>
      </c>
      <c r="E2135" s="106" t="s">
        <v>8846</v>
      </c>
      <c r="F2135" s="92" t="s">
        <v>8847</v>
      </c>
      <c r="G2135" s="96" t="s">
        <v>58</v>
      </c>
      <c r="H2135" s="97">
        <v>24823</v>
      </c>
      <c r="I2135" s="94" t="s">
        <v>58</v>
      </c>
      <c r="J2135" s="94" t="s">
        <v>58</v>
      </c>
      <c r="K2135" s="95" t="s">
        <v>58</v>
      </c>
      <c r="L2135" s="91" t="s">
        <v>60</v>
      </c>
      <c r="M2135" s="98">
        <f ca="1">(TODAY()-H2135)/365</f>
        <v>58.024657534246572</v>
      </c>
      <c r="N2135" s="95" t="s">
        <v>58</v>
      </c>
      <c r="O2135" s="98" t="e">
        <f ca="1">(TODAY()-G2135)/365</f>
        <v>#VALUE!</v>
      </c>
      <c r="P2135" s="91" t="s">
        <v>43</v>
      </c>
      <c r="Q2135" s="91">
        <v>0</v>
      </c>
      <c r="R2135" s="91">
        <v>0</v>
      </c>
      <c r="S2135" s="91">
        <v>0</v>
      </c>
      <c r="T2135" s="91"/>
      <c r="U2135" s="91"/>
      <c r="V2135" s="91"/>
      <c r="W2135" s="91"/>
      <c r="X2135" s="91"/>
      <c r="Y2135" s="91"/>
      <c r="Z2135" s="91"/>
      <c r="AA2135" s="91"/>
      <c r="AB2135" s="91"/>
      <c r="AC2135" s="91"/>
      <c r="AD2135" s="91"/>
      <c r="AE2135" s="91"/>
      <c r="AF2135" s="91"/>
      <c r="AG2135" s="91"/>
      <c r="AH2135" s="91"/>
      <c r="AI2135" s="91"/>
      <c r="AJ2135" s="91"/>
      <c r="AK2135" s="91"/>
      <c r="AL2135" s="91"/>
      <c r="AM2135" s="91"/>
    </row>
    <row r="2136" spans="1:39" ht="20.25" hidden="1" customHeight="1">
      <c r="A2136" s="91"/>
      <c r="B2136" s="93" t="s">
        <v>6891</v>
      </c>
      <c r="C2136" s="91" t="s">
        <v>36</v>
      </c>
      <c r="D2136" s="94" t="s">
        <v>6892</v>
      </c>
      <c r="E2136" s="94" t="s">
        <v>6893</v>
      </c>
      <c r="F2136" s="95" t="s">
        <v>6894</v>
      </c>
      <c r="G2136" s="96">
        <v>45365</v>
      </c>
      <c r="H2136" s="97">
        <v>39161</v>
      </c>
      <c r="I2136" s="94" t="s">
        <v>6895</v>
      </c>
      <c r="J2136" s="94" t="s">
        <v>6896</v>
      </c>
      <c r="K2136" s="95">
        <v>984807415</v>
      </c>
      <c r="L2136" s="91" t="s">
        <v>60</v>
      </c>
      <c r="M2136" s="98">
        <f ca="1">(TODAY()-H2136)/365</f>
        <v>18.742465753424657</v>
      </c>
      <c r="N2136" s="99">
        <f>(G2136-H2136)/365</f>
        <v>16.997260273972604</v>
      </c>
      <c r="O2136" s="98">
        <f ca="1">(TODAY()-G2136)/365</f>
        <v>1.7452054794520548</v>
      </c>
      <c r="P2136" s="91" t="s">
        <v>43</v>
      </c>
      <c r="Q2136" s="91">
        <v>0</v>
      </c>
      <c r="R2136" s="91">
        <v>0</v>
      </c>
      <c r="S2136" s="91">
        <v>0</v>
      </c>
      <c r="T2136" s="91"/>
      <c r="U2136" s="91"/>
      <c r="V2136" s="91"/>
      <c r="W2136" s="91"/>
      <c r="X2136" s="91"/>
      <c r="Y2136" s="91"/>
      <c r="Z2136" s="91"/>
      <c r="AA2136" s="91"/>
      <c r="AB2136" s="91"/>
      <c r="AC2136" s="91"/>
      <c r="AD2136" s="91"/>
      <c r="AE2136" s="91"/>
      <c r="AF2136" s="91"/>
      <c r="AG2136" s="91"/>
      <c r="AH2136" s="91"/>
      <c r="AI2136" s="91"/>
      <c r="AJ2136" s="91"/>
      <c r="AK2136" s="91"/>
      <c r="AL2136" s="91"/>
      <c r="AM2136" s="91"/>
    </row>
    <row r="2137" spans="1:39" ht="20.25" hidden="1" customHeight="1">
      <c r="A2137" s="91"/>
      <c r="B2137" s="93" t="s">
        <v>6891</v>
      </c>
      <c r="C2137" s="91" t="s">
        <v>36</v>
      </c>
      <c r="D2137" s="94" t="s">
        <v>455</v>
      </c>
      <c r="E2137" s="94" t="s">
        <v>6897</v>
      </c>
      <c r="F2137" s="95" t="s">
        <v>6898</v>
      </c>
      <c r="G2137" s="96">
        <v>43783</v>
      </c>
      <c r="H2137" s="97">
        <v>33011</v>
      </c>
      <c r="I2137" s="94" t="s">
        <v>6899</v>
      </c>
      <c r="J2137" s="94" t="s">
        <v>6900</v>
      </c>
      <c r="K2137" s="95">
        <v>997438765</v>
      </c>
      <c r="L2137" s="91" t="s">
        <v>60</v>
      </c>
      <c r="M2137" s="98">
        <f ca="1">(TODAY()-H2137)/365</f>
        <v>35.591780821917808</v>
      </c>
      <c r="N2137" s="99">
        <f>(G2137-H2137)/365</f>
        <v>29.512328767123286</v>
      </c>
      <c r="O2137" s="98">
        <f ca="1">(TODAY()-G2137)/365</f>
        <v>6.0794520547945208</v>
      </c>
      <c r="P2137" s="91" t="s">
        <v>43</v>
      </c>
      <c r="Q2137" s="91">
        <v>0</v>
      </c>
      <c r="R2137" s="91">
        <v>0</v>
      </c>
      <c r="S2137" s="91">
        <v>0</v>
      </c>
      <c r="T2137" s="91"/>
      <c r="U2137" s="91"/>
      <c r="V2137" s="91"/>
      <c r="W2137" s="91"/>
      <c r="X2137" s="91"/>
      <c r="Y2137" s="91"/>
      <c r="Z2137" s="91"/>
      <c r="AA2137" s="91"/>
      <c r="AB2137" s="91"/>
      <c r="AC2137" s="91"/>
      <c r="AD2137" s="91"/>
      <c r="AE2137" s="91"/>
      <c r="AF2137" s="91"/>
      <c r="AG2137" s="91"/>
      <c r="AH2137" s="91"/>
      <c r="AI2137" s="91"/>
      <c r="AJ2137" s="91"/>
      <c r="AK2137" s="91"/>
      <c r="AL2137" s="91"/>
      <c r="AM2137" s="91"/>
    </row>
    <row r="2138" spans="1:39" ht="20.25" hidden="1" customHeight="1">
      <c r="A2138" s="91"/>
      <c r="B2138" s="93" t="s">
        <v>6891</v>
      </c>
      <c r="C2138" s="91" t="s">
        <v>36</v>
      </c>
      <c r="D2138" s="94" t="s">
        <v>6901</v>
      </c>
      <c r="E2138" s="94" t="s">
        <v>6902</v>
      </c>
      <c r="F2138" s="95" t="s">
        <v>6903</v>
      </c>
      <c r="G2138" s="96">
        <v>30571</v>
      </c>
      <c r="H2138" s="97">
        <v>19604</v>
      </c>
      <c r="I2138" s="94" t="s">
        <v>6904</v>
      </c>
      <c r="J2138" s="94" t="s">
        <v>6905</v>
      </c>
      <c r="K2138" s="95">
        <v>990127798</v>
      </c>
      <c r="L2138" s="91" t="s">
        <v>60</v>
      </c>
      <c r="M2138" s="98">
        <f ca="1">(TODAY()-H2138)/365</f>
        <v>72.323287671232876</v>
      </c>
      <c r="N2138" s="99">
        <f>(G2138-H2138)/365</f>
        <v>30.046575342465754</v>
      </c>
      <c r="O2138" s="98">
        <f ca="1">(TODAY()-G2138)/365</f>
        <v>42.276712328767125</v>
      </c>
      <c r="P2138" s="91" t="s">
        <v>43</v>
      </c>
      <c r="Q2138" s="91">
        <v>0</v>
      </c>
      <c r="R2138" s="91">
        <v>0</v>
      </c>
      <c r="S2138" s="91">
        <v>0</v>
      </c>
      <c r="T2138" s="91"/>
      <c r="U2138" s="91"/>
      <c r="V2138" s="91"/>
      <c r="W2138" s="91"/>
      <c r="X2138" s="91"/>
      <c r="Y2138" s="91"/>
      <c r="Z2138" s="91"/>
      <c r="AA2138" s="91"/>
      <c r="AB2138" s="91"/>
      <c r="AC2138" s="91"/>
      <c r="AD2138" s="91"/>
      <c r="AE2138" s="91"/>
      <c r="AF2138" s="91"/>
      <c r="AG2138" s="91"/>
      <c r="AH2138" s="91"/>
      <c r="AI2138" s="91"/>
      <c r="AJ2138" s="91"/>
      <c r="AK2138" s="91"/>
      <c r="AL2138" s="91"/>
      <c r="AM2138" s="91"/>
    </row>
    <row r="2139" spans="1:39" ht="20.25" hidden="1" customHeight="1">
      <c r="A2139" s="91"/>
      <c r="B2139" s="93" t="s">
        <v>6891</v>
      </c>
      <c r="C2139" s="91" t="s">
        <v>36</v>
      </c>
      <c r="D2139" s="94" t="s">
        <v>6906</v>
      </c>
      <c r="E2139" s="94" t="s">
        <v>6907</v>
      </c>
      <c r="F2139" s="95" t="s">
        <v>6908</v>
      </c>
      <c r="G2139" s="96">
        <v>35582</v>
      </c>
      <c r="H2139" s="97">
        <v>24518</v>
      </c>
      <c r="I2139" s="94" t="s">
        <v>6909</v>
      </c>
      <c r="J2139" s="94" t="s">
        <v>6910</v>
      </c>
      <c r="K2139" s="95">
        <v>977818719</v>
      </c>
      <c r="L2139" s="91" t="s">
        <v>60</v>
      </c>
      <c r="M2139" s="98">
        <f ca="1">(TODAY()-H2139)/365</f>
        <v>58.860273972602741</v>
      </c>
      <c r="N2139" s="99">
        <f>(G2139-H2139)/365</f>
        <v>30.312328767123287</v>
      </c>
      <c r="O2139" s="98">
        <f ca="1">(TODAY()-G2139)/365</f>
        <v>28.547945205479451</v>
      </c>
      <c r="P2139" s="91" t="s">
        <v>43</v>
      </c>
      <c r="Q2139" s="91">
        <v>0</v>
      </c>
      <c r="R2139" s="91">
        <v>0</v>
      </c>
      <c r="S2139" s="91">
        <v>0</v>
      </c>
      <c r="T2139" s="91"/>
      <c r="U2139" s="91"/>
      <c r="V2139" s="91"/>
      <c r="W2139" s="91"/>
      <c r="X2139" s="91"/>
      <c r="Y2139" s="91"/>
      <c r="Z2139" s="91"/>
      <c r="AA2139" s="91"/>
      <c r="AB2139" s="91"/>
      <c r="AC2139" s="91"/>
      <c r="AD2139" s="91"/>
      <c r="AE2139" s="91"/>
      <c r="AF2139" s="91"/>
      <c r="AG2139" s="91"/>
      <c r="AH2139" s="91"/>
      <c r="AI2139" s="91"/>
      <c r="AJ2139" s="91"/>
      <c r="AK2139" s="91"/>
      <c r="AL2139" s="91"/>
      <c r="AM2139" s="91"/>
    </row>
    <row r="2140" spans="1:39" ht="20.25" hidden="1" customHeight="1">
      <c r="A2140" s="91"/>
      <c r="B2140" s="93" t="s">
        <v>6891</v>
      </c>
      <c r="C2140" s="91" t="s">
        <v>36</v>
      </c>
      <c r="D2140" s="94" t="s">
        <v>416</v>
      </c>
      <c r="E2140" s="94" t="s">
        <v>6911</v>
      </c>
      <c r="F2140" s="95" t="s">
        <v>6912</v>
      </c>
      <c r="G2140" s="96">
        <v>43780</v>
      </c>
      <c r="H2140" s="97">
        <v>32445</v>
      </c>
      <c r="I2140" s="102" t="s">
        <v>6913</v>
      </c>
      <c r="J2140" s="94" t="s">
        <v>6914</v>
      </c>
      <c r="K2140" s="95">
        <v>961176418</v>
      </c>
      <c r="L2140" s="91" t="s">
        <v>60</v>
      </c>
      <c r="M2140" s="98">
        <f ca="1">(TODAY()-H2140)/365</f>
        <v>37.142465753424659</v>
      </c>
      <c r="N2140" s="99">
        <f>(G2140-H2140)/365</f>
        <v>31.054794520547944</v>
      </c>
      <c r="O2140" s="98">
        <f ca="1">(TODAY()-G2140)/365</f>
        <v>6.087671232876712</v>
      </c>
      <c r="P2140" s="91" t="s">
        <v>43</v>
      </c>
      <c r="Q2140" s="91">
        <v>0</v>
      </c>
      <c r="R2140" s="91">
        <v>0</v>
      </c>
      <c r="S2140" s="91">
        <v>0</v>
      </c>
      <c r="T2140" s="91"/>
      <c r="U2140" s="91"/>
      <c r="V2140" s="91"/>
      <c r="W2140" s="91"/>
      <c r="X2140" s="91"/>
      <c r="Y2140" s="91"/>
      <c r="Z2140" s="91"/>
      <c r="AA2140" s="91"/>
      <c r="AB2140" s="91"/>
      <c r="AC2140" s="91"/>
      <c r="AD2140" s="91"/>
      <c r="AE2140" s="91"/>
      <c r="AF2140" s="91"/>
      <c r="AG2140" s="91"/>
      <c r="AH2140" s="91"/>
      <c r="AI2140" s="91"/>
      <c r="AJ2140" s="91"/>
      <c r="AK2140" s="91"/>
      <c r="AL2140" s="91"/>
      <c r="AM2140" s="91"/>
    </row>
    <row r="2141" spans="1:39" ht="20.25" hidden="1" customHeight="1">
      <c r="A2141" s="91"/>
      <c r="B2141" s="93" t="s">
        <v>6891</v>
      </c>
      <c r="C2141" s="91" t="s">
        <v>36</v>
      </c>
      <c r="D2141" s="94" t="s">
        <v>6915</v>
      </c>
      <c r="E2141" s="94" t="s">
        <v>6916</v>
      </c>
      <c r="F2141" s="95" t="s">
        <v>6917</v>
      </c>
      <c r="G2141" s="96">
        <v>44701</v>
      </c>
      <c r="H2141" s="97">
        <v>32996</v>
      </c>
      <c r="I2141" s="94" t="s">
        <v>6918</v>
      </c>
      <c r="J2141" s="94" t="s">
        <v>6919</v>
      </c>
      <c r="K2141" s="95">
        <v>999304543</v>
      </c>
      <c r="L2141" s="91" t="s">
        <v>60</v>
      </c>
      <c r="M2141" s="98">
        <f ca="1">(TODAY()-H2141)/365</f>
        <v>35.632876712328766</v>
      </c>
      <c r="N2141" s="99">
        <f>(G2141-H2141)/365</f>
        <v>32.06849315068493</v>
      </c>
      <c r="O2141" s="98">
        <f ca="1">(TODAY()-G2141)/365</f>
        <v>3.5643835616438357</v>
      </c>
      <c r="P2141" s="91" t="s">
        <v>43</v>
      </c>
      <c r="Q2141" s="91">
        <v>0</v>
      </c>
      <c r="R2141" s="91">
        <v>0</v>
      </c>
      <c r="S2141" s="91">
        <v>0</v>
      </c>
      <c r="T2141" s="91"/>
      <c r="U2141" s="91"/>
      <c r="V2141" s="91"/>
      <c r="W2141" s="91"/>
      <c r="X2141" s="91"/>
      <c r="Y2141" s="91"/>
      <c r="Z2141" s="91"/>
      <c r="AA2141" s="91"/>
      <c r="AB2141" s="91"/>
      <c r="AC2141" s="91"/>
      <c r="AD2141" s="91"/>
      <c r="AE2141" s="91"/>
      <c r="AF2141" s="91"/>
      <c r="AG2141" s="91"/>
      <c r="AH2141" s="91"/>
      <c r="AI2141" s="91"/>
      <c r="AJ2141" s="91"/>
      <c r="AK2141" s="91"/>
      <c r="AL2141" s="91"/>
      <c r="AM2141" s="91"/>
    </row>
    <row r="2142" spans="1:39" ht="20.25" hidden="1" customHeight="1">
      <c r="A2142" s="91"/>
      <c r="B2142" s="93" t="s">
        <v>6891</v>
      </c>
      <c r="C2142" s="91" t="s">
        <v>36</v>
      </c>
      <c r="D2142" s="94" t="s">
        <v>6920</v>
      </c>
      <c r="E2142" s="94" t="s">
        <v>6921</v>
      </c>
      <c r="F2142" s="95" t="s">
        <v>6922</v>
      </c>
      <c r="G2142" s="96">
        <v>45214</v>
      </c>
      <c r="H2142" s="97">
        <v>32741</v>
      </c>
      <c r="I2142" s="94" t="s">
        <v>6923</v>
      </c>
      <c r="J2142" s="94" t="s">
        <v>6924</v>
      </c>
      <c r="K2142" s="95">
        <v>977074763</v>
      </c>
      <c r="L2142" s="91" t="s">
        <v>60</v>
      </c>
      <c r="M2142" s="98">
        <f ca="1">(TODAY()-H2142)/365</f>
        <v>36.331506849315069</v>
      </c>
      <c r="N2142" s="99">
        <f>(G2142-H2142)/365</f>
        <v>34.172602739726024</v>
      </c>
      <c r="O2142" s="98">
        <f ca="1">(TODAY()-G2142)/365</f>
        <v>2.1589041095890411</v>
      </c>
      <c r="P2142" s="91" t="s">
        <v>43</v>
      </c>
      <c r="Q2142" s="91">
        <v>0</v>
      </c>
      <c r="R2142" s="91">
        <v>0</v>
      </c>
      <c r="S2142" s="91">
        <v>0</v>
      </c>
      <c r="T2142" s="91"/>
      <c r="U2142" s="91"/>
      <c r="V2142" s="91"/>
      <c r="W2142" s="91"/>
      <c r="X2142" s="91"/>
      <c r="Y2142" s="91"/>
      <c r="Z2142" s="91"/>
      <c r="AA2142" s="91"/>
      <c r="AB2142" s="91"/>
      <c r="AC2142" s="91"/>
      <c r="AD2142" s="91"/>
      <c r="AE2142" s="91"/>
      <c r="AF2142" s="91"/>
      <c r="AG2142" s="91"/>
      <c r="AH2142" s="91"/>
      <c r="AI2142" s="91"/>
      <c r="AJ2142" s="91"/>
      <c r="AK2142" s="91"/>
      <c r="AL2142" s="91"/>
      <c r="AM2142" s="91"/>
    </row>
    <row r="2143" spans="1:39" ht="20.25" hidden="1" customHeight="1">
      <c r="A2143" s="91"/>
      <c r="B2143" s="93" t="s">
        <v>6891</v>
      </c>
      <c r="C2143" s="91" t="s">
        <v>36</v>
      </c>
      <c r="D2143" s="94" t="s">
        <v>459</v>
      </c>
      <c r="E2143" s="94" t="s">
        <v>6925</v>
      </c>
      <c r="F2143" s="95" t="s">
        <v>6926</v>
      </c>
      <c r="G2143" s="96">
        <v>43783</v>
      </c>
      <c r="H2143" s="97">
        <v>30862</v>
      </c>
      <c r="I2143" s="102" t="s">
        <v>6927</v>
      </c>
      <c r="J2143" s="94" t="s">
        <v>6928</v>
      </c>
      <c r="K2143" s="95">
        <v>956111211</v>
      </c>
      <c r="L2143" s="91" t="s">
        <v>60</v>
      </c>
      <c r="M2143" s="98">
        <f ca="1">(TODAY()-H2143)/365</f>
        <v>41.479452054794521</v>
      </c>
      <c r="N2143" s="99">
        <f>(G2143-H2143)/365</f>
        <v>35.4</v>
      </c>
      <c r="O2143" s="98">
        <f ca="1">(TODAY()-G2143)/365</f>
        <v>6.0794520547945208</v>
      </c>
      <c r="P2143" s="91" t="s">
        <v>43</v>
      </c>
      <c r="Q2143" s="91">
        <v>0</v>
      </c>
      <c r="R2143" s="91">
        <v>0</v>
      </c>
      <c r="S2143" s="91">
        <v>0</v>
      </c>
      <c r="T2143" s="91"/>
      <c r="U2143" s="91"/>
      <c r="V2143" s="91"/>
      <c r="W2143" s="91"/>
      <c r="X2143" s="91"/>
      <c r="Y2143" s="91"/>
      <c r="Z2143" s="91"/>
      <c r="AA2143" s="91"/>
      <c r="AB2143" s="91"/>
      <c r="AC2143" s="91"/>
      <c r="AD2143" s="91"/>
      <c r="AE2143" s="91"/>
      <c r="AF2143" s="91"/>
      <c r="AG2143" s="91"/>
      <c r="AH2143" s="91"/>
      <c r="AI2143" s="91"/>
      <c r="AJ2143" s="91"/>
      <c r="AK2143" s="91"/>
      <c r="AL2143" s="91"/>
      <c r="AM2143" s="91"/>
    </row>
    <row r="2144" spans="1:39" ht="20.25" hidden="1" customHeight="1">
      <c r="A2144" s="91"/>
      <c r="B2144" s="93" t="s">
        <v>6891</v>
      </c>
      <c r="C2144" s="91" t="s">
        <v>36</v>
      </c>
      <c r="D2144" s="94" t="s">
        <v>6929</v>
      </c>
      <c r="E2144" s="94" t="s">
        <v>6930</v>
      </c>
      <c r="F2144" s="95" t="s">
        <v>6931</v>
      </c>
      <c r="G2144" s="96">
        <v>37909</v>
      </c>
      <c r="H2144" s="97">
        <v>24851</v>
      </c>
      <c r="I2144" s="94" t="s">
        <v>6932</v>
      </c>
      <c r="J2144" s="94" t="s">
        <v>6933</v>
      </c>
      <c r="K2144" s="95">
        <v>982208567</v>
      </c>
      <c r="L2144" s="91" t="s">
        <v>60</v>
      </c>
      <c r="M2144" s="98">
        <f ca="1">(TODAY()-H2144)/365</f>
        <v>57.947945205479449</v>
      </c>
      <c r="N2144" s="99">
        <f>(G2144-H2144)/365</f>
        <v>35.775342465753425</v>
      </c>
      <c r="O2144" s="98">
        <f ca="1">(TODAY()-G2144)/365</f>
        <v>22.172602739726027</v>
      </c>
      <c r="P2144" s="91" t="s">
        <v>43</v>
      </c>
      <c r="Q2144" s="91">
        <v>0</v>
      </c>
      <c r="R2144" s="91">
        <v>0</v>
      </c>
      <c r="S2144" s="91">
        <v>0</v>
      </c>
      <c r="T2144" s="91"/>
      <c r="U2144" s="91"/>
      <c r="V2144" s="91"/>
      <c r="W2144" s="91"/>
      <c r="X2144" s="91"/>
      <c r="Y2144" s="91"/>
      <c r="Z2144" s="91"/>
      <c r="AA2144" s="91"/>
      <c r="AB2144" s="91"/>
      <c r="AC2144" s="91"/>
      <c r="AD2144" s="91"/>
      <c r="AE2144" s="91"/>
      <c r="AF2144" s="91"/>
      <c r="AG2144" s="91"/>
      <c r="AH2144" s="91"/>
      <c r="AI2144" s="91"/>
      <c r="AJ2144" s="91"/>
      <c r="AK2144" s="91"/>
      <c r="AL2144" s="91"/>
      <c r="AM2144" s="91"/>
    </row>
    <row r="2145" spans="1:39" ht="20.25" hidden="1" customHeight="1">
      <c r="A2145" s="91"/>
      <c r="B2145" s="93" t="s">
        <v>6891</v>
      </c>
      <c r="C2145" s="91" t="s">
        <v>36</v>
      </c>
      <c r="D2145" s="94" t="s">
        <v>1221</v>
      </c>
      <c r="E2145" s="94" t="s">
        <v>6934</v>
      </c>
      <c r="F2145" s="95" t="s">
        <v>6935</v>
      </c>
      <c r="G2145" s="96">
        <v>36220</v>
      </c>
      <c r="H2145" s="97">
        <v>20713</v>
      </c>
      <c r="I2145" s="111" t="s">
        <v>6936</v>
      </c>
      <c r="J2145" s="94" t="s">
        <v>6937</v>
      </c>
      <c r="K2145" s="95">
        <v>944827340</v>
      </c>
      <c r="L2145" s="91" t="s">
        <v>60</v>
      </c>
      <c r="M2145" s="98">
        <f ca="1">(TODAY()-H2145)/365</f>
        <v>69.284931506849318</v>
      </c>
      <c r="N2145" s="99">
        <f>(G2145-H2145)/365</f>
        <v>42.484931506849314</v>
      </c>
      <c r="O2145" s="98">
        <f ca="1">(TODAY()-G2145)/365</f>
        <v>26.8</v>
      </c>
      <c r="P2145" s="91" t="s">
        <v>43</v>
      </c>
      <c r="Q2145" s="91">
        <v>0</v>
      </c>
      <c r="R2145" s="91">
        <v>0</v>
      </c>
      <c r="S2145" s="91">
        <v>0</v>
      </c>
      <c r="T2145" s="91"/>
      <c r="U2145" s="91"/>
      <c r="V2145" s="91"/>
      <c r="W2145" s="91"/>
      <c r="X2145" s="91"/>
      <c r="Y2145" s="91"/>
      <c r="Z2145" s="91"/>
      <c r="AA2145" s="91"/>
      <c r="AB2145" s="91"/>
      <c r="AC2145" s="91"/>
      <c r="AD2145" s="91"/>
      <c r="AE2145" s="91"/>
      <c r="AF2145" s="91"/>
      <c r="AG2145" s="91"/>
      <c r="AH2145" s="91"/>
      <c r="AI2145" s="91"/>
      <c r="AJ2145" s="91"/>
      <c r="AK2145" s="91"/>
      <c r="AL2145" s="91"/>
      <c r="AM2145" s="91"/>
    </row>
    <row r="2146" spans="1:39" ht="20.25" hidden="1" customHeight="1">
      <c r="A2146" s="91"/>
      <c r="B2146" s="93" t="s">
        <v>6891</v>
      </c>
      <c r="C2146" s="91" t="s">
        <v>36</v>
      </c>
      <c r="D2146" s="94" t="s">
        <v>6938</v>
      </c>
      <c r="E2146" s="94" t="s">
        <v>6939</v>
      </c>
      <c r="F2146" s="95" t="s">
        <v>6940</v>
      </c>
      <c r="G2146" s="96">
        <v>37325</v>
      </c>
      <c r="H2146" s="97">
        <v>21740</v>
      </c>
      <c r="I2146" s="94" t="s">
        <v>6941</v>
      </c>
      <c r="J2146" s="94" t="s">
        <v>6942</v>
      </c>
      <c r="K2146" s="95">
        <v>990857308</v>
      </c>
      <c r="L2146" s="91" t="s">
        <v>60</v>
      </c>
      <c r="M2146" s="98">
        <f ca="1">(TODAY()-H2146)/365</f>
        <v>66.471232876712335</v>
      </c>
      <c r="N2146" s="99">
        <f>(G2146-H2146)/365</f>
        <v>42.698630136986303</v>
      </c>
      <c r="O2146" s="98">
        <f ca="1">(TODAY()-G2146)/365</f>
        <v>23.772602739726029</v>
      </c>
      <c r="P2146" s="91" t="s">
        <v>43</v>
      </c>
      <c r="Q2146" s="91">
        <v>0</v>
      </c>
      <c r="R2146" s="91">
        <v>0</v>
      </c>
      <c r="S2146" s="91">
        <v>0</v>
      </c>
      <c r="T2146" s="91"/>
      <c r="U2146" s="91"/>
      <c r="V2146" s="91"/>
      <c r="W2146" s="91"/>
      <c r="X2146" s="91"/>
      <c r="Y2146" s="91"/>
      <c r="Z2146" s="91"/>
      <c r="AA2146" s="91"/>
      <c r="AB2146" s="91"/>
      <c r="AC2146" s="91"/>
      <c r="AD2146" s="91"/>
      <c r="AE2146" s="91"/>
      <c r="AF2146" s="91"/>
      <c r="AG2146" s="91"/>
      <c r="AH2146" s="91"/>
      <c r="AI2146" s="91"/>
      <c r="AJ2146" s="91"/>
      <c r="AK2146" s="91"/>
      <c r="AL2146" s="91"/>
      <c r="AM2146" s="91"/>
    </row>
    <row r="2147" spans="1:39" ht="20.25" hidden="1" customHeight="1">
      <c r="A2147" s="91"/>
      <c r="B2147" s="93" t="s">
        <v>6891</v>
      </c>
      <c r="C2147" s="91" t="s">
        <v>36</v>
      </c>
      <c r="D2147" s="94" t="s">
        <v>6943</v>
      </c>
      <c r="E2147" s="94" t="s">
        <v>6944</v>
      </c>
      <c r="F2147" s="95" t="s">
        <v>6945</v>
      </c>
      <c r="G2147" s="96">
        <v>45400</v>
      </c>
      <c r="H2147" s="97">
        <v>26887</v>
      </c>
      <c r="I2147" s="94" t="s">
        <v>6946</v>
      </c>
      <c r="J2147" s="94" t="s">
        <v>6947</v>
      </c>
      <c r="K2147" s="95">
        <v>942956016</v>
      </c>
      <c r="L2147" s="91" t="s">
        <v>60</v>
      </c>
      <c r="M2147" s="98">
        <f ca="1">(TODAY()-H2147)/365</f>
        <v>52.369863013698627</v>
      </c>
      <c r="N2147" s="99">
        <f>(G2147-H2147)/365</f>
        <v>50.720547945205482</v>
      </c>
      <c r="O2147" s="98">
        <f ca="1">(TODAY()-G2147)/365</f>
        <v>1.6493150684931508</v>
      </c>
      <c r="P2147" s="91" t="s">
        <v>43</v>
      </c>
      <c r="Q2147" s="91">
        <v>0</v>
      </c>
      <c r="R2147" s="91">
        <v>0</v>
      </c>
      <c r="S2147" s="91">
        <v>0</v>
      </c>
      <c r="T2147" s="91"/>
      <c r="U2147" s="91"/>
      <c r="V2147" s="91"/>
      <c r="W2147" s="91"/>
      <c r="X2147" s="91"/>
      <c r="Y2147" s="91"/>
      <c r="Z2147" s="91"/>
      <c r="AA2147" s="91"/>
      <c r="AB2147" s="91"/>
      <c r="AC2147" s="91"/>
      <c r="AD2147" s="91"/>
      <c r="AE2147" s="91"/>
      <c r="AF2147" s="91"/>
      <c r="AG2147" s="91"/>
      <c r="AH2147" s="91"/>
      <c r="AI2147" s="91"/>
      <c r="AJ2147" s="91"/>
      <c r="AK2147" s="91"/>
      <c r="AL2147" s="91"/>
      <c r="AM2147" s="91"/>
    </row>
    <row r="2148" spans="1:39" ht="20.25" hidden="1" customHeight="1">
      <c r="A2148" s="91"/>
      <c r="B2148" s="93" t="s">
        <v>6891</v>
      </c>
      <c r="C2148" s="91" t="s">
        <v>36</v>
      </c>
      <c r="D2148" s="94" t="s">
        <v>818</v>
      </c>
      <c r="E2148" s="94" t="s">
        <v>6948</v>
      </c>
      <c r="F2148" s="95" t="s">
        <v>6949</v>
      </c>
      <c r="G2148" s="96">
        <v>43814</v>
      </c>
      <c r="H2148" s="97">
        <v>21231</v>
      </c>
      <c r="I2148" s="102" t="s">
        <v>6950</v>
      </c>
      <c r="J2148" s="94" t="s">
        <v>6951</v>
      </c>
      <c r="K2148" s="95">
        <v>990993928</v>
      </c>
      <c r="L2148" s="91" t="s">
        <v>60</v>
      </c>
      <c r="M2148" s="98">
        <f ca="1">(TODAY()-H2148)/365</f>
        <v>67.865753424657541</v>
      </c>
      <c r="N2148" s="99">
        <f>(G2148-H2148)/365</f>
        <v>61.871232876712327</v>
      </c>
      <c r="O2148" s="98">
        <f ca="1">(TODAY()-G2148)/365</f>
        <v>5.9945205479452053</v>
      </c>
      <c r="P2148" s="91" t="s">
        <v>43</v>
      </c>
      <c r="Q2148" s="91">
        <v>0</v>
      </c>
      <c r="R2148" s="91">
        <v>0</v>
      </c>
      <c r="S2148" s="91">
        <v>0</v>
      </c>
      <c r="T2148" s="91"/>
      <c r="U2148" s="91"/>
      <c r="V2148" s="91"/>
      <c r="W2148" s="91"/>
      <c r="X2148" s="91"/>
      <c r="Y2148" s="91"/>
      <c r="Z2148" s="91"/>
      <c r="AA2148" s="91"/>
      <c r="AB2148" s="91"/>
      <c r="AC2148" s="91"/>
      <c r="AD2148" s="91"/>
      <c r="AE2148" s="91"/>
      <c r="AF2148" s="91"/>
      <c r="AG2148" s="91"/>
      <c r="AH2148" s="91"/>
      <c r="AI2148" s="91"/>
      <c r="AJ2148" s="91"/>
      <c r="AK2148" s="91"/>
      <c r="AL2148" s="91"/>
      <c r="AM2148" s="91"/>
    </row>
    <row r="2149" spans="1:39" ht="20.25" hidden="1" customHeight="1">
      <c r="A2149" s="91"/>
      <c r="B2149" s="93" t="s">
        <v>6891</v>
      </c>
      <c r="C2149" s="91" t="s">
        <v>36</v>
      </c>
      <c r="D2149" s="94" t="s">
        <v>1349</v>
      </c>
      <c r="E2149" s="94" t="s">
        <v>6952</v>
      </c>
      <c r="F2149" s="95" t="s">
        <v>6953</v>
      </c>
      <c r="G2149" s="96">
        <v>43814</v>
      </c>
      <c r="H2149" s="97">
        <v>20727</v>
      </c>
      <c r="I2149" s="94" t="s">
        <v>6954</v>
      </c>
      <c r="J2149" s="94" t="s">
        <v>6951</v>
      </c>
      <c r="K2149" s="95">
        <v>994784405</v>
      </c>
      <c r="L2149" s="91" t="s">
        <v>60</v>
      </c>
      <c r="M2149" s="98">
        <f ca="1">(TODAY()-H2149)/365</f>
        <v>69.246575342465746</v>
      </c>
      <c r="N2149" s="99">
        <f>(G2149-H2149)/365</f>
        <v>63.252054794520546</v>
      </c>
      <c r="O2149" s="98">
        <f ca="1">(TODAY()-G2149)/365</f>
        <v>5.9945205479452053</v>
      </c>
      <c r="P2149" s="91" t="s">
        <v>272</v>
      </c>
      <c r="Q2149" s="91">
        <v>0</v>
      </c>
      <c r="R2149" s="91">
        <v>0</v>
      </c>
      <c r="S2149" s="91">
        <v>0</v>
      </c>
      <c r="T2149" s="91"/>
      <c r="U2149" s="91"/>
      <c r="V2149" s="91"/>
      <c r="W2149" s="91"/>
      <c r="X2149" s="91"/>
      <c r="Y2149" s="91"/>
      <c r="Z2149" s="91"/>
      <c r="AA2149" s="91"/>
      <c r="AB2149" s="91"/>
      <c r="AC2149" s="91"/>
      <c r="AD2149" s="91"/>
      <c r="AE2149" s="91"/>
      <c r="AF2149" s="91"/>
      <c r="AG2149" s="91"/>
      <c r="AH2149" s="91"/>
      <c r="AI2149" s="91"/>
      <c r="AJ2149" s="91"/>
      <c r="AK2149" s="91"/>
      <c r="AL2149" s="91"/>
      <c r="AM2149" s="91"/>
    </row>
    <row r="2150" spans="1:39" ht="20.25" hidden="1" customHeight="1">
      <c r="A2150" s="91"/>
      <c r="B2150" s="93" t="s">
        <v>6891</v>
      </c>
      <c r="C2150" s="91" t="s">
        <v>36</v>
      </c>
      <c r="D2150" s="94" t="s">
        <v>6955</v>
      </c>
      <c r="E2150" s="94" t="s">
        <v>6956</v>
      </c>
      <c r="F2150" s="95" t="s">
        <v>6957</v>
      </c>
      <c r="G2150" s="96">
        <v>41487</v>
      </c>
      <c r="H2150" s="97">
        <v>17503</v>
      </c>
      <c r="I2150" s="94" t="s">
        <v>6958</v>
      </c>
      <c r="J2150" s="94" t="s">
        <v>6959</v>
      </c>
      <c r="K2150" s="95">
        <v>984072308</v>
      </c>
      <c r="L2150" s="91" t="s">
        <v>60</v>
      </c>
      <c r="M2150" s="98">
        <f ca="1">(TODAY()-H2150)/365</f>
        <v>78.079452054794515</v>
      </c>
      <c r="N2150" s="99">
        <f>(G2150-H2150)/365</f>
        <v>65.709589041095896</v>
      </c>
      <c r="O2150" s="98">
        <f ca="1">(TODAY()-G2150)/365</f>
        <v>12.36986301369863</v>
      </c>
      <c r="P2150" s="91" t="s">
        <v>43</v>
      </c>
      <c r="Q2150" s="91">
        <v>0</v>
      </c>
      <c r="R2150" s="91">
        <v>0</v>
      </c>
      <c r="S2150" s="91">
        <v>0</v>
      </c>
      <c r="T2150" s="91"/>
      <c r="U2150" s="91"/>
      <c r="V2150" s="91"/>
      <c r="W2150" s="91"/>
      <c r="X2150" s="91"/>
      <c r="Y2150" s="91"/>
      <c r="Z2150" s="91"/>
      <c r="AA2150" s="91"/>
      <c r="AB2150" s="91"/>
      <c r="AC2150" s="91"/>
      <c r="AD2150" s="91"/>
      <c r="AE2150" s="91"/>
      <c r="AF2150" s="91"/>
      <c r="AG2150" s="91"/>
      <c r="AH2150" s="91"/>
      <c r="AI2150" s="91"/>
      <c r="AJ2150" s="91"/>
      <c r="AK2150" s="91"/>
      <c r="AL2150" s="91"/>
      <c r="AM2150" s="91"/>
    </row>
    <row r="2151" spans="1:39" ht="20.25" hidden="1" customHeight="1">
      <c r="A2151" s="91"/>
      <c r="B2151" s="93" t="s">
        <v>6891</v>
      </c>
      <c r="C2151" s="91" t="s">
        <v>36</v>
      </c>
      <c r="D2151" s="94" t="s">
        <v>3580</v>
      </c>
      <c r="E2151" s="94" t="s">
        <v>6960</v>
      </c>
      <c r="F2151" s="95" t="s">
        <v>6961</v>
      </c>
      <c r="G2151" s="96">
        <v>41153</v>
      </c>
      <c r="H2151" s="97">
        <v>16814</v>
      </c>
      <c r="I2151" s="94" t="s">
        <v>58</v>
      </c>
      <c r="J2151" s="94" t="s">
        <v>6962</v>
      </c>
      <c r="K2151" s="95">
        <v>982997018</v>
      </c>
      <c r="L2151" s="91" t="s">
        <v>60</v>
      </c>
      <c r="M2151" s="98">
        <f ca="1">(TODAY()-H2151)/365</f>
        <v>79.967123287671228</v>
      </c>
      <c r="N2151" s="99">
        <f>(G2151-H2151)/365</f>
        <v>66.682191780821924</v>
      </c>
      <c r="O2151" s="98">
        <f ca="1">(TODAY()-G2151)/365</f>
        <v>13.284931506849315</v>
      </c>
      <c r="P2151" s="91" t="s">
        <v>43</v>
      </c>
      <c r="Q2151" s="91">
        <v>0</v>
      </c>
      <c r="R2151" s="91">
        <v>0</v>
      </c>
      <c r="S2151" s="91">
        <v>0</v>
      </c>
      <c r="T2151" s="91"/>
      <c r="U2151" s="91"/>
      <c r="V2151" s="91"/>
      <c r="W2151" s="91"/>
      <c r="X2151" s="91"/>
      <c r="Y2151" s="91"/>
      <c r="Z2151" s="91"/>
      <c r="AA2151" s="91"/>
      <c r="AB2151" s="91"/>
      <c r="AC2151" s="91"/>
      <c r="AD2151" s="91"/>
      <c r="AE2151" s="91"/>
      <c r="AF2151" s="91"/>
      <c r="AG2151" s="91"/>
      <c r="AH2151" s="91"/>
      <c r="AI2151" s="91"/>
      <c r="AJ2151" s="91"/>
      <c r="AK2151" s="91"/>
      <c r="AL2151" s="91"/>
      <c r="AM2151" s="91"/>
    </row>
    <row r="2152" spans="1:39" ht="20.25" hidden="1" customHeight="1">
      <c r="A2152" s="91"/>
      <c r="B2152" s="93" t="s">
        <v>6891</v>
      </c>
      <c r="C2152" s="91" t="s">
        <v>36</v>
      </c>
      <c r="D2152" s="94" t="s">
        <v>6963</v>
      </c>
      <c r="E2152" s="94" t="s">
        <v>6964</v>
      </c>
      <c r="F2152" s="95" t="s">
        <v>6965</v>
      </c>
      <c r="G2152" s="97" t="s">
        <v>58</v>
      </c>
      <c r="H2152" s="97">
        <v>24092</v>
      </c>
      <c r="I2152" s="94" t="s">
        <v>58</v>
      </c>
      <c r="J2152" s="94" t="s">
        <v>6966</v>
      </c>
      <c r="K2152" s="95">
        <v>99341827</v>
      </c>
      <c r="L2152" s="91" t="s">
        <v>60</v>
      </c>
      <c r="M2152" s="98">
        <f ca="1">(TODAY()-H2152)/365</f>
        <v>60.027397260273972</v>
      </c>
      <c r="N2152" s="95" t="s">
        <v>58</v>
      </c>
      <c r="O2152" s="98" t="e">
        <f ca="1">(TODAY()-G2152)/365</f>
        <v>#VALUE!</v>
      </c>
      <c r="P2152" s="91" t="s">
        <v>43</v>
      </c>
      <c r="Q2152" s="91">
        <v>0</v>
      </c>
      <c r="R2152" s="91">
        <v>0</v>
      </c>
      <c r="S2152" s="91">
        <v>0</v>
      </c>
      <c r="T2152" s="91"/>
      <c r="U2152" s="91"/>
      <c r="V2152" s="91"/>
      <c r="W2152" s="91"/>
      <c r="X2152" s="91"/>
      <c r="Y2152" s="91"/>
      <c r="Z2152" s="91"/>
      <c r="AA2152" s="91"/>
      <c r="AB2152" s="91"/>
      <c r="AC2152" s="91"/>
      <c r="AD2152" s="91"/>
      <c r="AE2152" s="91"/>
      <c r="AF2152" s="91"/>
      <c r="AG2152" s="91"/>
      <c r="AH2152" s="91"/>
      <c r="AI2152" s="91"/>
      <c r="AJ2152" s="91"/>
      <c r="AK2152" s="91"/>
      <c r="AL2152" s="91"/>
      <c r="AM2152" s="91"/>
    </row>
    <row r="2153" spans="1:39" ht="20.25" hidden="1" customHeight="1">
      <c r="A2153" s="91"/>
      <c r="B2153" s="113" t="s">
        <v>6967</v>
      </c>
      <c r="C2153" s="92" t="s">
        <v>36</v>
      </c>
      <c r="D2153" s="107" t="s">
        <v>6968</v>
      </c>
      <c r="E2153" s="107" t="s">
        <v>6969</v>
      </c>
      <c r="F2153" s="91" t="s">
        <v>6970</v>
      </c>
      <c r="G2153" s="96">
        <v>24904</v>
      </c>
      <c r="H2153" s="97">
        <v>18277</v>
      </c>
      <c r="I2153" s="108" t="s">
        <v>12379</v>
      </c>
      <c r="J2153" s="100" t="s">
        <v>6971</v>
      </c>
      <c r="K2153" s="91">
        <v>987296829</v>
      </c>
      <c r="L2153" s="91" t="s">
        <v>54</v>
      </c>
      <c r="M2153" s="98">
        <f ca="1">(TODAY()-H2153)/365</f>
        <v>75.958904109589042</v>
      </c>
      <c r="N2153" s="99">
        <f>(G2153-H2153)/365</f>
        <v>18.156164383561645</v>
      </c>
      <c r="O2153" s="98">
        <f ca="1">(TODAY()-G2153)/365</f>
        <v>57.802739726027397</v>
      </c>
      <c r="P2153" s="91" t="s">
        <v>43</v>
      </c>
      <c r="Q2153" s="91">
        <v>0</v>
      </c>
      <c r="R2153" s="91">
        <v>0</v>
      </c>
      <c r="S2153" s="91">
        <v>0</v>
      </c>
      <c r="T2153" s="91"/>
      <c r="U2153" s="91"/>
      <c r="V2153" s="91"/>
      <c r="W2153" s="91"/>
      <c r="X2153" s="91"/>
      <c r="Y2153" s="91"/>
      <c r="Z2153" s="91"/>
      <c r="AA2153" s="91"/>
      <c r="AB2153" s="91"/>
      <c r="AC2153" s="91"/>
      <c r="AD2153" s="91"/>
      <c r="AE2153" s="91"/>
      <c r="AF2153" s="91"/>
      <c r="AG2153" s="91"/>
      <c r="AH2153" s="91"/>
      <c r="AI2153" s="91"/>
      <c r="AJ2153" s="91"/>
      <c r="AK2153" s="91"/>
      <c r="AL2153" s="91"/>
      <c r="AM2153" s="91"/>
    </row>
    <row r="2154" spans="1:39" ht="20.25" hidden="1" customHeight="1">
      <c r="A2154" s="91"/>
      <c r="B2154" s="113" t="s">
        <v>6967</v>
      </c>
      <c r="C2154" s="92" t="s">
        <v>36</v>
      </c>
      <c r="D2154" s="107" t="s">
        <v>2683</v>
      </c>
      <c r="E2154" s="107" t="s">
        <v>6972</v>
      </c>
      <c r="F2154" s="91" t="s">
        <v>6973</v>
      </c>
      <c r="G2154" s="96">
        <v>44774</v>
      </c>
      <c r="H2154" s="97">
        <v>36567</v>
      </c>
      <c r="I2154" s="108" t="s">
        <v>12380</v>
      </c>
      <c r="J2154" s="100" t="s">
        <v>6974</v>
      </c>
      <c r="K2154" s="91">
        <v>973859216</v>
      </c>
      <c r="L2154" s="91" t="s">
        <v>60</v>
      </c>
      <c r="M2154" s="98">
        <f ca="1">(TODAY()-H2154)/365</f>
        <v>25.849315068493151</v>
      </c>
      <c r="N2154" s="99">
        <f>(G2154-H2154)/365</f>
        <v>22.484931506849314</v>
      </c>
      <c r="O2154" s="98">
        <f ca="1">(TODAY()-G2154)/365</f>
        <v>3.3643835616438356</v>
      </c>
      <c r="P2154" s="91" t="s">
        <v>43</v>
      </c>
      <c r="Q2154" s="91">
        <v>0</v>
      </c>
      <c r="R2154" s="91">
        <v>0</v>
      </c>
      <c r="S2154" s="91">
        <v>0</v>
      </c>
      <c r="T2154" s="91"/>
      <c r="U2154" s="91"/>
      <c r="V2154" s="91"/>
      <c r="W2154" s="91"/>
      <c r="X2154" s="91"/>
      <c r="Y2154" s="91"/>
      <c r="Z2154" s="91"/>
      <c r="AA2154" s="91"/>
      <c r="AB2154" s="91"/>
      <c r="AC2154" s="91"/>
      <c r="AD2154" s="91"/>
      <c r="AE2154" s="91"/>
      <c r="AF2154" s="91"/>
      <c r="AG2154" s="91"/>
      <c r="AH2154" s="91"/>
      <c r="AI2154" s="91"/>
      <c r="AJ2154" s="91"/>
      <c r="AK2154" s="91"/>
      <c r="AL2154" s="91"/>
      <c r="AM2154" s="91"/>
    </row>
    <row r="2155" spans="1:39" ht="20.25" hidden="1" customHeight="1">
      <c r="A2155" s="91"/>
      <c r="B2155" s="113" t="s">
        <v>6967</v>
      </c>
      <c r="C2155" s="91" t="s">
        <v>73</v>
      </c>
      <c r="D2155" s="107" t="s">
        <v>4848</v>
      </c>
      <c r="E2155" s="107" t="s">
        <v>6975</v>
      </c>
      <c r="F2155" s="91" t="s">
        <v>6976</v>
      </c>
      <c r="G2155" s="96">
        <v>31841</v>
      </c>
      <c r="H2155" s="97">
        <v>23011</v>
      </c>
      <c r="I2155" s="108" t="s">
        <v>12381</v>
      </c>
      <c r="J2155" s="100" t="s">
        <v>58</v>
      </c>
      <c r="K2155" s="91" t="s">
        <v>58</v>
      </c>
      <c r="L2155" s="91" t="s">
        <v>60</v>
      </c>
      <c r="M2155" s="98">
        <f ca="1">(TODAY()-H2155)/365</f>
        <v>62.989041095890414</v>
      </c>
      <c r="N2155" s="99">
        <f>(G2155-H2155)/365</f>
        <v>24.19178082191781</v>
      </c>
      <c r="O2155" s="98">
        <f ca="1">(TODAY()-G2155)/365</f>
        <v>38.797260273972604</v>
      </c>
      <c r="P2155" s="91" t="s">
        <v>43</v>
      </c>
      <c r="Q2155" s="91">
        <v>0</v>
      </c>
      <c r="R2155" s="91">
        <v>0</v>
      </c>
      <c r="S2155" s="91">
        <v>0</v>
      </c>
      <c r="T2155" s="91"/>
      <c r="U2155" s="91"/>
      <c r="V2155" s="91"/>
      <c r="W2155" s="91"/>
      <c r="X2155" s="91"/>
      <c r="Y2155" s="91"/>
      <c r="Z2155" s="91"/>
      <c r="AA2155" s="91"/>
      <c r="AB2155" s="91"/>
      <c r="AC2155" s="91"/>
      <c r="AD2155" s="91"/>
      <c r="AE2155" s="91"/>
      <c r="AF2155" s="91"/>
      <c r="AG2155" s="91"/>
      <c r="AH2155" s="91"/>
      <c r="AI2155" s="91"/>
      <c r="AJ2155" s="91"/>
      <c r="AK2155" s="91"/>
      <c r="AL2155" s="91"/>
      <c r="AM2155" s="91"/>
    </row>
    <row r="2156" spans="1:39" ht="20.25" hidden="1" customHeight="1">
      <c r="A2156" s="91"/>
      <c r="B2156" s="113" t="s">
        <v>6967</v>
      </c>
      <c r="C2156" s="91" t="s">
        <v>73</v>
      </c>
      <c r="D2156" s="107" t="s">
        <v>675</v>
      </c>
      <c r="E2156" s="107" t="s">
        <v>6977</v>
      </c>
      <c r="F2156" s="91" t="s">
        <v>6978</v>
      </c>
      <c r="G2156" s="96">
        <v>33307</v>
      </c>
      <c r="H2156" s="97">
        <v>24277</v>
      </c>
      <c r="I2156" s="108" t="s">
        <v>12382</v>
      </c>
      <c r="J2156" s="100" t="s">
        <v>58</v>
      </c>
      <c r="K2156" s="91" t="s">
        <v>58</v>
      </c>
      <c r="L2156" s="91" t="s">
        <v>60</v>
      </c>
      <c r="M2156" s="98">
        <f ca="1">(TODAY()-H2156)/365</f>
        <v>59.520547945205479</v>
      </c>
      <c r="N2156" s="99">
        <f>(G2156-H2156)/365</f>
        <v>24.739726027397261</v>
      </c>
      <c r="O2156" s="98">
        <f ca="1">(TODAY()-G2156)/365</f>
        <v>34.780821917808218</v>
      </c>
      <c r="P2156" s="91" t="s">
        <v>43</v>
      </c>
      <c r="Q2156" s="91">
        <v>0</v>
      </c>
      <c r="R2156" s="91">
        <v>0</v>
      </c>
      <c r="S2156" s="91">
        <v>0</v>
      </c>
      <c r="T2156" s="91"/>
      <c r="U2156" s="91"/>
      <c r="V2156" s="91"/>
      <c r="W2156" s="91"/>
      <c r="X2156" s="91"/>
      <c r="Y2156" s="91"/>
      <c r="Z2156" s="91"/>
      <c r="AA2156" s="91"/>
      <c r="AB2156" s="91"/>
      <c r="AC2156" s="91"/>
      <c r="AD2156" s="91"/>
      <c r="AE2156" s="91"/>
      <c r="AF2156" s="91"/>
      <c r="AG2156" s="91"/>
      <c r="AH2156" s="91"/>
      <c r="AI2156" s="91"/>
      <c r="AJ2156" s="91"/>
      <c r="AK2156" s="91"/>
      <c r="AL2156" s="91"/>
      <c r="AM2156" s="91"/>
    </row>
    <row r="2157" spans="1:39" ht="20.25" hidden="1" customHeight="1">
      <c r="A2157" s="91"/>
      <c r="B2157" s="113" t="s">
        <v>6967</v>
      </c>
      <c r="C2157" s="92" t="s">
        <v>36</v>
      </c>
      <c r="D2157" s="107" t="s">
        <v>6979</v>
      </c>
      <c r="E2157" s="107" t="s">
        <v>6980</v>
      </c>
      <c r="F2157" s="91" t="s">
        <v>6981</v>
      </c>
      <c r="G2157" s="96">
        <v>27458</v>
      </c>
      <c r="H2157" s="97">
        <v>17613</v>
      </c>
      <c r="I2157" s="108" t="s">
        <v>12383</v>
      </c>
      <c r="J2157" s="100" t="s">
        <v>6982</v>
      </c>
      <c r="K2157" s="91">
        <v>978381162</v>
      </c>
      <c r="L2157" s="91" t="s">
        <v>60</v>
      </c>
      <c r="M2157" s="98">
        <f ca="1">(TODAY()-H2157)/365</f>
        <v>77.778082191780825</v>
      </c>
      <c r="N2157" s="99">
        <f>(G2157-H2157)/365</f>
        <v>26.972602739726028</v>
      </c>
      <c r="O2157" s="98">
        <f ca="1">(TODAY()-G2157)/365</f>
        <v>50.805479452054797</v>
      </c>
      <c r="P2157" s="91" t="s">
        <v>43</v>
      </c>
      <c r="Q2157" s="91">
        <v>0</v>
      </c>
      <c r="R2157" s="91">
        <v>0</v>
      </c>
      <c r="S2157" s="91">
        <v>0</v>
      </c>
      <c r="T2157" s="91"/>
      <c r="U2157" s="91"/>
      <c r="V2157" s="91"/>
      <c r="W2157" s="91"/>
      <c r="X2157" s="91"/>
      <c r="Y2157" s="91"/>
      <c r="Z2157" s="91"/>
      <c r="AA2157" s="91"/>
      <c r="AB2157" s="91"/>
      <c r="AC2157" s="91"/>
      <c r="AD2157" s="91"/>
      <c r="AE2157" s="91"/>
      <c r="AF2157" s="91"/>
      <c r="AG2157" s="91"/>
      <c r="AH2157" s="91"/>
      <c r="AI2157" s="91"/>
      <c r="AJ2157" s="91"/>
      <c r="AK2157" s="91"/>
      <c r="AL2157" s="91"/>
      <c r="AM2157" s="91"/>
    </row>
    <row r="2158" spans="1:39" ht="20.25" hidden="1" customHeight="1">
      <c r="A2158" s="91"/>
      <c r="B2158" s="113" t="s">
        <v>6967</v>
      </c>
      <c r="C2158" s="92" t="s">
        <v>36</v>
      </c>
      <c r="D2158" s="107" t="s">
        <v>739</v>
      </c>
      <c r="E2158" s="107" t="s">
        <v>6983</v>
      </c>
      <c r="F2158" s="91" t="s">
        <v>6984</v>
      </c>
      <c r="G2158" s="96">
        <v>44774</v>
      </c>
      <c r="H2158" s="97">
        <v>34645</v>
      </c>
      <c r="I2158" s="108" t="s">
        <v>12384</v>
      </c>
      <c r="J2158" s="100" t="s">
        <v>6985</v>
      </c>
      <c r="K2158" s="91">
        <v>981321810</v>
      </c>
      <c r="L2158" s="91" t="s">
        <v>167</v>
      </c>
      <c r="M2158" s="98">
        <f ca="1">(TODAY()-H2158)/365</f>
        <v>31.115068493150684</v>
      </c>
      <c r="N2158" s="99">
        <f>(G2158-H2158)/365</f>
        <v>27.75068493150685</v>
      </c>
      <c r="O2158" s="98">
        <f ca="1">(TODAY()-G2158)/365</f>
        <v>3.3643835616438356</v>
      </c>
      <c r="P2158" s="91" t="s">
        <v>272</v>
      </c>
      <c r="Q2158" s="91">
        <v>0</v>
      </c>
      <c r="R2158" s="91">
        <v>0</v>
      </c>
      <c r="S2158" s="91">
        <v>0</v>
      </c>
      <c r="T2158" s="91"/>
      <c r="U2158" s="91"/>
      <c r="V2158" s="91"/>
      <c r="W2158" s="91"/>
      <c r="X2158" s="91"/>
      <c r="Y2158" s="91"/>
      <c r="Z2158" s="91"/>
      <c r="AA2158" s="91"/>
      <c r="AB2158" s="91"/>
      <c r="AC2158" s="91"/>
      <c r="AD2158" s="91"/>
      <c r="AE2158" s="91"/>
      <c r="AF2158" s="91"/>
      <c r="AG2158" s="91"/>
      <c r="AH2158" s="91"/>
      <c r="AI2158" s="91"/>
      <c r="AJ2158" s="91"/>
      <c r="AK2158" s="91"/>
      <c r="AL2158" s="91"/>
      <c r="AM2158" s="91"/>
    </row>
    <row r="2159" spans="1:39" ht="20.25" hidden="1" customHeight="1">
      <c r="A2159" s="91"/>
      <c r="B2159" s="113" t="s">
        <v>6967</v>
      </c>
      <c r="C2159" s="91" t="s">
        <v>73</v>
      </c>
      <c r="D2159" s="107" t="s">
        <v>3890</v>
      </c>
      <c r="E2159" s="107" t="s">
        <v>6986</v>
      </c>
      <c r="F2159" s="91" t="s">
        <v>6987</v>
      </c>
      <c r="G2159" s="96">
        <v>34048</v>
      </c>
      <c r="H2159" s="97">
        <v>21459</v>
      </c>
      <c r="I2159" s="108" t="s">
        <v>12385</v>
      </c>
      <c r="J2159" s="100" t="s">
        <v>58</v>
      </c>
      <c r="K2159" s="91" t="s">
        <v>58</v>
      </c>
      <c r="L2159" s="91" t="s">
        <v>60</v>
      </c>
      <c r="M2159" s="98">
        <f ca="1">(TODAY()-H2159)/365</f>
        <v>67.241095890410961</v>
      </c>
      <c r="N2159" s="99">
        <f>(G2159-H2159)/365</f>
        <v>34.490410958904107</v>
      </c>
      <c r="O2159" s="98">
        <f ca="1">(TODAY()-G2159)/365</f>
        <v>32.750684931506846</v>
      </c>
      <c r="P2159" s="91" t="s">
        <v>43</v>
      </c>
      <c r="Q2159" s="91">
        <v>0</v>
      </c>
      <c r="R2159" s="91">
        <v>0</v>
      </c>
      <c r="S2159" s="91">
        <v>0</v>
      </c>
      <c r="T2159" s="91"/>
      <c r="U2159" s="91"/>
      <c r="V2159" s="91"/>
      <c r="W2159" s="91"/>
      <c r="X2159" s="91"/>
      <c r="Y2159" s="91"/>
      <c r="Z2159" s="91"/>
      <c r="AA2159" s="91"/>
      <c r="AB2159" s="91"/>
      <c r="AC2159" s="91"/>
      <c r="AD2159" s="91"/>
      <c r="AE2159" s="91"/>
      <c r="AF2159" s="91"/>
      <c r="AG2159" s="91"/>
      <c r="AH2159" s="91"/>
      <c r="AI2159" s="91"/>
      <c r="AJ2159" s="91"/>
      <c r="AK2159" s="91"/>
      <c r="AL2159" s="91"/>
      <c r="AM2159" s="91"/>
    </row>
    <row r="2160" spans="1:39" ht="20.25" hidden="1" customHeight="1">
      <c r="A2160" s="91"/>
      <c r="B2160" s="113" t="s">
        <v>6967</v>
      </c>
      <c r="C2160" s="91" t="s">
        <v>73</v>
      </c>
      <c r="D2160" s="107" t="s">
        <v>840</v>
      </c>
      <c r="E2160" s="107" t="s">
        <v>6988</v>
      </c>
      <c r="F2160" s="91" t="s">
        <v>6989</v>
      </c>
      <c r="G2160" s="96">
        <v>34402</v>
      </c>
      <c r="H2160" s="97">
        <v>20475</v>
      </c>
      <c r="I2160" s="108" t="s">
        <v>12386</v>
      </c>
      <c r="J2160" s="100" t="s">
        <v>58</v>
      </c>
      <c r="K2160" s="91" t="s">
        <v>58</v>
      </c>
      <c r="L2160" s="91" t="s">
        <v>60</v>
      </c>
      <c r="M2160" s="98">
        <f ca="1">(TODAY()-H2160)/365</f>
        <v>69.936986301369856</v>
      </c>
      <c r="N2160" s="99">
        <f>(G2160-H2160)/365</f>
        <v>38.156164383561645</v>
      </c>
      <c r="O2160" s="98">
        <f ca="1">(TODAY()-G2160)/365</f>
        <v>31.780821917808218</v>
      </c>
      <c r="P2160" s="91" t="s">
        <v>43</v>
      </c>
      <c r="Q2160" s="91">
        <v>0</v>
      </c>
      <c r="R2160" s="91">
        <v>0</v>
      </c>
      <c r="S2160" s="91">
        <v>0</v>
      </c>
      <c r="T2160" s="91"/>
      <c r="U2160" s="91"/>
      <c r="V2160" s="91"/>
      <c r="W2160" s="91"/>
      <c r="X2160" s="91"/>
      <c r="Y2160" s="91"/>
      <c r="Z2160" s="91"/>
      <c r="AA2160" s="91"/>
      <c r="AB2160" s="91"/>
      <c r="AC2160" s="91"/>
      <c r="AD2160" s="91"/>
      <c r="AE2160" s="91"/>
      <c r="AF2160" s="91"/>
      <c r="AG2160" s="91"/>
      <c r="AH2160" s="91"/>
      <c r="AI2160" s="91"/>
      <c r="AJ2160" s="91"/>
      <c r="AK2160" s="91"/>
      <c r="AL2160" s="91"/>
      <c r="AM2160" s="91"/>
    </row>
    <row r="2161" spans="1:39" ht="20.25" hidden="1" customHeight="1">
      <c r="A2161" s="91"/>
      <c r="B2161" s="113" t="s">
        <v>6967</v>
      </c>
      <c r="C2161" s="92" t="s">
        <v>36</v>
      </c>
      <c r="D2161" s="107" t="s">
        <v>6990</v>
      </c>
      <c r="E2161" s="107" t="s">
        <v>6991</v>
      </c>
      <c r="F2161" s="91" t="s">
        <v>6992</v>
      </c>
      <c r="G2161" s="96">
        <v>40609</v>
      </c>
      <c r="H2161" s="97">
        <v>26175</v>
      </c>
      <c r="I2161" s="108" t="s">
        <v>12387</v>
      </c>
      <c r="J2161" s="100" t="s">
        <v>6993</v>
      </c>
      <c r="K2161" s="91">
        <v>982555750</v>
      </c>
      <c r="L2161" s="91" t="s">
        <v>197</v>
      </c>
      <c r="M2161" s="98">
        <f ca="1">(TODAY()-H2161)/365</f>
        <v>54.320547945205476</v>
      </c>
      <c r="N2161" s="99">
        <f>(G2161-H2161)/365</f>
        <v>39.545205479452058</v>
      </c>
      <c r="O2161" s="98">
        <f ca="1">(TODAY()-G2161)/365</f>
        <v>14.775342465753425</v>
      </c>
      <c r="P2161" s="91" t="s">
        <v>43</v>
      </c>
      <c r="Q2161" s="91">
        <v>0</v>
      </c>
      <c r="R2161" s="91">
        <v>0</v>
      </c>
      <c r="S2161" s="91">
        <v>0</v>
      </c>
      <c r="T2161" s="91"/>
      <c r="U2161" s="91"/>
      <c r="V2161" s="91"/>
      <c r="W2161" s="91"/>
      <c r="X2161" s="91"/>
      <c r="Y2161" s="91"/>
      <c r="Z2161" s="91"/>
      <c r="AA2161" s="91"/>
      <c r="AB2161" s="91"/>
      <c r="AC2161" s="91"/>
      <c r="AD2161" s="91"/>
      <c r="AE2161" s="91"/>
      <c r="AF2161" s="91"/>
      <c r="AG2161" s="91"/>
      <c r="AH2161" s="91"/>
      <c r="AI2161" s="91"/>
      <c r="AJ2161" s="91"/>
      <c r="AK2161" s="91"/>
      <c r="AL2161" s="91"/>
      <c r="AM2161" s="91"/>
    </row>
    <row r="2162" spans="1:39" ht="20.25" hidden="1" customHeight="1">
      <c r="A2162" s="91"/>
      <c r="B2162" s="113" t="s">
        <v>6967</v>
      </c>
      <c r="C2162" s="92" t="s">
        <v>36</v>
      </c>
      <c r="D2162" s="107" t="s">
        <v>6994</v>
      </c>
      <c r="E2162" s="107" t="s">
        <v>6995</v>
      </c>
      <c r="F2162" s="91" t="s">
        <v>6996</v>
      </c>
      <c r="G2162" s="96">
        <v>37685</v>
      </c>
      <c r="H2162" s="97">
        <v>23205</v>
      </c>
      <c r="I2162" s="100" t="s">
        <v>58</v>
      </c>
      <c r="J2162" s="100" t="s">
        <v>6997</v>
      </c>
      <c r="K2162" s="91">
        <v>996429648</v>
      </c>
      <c r="L2162" s="91" t="s">
        <v>60</v>
      </c>
      <c r="M2162" s="98">
        <f ca="1">(TODAY()-H2162)/365</f>
        <v>62.457534246575342</v>
      </c>
      <c r="N2162" s="99">
        <f>(G2162-H2162)/365</f>
        <v>39.671232876712331</v>
      </c>
      <c r="O2162" s="98">
        <f ca="1">(TODAY()-G2162)/365</f>
        <v>22.786301369863015</v>
      </c>
      <c r="P2162" s="91" t="s">
        <v>43</v>
      </c>
      <c r="Q2162" s="91">
        <v>0</v>
      </c>
      <c r="R2162" s="91">
        <v>0</v>
      </c>
      <c r="S2162" s="91">
        <v>0</v>
      </c>
      <c r="T2162" s="91"/>
      <c r="U2162" s="91"/>
      <c r="V2162" s="91"/>
      <c r="W2162" s="91"/>
      <c r="X2162" s="91"/>
      <c r="Y2162" s="91"/>
      <c r="Z2162" s="91"/>
      <c r="AA2162" s="91"/>
      <c r="AB2162" s="91"/>
      <c r="AC2162" s="91"/>
      <c r="AD2162" s="91"/>
      <c r="AE2162" s="91"/>
      <c r="AF2162" s="91"/>
      <c r="AG2162" s="91"/>
      <c r="AH2162" s="91"/>
      <c r="AI2162" s="91"/>
      <c r="AJ2162" s="91"/>
      <c r="AK2162" s="91"/>
      <c r="AL2162" s="91"/>
      <c r="AM2162" s="91"/>
    </row>
    <row r="2163" spans="1:39" ht="20.25" hidden="1" customHeight="1">
      <c r="A2163" s="91"/>
      <c r="B2163" s="113" t="s">
        <v>6967</v>
      </c>
      <c r="C2163" s="92" t="s">
        <v>36</v>
      </c>
      <c r="D2163" s="107" t="s">
        <v>6998</v>
      </c>
      <c r="E2163" s="107" t="s">
        <v>6999</v>
      </c>
      <c r="F2163" s="91" t="s">
        <v>7000</v>
      </c>
      <c r="G2163" s="96">
        <v>42100</v>
      </c>
      <c r="H2163" s="97">
        <v>26408</v>
      </c>
      <c r="I2163" s="108" t="s">
        <v>12388</v>
      </c>
      <c r="J2163" s="100" t="s">
        <v>7001</v>
      </c>
      <c r="K2163" s="91">
        <v>996968093</v>
      </c>
      <c r="L2163" s="91" t="s">
        <v>66</v>
      </c>
      <c r="M2163" s="98">
        <f ca="1">(TODAY()-H2163)/365</f>
        <v>53.682191780821917</v>
      </c>
      <c r="N2163" s="99">
        <f>(G2163-H2163)/365</f>
        <v>42.991780821917807</v>
      </c>
      <c r="O2163" s="98">
        <f ca="1">(TODAY()-G2163)/365</f>
        <v>10.69041095890411</v>
      </c>
      <c r="P2163" s="91" t="s">
        <v>43</v>
      </c>
      <c r="Q2163" s="91">
        <v>0</v>
      </c>
      <c r="R2163" s="91">
        <v>0</v>
      </c>
      <c r="S2163" s="91">
        <v>0</v>
      </c>
      <c r="T2163" s="91"/>
      <c r="U2163" s="91"/>
      <c r="V2163" s="91"/>
      <c r="W2163" s="91"/>
      <c r="X2163" s="91"/>
      <c r="Y2163" s="91"/>
      <c r="Z2163" s="91"/>
      <c r="AA2163" s="91"/>
      <c r="AB2163" s="91"/>
      <c r="AC2163" s="91"/>
      <c r="AD2163" s="91"/>
      <c r="AE2163" s="91"/>
      <c r="AF2163" s="91"/>
      <c r="AG2163" s="91"/>
      <c r="AH2163" s="91"/>
      <c r="AI2163" s="91"/>
      <c r="AJ2163" s="91"/>
      <c r="AK2163" s="91"/>
      <c r="AL2163" s="91"/>
      <c r="AM2163" s="91"/>
    </row>
    <row r="2164" spans="1:39" ht="20.25" hidden="1" customHeight="1">
      <c r="A2164" s="91"/>
      <c r="B2164" s="113" t="s">
        <v>6967</v>
      </c>
      <c r="C2164" s="91" t="s">
        <v>73</v>
      </c>
      <c r="D2164" s="107" t="s">
        <v>346</v>
      </c>
      <c r="E2164" s="107" t="s">
        <v>7002</v>
      </c>
      <c r="F2164" s="91" t="s">
        <v>7003</v>
      </c>
      <c r="G2164" s="96">
        <v>40975</v>
      </c>
      <c r="H2164" s="97">
        <v>23960</v>
      </c>
      <c r="I2164" s="108" t="s">
        <v>12389</v>
      </c>
      <c r="J2164" s="100" t="s">
        <v>58</v>
      </c>
      <c r="K2164" s="91" t="s">
        <v>58</v>
      </c>
      <c r="L2164" s="91" t="s">
        <v>60</v>
      </c>
      <c r="M2164" s="98">
        <f ca="1">(TODAY()-H2164)/365</f>
        <v>60.389041095890413</v>
      </c>
      <c r="N2164" s="99">
        <f>(G2164-H2164)/365</f>
        <v>46.61643835616438</v>
      </c>
      <c r="O2164" s="98">
        <f ca="1">(TODAY()-G2164)/365</f>
        <v>13.772602739726027</v>
      </c>
      <c r="P2164" s="91" t="s">
        <v>43</v>
      </c>
      <c r="Q2164" s="91">
        <v>0</v>
      </c>
      <c r="R2164" s="91">
        <v>0</v>
      </c>
      <c r="S2164" s="91">
        <v>0</v>
      </c>
      <c r="T2164" s="91"/>
      <c r="U2164" s="91"/>
      <c r="V2164" s="91"/>
      <c r="W2164" s="91"/>
      <c r="X2164" s="91"/>
      <c r="Y2164" s="91"/>
      <c r="Z2164" s="91"/>
      <c r="AA2164" s="91"/>
      <c r="AB2164" s="91"/>
      <c r="AC2164" s="91"/>
      <c r="AD2164" s="91"/>
      <c r="AE2164" s="91"/>
      <c r="AF2164" s="91"/>
      <c r="AG2164" s="91"/>
      <c r="AH2164" s="91"/>
      <c r="AI2164" s="91"/>
      <c r="AJ2164" s="91"/>
      <c r="AK2164" s="91"/>
      <c r="AL2164" s="91"/>
      <c r="AM2164" s="91"/>
    </row>
    <row r="2165" spans="1:39" ht="20.25" hidden="1" customHeight="1">
      <c r="A2165" s="91"/>
      <c r="B2165" s="113" t="s">
        <v>6967</v>
      </c>
      <c r="C2165" s="92" t="s">
        <v>36</v>
      </c>
      <c r="D2165" s="107" t="s">
        <v>7004</v>
      </c>
      <c r="E2165" s="107" t="s">
        <v>7005</v>
      </c>
      <c r="F2165" s="91" t="s">
        <v>7006</v>
      </c>
      <c r="G2165" s="96">
        <v>40609</v>
      </c>
      <c r="H2165" s="97">
        <v>23370</v>
      </c>
      <c r="I2165" s="108" t="s">
        <v>12390</v>
      </c>
      <c r="J2165" s="100" t="s">
        <v>7007</v>
      </c>
      <c r="K2165" s="91">
        <v>989599887</v>
      </c>
      <c r="L2165" s="91" t="s">
        <v>42</v>
      </c>
      <c r="M2165" s="98">
        <f ca="1">(TODAY()-H2165)/365</f>
        <v>62.005479452054793</v>
      </c>
      <c r="N2165" s="99">
        <f>(G2165-H2165)/365</f>
        <v>47.230136986301368</v>
      </c>
      <c r="O2165" s="98">
        <f ca="1">(TODAY()-G2165)/365</f>
        <v>14.775342465753425</v>
      </c>
      <c r="P2165" s="91" t="s">
        <v>43</v>
      </c>
      <c r="Q2165" s="91">
        <v>0</v>
      </c>
      <c r="R2165" s="91">
        <v>0</v>
      </c>
      <c r="S2165" s="91">
        <v>0</v>
      </c>
      <c r="T2165" s="91"/>
      <c r="U2165" s="91"/>
      <c r="V2165" s="91"/>
      <c r="W2165" s="91"/>
      <c r="X2165" s="91"/>
      <c r="Y2165" s="91"/>
      <c r="Z2165" s="91"/>
      <c r="AA2165" s="91"/>
      <c r="AB2165" s="91"/>
      <c r="AC2165" s="91"/>
      <c r="AD2165" s="91"/>
      <c r="AE2165" s="91"/>
      <c r="AF2165" s="91"/>
      <c r="AG2165" s="91"/>
      <c r="AH2165" s="91"/>
      <c r="AI2165" s="91"/>
      <c r="AJ2165" s="91"/>
      <c r="AK2165" s="91"/>
      <c r="AL2165" s="91"/>
      <c r="AM2165" s="91"/>
    </row>
    <row r="2166" spans="1:39" ht="20.25" hidden="1" customHeight="1">
      <c r="A2166" s="91"/>
      <c r="B2166" s="113" t="s">
        <v>6967</v>
      </c>
      <c r="C2166" s="91" t="s">
        <v>73</v>
      </c>
      <c r="D2166" s="107" t="s">
        <v>7008</v>
      </c>
      <c r="E2166" s="107" t="s">
        <v>7009</v>
      </c>
      <c r="F2166" s="91" t="s">
        <v>7010</v>
      </c>
      <c r="G2166" s="96">
        <v>42101</v>
      </c>
      <c r="H2166" s="97">
        <v>24848</v>
      </c>
      <c r="I2166" s="108" t="s">
        <v>12391</v>
      </c>
      <c r="J2166" s="100" t="s">
        <v>58</v>
      </c>
      <c r="K2166" s="91" t="s">
        <v>58</v>
      </c>
      <c r="L2166" s="91" t="s">
        <v>60</v>
      </c>
      <c r="M2166" s="98">
        <f ca="1">(TODAY()-H2166)/365</f>
        <v>57.956164383561642</v>
      </c>
      <c r="N2166" s="99">
        <f>(G2166-H2166)/365</f>
        <v>47.268493150684932</v>
      </c>
      <c r="O2166" s="98">
        <f ca="1">(TODAY()-G2166)/365</f>
        <v>10.687671232876712</v>
      </c>
      <c r="P2166" s="91" t="s">
        <v>43</v>
      </c>
      <c r="Q2166" s="91">
        <v>0</v>
      </c>
      <c r="R2166" s="91">
        <v>0</v>
      </c>
      <c r="S2166" s="91">
        <v>0</v>
      </c>
      <c r="T2166" s="91"/>
      <c r="U2166" s="91"/>
      <c r="V2166" s="91"/>
      <c r="W2166" s="91"/>
      <c r="X2166" s="91"/>
      <c r="Y2166" s="91"/>
      <c r="Z2166" s="91"/>
      <c r="AA2166" s="91"/>
      <c r="AB2166" s="91"/>
      <c r="AC2166" s="91"/>
      <c r="AD2166" s="91"/>
      <c r="AE2166" s="91"/>
      <c r="AF2166" s="91"/>
      <c r="AG2166" s="91"/>
      <c r="AH2166" s="91"/>
      <c r="AI2166" s="91"/>
      <c r="AJ2166" s="91"/>
      <c r="AK2166" s="91"/>
      <c r="AL2166" s="91"/>
      <c r="AM2166" s="91"/>
    </row>
    <row r="2167" spans="1:39" ht="20.25" hidden="1" customHeight="1">
      <c r="A2167" s="91"/>
      <c r="B2167" s="113" t="s">
        <v>6967</v>
      </c>
      <c r="C2167" s="92" t="s">
        <v>36</v>
      </c>
      <c r="D2167" s="107" t="s">
        <v>1330</v>
      </c>
      <c r="E2167" s="107" t="s">
        <v>7011</v>
      </c>
      <c r="F2167" s="91" t="s">
        <v>7012</v>
      </c>
      <c r="G2167" s="96">
        <v>41708</v>
      </c>
      <c r="H2167" s="97">
        <v>23355</v>
      </c>
      <c r="I2167" s="108" t="s">
        <v>12392</v>
      </c>
      <c r="J2167" s="100" t="s">
        <v>7013</v>
      </c>
      <c r="K2167" s="91">
        <v>98996689</v>
      </c>
      <c r="L2167" s="91" t="s">
        <v>60</v>
      </c>
      <c r="M2167" s="98">
        <f ca="1">(TODAY()-H2167)/365</f>
        <v>62.046575342465751</v>
      </c>
      <c r="N2167" s="99">
        <f>(G2167-H2167)/365</f>
        <v>50.282191780821918</v>
      </c>
      <c r="O2167" s="98">
        <f ca="1">(TODAY()-G2167)/365</f>
        <v>11.764383561643836</v>
      </c>
      <c r="P2167" s="91" t="s">
        <v>43</v>
      </c>
      <c r="Q2167" s="91">
        <v>0</v>
      </c>
      <c r="R2167" s="91">
        <v>0</v>
      </c>
      <c r="S2167" s="91">
        <v>0</v>
      </c>
      <c r="T2167" s="91"/>
      <c r="U2167" s="91"/>
      <c r="V2167" s="91"/>
      <c r="W2167" s="91"/>
      <c r="X2167" s="91"/>
      <c r="Y2167" s="91"/>
      <c r="Z2167" s="91"/>
      <c r="AA2167" s="91"/>
      <c r="AB2167" s="91"/>
      <c r="AC2167" s="91"/>
      <c r="AD2167" s="91"/>
      <c r="AE2167" s="91"/>
      <c r="AF2167" s="91"/>
      <c r="AG2167" s="91"/>
      <c r="AH2167" s="91"/>
      <c r="AI2167" s="91"/>
      <c r="AJ2167" s="91"/>
      <c r="AK2167" s="91"/>
      <c r="AL2167" s="91"/>
      <c r="AM2167" s="91"/>
    </row>
    <row r="2168" spans="1:39" ht="20.25" hidden="1" customHeight="1">
      <c r="A2168" s="91"/>
      <c r="B2168" s="113" t="s">
        <v>6967</v>
      </c>
      <c r="C2168" s="92" t="s">
        <v>36</v>
      </c>
      <c r="D2168" s="107" t="s">
        <v>7014</v>
      </c>
      <c r="E2168" s="107" t="s">
        <v>7015</v>
      </c>
      <c r="F2168" s="91" t="s">
        <v>7016</v>
      </c>
      <c r="G2168" s="96">
        <v>40042</v>
      </c>
      <c r="H2168" s="97">
        <v>20660</v>
      </c>
      <c r="I2168" s="108" t="s">
        <v>12393</v>
      </c>
      <c r="J2168" s="100" t="s">
        <v>7017</v>
      </c>
      <c r="K2168" s="91">
        <v>988967963</v>
      </c>
      <c r="L2168" s="91" t="s">
        <v>49</v>
      </c>
      <c r="M2168" s="98">
        <f ca="1">(TODAY()-H2168)/365</f>
        <v>69.430136986301363</v>
      </c>
      <c r="N2168" s="99">
        <f>(G2168-H2168)/365</f>
        <v>53.101369863013701</v>
      </c>
      <c r="O2168" s="98">
        <f ca="1">(TODAY()-G2168)/365</f>
        <v>16.328767123287673</v>
      </c>
      <c r="P2168" s="91" t="s">
        <v>43</v>
      </c>
      <c r="Q2168" s="91">
        <v>0</v>
      </c>
      <c r="R2168" s="91">
        <v>0</v>
      </c>
      <c r="S2168" s="91">
        <v>0</v>
      </c>
      <c r="T2168" s="91"/>
      <c r="U2168" s="91"/>
      <c r="V2168" s="91"/>
      <c r="W2168" s="91"/>
      <c r="X2168" s="91"/>
      <c r="Y2168" s="91"/>
      <c r="Z2168" s="91"/>
      <c r="AA2168" s="91"/>
      <c r="AB2168" s="91"/>
      <c r="AC2168" s="91"/>
      <c r="AD2168" s="91"/>
      <c r="AE2168" s="91"/>
      <c r="AF2168" s="91"/>
      <c r="AG2168" s="91"/>
      <c r="AH2168" s="91"/>
      <c r="AI2168" s="91"/>
      <c r="AJ2168" s="91"/>
      <c r="AK2168" s="91"/>
      <c r="AL2168" s="91"/>
      <c r="AM2168" s="91"/>
    </row>
    <row r="2169" spans="1:39" ht="20.25" hidden="1" customHeight="1">
      <c r="A2169" s="91"/>
      <c r="B2169" s="113" t="s">
        <v>6967</v>
      </c>
      <c r="C2169" s="91" t="s">
        <v>73</v>
      </c>
      <c r="D2169" s="107" t="s">
        <v>7018</v>
      </c>
      <c r="E2169" s="107" t="s">
        <v>7019</v>
      </c>
      <c r="F2169" s="91" t="s">
        <v>7020</v>
      </c>
      <c r="G2169" s="96">
        <v>40973</v>
      </c>
      <c r="H2169" s="97">
        <v>20491</v>
      </c>
      <c r="I2169" s="108" t="s">
        <v>12394</v>
      </c>
      <c r="J2169" s="100" t="s">
        <v>58</v>
      </c>
      <c r="K2169" s="91" t="s">
        <v>58</v>
      </c>
      <c r="L2169" s="91" t="s">
        <v>60</v>
      </c>
      <c r="M2169" s="98">
        <f ca="1">(TODAY()-H2169)/365</f>
        <v>69.893150684931513</v>
      </c>
      <c r="N2169" s="99">
        <f>(G2169-H2169)/365</f>
        <v>56.115068493150687</v>
      </c>
      <c r="O2169" s="98">
        <f ca="1">(TODAY()-G2169)/365</f>
        <v>13.778082191780822</v>
      </c>
      <c r="P2169" s="91" t="s">
        <v>43</v>
      </c>
      <c r="Q2169" s="91">
        <v>0</v>
      </c>
      <c r="R2169" s="91">
        <v>0</v>
      </c>
      <c r="S2169" s="91">
        <v>0</v>
      </c>
      <c r="T2169" s="91"/>
      <c r="U2169" s="91"/>
      <c r="V2169" s="91"/>
      <c r="W2169" s="91"/>
      <c r="X2169" s="91"/>
      <c r="Y2169" s="91"/>
      <c r="Z2169" s="91"/>
      <c r="AA2169" s="91"/>
      <c r="AB2169" s="91"/>
      <c r="AC2169" s="91"/>
      <c r="AD2169" s="91"/>
      <c r="AE2169" s="91"/>
      <c r="AF2169" s="91"/>
      <c r="AG2169" s="91"/>
      <c r="AH2169" s="91"/>
      <c r="AI2169" s="91"/>
      <c r="AJ2169" s="91"/>
      <c r="AK2169" s="91"/>
      <c r="AL2169" s="91"/>
      <c r="AM2169" s="91"/>
    </row>
    <row r="2170" spans="1:39" ht="20.25" hidden="1" customHeight="1">
      <c r="A2170" s="91"/>
      <c r="B2170" s="113" t="s">
        <v>6967</v>
      </c>
      <c r="C2170" s="92" t="s">
        <v>36</v>
      </c>
      <c r="D2170" s="107" t="s">
        <v>626</v>
      </c>
      <c r="E2170" s="107" t="s">
        <v>7021</v>
      </c>
      <c r="F2170" s="91" t="s">
        <v>7022</v>
      </c>
      <c r="G2170" s="96">
        <v>40609</v>
      </c>
      <c r="H2170" s="97">
        <v>19327</v>
      </c>
      <c r="I2170" s="108" t="s">
        <v>12395</v>
      </c>
      <c r="J2170" s="100" t="s">
        <v>7023</v>
      </c>
      <c r="K2170" s="91">
        <v>963987053</v>
      </c>
      <c r="L2170" s="91" t="s">
        <v>60</v>
      </c>
      <c r="M2170" s="98">
        <f ca="1">(TODAY()-H2170)/365</f>
        <v>73.082191780821915</v>
      </c>
      <c r="N2170" s="99">
        <f>(G2170-H2170)/365</f>
        <v>58.30684931506849</v>
      </c>
      <c r="O2170" s="98">
        <f ca="1">(TODAY()-G2170)/365</f>
        <v>14.775342465753425</v>
      </c>
      <c r="P2170" s="91" t="s">
        <v>43</v>
      </c>
      <c r="Q2170" s="91">
        <v>0</v>
      </c>
      <c r="R2170" s="91">
        <v>0</v>
      </c>
      <c r="S2170" s="91">
        <v>0</v>
      </c>
      <c r="T2170" s="91"/>
      <c r="U2170" s="91"/>
      <c r="V2170" s="91"/>
      <c r="W2170" s="91"/>
      <c r="X2170" s="91"/>
      <c r="Y2170" s="91"/>
      <c r="Z2170" s="91"/>
      <c r="AA2170" s="91"/>
      <c r="AB2170" s="91"/>
      <c r="AC2170" s="91"/>
      <c r="AD2170" s="91"/>
      <c r="AE2170" s="91"/>
      <c r="AF2170" s="91"/>
      <c r="AG2170" s="91"/>
      <c r="AH2170" s="91"/>
      <c r="AI2170" s="91"/>
      <c r="AJ2170" s="91"/>
      <c r="AK2170" s="91"/>
      <c r="AL2170" s="91"/>
      <c r="AM2170" s="91"/>
    </row>
    <row r="2171" spans="1:39" ht="20.25" hidden="1" customHeight="1">
      <c r="A2171" s="91"/>
      <c r="B2171" s="93" t="s">
        <v>7024</v>
      </c>
      <c r="C2171" s="91" t="s">
        <v>36</v>
      </c>
      <c r="D2171" s="94" t="s">
        <v>7025</v>
      </c>
      <c r="E2171" s="94" t="s">
        <v>7026</v>
      </c>
      <c r="F2171" s="95" t="s">
        <v>7027</v>
      </c>
      <c r="G2171" s="96">
        <v>34768</v>
      </c>
      <c r="H2171" s="96">
        <v>20796</v>
      </c>
      <c r="I2171" s="94" t="s">
        <v>7028</v>
      </c>
      <c r="J2171" s="94" t="s">
        <v>7029</v>
      </c>
      <c r="K2171" s="95">
        <v>86053394</v>
      </c>
      <c r="L2171" s="91" t="s">
        <v>60</v>
      </c>
      <c r="M2171" s="98">
        <f ca="1">(TODAY()-H2171)/365</f>
        <v>69.057534246575344</v>
      </c>
      <c r="N2171" s="99">
        <f>(G2171-H2171)/365</f>
        <v>38.279452054794518</v>
      </c>
      <c r="O2171" s="98">
        <f ca="1">(TODAY()-G2171)/365</f>
        <v>30.778082191780822</v>
      </c>
      <c r="P2171" s="91" t="s">
        <v>43</v>
      </c>
      <c r="Q2171" s="91">
        <v>0</v>
      </c>
      <c r="R2171" s="91">
        <v>0</v>
      </c>
      <c r="S2171" s="91">
        <v>0</v>
      </c>
      <c r="T2171" s="91"/>
      <c r="U2171" s="91"/>
      <c r="V2171" s="91"/>
      <c r="W2171" s="91"/>
      <c r="X2171" s="91"/>
      <c r="Y2171" s="91"/>
      <c r="Z2171" s="91"/>
      <c r="AA2171" s="91"/>
      <c r="AB2171" s="91"/>
      <c r="AC2171" s="91"/>
      <c r="AD2171" s="91"/>
      <c r="AE2171" s="91"/>
      <c r="AF2171" s="91"/>
      <c r="AG2171" s="91"/>
      <c r="AH2171" s="91"/>
      <c r="AI2171" s="91"/>
      <c r="AJ2171" s="91"/>
      <c r="AK2171" s="91"/>
      <c r="AL2171" s="91"/>
      <c r="AM2171" s="91"/>
    </row>
    <row r="2172" spans="1:39" ht="20.25" hidden="1" customHeight="1">
      <c r="A2172" s="91"/>
      <c r="B2172" s="93" t="s">
        <v>7024</v>
      </c>
      <c r="C2172" s="91" t="s">
        <v>36</v>
      </c>
      <c r="D2172" s="94" t="s">
        <v>5663</v>
      </c>
      <c r="E2172" s="94" t="s">
        <v>7030</v>
      </c>
      <c r="F2172" s="95" t="s">
        <v>7031</v>
      </c>
      <c r="G2172" s="96">
        <v>35188</v>
      </c>
      <c r="H2172" s="96">
        <v>17078</v>
      </c>
      <c r="I2172" s="94" t="s">
        <v>7032</v>
      </c>
      <c r="J2172" s="94" t="s">
        <v>7033</v>
      </c>
      <c r="K2172" s="95">
        <v>81375619</v>
      </c>
      <c r="L2172" s="91" t="s">
        <v>60</v>
      </c>
      <c r="M2172" s="98">
        <f ca="1">(TODAY()-H2172)/365</f>
        <v>79.243835616438361</v>
      </c>
      <c r="N2172" s="99">
        <f>(G2172-H2172)/365</f>
        <v>49.61643835616438</v>
      </c>
      <c r="O2172" s="98">
        <f ca="1">(TODAY()-G2172)/365</f>
        <v>29.627397260273973</v>
      </c>
      <c r="P2172" s="91" t="s">
        <v>43</v>
      </c>
      <c r="Q2172" s="91">
        <v>0</v>
      </c>
      <c r="R2172" s="91">
        <v>0</v>
      </c>
      <c r="S2172" s="91">
        <v>0</v>
      </c>
      <c r="T2172" s="91"/>
      <c r="U2172" s="91"/>
      <c r="V2172" s="91"/>
      <c r="W2172" s="91"/>
      <c r="X2172" s="91"/>
      <c r="Y2172" s="91"/>
      <c r="Z2172" s="91"/>
      <c r="AA2172" s="91"/>
      <c r="AB2172" s="91"/>
      <c r="AC2172" s="91"/>
      <c r="AD2172" s="91"/>
      <c r="AE2172" s="91"/>
      <c r="AF2172" s="91"/>
      <c r="AG2172" s="91"/>
      <c r="AH2172" s="91"/>
      <c r="AI2172" s="91"/>
      <c r="AJ2172" s="91"/>
      <c r="AK2172" s="91"/>
      <c r="AL2172" s="91"/>
      <c r="AM2172" s="91"/>
    </row>
    <row r="2173" spans="1:39" ht="20.25" hidden="1" customHeight="1">
      <c r="A2173" s="91"/>
      <c r="B2173" s="93" t="s">
        <v>7024</v>
      </c>
      <c r="C2173" s="91" t="s">
        <v>36</v>
      </c>
      <c r="D2173" s="94" t="s">
        <v>7034</v>
      </c>
      <c r="E2173" s="94" t="s">
        <v>7035</v>
      </c>
      <c r="F2173" s="95" t="s">
        <v>7036</v>
      </c>
      <c r="G2173" s="96">
        <v>38781</v>
      </c>
      <c r="H2173" s="96">
        <v>27273</v>
      </c>
      <c r="I2173" s="94" t="s">
        <v>7037</v>
      </c>
      <c r="J2173" s="94" t="s">
        <v>7038</v>
      </c>
      <c r="K2173" s="95">
        <v>50864616</v>
      </c>
      <c r="L2173" s="91" t="s">
        <v>60</v>
      </c>
      <c r="M2173" s="98">
        <f ca="1">(TODAY()-H2173)/365</f>
        <v>51.31232876712329</v>
      </c>
      <c r="N2173" s="99">
        <f>(G2173-H2173)/365</f>
        <v>31.528767123287672</v>
      </c>
      <c r="O2173" s="98">
        <f ca="1">(TODAY()-G2173)/365</f>
        <v>19.783561643835615</v>
      </c>
      <c r="P2173" s="91" t="s">
        <v>43</v>
      </c>
      <c r="Q2173" s="91">
        <v>0</v>
      </c>
      <c r="R2173" s="91">
        <v>0</v>
      </c>
      <c r="S2173" s="91">
        <v>0</v>
      </c>
      <c r="T2173" s="91"/>
      <c r="U2173" s="91"/>
      <c r="V2173" s="91"/>
      <c r="W2173" s="91"/>
      <c r="X2173" s="91"/>
      <c r="Y2173" s="91"/>
      <c r="Z2173" s="91"/>
      <c r="AA2173" s="91"/>
      <c r="AB2173" s="91"/>
      <c r="AC2173" s="91"/>
      <c r="AD2173" s="91"/>
      <c r="AE2173" s="91"/>
      <c r="AF2173" s="91"/>
      <c r="AG2173" s="91"/>
      <c r="AH2173" s="91"/>
      <c r="AI2173" s="91"/>
      <c r="AJ2173" s="91"/>
      <c r="AK2173" s="91"/>
      <c r="AL2173" s="91"/>
      <c r="AM2173" s="91"/>
    </row>
    <row r="2174" spans="1:39" ht="20.25" hidden="1" customHeight="1">
      <c r="A2174" s="91"/>
      <c r="B2174" s="93" t="s">
        <v>7024</v>
      </c>
      <c r="C2174" s="91" t="s">
        <v>36</v>
      </c>
      <c r="D2174" s="94" t="s">
        <v>754</v>
      </c>
      <c r="E2174" s="94" t="s">
        <v>7039</v>
      </c>
      <c r="F2174" s="95" t="s">
        <v>7040</v>
      </c>
      <c r="G2174" s="96">
        <v>39780</v>
      </c>
      <c r="H2174" s="96">
        <v>20214</v>
      </c>
      <c r="I2174" s="94" t="s">
        <v>7041</v>
      </c>
      <c r="J2174" s="94" t="s">
        <v>7038</v>
      </c>
      <c r="K2174" s="95">
        <v>973370154</v>
      </c>
      <c r="L2174" s="91" t="s">
        <v>60</v>
      </c>
      <c r="M2174" s="98">
        <f ca="1">(TODAY()-H2174)/365</f>
        <v>70.652054794520552</v>
      </c>
      <c r="N2174" s="99">
        <f>(G2174-H2174)/365</f>
        <v>53.605479452054794</v>
      </c>
      <c r="O2174" s="98">
        <f ca="1">(TODAY()-G2174)/365</f>
        <v>17.046575342465754</v>
      </c>
      <c r="P2174" s="91" t="s">
        <v>43</v>
      </c>
      <c r="Q2174" s="91">
        <v>0</v>
      </c>
      <c r="R2174" s="91">
        <v>0</v>
      </c>
      <c r="S2174" s="91">
        <v>0</v>
      </c>
      <c r="T2174" s="91"/>
      <c r="U2174" s="91"/>
      <c r="V2174" s="91"/>
      <c r="W2174" s="91"/>
      <c r="X2174" s="91"/>
      <c r="Y2174" s="91"/>
      <c r="Z2174" s="91"/>
      <c r="AA2174" s="91"/>
      <c r="AB2174" s="91"/>
      <c r="AC2174" s="91"/>
      <c r="AD2174" s="91"/>
      <c r="AE2174" s="91"/>
      <c r="AF2174" s="91"/>
      <c r="AG2174" s="91"/>
      <c r="AH2174" s="91"/>
      <c r="AI2174" s="91"/>
      <c r="AJ2174" s="91"/>
      <c r="AK2174" s="91"/>
      <c r="AL2174" s="91"/>
      <c r="AM2174" s="91"/>
    </row>
    <row r="2175" spans="1:39" ht="20.25" hidden="1" customHeight="1">
      <c r="A2175" s="91"/>
      <c r="B2175" s="93" t="s">
        <v>7024</v>
      </c>
      <c r="C2175" s="91" t="s">
        <v>36</v>
      </c>
      <c r="D2175" s="94" t="s">
        <v>7042</v>
      </c>
      <c r="E2175" s="94" t="s">
        <v>7043</v>
      </c>
      <c r="F2175" s="95" t="s">
        <v>7044</v>
      </c>
      <c r="G2175" s="96">
        <v>42299</v>
      </c>
      <c r="H2175" s="96">
        <v>37880</v>
      </c>
      <c r="I2175" s="94" t="s">
        <v>7045</v>
      </c>
      <c r="J2175" s="94" t="s">
        <v>7038</v>
      </c>
      <c r="K2175" s="95">
        <v>930636798</v>
      </c>
      <c r="L2175" s="91" t="s">
        <v>60</v>
      </c>
      <c r="M2175" s="98">
        <f ca="1">(TODAY()-H2175)/365</f>
        <v>22.252054794520546</v>
      </c>
      <c r="N2175" s="99">
        <f>(G2175-H2175)/365</f>
        <v>12.106849315068493</v>
      </c>
      <c r="O2175" s="98">
        <f ca="1">(TODAY()-G2175)/365</f>
        <v>10.145205479452056</v>
      </c>
      <c r="P2175" s="91" t="s">
        <v>272</v>
      </c>
      <c r="Q2175" s="91">
        <v>0</v>
      </c>
      <c r="R2175" s="91">
        <v>0</v>
      </c>
      <c r="S2175" s="91">
        <v>0</v>
      </c>
      <c r="T2175" s="91"/>
      <c r="U2175" s="91"/>
      <c r="V2175" s="91"/>
      <c r="W2175" s="91"/>
      <c r="X2175" s="91"/>
      <c r="Y2175" s="91"/>
      <c r="Z2175" s="91"/>
      <c r="AA2175" s="91"/>
      <c r="AB2175" s="91"/>
      <c r="AC2175" s="91"/>
      <c r="AD2175" s="91"/>
      <c r="AE2175" s="91"/>
      <c r="AF2175" s="91"/>
      <c r="AG2175" s="91"/>
      <c r="AH2175" s="91"/>
      <c r="AI2175" s="91"/>
      <c r="AJ2175" s="91"/>
      <c r="AK2175" s="91"/>
      <c r="AL2175" s="91"/>
      <c r="AM2175" s="91"/>
    </row>
    <row r="2176" spans="1:39" ht="20.25" hidden="1" customHeight="1">
      <c r="A2176" s="91"/>
      <c r="B2176" s="93" t="s">
        <v>7024</v>
      </c>
      <c r="C2176" s="91" t="s">
        <v>36</v>
      </c>
      <c r="D2176" s="94" t="s">
        <v>7046</v>
      </c>
      <c r="E2176" s="94" t="s">
        <v>7047</v>
      </c>
      <c r="F2176" s="95" t="s">
        <v>7048</v>
      </c>
      <c r="G2176" s="96">
        <v>45016</v>
      </c>
      <c r="H2176" s="96">
        <v>20178</v>
      </c>
      <c r="I2176" s="94" t="s">
        <v>7049</v>
      </c>
      <c r="J2176" s="94" t="s">
        <v>7050</v>
      </c>
      <c r="K2176" s="95">
        <v>97572527</v>
      </c>
      <c r="L2176" s="91" t="s">
        <v>60</v>
      </c>
      <c r="M2176" s="98">
        <f ca="1">(TODAY()-H2176)/365</f>
        <v>70.750684931506854</v>
      </c>
      <c r="N2176" s="99">
        <f>(G2176-H2176)/365</f>
        <v>68.049315068493144</v>
      </c>
      <c r="O2176" s="98">
        <f ca="1">(TODAY()-G2176)/365</f>
        <v>2.7013698630136984</v>
      </c>
      <c r="P2176" s="91" t="s">
        <v>43</v>
      </c>
      <c r="Q2176" s="91">
        <v>0</v>
      </c>
      <c r="R2176" s="91">
        <v>0</v>
      </c>
      <c r="S2176" s="91">
        <v>0</v>
      </c>
      <c r="T2176" s="91"/>
      <c r="U2176" s="91"/>
      <c r="V2176" s="91"/>
      <c r="W2176" s="91"/>
      <c r="X2176" s="91"/>
      <c r="Y2176" s="91"/>
      <c r="Z2176" s="91"/>
      <c r="AA2176" s="91"/>
      <c r="AB2176" s="91"/>
      <c r="AC2176" s="91"/>
      <c r="AD2176" s="91"/>
      <c r="AE2176" s="91"/>
      <c r="AF2176" s="91"/>
      <c r="AG2176" s="91"/>
      <c r="AH2176" s="91"/>
      <c r="AI2176" s="91"/>
      <c r="AJ2176" s="91"/>
      <c r="AK2176" s="91"/>
      <c r="AL2176" s="91"/>
      <c r="AM2176" s="91"/>
    </row>
    <row r="2177" spans="1:39" ht="20.25" hidden="1" customHeight="1">
      <c r="A2177" s="91"/>
      <c r="B2177" s="93" t="s">
        <v>7024</v>
      </c>
      <c r="C2177" s="91" t="s">
        <v>36</v>
      </c>
      <c r="D2177" s="94" t="s">
        <v>686</v>
      </c>
      <c r="E2177" s="94" t="s">
        <v>7051</v>
      </c>
      <c r="F2177" s="95" t="s">
        <v>7052</v>
      </c>
      <c r="G2177" s="96">
        <v>37290</v>
      </c>
      <c r="H2177" s="96">
        <v>17858</v>
      </c>
      <c r="I2177" s="94" t="s">
        <v>7053</v>
      </c>
      <c r="J2177" s="94" t="s">
        <v>7054</v>
      </c>
      <c r="K2177" s="95">
        <v>97718112</v>
      </c>
      <c r="L2177" s="91" t="s">
        <v>60</v>
      </c>
      <c r="M2177" s="98">
        <f ca="1">(TODAY()-H2177)/365</f>
        <v>77.106849315068487</v>
      </c>
      <c r="N2177" s="99">
        <f>(G2177-H2177)/365</f>
        <v>53.238356164383561</v>
      </c>
      <c r="O2177" s="98">
        <f ca="1">(TODAY()-G2177)/365</f>
        <v>23.86849315068493</v>
      </c>
      <c r="P2177" s="91" t="s">
        <v>43</v>
      </c>
      <c r="Q2177" s="91">
        <v>0</v>
      </c>
      <c r="R2177" s="91">
        <v>0</v>
      </c>
      <c r="S2177" s="91">
        <v>0</v>
      </c>
      <c r="T2177" s="91"/>
      <c r="U2177" s="91"/>
      <c r="V2177" s="91"/>
      <c r="W2177" s="91"/>
      <c r="X2177" s="91"/>
      <c r="Y2177" s="91"/>
      <c r="Z2177" s="91"/>
      <c r="AA2177" s="91"/>
      <c r="AB2177" s="91"/>
      <c r="AC2177" s="91"/>
      <c r="AD2177" s="91"/>
      <c r="AE2177" s="91"/>
      <c r="AF2177" s="91"/>
      <c r="AG2177" s="91"/>
      <c r="AH2177" s="91"/>
      <c r="AI2177" s="91"/>
      <c r="AJ2177" s="91"/>
      <c r="AK2177" s="91"/>
      <c r="AL2177" s="91"/>
      <c r="AM2177" s="91"/>
    </row>
    <row r="2178" spans="1:39" ht="20.25" hidden="1" customHeight="1">
      <c r="A2178" s="91"/>
      <c r="B2178" s="93" t="s">
        <v>7024</v>
      </c>
      <c r="C2178" s="91" t="s">
        <v>36</v>
      </c>
      <c r="D2178" s="94" t="s">
        <v>2671</v>
      </c>
      <c r="E2178" s="94" t="s">
        <v>7055</v>
      </c>
      <c r="F2178" s="95" t="s">
        <v>7056</v>
      </c>
      <c r="G2178" s="96">
        <v>45248</v>
      </c>
      <c r="H2178" s="96">
        <v>38687</v>
      </c>
      <c r="I2178" s="94" t="s">
        <v>7057</v>
      </c>
      <c r="J2178" s="94" t="s">
        <v>7058</v>
      </c>
      <c r="K2178" s="95">
        <v>72306009</v>
      </c>
      <c r="L2178" s="91" t="s">
        <v>60</v>
      </c>
      <c r="M2178" s="98">
        <f ca="1">(TODAY()-H2178)/365</f>
        <v>20.041095890410958</v>
      </c>
      <c r="N2178" s="99">
        <f>(G2178-H2178)/365</f>
        <v>17.975342465753425</v>
      </c>
      <c r="O2178" s="98">
        <f ca="1">(TODAY()-G2178)/365</f>
        <v>2.0657534246575344</v>
      </c>
      <c r="P2178" s="91" t="s">
        <v>43</v>
      </c>
      <c r="Q2178" s="91">
        <v>0</v>
      </c>
      <c r="R2178" s="91">
        <v>0</v>
      </c>
      <c r="S2178" s="91">
        <v>0</v>
      </c>
      <c r="T2178" s="91"/>
      <c r="U2178" s="91"/>
      <c r="V2178" s="91"/>
      <c r="W2178" s="91"/>
      <c r="X2178" s="91"/>
      <c r="Y2178" s="91"/>
      <c r="Z2178" s="91"/>
      <c r="AA2178" s="91"/>
      <c r="AB2178" s="91"/>
      <c r="AC2178" s="91"/>
      <c r="AD2178" s="91"/>
      <c r="AE2178" s="91"/>
      <c r="AF2178" s="91"/>
      <c r="AG2178" s="91"/>
      <c r="AH2178" s="91"/>
      <c r="AI2178" s="91"/>
      <c r="AJ2178" s="91"/>
      <c r="AK2178" s="91"/>
      <c r="AL2178" s="91"/>
      <c r="AM2178" s="91"/>
    </row>
    <row r="2179" spans="1:39" ht="20.25" hidden="1" customHeight="1">
      <c r="A2179" s="91"/>
      <c r="B2179" s="93" t="s">
        <v>7024</v>
      </c>
      <c r="C2179" s="91" t="s">
        <v>36</v>
      </c>
      <c r="D2179" s="94" t="s">
        <v>7059</v>
      </c>
      <c r="E2179" s="94" t="s">
        <v>7060</v>
      </c>
      <c r="F2179" s="95" t="s">
        <v>7061</v>
      </c>
      <c r="G2179" s="96">
        <v>36693</v>
      </c>
      <c r="H2179" s="96">
        <v>23730</v>
      </c>
      <c r="I2179" s="94" t="s">
        <v>58</v>
      </c>
      <c r="J2179" s="94" t="s">
        <v>7062</v>
      </c>
      <c r="K2179" s="95">
        <v>81067049</v>
      </c>
      <c r="L2179" s="91" t="s">
        <v>60</v>
      </c>
      <c r="M2179" s="98">
        <f ca="1">(TODAY()-H2179)/365</f>
        <v>61.019178082191779</v>
      </c>
      <c r="N2179" s="99">
        <f>(G2179-H2179)/365</f>
        <v>35.515068493150686</v>
      </c>
      <c r="O2179" s="98">
        <f ca="1">(TODAY()-G2179)/365</f>
        <v>25.504109589041096</v>
      </c>
      <c r="P2179" s="91" t="s">
        <v>272</v>
      </c>
      <c r="Q2179" s="91">
        <v>0</v>
      </c>
      <c r="R2179" s="91">
        <v>0</v>
      </c>
      <c r="S2179" s="91">
        <v>0</v>
      </c>
      <c r="T2179" s="91"/>
      <c r="U2179" s="91"/>
      <c r="V2179" s="91"/>
      <c r="W2179" s="91"/>
      <c r="X2179" s="91"/>
      <c r="Y2179" s="91"/>
      <c r="Z2179" s="91"/>
      <c r="AA2179" s="91"/>
      <c r="AB2179" s="91"/>
      <c r="AC2179" s="91"/>
      <c r="AD2179" s="91"/>
      <c r="AE2179" s="91"/>
      <c r="AF2179" s="91"/>
      <c r="AG2179" s="91"/>
      <c r="AH2179" s="91"/>
      <c r="AI2179" s="91"/>
      <c r="AJ2179" s="91"/>
      <c r="AK2179" s="91"/>
      <c r="AL2179" s="91"/>
      <c r="AM2179" s="91"/>
    </row>
    <row r="2180" spans="1:39" ht="20.25" hidden="1" customHeight="1">
      <c r="A2180" s="91"/>
      <c r="B2180" s="93" t="s">
        <v>7024</v>
      </c>
      <c r="C2180" s="91" t="s">
        <v>36</v>
      </c>
      <c r="D2180" s="94" t="s">
        <v>3177</v>
      </c>
      <c r="E2180" s="94" t="s">
        <v>7063</v>
      </c>
      <c r="F2180" s="95" t="s">
        <v>7064</v>
      </c>
      <c r="G2180" s="96">
        <v>33409</v>
      </c>
      <c r="H2180" s="96">
        <v>22533</v>
      </c>
      <c r="I2180" s="94" t="s">
        <v>7065</v>
      </c>
      <c r="J2180" s="94" t="s">
        <v>7066</v>
      </c>
      <c r="K2180" s="95">
        <v>59742100</v>
      </c>
      <c r="L2180" s="91" t="s">
        <v>60</v>
      </c>
      <c r="M2180" s="98">
        <f ca="1">(TODAY()-H2180)/365</f>
        <v>64.298630136986304</v>
      </c>
      <c r="N2180" s="99">
        <f>(G2180-H2180)/365</f>
        <v>29.797260273972604</v>
      </c>
      <c r="O2180" s="98">
        <f ca="1">(TODAY()-G2180)/365</f>
        <v>34.5013698630137</v>
      </c>
      <c r="P2180" s="91" t="s">
        <v>43</v>
      </c>
      <c r="Q2180" s="91">
        <v>0</v>
      </c>
      <c r="R2180" s="91">
        <v>0</v>
      </c>
      <c r="S2180" s="91">
        <v>0</v>
      </c>
      <c r="T2180" s="91"/>
      <c r="U2180" s="91"/>
      <c r="V2180" s="91"/>
      <c r="W2180" s="91"/>
      <c r="X2180" s="91"/>
      <c r="Y2180" s="91"/>
      <c r="Z2180" s="91"/>
      <c r="AA2180" s="91"/>
      <c r="AB2180" s="91"/>
      <c r="AC2180" s="91"/>
      <c r="AD2180" s="91"/>
      <c r="AE2180" s="91"/>
      <c r="AF2180" s="91"/>
      <c r="AG2180" s="91"/>
      <c r="AH2180" s="91"/>
      <c r="AI2180" s="91"/>
      <c r="AJ2180" s="91"/>
      <c r="AK2180" s="91"/>
      <c r="AL2180" s="91"/>
      <c r="AM2180" s="91"/>
    </row>
    <row r="2181" spans="1:39" ht="20.25" hidden="1" customHeight="1">
      <c r="A2181" s="91"/>
      <c r="B2181" s="93" t="s">
        <v>7024</v>
      </c>
      <c r="C2181" s="91" t="s">
        <v>36</v>
      </c>
      <c r="D2181" s="94" t="s">
        <v>2791</v>
      </c>
      <c r="E2181" s="94" t="s">
        <v>7067</v>
      </c>
      <c r="F2181" s="95" t="s">
        <v>7068</v>
      </c>
      <c r="G2181" s="96">
        <v>44936</v>
      </c>
      <c r="H2181" s="96">
        <v>19126</v>
      </c>
      <c r="I2181" s="94" t="s">
        <v>58</v>
      </c>
      <c r="J2181" s="94" t="s">
        <v>7069</v>
      </c>
      <c r="K2181" s="95">
        <v>40575404</v>
      </c>
      <c r="L2181" s="91" t="s">
        <v>60</v>
      </c>
      <c r="M2181" s="98">
        <f ca="1">(TODAY()-H2181)/365</f>
        <v>73.632876712328766</v>
      </c>
      <c r="N2181" s="99">
        <f>(G2181-H2181)/365</f>
        <v>70.712328767123282</v>
      </c>
      <c r="O2181" s="98">
        <f ca="1">(TODAY()-G2181)/365</f>
        <v>2.9205479452054797</v>
      </c>
      <c r="P2181" s="91" t="s">
        <v>272</v>
      </c>
      <c r="Q2181" s="91">
        <v>0</v>
      </c>
      <c r="R2181" s="91">
        <v>0</v>
      </c>
      <c r="S2181" s="91">
        <v>0</v>
      </c>
      <c r="T2181" s="91"/>
      <c r="U2181" s="91"/>
      <c r="V2181" s="91"/>
      <c r="W2181" s="91"/>
      <c r="X2181" s="91"/>
      <c r="Y2181" s="91"/>
      <c r="Z2181" s="91"/>
      <c r="AA2181" s="91"/>
      <c r="AB2181" s="91"/>
      <c r="AC2181" s="91"/>
      <c r="AD2181" s="91"/>
      <c r="AE2181" s="91"/>
      <c r="AF2181" s="91"/>
      <c r="AG2181" s="91"/>
      <c r="AH2181" s="91"/>
      <c r="AI2181" s="91"/>
      <c r="AJ2181" s="91"/>
      <c r="AK2181" s="91"/>
      <c r="AL2181" s="91"/>
      <c r="AM2181" s="91"/>
    </row>
    <row r="2182" spans="1:39" ht="20.25" hidden="1" customHeight="1">
      <c r="A2182" s="91"/>
      <c r="B2182" s="93" t="s">
        <v>7024</v>
      </c>
      <c r="C2182" s="91" t="s">
        <v>36</v>
      </c>
      <c r="D2182" s="94" t="s">
        <v>2652</v>
      </c>
      <c r="E2182" s="94" t="s">
        <v>7070</v>
      </c>
      <c r="F2182" s="95" t="s">
        <v>7071</v>
      </c>
      <c r="G2182" s="96">
        <v>36598</v>
      </c>
      <c r="H2182" s="96">
        <v>17774</v>
      </c>
      <c r="I2182" s="94" t="s">
        <v>58</v>
      </c>
      <c r="J2182" s="94" t="s">
        <v>7072</v>
      </c>
      <c r="K2182" s="95">
        <v>93883897</v>
      </c>
      <c r="L2182" s="91" t="s">
        <v>60</v>
      </c>
      <c r="M2182" s="98">
        <f ca="1">(TODAY()-H2182)/365</f>
        <v>77.336986301369862</v>
      </c>
      <c r="N2182" s="99">
        <f>(G2182-H2182)/365</f>
        <v>51.57260273972603</v>
      </c>
      <c r="O2182" s="98">
        <f ca="1">(TODAY()-G2182)/365</f>
        <v>25.764383561643836</v>
      </c>
      <c r="P2182" s="91" t="s">
        <v>43</v>
      </c>
      <c r="Q2182" s="91">
        <v>0</v>
      </c>
      <c r="R2182" s="91">
        <v>0</v>
      </c>
      <c r="S2182" s="91">
        <v>0</v>
      </c>
      <c r="T2182" s="91"/>
      <c r="U2182" s="91"/>
      <c r="V2182" s="91"/>
      <c r="W2182" s="91"/>
      <c r="X2182" s="91"/>
      <c r="Y2182" s="91"/>
      <c r="Z2182" s="91"/>
      <c r="AA2182" s="91"/>
      <c r="AB2182" s="91"/>
      <c r="AC2182" s="91"/>
      <c r="AD2182" s="91"/>
      <c r="AE2182" s="91"/>
      <c r="AF2182" s="91"/>
      <c r="AG2182" s="91"/>
      <c r="AH2182" s="91"/>
      <c r="AI2182" s="91"/>
      <c r="AJ2182" s="91"/>
      <c r="AK2182" s="91"/>
      <c r="AL2182" s="91"/>
      <c r="AM2182" s="91"/>
    </row>
    <row r="2183" spans="1:39" ht="20.25" hidden="1" customHeight="1">
      <c r="A2183" s="91"/>
      <c r="B2183" s="93" t="s">
        <v>7024</v>
      </c>
      <c r="C2183" s="91" t="s">
        <v>36</v>
      </c>
      <c r="D2183" s="94" t="s">
        <v>7073</v>
      </c>
      <c r="E2183" s="94" t="s">
        <v>7074</v>
      </c>
      <c r="F2183" s="95" t="s">
        <v>7075</v>
      </c>
      <c r="G2183" s="96">
        <v>45175</v>
      </c>
      <c r="H2183" s="96">
        <v>21061</v>
      </c>
      <c r="I2183" s="94" t="s">
        <v>7076</v>
      </c>
      <c r="J2183" s="94" t="s">
        <v>7077</v>
      </c>
      <c r="K2183" s="95">
        <v>94114548</v>
      </c>
      <c r="L2183" s="91" t="s">
        <v>60</v>
      </c>
      <c r="M2183" s="98">
        <f ca="1">(TODAY()-H2183)/365</f>
        <v>68.331506849315062</v>
      </c>
      <c r="N2183" s="99">
        <f>(G2183-H2183)/365</f>
        <v>66.06575342465753</v>
      </c>
      <c r="O2183" s="98">
        <f ca="1">(TODAY()-G2183)/365</f>
        <v>2.2657534246575342</v>
      </c>
      <c r="P2183" s="91" t="s">
        <v>272</v>
      </c>
      <c r="Q2183" s="91">
        <v>0</v>
      </c>
      <c r="R2183" s="91">
        <v>0</v>
      </c>
      <c r="S2183" s="91">
        <v>0</v>
      </c>
      <c r="T2183" s="91"/>
      <c r="U2183" s="91"/>
      <c r="V2183" s="91"/>
      <c r="W2183" s="91"/>
      <c r="X2183" s="91"/>
      <c r="Y2183" s="91"/>
      <c r="Z2183" s="91"/>
      <c r="AA2183" s="91"/>
      <c r="AB2183" s="91"/>
      <c r="AC2183" s="91"/>
      <c r="AD2183" s="91"/>
      <c r="AE2183" s="91"/>
      <c r="AF2183" s="91"/>
      <c r="AG2183" s="91"/>
      <c r="AH2183" s="91"/>
      <c r="AI2183" s="91"/>
      <c r="AJ2183" s="91"/>
      <c r="AK2183" s="91"/>
      <c r="AL2183" s="91"/>
      <c r="AM2183" s="91"/>
    </row>
    <row r="2184" spans="1:39" ht="20.25" hidden="1" customHeight="1">
      <c r="A2184" s="91"/>
      <c r="B2184" s="93" t="s">
        <v>7024</v>
      </c>
      <c r="C2184" s="91" t="s">
        <v>36</v>
      </c>
      <c r="D2184" s="94" t="s">
        <v>7078</v>
      </c>
      <c r="E2184" s="94" t="s">
        <v>7079</v>
      </c>
      <c r="F2184" s="95" t="s">
        <v>7080</v>
      </c>
      <c r="G2184" s="96">
        <v>39041</v>
      </c>
      <c r="H2184" s="96">
        <v>22205</v>
      </c>
      <c r="I2184" s="94" t="s">
        <v>58</v>
      </c>
      <c r="J2184" s="94" t="s">
        <v>7081</v>
      </c>
      <c r="K2184" s="95">
        <v>38981035</v>
      </c>
      <c r="L2184" s="91" t="s">
        <v>60</v>
      </c>
      <c r="M2184" s="98">
        <f ca="1">(TODAY()-H2184)/365</f>
        <v>65.197260273972603</v>
      </c>
      <c r="N2184" s="99">
        <f>(G2184-H2184)/365</f>
        <v>46.126027397260273</v>
      </c>
      <c r="O2184" s="98">
        <f ca="1">(TODAY()-G2184)/365</f>
        <v>19.07123287671233</v>
      </c>
      <c r="P2184" s="91" t="s">
        <v>272</v>
      </c>
      <c r="Q2184" s="91">
        <v>0</v>
      </c>
      <c r="R2184" s="91">
        <v>0</v>
      </c>
      <c r="S2184" s="91">
        <v>0</v>
      </c>
      <c r="T2184" s="91"/>
      <c r="U2184" s="91"/>
      <c r="V2184" s="91"/>
      <c r="W2184" s="91"/>
      <c r="X2184" s="91"/>
      <c r="Y2184" s="91"/>
      <c r="Z2184" s="91"/>
      <c r="AA2184" s="91"/>
      <c r="AB2184" s="91"/>
      <c r="AC2184" s="91"/>
      <c r="AD2184" s="91"/>
      <c r="AE2184" s="91"/>
      <c r="AF2184" s="91"/>
      <c r="AG2184" s="91"/>
      <c r="AH2184" s="91"/>
      <c r="AI2184" s="91"/>
      <c r="AJ2184" s="91"/>
      <c r="AK2184" s="91"/>
      <c r="AL2184" s="91"/>
      <c r="AM2184" s="91"/>
    </row>
    <row r="2185" spans="1:39" ht="20.25" hidden="1" customHeight="1">
      <c r="A2185" s="91"/>
      <c r="B2185" s="93" t="s">
        <v>7024</v>
      </c>
      <c r="C2185" s="91" t="s">
        <v>36</v>
      </c>
      <c r="D2185" s="94" t="s">
        <v>6378</v>
      </c>
      <c r="E2185" s="94" t="s">
        <v>7082</v>
      </c>
      <c r="F2185" s="95" t="s">
        <v>7083</v>
      </c>
      <c r="G2185" s="96">
        <v>45592</v>
      </c>
      <c r="H2185" s="96">
        <v>36277</v>
      </c>
      <c r="I2185" s="94" t="s">
        <v>7084</v>
      </c>
      <c r="J2185" s="94" t="s">
        <v>7085</v>
      </c>
      <c r="K2185" s="95">
        <v>54003525</v>
      </c>
      <c r="L2185" s="91" t="s">
        <v>60</v>
      </c>
      <c r="M2185" s="98">
        <f ca="1">(TODAY()-H2185)/365</f>
        <v>26.643835616438356</v>
      </c>
      <c r="N2185" s="99">
        <f>(G2185-H2185)/365</f>
        <v>25.520547945205479</v>
      </c>
      <c r="O2185" s="98">
        <f ca="1">(TODAY()-G2185)/365</f>
        <v>1.1232876712328768</v>
      </c>
      <c r="P2185" s="91" t="s">
        <v>43</v>
      </c>
      <c r="Q2185" s="91">
        <v>0</v>
      </c>
      <c r="R2185" s="91">
        <v>0</v>
      </c>
      <c r="S2185" s="91">
        <v>0</v>
      </c>
      <c r="T2185" s="91"/>
      <c r="U2185" s="91"/>
      <c r="V2185" s="91"/>
      <c r="W2185" s="91"/>
      <c r="X2185" s="91"/>
      <c r="Y2185" s="91"/>
      <c r="Z2185" s="91"/>
      <c r="AA2185" s="91"/>
      <c r="AB2185" s="91"/>
      <c r="AC2185" s="91"/>
      <c r="AD2185" s="91"/>
      <c r="AE2185" s="91"/>
      <c r="AF2185" s="91"/>
      <c r="AG2185" s="91"/>
      <c r="AH2185" s="91"/>
      <c r="AI2185" s="91"/>
      <c r="AJ2185" s="91"/>
      <c r="AK2185" s="91"/>
      <c r="AL2185" s="91"/>
      <c r="AM2185" s="91"/>
    </row>
    <row r="2186" spans="1:39" ht="20.25" hidden="1" customHeight="1">
      <c r="A2186" s="91"/>
      <c r="B2186" s="93" t="s">
        <v>7024</v>
      </c>
      <c r="C2186" s="91" t="s">
        <v>36</v>
      </c>
      <c r="D2186" s="94" t="s">
        <v>2779</v>
      </c>
      <c r="E2186" s="94" t="s">
        <v>7086</v>
      </c>
      <c r="F2186" s="95" t="s">
        <v>7087</v>
      </c>
      <c r="G2186" s="96">
        <v>43587</v>
      </c>
      <c r="H2186" s="96">
        <v>29533</v>
      </c>
      <c r="I2186" s="94" t="s">
        <v>7088</v>
      </c>
      <c r="J2186" s="94" t="s">
        <v>7089</v>
      </c>
      <c r="K2186" s="95">
        <v>34359201</v>
      </c>
      <c r="L2186" s="91" t="s">
        <v>60</v>
      </c>
      <c r="M2186" s="98">
        <f ca="1">(TODAY()-H2186)/365</f>
        <v>45.12054794520548</v>
      </c>
      <c r="N2186" s="99">
        <f>(G2186-H2186)/365</f>
        <v>38.504109589041093</v>
      </c>
      <c r="O2186" s="98">
        <f ca="1">(TODAY()-G2186)/365</f>
        <v>6.6164383561643838</v>
      </c>
      <c r="P2186" s="91" t="s">
        <v>272</v>
      </c>
      <c r="Q2186" s="91">
        <v>0</v>
      </c>
      <c r="R2186" s="91">
        <v>0</v>
      </c>
      <c r="S2186" s="91">
        <v>0</v>
      </c>
      <c r="T2186" s="91"/>
      <c r="U2186" s="91"/>
      <c r="V2186" s="91"/>
      <c r="W2186" s="91"/>
      <c r="X2186" s="91"/>
      <c r="Y2186" s="91"/>
      <c r="Z2186" s="91"/>
      <c r="AA2186" s="91"/>
      <c r="AB2186" s="91"/>
      <c r="AC2186" s="91"/>
      <c r="AD2186" s="91"/>
      <c r="AE2186" s="91"/>
      <c r="AF2186" s="91"/>
      <c r="AG2186" s="91"/>
      <c r="AH2186" s="91"/>
      <c r="AI2186" s="91"/>
      <c r="AJ2186" s="91"/>
      <c r="AK2186" s="91"/>
      <c r="AL2186" s="91"/>
      <c r="AM2186" s="91"/>
    </row>
    <row r="2187" spans="1:39" ht="20.25" hidden="1" customHeight="1">
      <c r="A2187" s="91"/>
      <c r="B2187" s="93" t="s">
        <v>7024</v>
      </c>
      <c r="C2187" s="91" t="s">
        <v>36</v>
      </c>
      <c r="D2187" s="94" t="s">
        <v>7090</v>
      </c>
      <c r="E2187" s="94" t="s">
        <v>7091</v>
      </c>
      <c r="F2187" s="95" t="s">
        <v>7092</v>
      </c>
      <c r="G2187" s="96">
        <v>43498</v>
      </c>
      <c r="H2187" s="96">
        <v>32835</v>
      </c>
      <c r="I2187" s="94" t="s">
        <v>7093</v>
      </c>
      <c r="J2187" s="94" t="s">
        <v>7089</v>
      </c>
      <c r="K2187" s="95">
        <v>34359172</v>
      </c>
      <c r="L2187" s="91" t="s">
        <v>60</v>
      </c>
      <c r="M2187" s="98">
        <f ca="1">(TODAY()-H2187)/365</f>
        <v>36.073972602739723</v>
      </c>
      <c r="N2187" s="99">
        <f>(G2187-H2187)/365</f>
        <v>29.213698630136985</v>
      </c>
      <c r="O2187" s="98">
        <f ca="1">(TODAY()-G2187)/365</f>
        <v>6.86027397260274</v>
      </c>
      <c r="P2187" s="91" t="s">
        <v>43</v>
      </c>
      <c r="Q2187" s="91">
        <v>0</v>
      </c>
      <c r="R2187" s="91">
        <v>0</v>
      </c>
      <c r="S2187" s="91">
        <v>0</v>
      </c>
      <c r="T2187" s="91"/>
      <c r="U2187" s="91"/>
      <c r="V2187" s="91"/>
      <c r="W2187" s="91"/>
      <c r="X2187" s="91"/>
      <c r="Y2187" s="91"/>
      <c r="Z2187" s="91"/>
      <c r="AA2187" s="91"/>
      <c r="AB2187" s="91"/>
      <c r="AC2187" s="91"/>
      <c r="AD2187" s="91"/>
      <c r="AE2187" s="91"/>
      <c r="AF2187" s="91"/>
      <c r="AG2187" s="91"/>
      <c r="AH2187" s="91"/>
      <c r="AI2187" s="91"/>
      <c r="AJ2187" s="91"/>
      <c r="AK2187" s="91"/>
      <c r="AL2187" s="91"/>
      <c r="AM2187" s="91"/>
    </row>
    <row r="2188" spans="1:39" ht="20.25" hidden="1" customHeight="1">
      <c r="A2188" s="91"/>
      <c r="B2188" s="93" t="s">
        <v>7024</v>
      </c>
      <c r="C2188" s="91" t="s">
        <v>36</v>
      </c>
      <c r="D2188" s="94" t="s">
        <v>1225</v>
      </c>
      <c r="E2188" s="94" t="s">
        <v>7094</v>
      </c>
      <c r="F2188" s="95" t="s">
        <v>7095</v>
      </c>
      <c r="G2188" s="96">
        <v>39908</v>
      </c>
      <c r="H2188" s="96">
        <v>18466</v>
      </c>
      <c r="I2188" s="94" t="s">
        <v>58</v>
      </c>
      <c r="J2188" s="94" t="s">
        <v>7096</v>
      </c>
      <c r="K2188" s="95">
        <v>83530757</v>
      </c>
      <c r="L2188" s="91" t="s">
        <v>60</v>
      </c>
      <c r="M2188" s="98">
        <f ca="1">(TODAY()-H2188)/365</f>
        <v>75.441095890410963</v>
      </c>
      <c r="N2188" s="99">
        <f>(G2188-H2188)/365</f>
        <v>58.745205479452054</v>
      </c>
      <c r="O2188" s="98">
        <f ca="1">(TODAY()-G2188)/365</f>
        <v>16.695890410958903</v>
      </c>
      <c r="P2188" s="91" t="s">
        <v>43</v>
      </c>
      <c r="Q2188" s="91">
        <v>0</v>
      </c>
      <c r="R2188" s="91">
        <v>0</v>
      </c>
      <c r="S2188" s="91">
        <v>0</v>
      </c>
      <c r="T2188" s="91"/>
      <c r="U2188" s="91"/>
      <c r="V2188" s="91"/>
      <c r="W2188" s="91"/>
      <c r="X2188" s="91"/>
      <c r="Y2188" s="91"/>
      <c r="Z2188" s="91"/>
      <c r="AA2188" s="91"/>
      <c r="AB2188" s="91"/>
      <c r="AC2188" s="91"/>
      <c r="AD2188" s="91"/>
      <c r="AE2188" s="91"/>
      <c r="AF2188" s="91"/>
      <c r="AG2188" s="91"/>
      <c r="AH2188" s="91"/>
      <c r="AI2188" s="91"/>
      <c r="AJ2188" s="91"/>
      <c r="AK2188" s="91"/>
      <c r="AL2188" s="91"/>
      <c r="AM2188" s="91"/>
    </row>
    <row r="2189" spans="1:39" ht="20.25" hidden="1" customHeight="1">
      <c r="A2189" s="91"/>
      <c r="B2189" s="93" t="s">
        <v>7024</v>
      </c>
      <c r="C2189" s="91" t="s">
        <v>36</v>
      </c>
      <c r="D2189" s="94" t="s">
        <v>675</v>
      </c>
      <c r="E2189" s="94" t="s">
        <v>7097</v>
      </c>
      <c r="F2189" s="95" t="s">
        <v>7098</v>
      </c>
      <c r="G2189" s="96">
        <v>37422</v>
      </c>
      <c r="H2189" s="96">
        <v>23703</v>
      </c>
      <c r="I2189" s="94" t="s">
        <v>6273</v>
      </c>
      <c r="J2189" s="94" t="s">
        <v>7099</v>
      </c>
      <c r="K2189" s="95">
        <v>99672259</v>
      </c>
      <c r="L2189" s="91" t="s">
        <v>60</v>
      </c>
      <c r="M2189" s="98">
        <f ca="1">(TODAY()-H2189)/365</f>
        <v>61.093150684931508</v>
      </c>
      <c r="N2189" s="99">
        <f>(G2189-H2189)/365</f>
        <v>37.586301369863016</v>
      </c>
      <c r="O2189" s="98">
        <f ca="1">(TODAY()-G2189)/365</f>
        <v>23.506849315068493</v>
      </c>
      <c r="P2189" s="91" t="s">
        <v>43</v>
      </c>
      <c r="Q2189" s="91">
        <v>0</v>
      </c>
      <c r="R2189" s="91">
        <v>0</v>
      </c>
      <c r="S2189" s="91">
        <v>0</v>
      </c>
      <c r="T2189" s="91"/>
      <c r="U2189" s="91"/>
      <c r="V2189" s="91"/>
      <c r="W2189" s="91"/>
      <c r="X2189" s="91"/>
      <c r="Y2189" s="91"/>
      <c r="Z2189" s="91"/>
      <c r="AA2189" s="91"/>
      <c r="AB2189" s="91"/>
      <c r="AC2189" s="91"/>
      <c r="AD2189" s="91"/>
      <c r="AE2189" s="91"/>
      <c r="AF2189" s="91"/>
      <c r="AG2189" s="91"/>
      <c r="AH2189" s="91"/>
      <c r="AI2189" s="91"/>
      <c r="AJ2189" s="91"/>
      <c r="AK2189" s="91"/>
      <c r="AL2189" s="91"/>
      <c r="AM2189" s="91"/>
    </row>
    <row r="2190" spans="1:39" ht="20.25" hidden="1" customHeight="1">
      <c r="A2190" s="91"/>
      <c r="B2190" s="93" t="s">
        <v>7024</v>
      </c>
      <c r="C2190" s="91" t="s">
        <v>36</v>
      </c>
      <c r="D2190" s="94" t="s">
        <v>7100</v>
      </c>
      <c r="E2190" s="94" t="s">
        <v>7101</v>
      </c>
      <c r="F2190" s="95" t="s">
        <v>7102</v>
      </c>
      <c r="G2190" s="96">
        <v>45463</v>
      </c>
      <c r="H2190" s="96">
        <v>29910</v>
      </c>
      <c r="I2190" s="94" t="s">
        <v>7103</v>
      </c>
      <c r="J2190" s="94" t="s">
        <v>7104</v>
      </c>
      <c r="K2190" s="95">
        <v>98443144</v>
      </c>
      <c r="L2190" s="91" t="s">
        <v>60</v>
      </c>
      <c r="M2190" s="98">
        <f ca="1">(TODAY()-H2190)/365</f>
        <v>44.087671232876716</v>
      </c>
      <c r="N2190" s="99">
        <f>(G2190-H2190)/365</f>
        <v>42.610958904109587</v>
      </c>
      <c r="O2190" s="98">
        <f ca="1">(TODAY()-G2190)/365</f>
        <v>1.4767123287671233</v>
      </c>
      <c r="P2190" s="91" t="s">
        <v>43</v>
      </c>
      <c r="Q2190" s="91">
        <v>0</v>
      </c>
      <c r="R2190" s="91">
        <v>0</v>
      </c>
      <c r="S2190" s="91">
        <v>0</v>
      </c>
      <c r="T2190" s="91"/>
      <c r="U2190" s="91"/>
      <c r="V2190" s="91"/>
      <c r="W2190" s="91"/>
      <c r="X2190" s="91"/>
      <c r="Y2190" s="91"/>
      <c r="Z2190" s="91"/>
      <c r="AA2190" s="91"/>
      <c r="AB2190" s="91"/>
      <c r="AC2190" s="91"/>
      <c r="AD2190" s="91"/>
      <c r="AE2190" s="91"/>
      <c r="AF2190" s="91"/>
      <c r="AG2190" s="91"/>
      <c r="AH2190" s="91"/>
      <c r="AI2190" s="91"/>
      <c r="AJ2190" s="91"/>
      <c r="AK2190" s="91"/>
      <c r="AL2190" s="91"/>
      <c r="AM2190" s="91"/>
    </row>
    <row r="2191" spans="1:39" ht="20.25" hidden="1" customHeight="1">
      <c r="A2191" s="91"/>
      <c r="B2191" s="93" t="s">
        <v>7024</v>
      </c>
      <c r="C2191" s="91" t="s">
        <v>36</v>
      </c>
      <c r="D2191" s="94" t="s">
        <v>7105</v>
      </c>
      <c r="E2191" s="94" t="s">
        <v>7106</v>
      </c>
      <c r="F2191" s="95" t="s">
        <v>7107</v>
      </c>
      <c r="G2191" s="96">
        <v>43000</v>
      </c>
      <c r="H2191" s="96">
        <v>36958</v>
      </c>
      <c r="I2191" s="94" t="s">
        <v>7108</v>
      </c>
      <c r="J2191" s="94" t="s">
        <v>7109</v>
      </c>
      <c r="K2191" s="95">
        <v>99047798</v>
      </c>
      <c r="L2191" s="91" t="s">
        <v>60</v>
      </c>
      <c r="M2191" s="98">
        <f ca="1">(TODAY()-H2191)/365</f>
        <v>24.778082191780822</v>
      </c>
      <c r="N2191" s="99">
        <f>(G2191-H2191)/365</f>
        <v>16.553424657534247</v>
      </c>
      <c r="O2191" s="98">
        <f ca="1">(TODAY()-G2191)/365</f>
        <v>8.2246575342465746</v>
      </c>
      <c r="P2191" s="91" t="s">
        <v>272</v>
      </c>
      <c r="Q2191" s="91">
        <v>0</v>
      </c>
      <c r="R2191" s="91">
        <v>0</v>
      </c>
      <c r="S2191" s="91">
        <v>0</v>
      </c>
      <c r="T2191" s="91"/>
      <c r="U2191" s="91"/>
      <c r="V2191" s="91"/>
      <c r="W2191" s="91"/>
      <c r="X2191" s="91"/>
      <c r="Y2191" s="91"/>
      <c r="Z2191" s="91"/>
      <c r="AA2191" s="91"/>
      <c r="AB2191" s="91"/>
      <c r="AC2191" s="91"/>
      <c r="AD2191" s="91"/>
      <c r="AE2191" s="91"/>
      <c r="AF2191" s="91"/>
      <c r="AG2191" s="91"/>
      <c r="AH2191" s="91"/>
      <c r="AI2191" s="91"/>
      <c r="AJ2191" s="91"/>
      <c r="AK2191" s="91"/>
      <c r="AL2191" s="91"/>
      <c r="AM2191" s="91"/>
    </row>
    <row r="2192" spans="1:39" ht="20.25" hidden="1" customHeight="1">
      <c r="A2192" s="91"/>
      <c r="B2192" s="93" t="s">
        <v>7024</v>
      </c>
      <c r="C2192" s="91" t="s">
        <v>36</v>
      </c>
      <c r="D2192" s="94" t="s">
        <v>3177</v>
      </c>
      <c r="E2192" s="94" t="s">
        <v>7110</v>
      </c>
      <c r="F2192" s="95" t="s">
        <v>7111</v>
      </c>
      <c r="G2192" s="96">
        <v>36313</v>
      </c>
      <c r="H2192" s="96">
        <v>19681</v>
      </c>
      <c r="I2192" s="94" t="s">
        <v>58</v>
      </c>
      <c r="J2192" s="94" t="s">
        <v>7112</v>
      </c>
      <c r="K2192" s="95">
        <v>85526439</v>
      </c>
      <c r="L2192" s="91" t="s">
        <v>60</v>
      </c>
      <c r="M2192" s="98">
        <f ca="1">(TODAY()-H2192)/365</f>
        <v>72.112328767123287</v>
      </c>
      <c r="N2192" s="99">
        <f>(G2192-H2192)/365</f>
        <v>45.56712328767123</v>
      </c>
      <c r="O2192" s="98">
        <f ca="1">(TODAY()-G2192)/365</f>
        <v>26.545205479452054</v>
      </c>
      <c r="P2192" s="91" t="s">
        <v>43</v>
      </c>
      <c r="Q2192" s="91">
        <v>0</v>
      </c>
      <c r="R2192" s="91">
        <v>0</v>
      </c>
      <c r="S2192" s="91">
        <v>0</v>
      </c>
      <c r="T2192" s="91"/>
      <c r="U2192" s="91"/>
      <c r="V2192" s="91"/>
      <c r="W2192" s="91"/>
      <c r="X2192" s="91"/>
      <c r="Y2192" s="91"/>
      <c r="Z2192" s="91"/>
      <c r="AA2192" s="91"/>
      <c r="AB2192" s="91"/>
      <c r="AC2192" s="91"/>
      <c r="AD2192" s="91"/>
      <c r="AE2192" s="91"/>
      <c r="AF2192" s="91"/>
      <c r="AG2192" s="91"/>
      <c r="AH2192" s="91"/>
      <c r="AI2192" s="91"/>
      <c r="AJ2192" s="91"/>
      <c r="AK2192" s="91"/>
      <c r="AL2192" s="91"/>
      <c r="AM2192" s="91"/>
    </row>
    <row r="2193" spans="1:39" ht="20.25" hidden="1" customHeight="1">
      <c r="A2193" s="91"/>
      <c r="B2193" s="93" t="s">
        <v>7024</v>
      </c>
      <c r="C2193" s="91" t="s">
        <v>36</v>
      </c>
      <c r="D2193" s="94" t="s">
        <v>2750</v>
      </c>
      <c r="E2193" s="94" t="s">
        <v>7113</v>
      </c>
      <c r="F2193" s="95" t="s">
        <v>7114</v>
      </c>
      <c r="G2193" s="96">
        <v>44278</v>
      </c>
      <c r="H2193" s="96">
        <v>37703</v>
      </c>
      <c r="I2193" s="94" t="s">
        <v>7115</v>
      </c>
      <c r="J2193" s="94" t="s">
        <v>7050</v>
      </c>
      <c r="K2193" s="95">
        <v>44504898</v>
      </c>
      <c r="L2193" s="91" t="s">
        <v>60</v>
      </c>
      <c r="M2193" s="98">
        <f ca="1">(TODAY()-H2193)/365</f>
        <v>22.736986301369864</v>
      </c>
      <c r="N2193" s="99">
        <f>(G2193-H2193)/365</f>
        <v>18.013698630136986</v>
      </c>
      <c r="O2193" s="98">
        <f ca="1">(TODAY()-G2193)/365</f>
        <v>4.7232876712328764</v>
      </c>
      <c r="P2193" s="91" t="s">
        <v>43</v>
      </c>
      <c r="Q2193" s="91">
        <v>0</v>
      </c>
      <c r="R2193" s="91">
        <v>0</v>
      </c>
      <c r="S2193" s="91">
        <v>0</v>
      </c>
      <c r="T2193" s="91"/>
      <c r="U2193" s="91"/>
      <c r="V2193" s="91"/>
      <c r="W2193" s="91"/>
      <c r="X2193" s="91"/>
      <c r="Y2193" s="91"/>
      <c r="Z2193" s="91"/>
      <c r="AA2193" s="91"/>
      <c r="AB2193" s="91"/>
      <c r="AC2193" s="91"/>
      <c r="AD2193" s="91"/>
      <c r="AE2193" s="91"/>
      <c r="AF2193" s="91"/>
      <c r="AG2193" s="91"/>
      <c r="AH2193" s="91"/>
      <c r="AI2193" s="91"/>
      <c r="AJ2193" s="91"/>
      <c r="AK2193" s="91"/>
      <c r="AL2193" s="91"/>
      <c r="AM2193" s="91"/>
    </row>
    <row r="2194" spans="1:39" ht="20.25" hidden="1" customHeight="1">
      <c r="A2194" s="91"/>
      <c r="B2194" s="93" t="s">
        <v>7024</v>
      </c>
      <c r="C2194" s="91" t="s">
        <v>36</v>
      </c>
      <c r="D2194" s="94" t="s">
        <v>2415</v>
      </c>
      <c r="E2194" s="94" t="s">
        <v>7116</v>
      </c>
      <c r="F2194" s="95" t="s">
        <v>7117</v>
      </c>
      <c r="G2194" s="96">
        <v>45016</v>
      </c>
      <c r="H2194" s="96">
        <v>24454</v>
      </c>
      <c r="I2194" s="94" t="s">
        <v>7118</v>
      </c>
      <c r="J2194" s="94" t="s">
        <v>7119</v>
      </c>
      <c r="K2194" s="95">
        <v>79560142</v>
      </c>
      <c r="L2194" s="91" t="s">
        <v>60</v>
      </c>
      <c r="M2194" s="98">
        <f ca="1">(TODAY()-H2194)/365</f>
        <v>59.035616438356165</v>
      </c>
      <c r="N2194" s="99">
        <f>(G2194-H2194)/365</f>
        <v>56.334246575342469</v>
      </c>
      <c r="O2194" s="98">
        <f ca="1">(TODAY()-G2194)/365</f>
        <v>2.7013698630136984</v>
      </c>
      <c r="P2194" s="91" t="s">
        <v>43</v>
      </c>
      <c r="Q2194" s="91">
        <v>0</v>
      </c>
      <c r="R2194" s="91">
        <v>0</v>
      </c>
      <c r="S2194" s="91">
        <v>0</v>
      </c>
      <c r="T2194" s="91"/>
      <c r="U2194" s="91"/>
      <c r="V2194" s="91"/>
      <c r="W2194" s="91"/>
      <c r="X2194" s="91"/>
      <c r="Y2194" s="91"/>
      <c r="Z2194" s="91"/>
      <c r="AA2194" s="91"/>
      <c r="AB2194" s="91"/>
      <c r="AC2194" s="91"/>
      <c r="AD2194" s="91"/>
      <c r="AE2194" s="91"/>
      <c r="AF2194" s="91"/>
      <c r="AG2194" s="91"/>
      <c r="AH2194" s="91"/>
      <c r="AI2194" s="91"/>
      <c r="AJ2194" s="91"/>
      <c r="AK2194" s="91"/>
      <c r="AL2194" s="91"/>
      <c r="AM2194" s="91"/>
    </row>
    <row r="2195" spans="1:39" ht="20.25" hidden="1" customHeight="1">
      <c r="A2195" s="91"/>
      <c r="B2195" s="93" t="s">
        <v>7024</v>
      </c>
      <c r="C2195" s="91" t="s">
        <v>36</v>
      </c>
      <c r="D2195" s="94" t="s">
        <v>346</v>
      </c>
      <c r="E2195" s="94" t="s">
        <v>7120</v>
      </c>
      <c r="F2195" s="95" t="s">
        <v>7121</v>
      </c>
      <c r="G2195" s="96">
        <v>45016</v>
      </c>
      <c r="H2195" s="96">
        <v>28870</v>
      </c>
      <c r="I2195" s="94" t="s">
        <v>7122</v>
      </c>
      <c r="J2195" s="94" t="s">
        <v>7123</v>
      </c>
      <c r="K2195" s="95">
        <v>64978333</v>
      </c>
      <c r="L2195" s="91" t="s">
        <v>60</v>
      </c>
      <c r="M2195" s="98">
        <f ca="1">(TODAY()-H2195)/365</f>
        <v>46.936986301369863</v>
      </c>
      <c r="N2195" s="99">
        <f>(G2195-H2195)/365</f>
        <v>44.235616438356168</v>
      </c>
      <c r="O2195" s="98">
        <f ca="1">(TODAY()-G2195)/365</f>
        <v>2.7013698630136984</v>
      </c>
      <c r="P2195" s="91" t="s">
        <v>43</v>
      </c>
      <c r="Q2195" s="91">
        <v>0</v>
      </c>
      <c r="R2195" s="91">
        <v>0</v>
      </c>
      <c r="S2195" s="91">
        <v>0</v>
      </c>
      <c r="T2195" s="91"/>
      <c r="U2195" s="91"/>
      <c r="V2195" s="91"/>
      <c r="W2195" s="91"/>
      <c r="X2195" s="91"/>
      <c r="Y2195" s="91"/>
      <c r="Z2195" s="91"/>
      <c r="AA2195" s="91"/>
      <c r="AB2195" s="91"/>
      <c r="AC2195" s="91"/>
      <c r="AD2195" s="91"/>
      <c r="AE2195" s="91"/>
      <c r="AF2195" s="91"/>
      <c r="AG2195" s="91"/>
      <c r="AH2195" s="91"/>
      <c r="AI2195" s="91"/>
      <c r="AJ2195" s="91"/>
      <c r="AK2195" s="91"/>
      <c r="AL2195" s="91"/>
      <c r="AM2195" s="91"/>
    </row>
    <row r="2196" spans="1:39" ht="20.25" customHeight="1">
      <c r="A2196" s="91"/>
      <c r="B2196" s="93" t="s">
        <v>8095</v>
      </c>
      <c r="C2196" s="91" t="s">
        <v>73</v>
      </c>
      <c r="D2196" s="94" t="s">
        <v>8134</v>
      </c>
      <c r="E2196" s="94" t="s">
        <v>8135</v>
      </c>
      <c r="F2196" s="95" t="s">
        <v>8136</v>
      </c>
      <c r="G2196" s="96">
        <v>43572</v>
      </c>
      <c r="H2196" s="97">
        <v>34121</v>
      </c>
      <c r="I2196" s="94" t="s">
        <v>8137</v>
      </c>
      <c r="J2196" s="100" t="s">
        <v>58</v>
      </c>
      <c r="K2196" s="91" t="s">
        <v>58</v>
      </c>
      <c r="L2196" s="91" t="s">
        <v>60</v>
      </c>
      <c r="M2196" s="98">
        <f ca="1">(TODAY()-H2196)/365</f>
        <v>32.550684931506851</v>
      </c>
      <c r="N2196" s="99">
        <f>(G2196-H2196)/365</f>
        <v>25.893150684931506</v>
      </c>
      <c r="O2196" s="98">
        <f ca="1">(TODAY()-G2196)/365</f>
        <v>6.6575342465753424</v>
      </c>
      <c r="P2196" s="91" t="s">
        <v>43</v>
      </c>
      <c r="Q2196" s="91">
        <v>0</v>
      </c>
      <c r="R2196" s="91">
        <v>0</v>
      </c>
      <c r="S2196" s="91">
        <v>0</v>
      </c>
      <c r="T2196" s="91"/>
      <c r="U2196" s="91"/>
      <c r="V2196" s="91"/>
      <c r="W2196" s="91"/>
      <c r="X2196" s="91"/>
      <c r="Y2196" s="91"/>
      <c r="Z2196" s="91"/>
      <c r="AA2196" s="91"/>
      <c r="AB2196" s="91"/>
      <c r="AC2196" s="91"/>
      <c r="AD2196" s="91"/>
      <c r="AE2196" s="91"/>
      <c r="AF2196" s="91"/>
      <c r="AG2196" s="91"/>
      <c r="AH2196" s="91"/>
      <c r="AI2196" s="91"/>
      <c r="AJ2196" s="91"/>
      <c r="AK2196" s="91"/>
      <c r="AL2196" s="91"/>
      <c r="AM2196" s="91"/>
    </row>
    <row r="2197" spans="1:39" ht="20.25" customHeight="1">
      <c r="A2197" s="91"/>
      <c r="B2197" s="93" t="s">
        <v>5824</v>
      </c>
      <c r="C2197" s="91" t="s">
        <v>73</v>
      </c>
      <c r="D2197" s="107" t="s">
        <v>3160</v>
      </c>
      <c r="E2197" s="107" t="s">
        <v>5827</v>
      </c>
      <c r="F2197" s="95" t="s">
        <v>5828</v>
      </c>
      <c r="G2197" s="96">
        <v>43164</v>
      </c>
      <c r="H2197" s="97">
        <v>33996</v>
      </c>
      <c r="I2197" s="100" t="s">
        <v>58</v>
      </c>
      <c r="J2197" s="100" t="s">
        <v>58</v>
      </c>
      <c r="K2197" s="91" t="s">
        <v>58</v>
      </c>
      <c r="L2197" s="91" t="s">
        <v>60</v>
      </c>
      <c r="M2197" s="98">
        <f ca="1">(TODAY()-H2197)/365</f>
        <v>32.893150684931506</v>
      </c>
      <c r="N2197" s="99">
        <f>(G2197-H2197)/365</f>
        <v>25.117808219178084</v>
      </c>
      <c r="O2197" s="98">
        <f ca="1">(TODAY()-G2197)/365</f>
        <v>7.7753424657534245</v>
      </c>
      <c r="P2197" s="91" t="s">
        <v>272</v>
      </c>
      <c r="Q2197" s="91">
        <v>0</v>
      </c>
      <c r="R2197" s="91">
        <v>0</v>
      </c>
      <c r="S2197" s="91">
        <v>0</v>
      </c>
      <c r="T2197" s="91"/>
      <c r="U2197" s="91"/>
      <c r="V2197" s="91"/>
      <c r="W2197" s="91"/>
      <c r="X2197" s="91"/>
      <c r="Y2197" s="91"/>
      <c r="Z2197" s="91"/>
      <c r="AA2197" s="91"/>
      <c r="AB2197" s="91"/>
      <c r="AC2197" s="91"/>
      <c r="AD2197" s="91"/>
      <c r="AE2197" s="91"/>
      <c r="AF2197" s="91"/>
      <c r="AG2197" s="91"/>
      <c r="AH2197" s="91"/>
      <c r="AI2197" s="91"/>
      <c r="AJ2197" s="91"/>
      <c r="AK2197" s="91"/>
      <c r="AL2197" s="91"/>
      <c r="AM2197" s="91"/>
    </row>
    <row r="2198" spans="1:39" ht="20.25" hidden="1" customHeight="1">
      <c r="A2198" s="91"/>
      <c r="B2198" s="93" t="s">
        <v>7126</v>
      </c>
      <c r="C2198" s="91" t="s">
        <v>36</v>
      </c>
      <c r="D2198" s="106" t="s">
        <v>5296</v>
      </c>
      <c r="E2198" s="106" t="s">
        <v>7131</v>
      </c>
      <c r="F2198" s="92" t="s">
        <v>7132</v>
      </c>
      <c r="G2198" s="103">
        <v>39514</v>
      </c>
      <c r="H2198" s="103">
        <v>15748</v>
      </c>
      <c r="I2198" s="108" t="s">
        <v>12530</v>
      </c>
      <c r="J2198" s="94" t="s">
        <v>7133</v>
      </c>
      <c r="K2198" s="92">
        <v>322914238</v>
      </c>
      <c r="L2198" s="91" t="s">
        <v>60</v>
      </c>
      <c r="M2198" s="98">
        <f ca="1">(TODAY()-H2198)/365</f>
        <v>82.887671232876713</v>
      </c>
      <c r="N2198" s="99">
        <f>(G2198-H2198)/365</f>
        <v>65.112328767123287</v>
      </c>
      <c r="O2198" s="98">
        <f ca="1">(TODAY()-G2198)/365</f>
        <v>17.775342465753425</v>
      </c>
      <c r="P2198" s="91" t="s">
        <v>43</v>
      </c>
      <c r="Q2198" s="91">
        <v>0</v>
      </c>
      <c r="R2198" s="91">
        <v>0</v>
      </c>
      <c r="S2198" s="91">
        <v>0</v>
      </c>
      <c r="T2198" s="91"/>
      <c r="U2198" s="91"/>
      <c r="V2198" s="91"/>
      <c r="W2198" s="91"/>
      <c r="X2198" s="91"/>
      <c r="Y2198" s="91"/>
      <c r="Z2198" s="91"/>
      <c r="AA2198" s="91"/>
      <c r="AB2198" s="91"/>
      <c r="AC2198" s="91"/>
      <c r="AD2198" s="91"/>
      <c r="AE2198" s="91"/>
      <c r="AF2198" s="91"/>
      <c r="AG2198" s="91"/>
      <c r="AH2198" s="91"/>
      <c r="AI2198" s="91"/>
      <c r="AJ2198" s="91"/>
      <c r="AK2198" s="91"/>
      <c r="AL2198" s="91"/>
      <c r="AM2198" s="91"/>
    </row>
    <row r="2199" spans="1:39" ht="20.25" hidden="1" customHeight="1">
      <c r="A2199" s="91"/>
      <c r="B2199" s="93" t="s">
        <v>7126</v>
      </c>
      <c r="C2199" s="91" t="s">
        <v>36</v>
      </c>
      <c r="D2199" s="106" t="s">
        <v>688</v>
      </c>
      <c r="E2199" s="106" t="s">
        <v>7134</v>
      </c>
      <c r="F2199" s="92" t="s">
        <v>7135</v>
      </c>
      <c r="G2199" s="103">
        <v>43413</v>
      </c>
      <c r="H2199" s="103">
        <v>26816</v>
      </c>
      <c r="I2199" s="94" t="s">
        <v>4486</v>
      </c>
      <c r="J2199" s="94" t="s">
        <v>7136</v>
      </c>
      <c r="K2199" s="92" t="s">
        <v>7137</v>
      </c>
      <c r="L2199" s="91" t="s">
        <v>60</v>
      </c>
      <c r="M2199" s="98">
        <f ca="1">(TODAY()-H2199)/365</f>
        <v>52.564383561643837</v>
      </c>
      <c r="N2199" s="99">
        <f>(G2199-H2199)/365</f>
        <v>45.471232876712328</v>
      </c>
      <c r="O2199" s="98">
        <f ca="1">(TODAY()-G2199)/365</f>
        <v>7.0931506849315067</v>
      </c>
      <c r="P2199" s="91" t="s">
        <v>43</v>
      </c>
      <c r="Q2199" s="91">
        <v>0</v>
      </c>
      <c r="R2199" s="91">
        <v>0</v>
      </c>
      <c r="S2199" s="91">
        <v>0</v>
      </c>
      <c r="T2199" s="91"/>
      <c r="U2199" s="91"/>
      <c r="V2199" s="91"/>
      <c r="W2199" s="91"/>
      <c r="X2199" s="91"/>
      <c r="Y2199" s="91"/>
      <c r="Z2199" s="91"/>
      <c r="AA2199" s="91"/>
      <c r="AB2199" s="91"/>
      <c r="AC2199" s="91"/>
      <c r="AD2199" s="91"/>
      <c r="AE2199" s="91"/>
      <c r="AF2199" s="91"/>
      <c r="AG2199" s="91"/>
      <c r="AH2199" s="91"/>
      <c r="AI2199" s="91"/>
      <c r="AJ2199" s="91"/>
      <c r="AK2199" s="91"/>
      <c r="AL2199" s="91"/>
      <c r="AM2199" s="91"/>
    </row>
    <row r="2200" spans="1:39" ht="20.25" hidden="1" customHeight="1">
      <c r="A2200" s="91"/>
      <c r="B2200" s="93" t="s">
        <v>7126</v>
      </c>
      <c r="C2200" s="91" t="s">
        <v>36</v>
      </c>
      <c r="D2200" s="106" t="s">
        <v>7138</v>
      </c>
      <c r="E2200" s="106" t="s">
        <v>7139</v>
      </c>
      <c r="F2200" s="92" t="s">
        <v>7140</v>
      </c>
      <c r="G2200" s="103">
        <v>43315</v>
      </c>
      <c r="H2200" s="103">
        <v>36897</v>
      </c>
      <c r="I2200" s="108" t="s">
        <v>12531</v>
      </c>
      <c r="J2200" s="94" t="s">
        <v>7141</v>
      </c>
      <c r="K2200" s="92">
        <v>989999453</v>
      </c>
      <c r="L2200" s="91" t="s">
        <v>60</v>
      </c>
      <c r="M2200" s="98">
        <f ca="1">(TODAY()-H2200)/365</f>
        <v>24.945205479452056</v>
      </c>
      <c r="N2200" s="99">
        <f>(G2200-H2200)/365</f>
        <v>17.583561643835615</v>
      </c>
      <c r="O2200" s="98">
        <f ca="1">(TODAY()-G2200)/365</f>
        <v>7.3616438356164382</v>
      </c>
      <c r="P2200" s="91" t="s">
        <v>272</v>
      </c>
      <c r="Q2200" s="91">
        <v>0</v>
      </c>
      <c r="R2200" s="91">
        <v>0</v>
      </c>
      <c r="S2200" s="91">
        <v>0</v>
      </c>
      <c r="T2200" s="91"/>
      <c r="U2200" s="91"/>
      <c r="V2200" s="91"/>
      <c r="W2200" s="91"/>
      <c r="X2200" s="91"/>
      <c r="Y2200" s="91"/>
      <c r="Z2200" s="91"/>
      <c r="AA2200" s="91"/>
      <c r="AB2200" s="91"/>
      <c r="AC2200" s="91"/>
      <c r="AD2200" s="91"/>
      <c r="AE2200" s="91"/>
      <c r="AF2200" s="91"/>
      <c r="AG2200" s="91"/>
      <c r="AH2200" s="91"/>
      <c r="AI2200" s="91"/>
      <c r="AJ2200" s="91"/>
      <c r="AK2200" s="91"/>
      <c r="AL2200" s="91"/>
      <c r="AM2200" s="91"/>
    </row>
    <row r="2201" spans="1:39" ht="20.25" hidden="1" customHeight="1">
      <c r="A2201" s="91"/>
      <c r="B2201" s="93" t="s">
        <v>7126</v>
      </c>
      <c r="C2201" s="91" t="s">
        <v>36</v>
      </c>
      <c r="D2201" s="106" t="s">
        <v>1276</v>
      </c>
      <c r="E2201" s="106" t="s">
        <v>7142</v>
      </c>
      <c r="F2201" s="92" t="s">
        <v>7143</v>
      </c>
      <c r="G2201" s="103">
        <v>44905</v>
      </c>
      <c r="H2201" s="103">
        <v>39454</v>
      </c>
      <c r="I2201" s="108" t="s">
        <v>12532</v>
      </c>
      <c r="J2201" s="94" t="s">
        <v>7144</v>
      </c>
      <c r="K2201" s="92">
        <v>978022706</v>
      </c>
      <c r="L2201" s="91" t="s">
        <v>60</v>
      </c>
      <c r="M2201" s="98">
        <f ca="1">(TODAY()-H2201)/365</f>
        <v>17.93972602739726</v>
      </c>
      <c r="N2201" s="99">
        <f>(G2201-H2201)/365</f>
        <v>14.934246575342465</v>
      </c>
      <c r="O2201" s="98">
        <f ca="1">(TODAY()-G2201)/365</f>
        <v>3.0054794520547947</v>
      </c>
      <c r="P2201" s="91" t="s">
        <v>272</v>
      </c>
      <c r="Q2201" s="91">
        <v>0</v>
      </c>
      <c r="R2201" s="91">
        <v>0</v>
      </c>
      <c r="S2201" s="91">
        <v>0</v>
      </c>
      <c r="T2201" s="91"/>
      <c r="U2201" s="91"/>
      <c r="V2201" s="91"/>
      <c r="W2201" s="91"/>
      <c r="X2201" s="91"/>
      <c r="Y2201" s="91"/>
      <c r="Z2201" s="91"/>
      <c r="AA2201" s="91"/>
      <c r="AB2201" s="91"/>
      <c r="AC2201" s="91"/>
      <c r="AD2201" s="91"/>
      <c r="AE2201" s="91"/>
      <c r="AF2201" s="91"/>
      <c r="AG2201" s="91"/>
      <c r="AH2201" s="91"/>
      <c r="AI2201" s="91"/>
      <c r="AJ2201" s="91"/>
      <c r="AK2201" s="91"/>
      <c r="AL2201" s="91"/>
      <c r="AM2201" s="91"/>
    </row>
    <row r="2202" spans="1:39" ht="20.25" hidden="1" customHeight="1">
      <c r="A2202" s="91"/>
      <c r="B2202" s="93" t="s">
        <v>7126</v>
      </c>
      <c r="C2202" s="91" t="s">
        <v>36</v>
      </c>
      <c r="D2202" s="106" t="s">
        <v>788</v>
      </c>
      <c r="E2202" s="106" t="s">
        <v>7145</v>
      </c>
      <c r="F2202" s="92" t="s">
        <v>7146</v>
      </c>
      <c r="G2202" s="103">
        <v>36986</v>
      </c>
      <c r="H2202" s="103">
        <v>19739</v>
      </c>
      <c r="I2202" s="108" t="s">
        <v>12533</v>
      </c>
      <c r="J2202" s="94" t="s">
        <v>7147</v>
      </c>
      <c r="K2202" s="92">
        <v>997300639</v>
      </c>
      <c r="L2202" s="91" t="s">
        <v>60</v>
      </c>
      <c r="M2202" s="98">
        <f ca="1">(TODAY()-H2202)/365</f>
        <v>71.953424657534242</v>
      </c>
      <c r="N2202" s="99">
        <f>(G2202-H2202)/365</f>
        <v>47.252054794520546</v>
      </c>
      <c r="O2202" s="98">
        <f ca="1">(TODAY()-G2202)/365</f>
        <v>24.701369863013699</v>
      </c>
      <c r="P2202" s="91" t="s">
        <v>43</v>
      </c>
      <c r="Q2202" s="91">
        <v>0</v>
      </c>
      <c r="R2202" s="91">
        <v>0</v>
      </c>
      <c r="S2202" s="91">
        <v>0</v>
      </c>
      <c r="T2202" s="91"/>
      <c r="U2202" s="91"/>
      <c r="V2202" s="91"/>
      <c r="W2202" s="91"/>
      <c r="X2202" s="91"/>
      <c r="Y2202" s="91"/>
      <c r="Z2202" s="91"/>
      <c r="AA2202" s="91"/>
      <c r="AB2202" s="91"/>
      <c r="AC2202" s="91"/>
      <c r="AD2202" s="91"/>
      <c r="AE2202" s="91"/>
      <c r="AF2202" s="91"/>
      <c r="AG2202" s="91"/>
      <c r="AH2202" s="91"/>
      <c r="AI2202" s="91"/>
      <c r="AJ2202" s="91"/>
      <c r="AK2202" s="91"/>
      <c r="AL2202" s="91"/>
      <c r="AM2202" s="91"/>
    </row>
    <row r="2203" spans="1:39" ht="20.25" hidden="1" customHeight="1">
      <c r="A2203" s="91"/>
      <c r="B2203" s="93" t="s">
        <v>7126</v>
      </c>
      <c r="C2203" s="91" t="s">
        <v>36</v>
      </c>
      <c r="D2203" s="106" t="s">
        <v>4448</v>
      </c>
      <c r="E2203" s="106" t="s">
        <v>7148</v>
      </c>
      <c r="F2203" s="92" t="s">
        <v>7149</v>
      </c>
      <c r="G2203" s="103">
        <v>40994</v>
      </c>
      <c r="H2203" s="103">
        <v>29468</v>
      </c>
      <c r="I2203" s="108" t="s">
        <v>12534</v>
      </c>
      <c r="J2203" s="94" t="s">
        <v>7150</v>
      </c>
      <c r="K2203" s="92">
        <v>322738044</v>
      </c>
      <c r="L2203" s="91" t="s">
        <v>60</v>
      </c>
      <c r="M2203" s="98">
        <f ca="1">(TODAY()-H2203)/365</f>
        <v>45.298630136986304</v>
      </c>
      <c r="N2203" s="99">
        <f>(G2203-H2203)/365</f>
        <v>31.578082191780823</v>
      </c>
      <c r="O2203" s="98">
        <f ca="1">(TODAY()-G2203)/365</f>
        <v>13.72054794520548</v>
      </c>
      <c r="P2203" s="91" t="s">
        <v>272</v>
      </c>
      <c r="Q2203" s="91">
        <v>0</v>
      </c>
      <c r="R2203" s="91">
        <v>0</v>
      </c>
      <c r="S2203" s="91">
        <v>0</v>
      </c>
      <c r="T2203" s="91"/>
      <c r="U2203" s="91"/>
      <c r="V2203" s="91"/>
      <c r="W2203" s="91"/>
      <c r="X2203" s="91"/>
      <c r="Y2203" s="91"/>
      <c r="Z2203" s="91"/>
      <c r="AA2203" s="91"/>
      <c r="AB2203" s="91"/>
      <c r="AC2203" s="91"/>
      <c r="AD2203" s="91"/>
      <c r="AE2203" s="91"/>
      <c r="AF2203" s="91"/>
      <c r="AG2203" s="91"/>
      <c r="AH2203" s="91"/>
      <c r="AI2203" s="91"/>
      <c r="AJ2203" s="91"/>
      <c r="AK2203" s="91"/>
      <c r="AL2203" s="91"/>
      <c r="AM2203" s="91"/>
    </row>
    <row r="2204" spans="1:39" ht="20.25" hidden="1" customHeight="1">
      <c r="A2204" s="91"/>
      <c r="B2204" s="93" t="s">
        <v>7126</v>
      </c>
      <c r="C2204" s="91" t="s">
        <v>36</v>
      </c>
      <c r="D2204" s="106" t="s">
        <v>3952</v>
      </c>
      <c r="E2204" s="106" t="s">
        <v>7151</v>
      </c>
      <c r="F2204" s="92" t="s">
        <v>7152</v>
      </c>
      <c r="G2204" s="103">
        <v>43756</v>
      </c>
      <c r="H2204" s="103">
        <v>37320</v>
      </c>
      <c r="I2204" s="108" t="s">
        <v>12535</v>
      </c>
      <c r="J2204" s="94" t="s">
        <v>7153</v>
      </c>
      <c r="K2204" s="92">
        <v>958780567</v>
      </c>
      <c r="L2204" s="91" t="s">
        <v>60</v>
      </c>
      <c r="M2204" s="98">
        <f ca="1">(TODAY()-H2204)/365</f>
        <v>23.786301369863015</v>
      </c>
      <c r="N2204" s="99">
        <f>(G2204-H2204)/365</f>
        <v>17.632876712328766</v>
      </c>
      <c r="O2204" s="98">
        <f ca="1">(TODAY()-G2204)/365</f>
        <v>6.1534246575342468</v>
      </c>
      <c r="P2204" s="91" t="s">
        <v>43</v>
      </c>
      <c r="Q2204" s="91">
        <v>0</v>
      </c>
      <c r="R2204" s="91">
        <v>0</v>
      </c>
      <c r="S2204" s="91">
        <v>0</v>
      </c>
      <c r="T2204" s="91"/>
      <c r="U2204" s="91"/>
      <c r="V2204" s="91"/>
      <c r="W2204" s="91"/>
      <c r="X2204" s="91"/>
      <c r="Y2204" s="91"/>
      <c r="Z2204" s="91"/>
      <c r="AA2204" s="91"/>
      <c r="AB2204" s="91"/>
      <c r="AC2204" s="91"/>
      <c r="AD2204" s="91"/>
      <c r="AE2204" s="91"/>
      <c r="AF2204" s="91"/>
      <c r="AG2204" s="91"/>
      <c r="AH2204" s="91"/>
      <c r="AI2204" s="91"/>
      <c r="AJ2204" s="91"/>
      <c r="AK2204" s="91"/>
      <c r="AL2204" s="91"/>
      <c r="AM2204" s="91"/>
    </row>
    <row r="2205" spans="1:39" ht="20.25" hidden="1" customHeight="1">
      <c r="A2205" s="91"/>
      <c r="B2205" s="93" t="s">
        <v>7126</v>
      </c>
      <c r="C2205" s="91" t="s">
        <v>36</v>
      </c>
      <c r="D2205" s="106" t="s">
        <v>2779</v>
      </c>
      <c r="E2205" s="106" t="s">
        <v>7128</v>
      </c>
      <c r="F2205" s="92" t="s">
        <v>7154</v>
      </c>
      <c r="G2205" s="103">
        <v>38828</v>
      </c>
      <c r="H2205" s="103">
        <v>31915</v>
      </c>
      <c r="I2205" s="108" t="s">
        <v>12529</v>
      </c>
      <c r="J2205" s="94" t="s">
        <v>7130</v>
      </c>
      <c r="K2205" s="92">
        <v>997378442</v>
      </c>
      <c r="L2205" s="91" t="s">
        <v>66</v>
      </c>
      <c r="M2205" s="98">
        <f ca="1">(TODAY()-H2205)/365</f>
        <v>38.594520547945208</v>
      </c>
      <c r="N2205" s="99">
        <f>(G2205-H2205)/365</f>
        <v>18.93972602739726</v>
      </c>
      <c r="O2205" s="98">
        <f ca="1">(TODAY()-G2205)/365</f>
        <v>19.654794520547945</v>
      </c>
      <c r="P2205" s="91" t="s">
        <v>43</v>
      </c>
      <c r="Q2205" s="91">
        <v>0</v>
      </c>
      <c r="R2205" s="91">
        <v>0</v>
      </c>
      <c r="S2205" s="91">
        <v>0</v>
      </c>
      <c r="T2205" s="91"/>
      <c r="U2205" s="91"/>
      <c r="V2205" s="91"/>
      <c r="W2205" s="91"/>
      <c r="X2205" s="91"/>
      <c r="Y2205" s="91"/>
      <c r="Z2205" s="91"/>
      <c r="AA2205" s="91"/>
      <c r="AB2205" s="91"/>
      <c r="AC2205" s="91"/>
      <c r="AD2205" s="91"/>
      <c r="AE2205" s="91"/>
      <c r="AF2205" s="91"/>
      <c r="AG2205" s="91"/>
      <c r="AH2205" s="91"/>
      <c r="AI2205" s="91"/>
      <c r="AJ2205" s="91"/>
      <c r="AK2205" s="91"/>
      <c r="AL2205" s="91"/>
      <c r="AM2205" s="91"/>
    </row>
    <row r="2206" spans="1:39" ht="20.25" hidden="1" customHeight="1">
      <c r="A2206" s="91"/>
      <c r="B2206" s="93" t="s">
        <v>7126</v>
      </c>
      <c r="C2206" s="91" t="s">
        <v>36</v>
      </c>
      <c r="D2206" s="106" t="s">
        <v>459</v>
      </c>
      <c r="E2206" s="106" t="s">
        <v>7155</v>
      </c>
      <c r="F2206" s="92" t="s">
        <v>7156</v>
      </c>
      <c r="G2206" s="103">
        <v>43548</v>
      </c>
      <c r="H2206" s="103">
        <v>32443</v>
      </c>
      <c r="I2206" s="94" t="s">
        <v>7157</v>
      </c>
      <c r="J2206" s="94" t="s">
        <v>7158</v>
      </c>
      <c r="K2206" s="92">
        <v>991741242</v>
      </c>
      <c r="L2206" s="91" t="s">
        <v>60</v>
      </c>
      <c r="M2206" s="98">
        <f ca="1">(TODAY()-H2206)/365</f>
        <v>37.147945205479452</v>
      </c>
      <c r="N2206" s="99">
        <f>(G2206-H2206)/365</f>
        <v>30.424657534246574</v>
      </c>
      <c r="O2206" s="98">
        <f ca="1">(TODAY()-G2206)/365</f>
        <v>6.7232876712328764</v>
      </c>
      <c r="P2206" s="91" t="s">
        <v>272</v>
      </c>
      <c r="Q2206" s="91">
        <v>0</v>
      </c>
      <c r="R2206" s="91">
        <v>0</v>
      </c>
      <c r="S2206" s="91">
        <v>0</v>
      </c>
      <c r="T2206" s="91"/>
      <c r="U2206" s="91"/>
      <c r="V2206" s="91"/>
      <c r="W2206" s="91"/>
      <c r="X2206" s="91"/>
      <c r="Y2206" s="91"/>
      <c r="Z2206" s="91"/>
      <c r="AA2206" s="91"/>
      <c r="AB2206" s="91"/>
      <c r="AC2206" s="91"/>
      <c r="AD2206" s="91"/>
      <c r="AE2206" s="91"/>
      <c r="AF2206" s="91"/>
      <c r="AG2206" s="91"/>
      <c r="AH2206" s="91"/>
      <c r="AI2206" s="91"/>
      <c r="AJ2206" s="91"/>
      <c r="AK2206" s="91"/>
      <c r="AL2206" s="91"/>
      <c r="AM2206" s="91"/>
    </row>
    <row r="2207" spans="1:39" ht="20.25" customHeight="1">
      <c r="A2207" s="91"/>
      <c r="B2207" s="93" t="s">
        <v>5484</v>
      </c>
      <c r="C2207" s="91" t="s">
        <v>73</v>
      </c>
      <c r="D2207" s="107" t="s">
        <v>5327</v>
      </c>
      <c r="E2207" s="107" t="s">
        <v>5698</v>
      </c>
      <c r="F2207" s="91" t="s">
        <v>5699</v>
      </c>
      <c r="G2207" s="96">
        <v>44197</v>
      </c>
      <c r="H2207" s="97">
        <v>25441</v>
      </c>
      <c r="I2207" s="100" t="s">
        <v>58</v>
      </c>
      <c r="J2207" s="100" t="s">
        <v>58</v>
      </c>
      <c r="K2207" s="91" t="s">
        <v>58</v>
      </c>
      <c r="L2207" s="91" t="s">
        <v>60</v>
      </c>
      <c r="M2207" s="98">
        <f ca="1">(TODAY()-H2207)/365</f>
        <v>56.331506849315069</v>
      </c>
      <c r="N2207" s="99">
        <f>(G2207-H2207)/365</f>
        <v>51.386301369863013</v>
      </c>
      <c r="O2207" s="98">
        <f ca="1">(TODAY()-G2207)/365</f>
        <v>4.9452054794520546</v>
      </c>
      <c r="P2207" s="91" t="s">
        <v>43</v>
      </c>
      <c r="Q2207" s="91">
        <v>0</v>
      </c>
      <c r="R2207" s="91">
        <v>0</v>
      </c>
      <c r="S2207" s="91">
        <v>0</v>
      </c>
      <c r="T2207" s="91"/>
      <c r="U2207" s="91"/>
      <c r="V2207" s="91"/>
      <c r="W2207" s="91"/>
      <c r="X2207" s="91"/>
      <c r="Y2207" s="91"/>
      <c r="Z2207" s="91"/>
      <c r="AA2207" s="91"/>
      <c r="AB2207" s="91"/>
      <c r="AC2207" s="91"/>
      <c r="AD2207" s="91"/>
      <c r="AE2207" s="91"/>
      <c r="AF2207" s="91"/>
      <c r="AG2207" s="91"/>
      <c r="AH2207" s="91"/>
      <c r="AI2207" s="91"/>
      <c r="AJ2207" s="91"/>
      <c r="AK2207" s="91"/>
      <c r="AL2207" s="91"/>
      <c r="AM2207" s="91"/>
    </row>
    <row r="2208" spans="1:39" ht="20.25" hidden="1" customHeight="1">
      <c r="A2208" s="91"/>
      <c r="B2208" s="93" t="s">
        <v>7126</v>
      </c>
      <c r="C2208" s="91" t="s">
        <v>36</v>
      </c>
      <c r="D2208" s="106" t="s">
        <v>7162</v>
      </c>
      <c r="E2208" s="106" t="s">
        <v>7163</v>
      </c>
      <c r="F2208" s="92" t="s">
        <v>7164</v>
      </c>
      <c r="G2208" s="103">
        <v>42079</v>
      </c>
      <c r="H2208" s="103">
        <v>21769</v>
      </c>
      <c r="I2208" s="108" t="s">
        <v>12536</v>
      </c>
      <c r="J2208" s="94" t="s">
        <v>7165</v>
      </c>
      <c r="K2208" s="92">
        <v>951018320</v>
      </c>
      <c r="L2208" s="91" t="s">
        <v>60</v>
      </c>
      <c r="M2208" s="98">
        <f ca="1">(TODAY()-H2208)/365</f>
        <v>66.391780821917806</v>
      </c>
      <c r="N2208" s="99">
        <f>(G2208-H2208)/365</f>
        <v>55.643835616438359</v>
      </c>
      <c r="O2208" s="98">
        <f ca="1">(TODAY()-G2208)/365</f>
        <v>10.747945205479452</v>
      </c>
      <c r="P2208" s="91" t="s">
        <v>43</v>
      </c>
      <c r="Q2208" s="91">
        <v>0</v>
      </c>
      <c r="R2208" s="91">
        <v>0</v>
      </c>
      <c r="S2208" s="91">
        <v>0</v>
      </c>
      <c r="T2208" s="91"/>
      <c r="U2208" s="91"/>
      <c r="V2208" s="91"/>
      <c r="W2208" s="91"/>
      <c r="X2208" s="91"/>
      <c r="Y2208" s="91"/>
      <c r="Z2208" s="91"/>
      <c r="AA2208" s="91"/>
      <c r="AB2208" s="91"/>
      <c r="AC2208" s="91"/>
      <c r="AD2208" s="91"/>
      <c r="AE2208" s="91"/>
      <c r="AF2208" s="91"/>
      <c r="AG2208" s="91"/>
      <c r="AH2208" s="91"/>
      <c r="AI2208" s="91"/>
      <c r="AJ2208" s="91"/>
      <c r="AK2208" s="91"/>
      <c r="AL2208" s="91"/>
      <c r="AM2208" s="91"/>
    </row>
    <row r="2209" spans="1:39" ht="20.25" hidden="1" customHeight="1">
      <c r="A2209" s="91"/>
      <c r="B2209" s="93" t="s">
        <v>7126</v>
      </c>
      <c r="C2209" s="91" t="s">
        <v>36</v>
      </c>
      <c r="D2209" s="106" t="s">
        <v>7166</v>
      </c>
      <c r="E2209" s="106" t="s">
        <v>7167</v>
      </c>
      <c r="F2209" s="92" t="s">
        <v>7168</v>
      </c>
      <c r="G2209" s="103">
        <v>38828</v>
      </c>
      <c r="H2209" s="103">
        <v>20160</v>
      </c>
      <c r="I2209" s="108" t="s">
        <v>12537</v>
      </c>
      <c r="J2209" s="94" t="s">
        <v>7169</v>
      </c>
      <c r="K2209" s="92">
        <v>979870664</v>
      </c>
      <c r="L2209" s="91" t="s">
        <v>167</v>
      </c>
      <c r="M2209" s="98">
        <f ca="1">(TODAY()-H2209)/365</f>
        <v>70.8</v>
      </c>
      <c r="N2209" s="99">
        <f>(G2209-H2209)/365</f>
        <v>51.145205479452052</v>
      </c>
      <c r="O2209" s="98">
        <f ca="1">(TODAY()-G2209)/365</f>
        <v>19.654794520547945</v>
      </c>
      <c r="P2209" s="91" t="s">
        <v>43</v>
      </c>
      <c r="Q2209" s="91">
        <v>0</v>
      </c>
      <c r="R2209" s="91">
        <v>0</v>
      </c>
      <c r="S2209" s="91">
        <v>0</v>
      </c>
      <c r="T2209" s="91"/>
      <c r="U2209" s="91"/>
      <c r="V2209" s="91"/>
      <c r="W2209" s="91"/>
      <c r="X2209" s="91"/>
      <c r="Y2209" s="91"/>
      <c r="Z2209" s="91"/>
      <c r="AA2209" s="91"/>
      <c r="AB2209" s="91"/>
      <c r="AC2209" s="91"/>
      <c r="AD2209" s="91"/>
      <c r="AE2209" s="91"/>
      <c r="AF2209" s="91"/>
      <c r="AG2209" s="91"/>
      <c r="AH2209" s="91"/>
      <c r="AI2209" s="91"/>
      <c r="AJ2209" s="91"/>
      <c r="AK2209" s="91"/>
      <c r="AL2209" s="91"/>
      <c r="AM2209" s="91"/>
    </row>
    <row r="2210" spans="1:39" ht="20.25" customHeight="1">
      <c r="A2210" s="91"/>
      <c r="B2210" s="93" t="s">
        <v>8630</v>
      </c>
      <c r="C2210" s="91" t="s">
        <v>73</v>
      </c>
      <c r="D2210" s="94" t="s">
        <v>8643</v>
      </c>
      <c r="E2210" s="94" t="s">
        <v>8644</v>
      </c>
      <c r="F2210" s="95" t="s">
        <v>8645</v>
      </c>
      <c r="G2210" s="96">
        <v>33512</v>
      </c>
      <c r="H2210" s="97">
        <v>24031</v>
      </c>
      <c r="I2210" s="94" t="s">
        <v>8646</v>
      </c>
      <c r="J2210" s="94" t="s">
        <v>58</v>
      </c>
      <c r="K2210" s="95" t="s">
        <v>58</v>
      </c>
      <c r="L2210" s="91" t="s">
        <v>60</v>
      </c>
      <c r="M2210" s="98">
        <f ca="1">(TODAY()-H2210)/365</f>
        <v>60.194520547945203</v>
      </c>
      <c r="N2210" s="99">
        <f>(G2210-H2210)/365</f>
        <v>25.975342465753425</v>
      </c>
      <c r="O2210" s="98">
        <f ca="1">(TODAY()-G2210)/365</f>
        <v>34.219178082191782</v>
      </c>
      <c r="P2210" s="91" t="s">
        <v>43</v>
      </c>
      <c r="Q2210" s="91">
        <v>0</v>
      </c>
      <c r="R2210" s="91">
        <v>0</v>
      </c>
      <c r="S2210" s="91">
        <v>0</v>
      </c>
      <c r="T2210" s="91"/>
      <c r="U2210" s="91"/>
      <c r="V2210" s="91"/>
      <c r="W2210" s="91"/>
      <c r="X2210" s="91"/>
      <c r="Y2210" s="91"/>
      <c r="Z2210" s="91"/>
      <c r="AA2210" s="91"/>
      <c r="AB2210" s="91"/>
      <c r="AC2210" s="91"/>
      <c r="AD2210" s="91"/>
      <c r="AE2210" s="91"/>
      <c r="AF2210" s="91"/>
      <c r="AG2210" s="91"/>
      <c r="AH2210" s="91"/>
      <c r="AI2210" s="91"/>
      <c r="AJ2210" s="91"/>
      <c r="AK2210" s="91"/>
      <c r="AL2210" s="91"/>
      <c r="AM2210" s="91"/>
    </row>
    <row r="2211" spans="1:39" ht="20.25" hidden="1" customHeight="1">
      <c r="A2211" s="91"/>
      <c r="B2211" s="93" t="s">
        <v>7126</v>
      </c>
      <c r="C2211" s="91" t="s">
        <v>36</v>
      </c>
      <c r="D2211" s="106" t="s">
        <v>7172</v>
      </c>
      <c r="E2211" s="106" t="s">
        <v>7173</v>
      </c>
      <c r="F2211" s="92" t="s">
        <v>7174</v>
      </c>
      <c r="G2211" s="103">
        <v>39545</v>
      </c>
      <c r="H2211" s="103">
        <v>19994</v>
      </c>
      <c r="I2211" s="94" t="s">
        <v>4486</v>
      </c>
      <c r="J2211" s="94" t="s">
        <v>7150</v>
      </c>
      <c r="K2211" s="92">
        <v>322738044</v>
      </c>
      <c r="L2211" s="91" t="s">
        <v>60</v>
      </c>
      <c r="M2211" s="98">
        <f ca="1">(TODAY()-H2211)/365</f>
        <v>71.254794520547946</v>
      </c>
      <c r="N2211" s="99">
        <f>(G2211-H2211)/365</f>
        <v>53.564383561643837</v>
      </c>
      <c r="O2211" s="98">
        <f ca="1">(TODAY()-G2211)/365</f>
        <v>17.69041095890411</v>
      </c>
      <c r="P2211" s="91" t="s">
        <v>43</v>
      </c>
      <c r="Q2211" s="91">
        <v>0</v>
      </c>
      <c r="R2211" s="91">
        <v>0</v>
      </c>
      <c r="S2211" s="91">
        <v>0</v>
      </c>
      <c r="T2211" s="91"/>
      <c r="U2211" s="91"/>
      <c r="V2211" s="91"/>
      <c r="W2211" s="91"/>
      <c r="X2211" s="91"/>
      <c r="Y2211" s="91"/>
      <c r="Z2211" s="91"/>
      <c r="AA2211" s="91"/>
      <c r="AB2211" s="91"/>
      <c r="AC2211" s="91"/>
      <c r="AD2211" s="91"/>
      <c r="AE2211" s="91"/>
      <c r="AF2211" s="91"/>
      <c r="AG2211" s="91"/>
      <c r="AH2211" s="91"/>
      <c r="AI2211" s="91"/>
      <c r="AJ2211" s="91"/>
      <c r="AK2211" s="91"/>
      <c r="AL2211" s="91"/>
      <c r="AM2211" s="91"/>
    </row>
    <row r="2212" spans="1:39" ht="20.25" hidden="1" customHeight="1">
      <c r="A2212" s="91"/>
      <c r="B2212" s="93" t="s">
        <v>7126</v>
      </c>
      <c r="C2212" s="91" t="s">
        <v>36</v>
      </c>
      <c r="D2212" s="106" t="s">
        <v>1450</v>
      </c>
      <c r="E2212" s="106" t="s">
        <v>7175</v>
      </c>
      <c r="F2212" s="92" t="s">
        <v>7176</v>
      </c>
      <c r="G2212" s="103">
        <v>34414</v>
      </c>
      <c r="H2212" s="103">
        <v>16362</v>
      </c>
      <c r="I2212" s="94" t="s">
        <v>4486</v>
      </c>
      <c r="J2212" s="94" t="s">
        <v>7177</v>
      </c>
      <c r="K2212" s="92">
        <v>962993199</v>
      </c>
      <c r="L2212" s="91" t="s">
        <v>60</v>
      </c>
      <c r="M2212" s="98">
        <f ca="1">(TODAY()-H2212)/365</f>
        <v>81.205479452054789</v>
      </c>
      <c r="N2212" s="99">
        <f>(G2212-H2212)/365</f>
        <v>49.457534246575342</v>
      </c>
      <c r="O2212" s="98">
        <f ca="1">(TODAY()-G2212)/365</f>
        <v>31.747945205479454</v>
      </c>
      <c r="P2212" s="91" t="s">
        <v>272</v>
      </c>
      <c r="Q2212" s="91">
        <v>0</v>
      </c>
      <c r="R2212" s="91">
        <v>0</v>
      </c>
      <c r="S2212" s="91">
        <v>0</v>
      </c>
      <c r="T2212" s="91"/>
      <c r="U2212" s="91"/>
      <c r="V2212" s="91"/>
      <c r="W2212" s="91"/>
      <c r="X2212" s="91"/>
      <c r="Y2212" s="91"/>
      <c r="Z2212" s="91"/>
      <c r="AA2212" s="91"/>
      <c r="AB2212" s="91"/>
      <c r="AC2212" s="91"/>
      <c r="AD2212" s="91"/>
      <c r="AE2212" s="91"/>
      <c r="AF2212" s="91"/>
      <c r="AG2212" s="91"/>
      <c r="AH2212" s="91"/>
      <c r="AI2212" s="91"/>
      <c r="AJ2212" s="91"/>
      <c r="AK2212" s="91"/>
      <c r="AL2212" s="91"/>
      <c r="AM2212" s="91"/>
    </row>
    <row r="2213" spans="1:39" ht="20.25" hidden="1" customHeight="1">
      <c r="A2213" s="91"/>
      <c r="B2213" s="93" t="s">
        <v>7126</v>
      </c>
      <c r="C2213" s="91" t="s">
        <v>36</v>
      </c>
      <c r="D2213" s="106" t="s">
        <v>7178</v>
      </c>
      <c r="E2213" s="106" t="s">
        <v>7179</v>
      </c>
      <c r="F2213" s="92" t="s">
        <v>7180</v>
      </c>
      <c r="G2213" s="103">
        <v>27474</v>
      </c>
      <c r="H2213" s="103">
        <v>19425</v>
      </c>
      <c r="I2213" s="94" t="s">
        <v>4486</v>
      </c>
      <c r="J2213" s="94" t="s">
        <v>7181</v>
      </c>
      <c r="K2213" s="92">
        <v>988686407</v>
      </c>
      <c r="L2213" s="91" t="s">
        <v>216</v>
      </c>
      <c r="M2213" s="98">
        <f ca="1">(TODAY()-H2213)/365</f>
        <v>72.813698630136983</v>
      </c>
      <c r="N2213" s="99">
        <f>(G2213-H2213)/365</f>
        <v>22.052054794520547</v>
      </c>
      <c r="O2213" s="98">
        <f ca="1">(TODAY()-G2213)/365</f>
        <v>50.761643835616439</v>
      </c>
      <c r="P2213" s="91" t="s">
        <v>43</v>
      </c>
      <c r="Q2213" s="91">
        <v>0</v>
      </c>
      <c r="R2213" s="91">
        <v>0</v>
      </c>
      <c r="S2213" s="91">
        <v>0</v>
      </c>
      <c r="T2213" s="91"/>
      <c r="U2213" s="91"/>
      <c r="V2213" s="91"/>
      <c r="W2213" s="91"/>
      <c r="X2213" s="91"/>
      <c r="Y2213" s="91"/>
      <c r="Z2213" s="91"/>
      <c r="AA2213" s="91"/>
      <c r="AB2213" s="91"/>
      <c r="AC2213" s="91"/>
      <c r="AD2213" s="91"/>
      <c r="AE2213" s="91"/>
      <c r="AF2213" s="91"/>
      <c r="AG2213" s="91"/>
      <c r="AH2213" s="91"/>
      <c r="AI2213" s="91"/>
      <c r="AJ2213" s="91"/>
      <c r="AK2213" s="91"/>
      <c r="AL2213" s="91"/>
      <c r="AM2213" s="91"/>
    </row>
    <row r="2214" spans="1:39" ht="20.25" hidden="1" customHeight="1">
      <c r="A2214" s="91"/>
      <c r="B2214" s="93" t="s">
        <v>7126</v>
      </c>
      <c r="C2214" s="91" t="s">
        <v>36</v>
      </c>
      <c r="D2214" s="106" t="s">
        <v>7182</v>
      </c>
      <c r="E2214" s="106" t="s">
        <v>7183</v>
      </c>
      <c r="F2214" s="92" t="s">
        <v>7184</v>
      </c>
      <c r="G2214" s="103">
        <v>35876</v>
      </c>
      <c r="H2214" s="103">
        <v>19320</v>
      </c>
      <c r="I2214" s="108" t="s">
        <v>12538</v>
      </c>
      <c r="J2214" s="94" t="s">
        <v>7185</v>
      </c>
      <c r="K2214" s="92">
        <v>983433812</v>
      </c>
      <c r="L2214" s="91" t="s">
        <v>60</v>
      </c>
      <c r="M2214" s="98">
        <f ca="1">(TODAY()-H2214)/365</f>
        <v>73.101369863013701</v>
      </c>
      <c r="N2214" s="99">
        <f>(G2214-H2214)/365</f>
        <v>45.358904109589041</v>
      </c>
      <c r="O2214" s="98">
        <f ca="1">(TODAY()-G2214)/365</f>
        <v>27.742465753424657</v>
      </c>
      <c r="P2214" s="91" t="s">
        <v>43</v>
      </c>
      <c r="Q2214" s="91">
        <v>0</v>
      </c>
      <c r="R2214" s="91">
        <v>0</v>
      </c>
      <c r="S2214" s="91">
        <v>0</v>
      </c>
      <c r="T2214" s="91"/>
      <c r="U2214" s="91"/>
      <c r="V2214" s="91"/>
      <c r="W2214" s="91"/>
      <c r="X2214" s="91"/>
      <c r="Y2214" s="91"/>
      <c r="Z2214" s="91"/>
      <c r="AA2214" s="91"/>
      <c r="AB2214" s="91"/>
      <c r="AC2214" s="91"/>
      <c r="AD2214" s="91"/>
      <c r="AE2214" s="91"/>
      <c r="AF2214" s="91"/>
      <c r="AG2214" s="91"/>
      <c r="AH2214" s="91"/>
      <c r="AI2214" s="91"/>
      <c r="AJ2214" s="91"/>
      <c r="AK2214" s="91"/>
      <c r="AL2214" s="91"/>
      <c r="AM2214" s="91"/>
    </row>
    <row r="2215" spans="1:39" ht="20.25" customHeight="1">
      <c r="A2215" s="91"/>
      <c r="B2215" s="93" t="s">
        <v>10888</v>
      </c>
      <c r="C2215" s="91" t="s">
        <v>73</v>
      </c>
      <c r="D2215" s="106" t="s">
        <v>688</v>
      </c>
      <c r="E2215" s="106" t="s">
        <v>10939</v>
      </c>
      <c r="G2215" s="103">
        <v>42807</v>
      </c>
      <c r="H2215" s="103">
        <v>28273</v>
      </c>
      <c r="I2215" s="94" t="s">
        <v>58</v>
      </c>
      <c r="J2215" s="100" t="s">
        <v>58</v>
      </c>
      <c r="K2215" s="95" t="s">
        <v>58</v>
      </c>
      <c r="L2215" s="91"/>
      <c r="M2215" s="98">
        <f ca="1">(TODAY()-H2215)/365</f>
        <v>48.57260273972603</v>
      </c>
      <c r="N2215" s="99">
        <f>(G2215-H2215)/365</f>
        <v>39.819178082191783</v>
      </c>
      <c r="O2215" s="98">
        <f ca="1">(TODAY()-G2215)/365</f>
        <v>8.7534246575342465</v>
      </c>
      <c r="P2215" s="91" t="s">
        <v>272</v>
      </c>
      <c r="Q2215" s="91"/>
      <c r="R2215" s="91">
        <v>1</v>
      </c>
      <c r="S2215" s="91"/>
      <c r="T2215" s="91"/>
      <c r="U2215" s="91"/>
      <c r="V2215" s="91"/>
      <c r="W2215" s="91"/>
      <c r="X2215" s="91"/>
      <c r="Y2215" s="91"/>
      <c r="Z2215" s="91"/>
      <c r="AA2215" s="91"/>
      <c r="AB2215" s="91"/>
      <c r="AC2215" s="91"/>
      <c r="AD2215" s="91"/>
      <c r="AE2215" s="91"/>
      <c r="AF2215" s="91"/>
      <c r="AG2215" s="91"/>
      <c r="AH2215" s="91"/>
      <c r="AI2215" s="91"/>
      <c r="AJ2215" s="91"/>
      <c r="AK2215" s="91"/>
      <c r="AL2215" s="91"/>
      <c r="AM2215" s="91"/>
    </row>
    <row r="2216" spans="1:39" ht="20.25" hidden="1" customHeight="1">
      <c r="A2216" s="91"/>
      <c r="B2216" s="93" t="s">
        <v>7126</v>
      </c>
      <c r="C2216" s="91" t="s">
        <v>36</v>
      </c>
      <c r="D2216" s="106" t="s">
        <v>3483</v>
      </c>
      <c r="E2216" s="106" t="s">
        <v>7189</v>
      </c>
      <c r="F2216" s="92" t="s">
        <v>7190</v>
      </c>
      <c r="G2216" s="103">
        <v>38828</v>
      </c>
      <c r="H2216" s="103">
        <v>23589</v>
      </c>
      <c r="I2216" s="108" t="s">
        <v>12539</v>
      </c>
      <c r="J2216" s="94" t="s">
        <v>7191</v>
      </c>
      <c r="K2216" s="92">
        <v>987195182</v>
      </c>
      <c r="L2216" s="91" t="s">
        <v>197</v>
      </c>
      <c r="M2216" s="98">
        <f ca="1">(TODAY()-H2216)/365</f>
        <v>61.405479452054792</v>
      </c>
      <c r="N2216" s="99">
        <f>(G2216-H2216)/365</f>
        <v>41.750684931506846</v>
      </c>
      <c r="O2216" s="98">
        <f ca="1">(TODAY()-G2216)/365</f>
        <v>19.654794520547945</v>
      </c>
      <c r="P2216" s="91" t="s">
        <v>43</v>
      </c>
      <c r="Q2216" s="91">
        <v>0</v>
      </c>
      <c r="R2216" s="91">
        <v>1</v>
      </c>
      <c r="S2216" s="91">
        <v>0</v>
      </c>
      <c r="T2216" s="91"/>
      <c r="U2216" s="91"/>
      <c r="V2216" s="91"/>
      <c r="W2216" s="91"/>
      <c r="X2216" s="91"/>
      <c r="Y2216" s="91"/>
      <c r="Z2216" s="91"/>
      <c r="AA2216" s="91"/>
      <c r="AB2216" s="91"/>
      <c r="AC2216" s="91"/>
      <c r="AD2216" s="91"/>
      <c r="AE2216" s="91"/>
      <c r="AF2216" s="91"/>
      <c r="AG2216" s="91"/>
      <c r="AH2216" s="91"/>
      <c r="AI2216" s="91"/>
      <c r="AJ2216" s="91"/>
      <c r="AK2216" s="91"/>
      <c r="AL2216" s="91"/>
      <c r="AM2216" s="91"/>
    </row>
    <row r="2217" spans="1:39" ht="20.25" hidden="1" customHeight="1">
      <c r="A2217" s="91"/>
      <c r="B2217" s="93" t="s">
        <v>7126</v>
      </c>
      <c r="C2217" s="91" t="s">
        <v>36</v>
      </c>
      <c r="D2217" s="106" t="s">
        <v>7192</v>
      </c>
      <c r="E2217" s="106" t="s">
        <v>7193</v>
      </c>
      <c r="F2217" s="92" t="s">
        <v>7194</v>
      </c>
      <c r="G2217" s="103">
        <v>38828</v>
      </c>
      <c r="H2217" s="103">
        <v>22831</v>
      </c>
      <c r="I2217" s="108" t="s">
        <v>12540</v>
      </c>
      <c r="J2217" s="94" t="s">
        <v>7195</v>
      </c>
      <c r="K2217" s="92">
        <v>954689587</v>
      </c>
      <c r="L2217" s="91" t="s">
        <v>60</v>
      </c>
      <c r="M2217" s="98">
        <f ca="1">(TODAY()-H2217)/365</f>
        <v>63.482191780821921</v>
      </c>
      <c r="N2217" s="99">
        <f>(G2217-H2217)/365</f>
        <v>43.827397260273976</v>
      </c>
      <c r="O2217" s="98">
        <f ca="1">(TODAY()-G2217)/365</f>
        <v>19.654794520547945</v>
      </c>
      <c r="P2217" s="91" t="s">
        <v>43</v>
      </c>
      <c r="Q2217" s="91">
        <v>0</v>
      </c>
      <c r="R2217" s="91">
        <v>0</v>
      </c>
      <c r="S2217" s="91">
        <v>0</v>
      </c>
      <c r="T2217" s="91"/>
      <c r="U2217" s="91"/>
      <c r="V2217" s="91"/>
      <c r="W2217" s="91"/>
      <c r="X2217" s="91"/>
      <c r="Y2217" s="91"/>
      <c r="Z2217" s="91"/>
      <c r="AA2217" s="91"/>
      <c r="AB2217" s="91"/>
      <c r="AC2217" s="91"/>
      <c r="AD2217" s="91"/>
      <c r="AE2217" s="91"/>
      <c r="AF2217" s="91"/>
      <c r="AG2217" s="91"/>
      <c r="AH2217" s="91"/>
      <c r="AI2217" s="91"/>
      <c r="AJ2217" s="91"/>
      <c r="AK2217" s="91"/>
      <c r="AL2217" s="91"/>
      <c r="AM2217" s="91"/>
    </row>
    <row r="2218" spans="1:39" ht="20.25" hidden="1" customHeight="1">
      <c r="A2218" s="91"/>
      <c r="B2218" s="93" t="s">
        <v>7126</v>
      </c>
      <c r="C2218" s="91" t="s">
        <v>36</v>
      </c>
      <c r="D2218" s="106" t="s">
        <v>7196</v>
      </c>
      <c r="E2218" s="106" t="s">
        <v>7197</v>
      </c>
      <c r="F2218" s="92" t="s">
        <v>7198</v>
      </c>
      <c r="G2218" s="103">
        <v>44691</v>
      </c>
      <c r="H2218" s="103">
        <v>29943</v>
      </c>
      <c r="I2218" s="108" t="s">
        <v>12541</v>
      </c>
      <c r="J2218" s="94" t="s">
        <v>7199</v>
      </c>
      <c r="K2218" s="95" t="s">
        <v>58</v>
      </c>
      <c r="L2218" s="91" t="s">
        <v>60</v>
      </c>
      <c r="M2218" s="98">
        <f ca="1">(TODAY()-H2218)/365</f>
        <v>43.9972602739726</v>
      </c>
      <c r="N2218" s="99">
        <f>(G2218-H2218)/365</f>
        <v>40.405479452054792</v>
      </c>
      <c r="O2218" s="98">
        <f ca="1">(TODAY()-G2218)/365</f>
        <v>3.591780821917808</v>
      </c>
      <c r="P2218" s="91" t="s">
        <v>43</v>
      </c>
      <c r="Q2218" s="91">
        <v>0</v>
      </c>
      <c r="R2218" s="91">
        <v>0</v>
      </c>
      <c r="S2218" s="91">
        <v>0</v>
      </c>
      <c r="T2218" s="91"/>
      <c r="U2218" s="91"/>
      <c r="V2218" s="91"/>
      <c r="W2218" s="91"/>
      <c r="X2218" s="91"/>
      <c r="Y2218" s="91"/>
      <c r="Z2218" s="91"/>
      <c r="AA2218" s="91"/>
      <c r="AB2218" s="91"/>
      <c r="AC2218" s="91"/>
      <c r="AD2218" s="91"/>
      <c r="AE2218" s="91"/>
      <c r="AF2218" s="91"/>
      <c r="AG2218" s="91"/>
      <c r="AH2218" s="91"/>
      <c r="AI2218" s="91"/>
      <c r="AJ2218" s="91"/>
      <c r="AK2218" s="91"/>
      <c r="AL2218" s="91"/>
      <c r="AM2218" s="91"/>
    </row>
    <row r="2219" spans="1:39" ht="20.25" hidden="1" customHeight="1">
      <c r="A2219" s="91"/>
      <c r="B2219" s="93" t="s">
        <v>7126</v>
      </c>
      <c r="C2219" s="91" t="s">
        <v>36</v>
      </c>
      <c r="D2219" s="106" t="s">
        <v>7200</v>
      </c>
      <c r="E2219" s="106" t="s">
        <v>7201</v>
      </c>
      <c r="F2219" s="92" t="s">
        <v>7202</v>
      </c>
      <c r="G2219" s="103">
        <v>33693</v>
      </c>
      <c r="H2219" s="103">
        <v>13057</v>
      </c>
      <c r="I2219" s="94" t="s">
        <v>4486</v>
      </c>
      <c r="J2219" s="94" t="s">
        <v>7203</v>
      </c>
      <c r="K2219" s="92">
        <v>979844526</v>
      </c>
      <c r="L2219" s="91" t="s">
        <v>60</v>
      </c>
      <c r="M2219" s="98">
        <f ca="1">(TODAY()-H2219)/365</f>
        <v>90.260273972602747</v>
      </c>
      <c r="N2219" s="99">
        <f>(G2219-H2219)/365</f>
        <v>56.536986301369865</v>
      </c>
      <c r="O2219" s="98">
        <f ca="1">(TODAY()-G2219)/365</f>
        <v>33.723287671232875</v>
      </c>
      <c r="P2219" s="91" t="s">
        <v>43</v>
      </c>
      <c r="Q2219" s="91">
        <v>0</v>
      </c>
      <c r="R2219" s="91">
        <v>0</v>
      </c>
      <c r="S2219" s="91">
        <v>0</v>
      </c>
      <c r="T2219" s="91"/>
      <c r="U2219" s="91"/>
      <c r="V2219" s="91"/>
      <c r="W2219" s="91"/>
      <c r="X2219" s="91"/>
      <c r="Y2219" s="91"/>
      <c r="Z2219" s="91"/>
      <c r="AA2219" s="91"/>
      <c r="AB2219" s="91"/>
      <c r="AC2219" s="91"/>
      <c r="AD2219" s="91"/>
      <c r="AE2219" s="91"/>
      <c r="AF2219" s="91"/>
      <c r="AG2219" s="91"/>
      <c r="AH2219" s="91"/>
      <c r="AI2219" s="91"/>
      <c r="AJ2219" s="91"/>
      <c r="AK2219" s="91"/>
      <c r="AL2219" s="91"/>
      <c r="AM2219" s="91"/>
    </row>
    <row r="2220" spans="1:39" ht="20.25" hidden="1" customHeight="1">
      <c r="A2220" s="91"/>
      <c r="B2220" s="93" t="s">
        <v>7126</v>
      </c>
      <c r="C2220" s="91" t="s">
        <v>36</v>
      </c>
      <c r="D2220" s="106" t="s">
        <v>690</v>
      </c>
      <c r="E2220" s="106" t="s">
        <v>7204</v>
      </c>
      <c r="F2220" s="92" t="s">
        <v>7205</v>
      </c>
      <c r="G2220" s="103">
        <v>28562</v>
      </c>
      <c r="H2220" s="103">
        <v>17250</v>
      </c>
      <c r="I2220" s="108" t="s">
        <v>12542</v>
      </c>
      <c r="J2220" s="94" t="s">
        <v>7206</v>
      </c>
      <c r="K2220" s="92">
        <v>9566428406</v>
      </c>
      <c r="L2220" s="91" t="s">
        <v>54</v>
      </c>
      <c r="M2220" s="98">
        <f ca="1">(TODAY()-H2220)/365</f>
        <v>78.772602739726025</v>
      </c>
      <c r="N2220" s="99">
        <f>(G2220-H2220)/365</f>
        <v>30.991780821917807</v>
      </c>
      <c r="O2220" s="98">
        <f ca="1">(TODAY()-G2220)/365</f>
        <v>47.780821917808218</v>
      </c>
      <c r="P2220" s="91" t="s">
        <v>43</v>
      </c>
      <c r="Q2220" s="91">
        <v>0</v>
      </c>
      <c r="R2220" s="91">
        <v>0</v>
      </c>
      <c r="S2220" s="91">
        <v>0</v>
      </c>
      <c r="T2220" s="91"/>
      <c r="U2220" s="91"/>
      <c r="V2220" s="91"/>
      <c r="W2220" s="91"/>
      <c r="X2220" s="91"/>
      <c r="Y2220" s="91"/>
      <c r="Z2220" s="91"/>
      <c r="AA2220" s="91"/>
      <c r="AB2220" s="91"/>
      <c r="AC2220" s="91"/>
      <c r="AD2220" s="91"/>
      <c r="AE2220" s="91"/>
      <c r="AF2220" s="91"/>
      <c r="AG2220" s="91"/>
      <c r="AH2220" s="91"/>
      <c r="AI2220" s="91"/>
      <c r="AJ2220" s="91"/>
      <c r="AK2220" s="91"/>
      <c r="AL2220" s="91"/>
      <c r="AM2220" s="91"/>
    </row>
    <row r="2221" spans="1:39" ht="20.25" hidden="1" customHeight="1">
      <c r="A2221" s="91"/>
      <c r="B2221" s="93" t="s">
        <v>7126</v>
      </c>
      <c r="C2221" s="91" t="s">
        <v>36</v>
      </c>
      <c r="D2221" s="106" t="s">
        <v>7207</v>
      </c>
      <c r="E2221" s="106" t="s">
        <v>7208</v>
      </c>
      <c r="F2221" s="92" t="s">
        <v>7209</v>
      </c>
      <c r="G2221" s="103">
        <v>31506</v>
      </c>
      <c r="H2221" s="103">
        <v>17175</v>
      </c>
      <c r="I2221" s="108" t="s">
        <v>12543</v>
      </c>
      <c r="J2221" s="94" t="s">
        <v>7210</v>
      </c>
      <c r="K2221" s="92">
        <v>98738787</v>
      </c>
      <c r="L2221" s="91" t="s">
        <v>60</v>
      </c>
      <c r="M2221" s="98">
        <f ca="1">(TODAY()-H2221)/365</f>
        <v>78.978082191780828</v>
      </c>
      <c r="N2221" s="99">
        <f>(G2221-H2221)/365</f>
        <v>39.263013698630139</v>
      </c>
      <c r="O2221" s="98">
        <f ca="1">(TODAY()-G2221)/365</f>
        <v>39.715068493150682</v>
      </c>
      <c r="P2221" s="91" t="s">
        <v>272</v>
      </c>
      <c r="Q2221" s="91">
        <v>0</v>
      </c>
      <c r="R2221" s="91">
        <v>0</v>
      </c>
      <c r="S2221" s="91">
        <v>0</v>
      </c>
      <c r="T2221" s="91"/>
      <c r="U2221" s="91"/>
      <c r="V2221" s="91"/>
      <c r="W2221" s="91"/>
      <c r="X2221" s="91"/>
      <c r="Y2221" s="91"/>
      <c r="Z2221" s="91"/>
      <c r="AA2221" s="91"/>
      <c r="AB2221" s="91"/>
      <c r="AC2221" s="91"/>
      <c r="AD2221" s="91"/>
      <c r="AE2221" s="91"/>
      <c r="AF2221" s="91"/>
      <c r="AG2221" s="91"/>
      <c r="AH2221" s="91"/>
      <c r="AI2221" s="91"/>
      <c r="AJ2221" s="91"/>
      <c r="AK2221" s="91"/>
      <c r="AL2221" s="91"/>
      <c r="AM2221" s="91"/>
    </row>
    <row r="2222" spans="1:39" ht="20.25" customHeight="1">
      <c r="A2222" s="91"/>
      <c r="B2222" s="93" t="s">
        <v>5484</v>
      </c>
      <c r="C2222" s="91" t="s">
        <v>73</v>
      </c>
      <c r="D2222" s="107" t="s">
        <v>5678</v>
      </c>
      <c r="E2222" s="107" t="s">
        <v>5679</v>
      </c>
      <c r="F2222" s="91" t="s">
        <v>5680</v>
      </c>
      <c r="G2222" s="97" t="s">
        <v>58</v>
      </c>
      <c r="H2222" s="97" t="s">
        <v>58</v>
      </c>
      <c r="I2222" s="100" t="s">
        <v>58</v>
      </c>
      <c r="J2222" s="100" t="s">
        <v>58</v>
      </c>
      <c r="K2222" s="91" t="s">
        <v>58</v>
      </c>
      <c r="L2222" s="91" t="s">
        <v>60</v>
      </c>
      <c r="M2222" s="98">
        <v>0</v>
      </c>
      <c r="N2222" s="91"/>
      <c r="O2222" s="98" t="e">
        <f ca="1">(TODAY()-G2222)/365</f>
        <v>#VALUE!</v>
      </c>
      <c r="P2222" s="91" t="s">
        <v>43</v>
      </c>
      <c r="Q2222" s="91">
        <v>0</v>
      </c>
      <c r="R2222" s="91">
        <v>0</v>
      </c>
      <c r="S2222" s="91">
        <v>0</v>
      </c>
      <c r="T2222" s="91"/>
      <c r="U2222" s="91"/>
      <c r="V2222" s="91"/>
      <c r="W2222" s="91"/>
      <c r="X2222" s="91"/>
      <c r="Y2222" s="91"/>
      <c r="Z2222" s="91"/>
      <c r="AA2222" s="91"/>
      <c r="AB2222" s="91"/>
      <c r="AC2222" s="91"/>
      <c r="AD2222" s="91"/>
      <c r="AE2222" s="91"/>
      <c r="AF2222" s="91"/>
      <c r="AG2222" s="91"/>
      <c r="AH2222" s="91"/>
      <c r="AI2222" s="91"/>
      <c r="AJ2222" s="91"/>
      <c r="AK2222" s="91"/>
      <c r="AL2222" s="91"/>
      <c r="AM2222" s="91"/>
    </row>
    <row r="2223" spans="1:39" ht="20.25" hidden="1" customHeight="1">
      <c r="A2223" s="91"/>
      <c r="B2223" s="93" t="s">
        <v>7126</v>
      </c>
      <c r="C2223" s="91" t="s">
        <v>36</v>
      </c>
      <c r="D2223" s="106" t="s">
        <v>517</v>
      </c>
      <c r="E2223" s="106" t="s">
        <v>7212</v>
      </c>
      <c r="F2223" s="92" t="s">
        <v>7213</v>
      </c>
      <c r="G2223" s="103">
        <v>33689</v>
      </c>
      <c r="H2223" s="103">
        <v>18564</v>
      </c>
      <c r="I2223" s="94" t="s">
        <v>4486</v>
      </c>
      <c r="J2223" s="94" t="s">
        <v>7214</v>
      </c>
      <c r="K2223" s="92">
        <v>966490509</v>
      </c>
      <c r="L2223" s="91" t="s">
        <v>60</v>
      </c>
      <c r="M2223" s="98">
        <f ca="1">(TODAY()-H2223)/365</f>
        <v>75.172602739726031</v>
      </c>
      <c r="N2223" s="99">
        <f>(G2223-H2223)/365</f>
        <v>41.438356164383563</v>
      </c>
      <c r="O2223" s="98">
        <f ca="1">(TODAY()-G2223)/365</f>
        <v>33.734246575342468</v>
      </c>
      <c r="P2223" s="91" t="s">
        <v>43</v>
      </c>
      <c r="Q2223" s="91">
        <v>0</v>
      </c>
      <c r="R2223" s="91">
        <v>0</v>
      </c>
      <c r="S2223" s="91">
        <v>0</v>
      </c>
      <c r="T2223" s="91"/>
      <c r="U2223" s="91"/>
      <c r="V2223" s="91"/>
      <c r="W2223" s="91"/>
      <c r="X2223" s="91"/>
      <c r="Y2223" s="91"/>
      <c r="Z2223" s="91"/>
      <c r="AA2223" s="91"/>
      <c r="AB2223" s="91"/>
      <c r="AC2223" s="91"/>
      <c r="AD2223" s="91"/>
      <c r="AE2223" s="91"/>
      <c r="AF2223" s="91"/>
      <c r="AG2223" s="91"/>
      <c r="AH2223" s="91"/>
      <c r="AI2223" s="91"/>
      <c r="AJ2223" s="91"/>
      <c r="AK2223" s="91"/>
      <c r="AL2223" s="91"/>
      <c r="AM2223" s="91"/>
    </row>
    <row r="2224" spans="1:39" ht="20.25" hidden="1" customHeight="1">
      <c r="A2224" s="91"/>
      <c r="B2224" s="93" t="s">
        <v>7126</v>
      </c>
      <c r="C2224" s="91" t="s">
        <v>36</v>
      </c>
      <c r="D2224" s="106" t="s">
        <v>7215</v>
      </c>
      <c r="E2224" s="106" t="s">
        <v>7216</v>
      </c>
      <c r="F2224" s="92" t="s">
        <v>7217</v>
      </c>
      <c r="G2224" s="103">
        <v>42837</v>
      </c>
      <c r="H2224" s="103">
        <v>31755</v>
      </c>
      <c r="I2224" s="108" t="s">
        <v>12544</v>
      </c>
      <c r="J2224" s="94" t="s">
        <v>7218</v>
      </c>
      <c r="K2224" s="92">
        <v>977699547</v>
      </c>
      <c r="L2224" s="91" t="s">
        <v>60</v>
      </c>
      <c r="M2224" s="98">
        <f ca="1">(TODAY()-H2224)/365</f>
        <v>39.032876712328765</v>
      </c>
      <c r="N2224" s="99">
        <f>(G2224-H2224)/365</f>
        <v>30.361643835616437</v>
      </c>
      <c r="O2224" s="98">
        <f ca="1">(TODAY()-G2224)/365</f>
        <v>8.6712328767123292</v>
      </c>
      <c r="P2224" s="91" t="s">
        <v>43</v>
      </c>
      <c r="Q2224" s="91">
        <v>0</v>
      </c>
      <c r="R2224" s="91">
        <v>0</v>
      </c>
      <c r="S2224" s="91">
        <v>0</v>
      </c>
      <c r="T2224" s="91"/>
      <c r="U2224" s="91"/>
      <c r="V2224" s="91"/>
      <c r="W2224" s="91"/>
      <c r="X2224" s="91"/>
      <c r="Y2224" s="91"/>
      <c r="Z2224" s="91"/>
      <c r="AA2224" s="91"/>
      <c r="AB2224" s="91"/>
      <c r="AC2224" s="91"/>
      <c r="AD2224" s="91"/>
      <c r="AE2224" s="91"/>
      <c r="AF2224" s="91"/>
      <c r="AG2224" s="91"/>
      <c r="AH2224" s="91"/>
      <c r="AI2224" s="91"/>
      <c r="AJ2224" s="91"/>
      <c r="AK2224" s="91"/>
      <c r="AL2224" s="91"/>
      <c r="AM2224" s="91"/>
    </row>
    <row r="2225" spans="1:39" ht="20.25" hidden="1" customHeight="1">
      <c r="A2225" s="91"/>
      <c r="B2225" s="93" t="s">
        <v>7126</v>
      </c>
      <c r="C2225" s="91" t="s">
        <v>36</v>
      </c>
      <c r="D2225" s="106" t="s">
        <v>716</v>
      </c>
      <c r="E2225" s="106" t="s">
        <v>7219</v>
      </c>
      <c r="F2225" s="92" t="s">
        <v>7220</v>
      </c>
      <c r="G2225" s="103">
        <v>36619</v>
      </c>
      <c r="H2225" s="103">
        <v>21954</v>
      </c>
      <c r="I2225" s="108" t="s">
        <v>12545</v>
      </c>
      <c r="J2225" s="94" t="s">
        <v>7221</v>
      </c>
      <c r="K2225" s="92">
        <v>988931011</v>
      </c>
      <c r="L2225" s="91" t="s">
        <v>151</v>
      </c>
      <c r="M2225" s="98">
        <f ca="1">(TODAY()-H2225)/365</f>
        <v>65.884931506849313</v>
      </c>
      <c r="N2225" s="99">
        <f>(G2225-H2225)/365</f>
        <v>40.178082191780824</v>
      </c>
      <c r="O2225" s="98">
        <f ca="1">(TODAY()-G2225)/365</f>
        <v>25.706849315068492</v>
      </c>
      <c r="P2225" s="91" t="s">
        <v>43</v>
      </c>
      <c r="Q2225" s="91">
        <v>0</v>
      </c>
      <c r="R2225" s="91">
        <v>0</v>
      </c>
      <c r="S2225" s="91">
        <v>0</v>
      </c>
      <c r="T2225" s="91"/>
      <c r="U2225" s="91"/>
      <c r="V2225" s="91"/>
      <c r="W2225" s="91"/>
      <c r="X2225" s="91"/>
      <c r="Y2225" s="91"/>
      <c r="Z2225" s="91"/>
      <c r="AA2225" s="91"/>
      <c r="AB2225" s="91"/>
      <c r="AC2225" s="91"/>
      <c r="AD2225" s="91"/>
      <c r="AE2225" s="91"/>
      <c r="AF2225" s="91"/>
      <c r="AG2225" s="91"/>
      <c r="AH2225" s="91"/>
      <c r="AI2225" s="91"/>
      <c r="AJ2225" s="91"/>
      <c r="AK2225" s="91"/>
      <c r="AL2225" s="91"/>
      <c r="AM2225" s="91"/>
    </row>
    <row r="2226" spans="1:39" ht="20.25" hidden="1" customHeight="1">
      <c r="A2226" s="91"/>
      <c r="B2226" s="93" t="s">
        <v>7126</v>
      </c>
      <c r="C2226" s="91" t="s">
        <v>36</v>
      </c>
      <c r="D2226" s="106" t="s">
        <v>376</v>
      </c>
      <c r="E2226" s="106" t="s">
        <v>7222</v>
      </c>
      <c r="F2226" s="92" t="s">
        <v>7223</v>
      </c>
      <c r="G2226" s="103">
        <v>41722</v>
      </c>
      <c r="H2226" s="103">
        <v>24332</v>
      </c>
      <c r="I2226" s="108" t="s">
        <v>12546</v>
      </c>
      <c r="J2226" s="94" t="s">
        <v>7224</v>
      </c>
      <c r="K2226" s="92">
        <v>956738211</v>
      </c>
      <c r="L2226" s="91" t="s">
        <v>60</v>
      </c>
      <c r="M2226" s="98">
        <f ca="1">(TODAY()-H2226)/365</f>
        <v>59.369863013698627</v>
      </c>
      <c r="N2226" s="99">
        <f>(G2226-H2226)/365</f>
        <v>47.643835616438359</v>
      </c>
      <c r="O2226" s="98">
        <f ca="1">(TODAY()-G2226)/365</f>
        <v>11.726027397260275</v>
      </c>
      <c r="P2226" s="91" t="s">
        <v>43</v>
      </c>
      <c r="Q2226" s="91">
        <v>0</v>
      </c>
      <c r="R2226" s="91">
        <v>0</v>
      </c>
      <c r="S2226" s="91">
        <v>0</v>
      </c>
      <c r="T2226" s="91"/>
      <c r="U2226" s="91"/>
      <c r="V2226" s="91"/>
      <c r="W2226" s="91"/>
      <c r="X2226" s="91"/>
      <c r="Y2226" s="91"/>
      <c r="Z2226" s="91"/>
      <c r="AA2226" s="91"/>
      <c r="AB2226" s="91"/>
      <c r="AC2226" s="91"/>
      <c r="AD2226" s="91"/>
      <c r="AE2226" s="91"/>
      <c r="AF2226" s="91"/>
      <c r="AG2226" s="91"/>
      <c r="AH2226" s="91"/>
      <c r="AI2226" s="91"/>
      <c r="AJ2226" s="91"/>
      <c r="AK2226" s="91"/>
      <c r="AL2226" s="91"/>
      <c r="AM2226" s="91"/>
    </row>
    <row r="2227" spans="1:39" ht="20.25" hidden="1" customHeight="1">
      <c r="A2227" s="91"/>
      <c r="B2227" s="93" t="s">
        <v>7126</v>
      </c>
      <c r="C2227" s="91" t="s">
        <v>36</v>
      </c>
      <c r="D2227" s="106" t="s">
        <v>930</v>
      </c>
      <c r="E2227" s="106" t="s">
        <v>7222</v>
      </c>
      <c r="F2227" s="92" t="s">
        <v>7225</v>
      </c>
      <c r="G2227" s="103">
        <v>38049</v>
      </c>
      <c r="H2227" s="103">
        <v>23030</v>
      </c>
      <c r="I2227" s="108" t="s">
        <v>12547</v>
      </c>
      <c r="J2227" s="94" t="s">
        <v>7226</v>
      </c>
      <c r="K2227" s="92">
        <v>965363130</v>
      </c>
      <c r="L2227" s="91" t="s">
        <v>60</v>
      </c>
      <c r="M2227" s="98">
        <f ca="1">(TODAY()-H2227)/365</f>
        <v>62.936986301369863</v>
      </c>
      <c r="N2227" s="99">
        <f>(G2227-H2227)/365</f>
        <v>41.147945205479452</v>
      </c>
      <c r="O2227" s="98">
        <f ca="1">(TODAY()-G2227)/365</f>
        <v>21.789041095890411</v>
      </c>
      <c r="P2227" s="91" t="s">
        <v>43</v>
      </c>
      <c r="Q2227" s="91">
        <v>0</v>
      </c>
      <c r="R2227" s="91">
        <v>0</v>
      </c>
      <c r="S2227" s="91">
        <v>0</v>
      </c>
      <c r="T2227" s="91"/>
      <c r="U2227" s="91"/>
      <c r="V2227" s="91"/>
      <c r="W2227" s="91"/>
      <c r="X2227" s="91"/>
      <c r="Y2227" s="91"/>
      <c r="Z2227" s="91"/>
      <c r="AA2227" s="91"/>
      <c r="AB2227" s="91"/>
      <c r="AC2227" s="91"/>
      <c r="AD2227" s="91"/>
      <c r="AE2227" s="91"/>
      <c r="AF2227" s="91"/>
      <c r="AG2227" s="91"/>
      <c r="AH2227" s="91"/>
      <c r="AI2227" s="91"/>
      <c r="AJ2227" s="91"/>
      <c r="AK2227" s="91"/>
      <c r="AL2227" s="91"/>
      <c r="AM2227" s="91"/>
    </row>
    <row r="2228" spans="1:39" ht="20.25" hidden="1" customHeight="1">
      <c r="A2228" s="91"/>
      <c r="B2228" s="93" t="s">
        <v>7126</v>
      </c>
      <c r="C2228" s="91" t="s">
        <v>36</v>
      </c>
      <c r="D2228" s="106" t="s">
        <v>4672</v>
      </c>
      <c r="E2228" s="106" t="s">
        <v>7227</v>
      </c>
      <c r="F2228" s="92" t="s">
        <v>7228</v>
      </c>
      <c r="G2228" s="103">
        <v>33859</v>
      </c>
      <c r="H2228" s="103">
        <v>19614</v>
      </c>
      <c r="I2228" s="108" t="s">
        <v>12548</v>
      </c>
      <c r="J2228" s="94" t="s">
        <v>7195</v>
      </c>
      <c r="K2228" s="92">
        <v>995681873</v>
      </c>
      <c r="L2228" s="91" t="s">
        <v>60</v>
      </c>
      <c r="M2228" s="98">
        <f ca="1">(TODAY()-H2228)/365</f>
        <v>72.295890410958904</v>
      </c>
      <c r="N2228" s="99">
        <f>(G2228-H2228)/365</f>
        <v>39.027397260273972</v>
      </c>
      <c r="O2228" s="98">
        <f ca="1">(TODAY()-G2228)/365</f>
        <v>33.268493150684932</v>
      </c>
      <c r="P2228" s="91" t="s">
        <v>43</v>
      </c>
      <c r="Q2228" s="91">
        <v>0</v>
      </c>
      <c r="R2228" s="91">
        <v>0</v>
      </c>
      <c r="S2228" s="91">
        <v>0</v>
      </c>
      <c r="T2228" s="91"/>
      <c r="U2228" s="91"/>
      <c r="V2228" s="91"/>
      <c r="W2228" s="91"/>
      <c r="X2228" s="91"/>
      <c r="Y2228" s="91"/>
      <c r="Z2228" s="91"/>
      <c r="AA2228" s="91"/>
      <c r="AB2228" s="91"/>
      <c r="AC2228" s="91"/>
      <c r="AD2228" s="91"/>
      <c r="AE2228" s="91"/>
      <c r="AF2228" s="91"/>
      <c r="AG2228" s="91"/>
      <c r="AH2228" s="91"/>
      <c r="AI2228" s="91"/>
      <c r="AJ2228" s="91"/>
      <c r="AK2228" s="91"/>
      <c r="AL2228" s="91"/>
      <c r="AM2228" s="91"/>
    </row>
    <row r="2229" spans="1:39" ht="20.25" hidden="1" customHeight="1">
      <c r="A2229" s="91"/>
      <c r="B2229" s="93" t="s">
        <v>7126</v>
      </c>
      <c r="C2229" s="91" t="s">
        <v>36</v>
      </c>
      <c r="D2229" s="106" t="s">
        <v>646</v>
      </c>
      <c r="E2229" s="106" t="s">
        <v>7229</v>
      </c>
      <c r="F2229" s="92" t="s">
        <v>7230</v>
      </c>
      <c r="G2229" s="103">
        <v>39920</v>
      </c>
      <c r="H2229" s="103">
        <v>25712</v>
      </c>
      <c r="I2229" s="108" t="s">
        <v>12549</v>
      </c>
      <c r="J2229" s="94" t="s">
        <v>7231</v>
      </c>
      <c r="K2229" s="92">
        <v>967115107</v>
      </c>
      <c r="L2229" s="91" t="s">
        <v>60</v>
      </c>
      <c r="M2229" s="98">
        <f ca="1">(TODAY()-H2229)/365</f>
        <v>55.589041095890408</v>
      </c>
      <c r="N2229" s="99">
        <f>(G2229-H2229)/365</f>
        <v>38.926027397260277</v>
      </c>
      <c r="O2229" s="98">
        <f ca="1">(TODAY()-G2229)/365</f>
        <v>16.663013698630138</v>
      </c>
      <c r="P2229" s="91" t="s">
        <v>272</v>
      </c>
      <c r="Q2229" s="91">
        <v>0</v>
      </c>
      <c r="R2229" s="91">
        <v>0</v>
      </c>
      <c r="S2229" s="91">
        <v>0</v>
      </c>
      <c r="T2229" s="91"/>
      <c r="U2229" s="91"/>
      <c r="V2229" s="91"/>
      <c r="W2229" s="91"/>
      <c r="X2229" s="91"/>
      <c r="Y2229" s="91"/>
      <c r="Z2229" s="91"/>
      <c r="AA2229" s="91"/>
      <c r="AB2229" s="91"/>
      <c r="AC2229" s="91"/>
      <c r="AD2229" s="91"/>
      <c r="AE2229" s="91"/>
      <c r="AF2229" s="91"/>
      <c r="AG2229" s="91"/>
      <c r="AH2229" s="91"/>
      <c r="AI2229" s="91"/>
      <c r="AJ2229" s="91"/>
      <c r="AK2229" s="91"/>
      <c r="AL2229" s="91"/>
      <c r="AM2229" s="91"/>
    </row>
    <row r="2230" spans="1:39" ht="20.25" hidden="1" customHeight="1">
      <c r="A2230" s="91"/>
      <c r="B2230" s="93" t="s">
        <v>7126</v>
      </c>
      <c r="C2230" s="91" t="s">
        <v>36</v>
      </c>
      <c r="D2230" s="106" t="s">
        <v>180</v>
      </c>
      <c r="E2230" s="106" t="s">
        <v>7232</v>
      </c>
      <c r="F2230" s="92" t="s">
        <v>7233</v>
      </c>
      <c r="G2230" s="103">
        <v>33302</v>
      </c>
      <c r="H2230" s="103">
        <v>18896</v>
      </c>
      <c r="I2230" s="94" t="s">
        <v>4486</v>
      </c>
      <c r="J2230" s="94" t="s">
        <v>7234</v>
      </c>
      <c r="K2230" s="92">
        <v>999311538</v>
      </c>
      <c r="L2230" s="91" t="s">
        <v>60</v>
      </c>
      <c r="M2230" s="98">
        <f ca="1">(TODAY()-H2230)/365</f>
        <v>74.263013698630132</v>
      </c>
      <c r="N2230" s="99">
        <f>(G2230-H2230)/365</f>
        <v>39.468493150684928</v>
      </c>
      <c r="O2230" s="98">
        <f ca="1">(TODAY()-G2230)/365</f>
        <v>34.794520547945204</v>
      </c>
      <c r="P2230" s="91" t="s">
        <v>43</v>
      </c>
      <c r="Q2230" s="91">
        <v>0</v>
      </c>
      <c r="R2230" s="91">
        <v>0</v>
      </c>
      <c r="S2230" s="91">
        <v>0</v>
      </c>
      <c r="T2230" s="91"/>
      <c r="U2230" s="91"/>
      <c r="V2230" s="91"/>
      <c r="W2230" s="91"/>
      <c r="X2230" s="91"/>
      <c r="Y2230" s="91"/>
      <c r="Z2230" s="91"/>
      <c r="AA2230" s="91"/>
      <c r="AB2230" s="91"/>
      <c r="AC2230" s="91"/>
      <c r="AD2230" s="91"/>
      <c r="AE2230" s="91"/>
      <c r="AF2230" s="91"/>
      <c r="AG2230" s="91"/>
      <c r="AH2230" s="91"/>
      <c r="AI2230" s="91"/>
      <c r="AJ2230" s="91"/>
      <c r="AK2230" s="91"/>
      <c r="AL2230" s="91"/>
      <c r="AM2230" s="91"/>
    </row>
    <row r="2231" spans="1:39" ht="20.25" hidden="1" customHeight="1">
      <c r="A2231" s="91"/>
      <c r="B2231" s="93" t="s">
        <v>7126</v>
      </c>
      <c r="C2231" s="91" t="s">
        <v>36</v>
      </c>
      <c r="D2231" s="106" t="s">
        <v>431</v>
      </c>
      <c r="E2231" s="106" t="s">
        <v>7235</v>
      </c>
      <c r="F2231" s="92" t="s">
        <v>7236</v>
      </c>
      <c r="G2231" s="103">
        <v>42818</v>
      </c>
      <c r="H2231" s="103">
        <v>37105</v>
      </c>
      <c r="I2231" s="108" t="s">
        <v>12550</v>
      </c>
      <c r="J2231" s="94" t="s">
        <v>7237</v>
      </c>
      <c r="K2231" s="92">
        <v>963888200</v>
      </c>
      <c r="L2231" s="91" t="s">
        <v>60</v>
      </c>
      <c r="M2231" s="98">
        <f ca="1">(TODAY()-H2231)/365</f>
        <v>24.375342465753423</v>
      </c>
      <c r="N2231" s="99">
        <f>(G2231-H2231)/365</f>
        <v>15.652054794520549</v>
      </c>
      <c r="O2231" s="98">
        <f ca="1">(TODAY()-G2231)/365</f>
        <v>8.7232876712328764</v>
      </c>
      <c r="P2231" s="91" t="s">
        <v>43</v>
      </c>
      <c r="Q2231" s="91">
        <v>0</v>
      </c>
      <c r="R2231" s="91">
        <v>0</v>
      </c>
      <c r="S2231" s="91">
        <v>0</v>
      </c>
      <c r="T2231" s="91"/>
      <c r="U2231" s="91"/>
      <c r="V2231" s="91"/>
      <c r="W2231" s="91"/>
      <c r="X2231" s="91"/>
      <c r="Y2231" s="91"/>
      <c r="Z2231" s="91"/>
      <c r="AA2231" s="91"/>
      <c r="AB2231" s="91"/>
      <c r="AC2231" s="91"/>
      <c r="AD2231" s="91"/>
      <c r="AE2231" s="91"/>
      <c r="AF2231" s="91"/>
      <c r="AG2231" s="91"/>
      <c r="AH2231" s="91"/>
      <c r="AI2231" s="91"/>
      <c r="AJ2231" s="91"/>
      <c r="AK2231" s="91"/>
      <c r="AL2231" s="91"/>
      <c r="AM2231" s="91"/>
    </row>
    <row r="2232" spans="1:39" ht="20.25" hidden="1" customHeight="1">
      <c r="A2232" s="91"/>
      <c r="B2232" s="93" t="s">
        <v>7126</v>
      </c>
      <c r="C2232" s="91" t="s">
        <v>36</v>
      </c>
      <c r="D2232" s="106" t="s">
        <v>5296</v>
      </c>
      <c r="E2232" s="106" t="s">
        <v>7238</v>
      </c>
      <c r="F2232" s="92" t="s">
        <v>7239</v>
      </c>
      <c r="G2232" s="103">
        <v>37362</v>
      </c>
      <c r="H2232" s="103">
        <v>17526</v>
      </c>
      <c r="I2232" s="94" t="s">
        <v>4486</v>
      </c>
      <c r="J2232" s="94" t="s">
        <v>7240</v>
      </c>
      <c r="K2232" s="92">
        <v>977663454</v>
      </c>
      <c r="L2232" s="91" t="s">
        <v>60</v>
      </c>
      <c r="M2232" s="98">
        <f ca="1">(TODAY()-H2232)/365</f>
        <v>78.016438356164386</v>
      </c>
      <c r="N2232" s="99">
        <f>(G2232-H2232)/365</f>
        <v>54.345205479452055</v>
      </c>
      <c r="O2232" s="98">
        <f ca="1">(TODAY()-G2232)/365</f>
        <v>23.671232876712327</v>
      </c>
      <c r="P2232" s="91" t="s">
        <v>43</v>
      </c>
      <c r="Q2232" s="91">
        <v>0</v>
      </c>
      <c r="R2232" s="91">
        <v>0</v>
      </c>
      <c r="S2232" s="91">
        <v>0</v>
      </c>
      <c r="T2232" s="91"/>
      <c r="U2232" s="91"/>
      <c r="V2232" s="91"/>
      <c r="W2232" s="91"/>
      <c r="X2232" s="91"/>
      <c r="Y2232" s="91"/>
      <c r="Z2232" s="91"/>
      <c r="AA2232" s="91"/>
      <c r="AB2232" s="91"/>
      <c r="AC2232" s="91"/>
      <c r="AD2232" s="91"/>
      <c r="AE2232" s="91"/>
      <c r="AF2232" s="91"/>
      <c r="AG2232" s="91"/>
      <c r="AH2232" s="91"/>
      <c r="AI2232" s="91"/>
      <c r="AJ2232" s="91"/>
      <c r="AK2232" s="91"/>
      <c r="AL2232" s="91"/>
      <c r="AM2232" s="91"/>
    </row>
    <row r="2233" spans="1:39" ht="20.25" hidden="1" customHeight="1">
      <c r="A2233" s="91"/>
      <c r="B2233" s="93" t="s">
        <v>7126</v>
      </c>
      <c r="C2233" s="91" t="s">
        <v>36</v>
      </c>
      <c r="D2233" s="106" t="s">
        <v>6741</v>
      </c>
      <c r="E2233" s="106" t="s">
        <v>7241</v>
      </c>
      <c r="F2233" s="92" t="s">
        <v>7242</v>
      </c>
      <c r="G2233" s="103">
        <v>41351</v>
      </c>
      <c r="H2233" s="103">
        <v>20008</v>
      </c>
      <c r="I2233" s="108" t="s">
        <v>12551</v>
      </c>
      <c r="J2233" s="94" t="s">
        <v>7243</v>
      </c>
      <c r="K2233" s="92">
        <v>984610893</v>
      </c>
      <c r="L2233" s="91" t="s">
        <v>60</v>
      </c>
      <c r="M2233" s="98">
        <f ca="1">(TODAY()-H2233)/365</f>
        <v>71.216438356164389</v>
      </c>
      <c r="N2233" s="99">
        <f>(G2233-H2233)/365</f>
        <v>58.473972602739728</v>
      </c>
      <c r="O2233" s="98">
        <f ca="1">(TODAY()-G2233)/365</f>
        <v>12.742465753424657</v>
      </c>
      <c r="P2233" s="91" t="s">
        <v>43</v>
      </c>
      <c r="Q2233" s="91">
        <v>0</v>
      </c>
      <c r="R2233" s="91">
        <v>0</v>
      </c>
      <c r="S2233" s="91">
        <v>0</v>
      </c>
      <c r="T2233" s="91"/>
      <c r="U2233" s="91"/>
      <c r="V2233" s="91"/>
      <c r="W2233" s="91"/>
      <c r="X2233" s="91"/>
      <c r="Y2233" s="91"/>
      <c r="Z2233" s="91"/>
      <c r="AA2233" s="91"/>
      <c r="AB2233" s="91"/>
      <c r="AC2233" s="91"/>
      <c r="AD2233" s="91"/>
      <c r="AE2233" s="91"/>
      <c r="AF2233" s="91"/>
      <c r="AG2233" s="91"/>
      <c r="AH2233" s="91"/>
      <c r="AI2233" s="91"/>
      <c r="AJ2233" s="91"/>
      <c r="AK2233" s="91"/>
      <c r="AL2233" s="91"/>
      <c r="AM2233" s="91"/>
    </row>
    <row r="2234" spans="1:39" ht="20.25" hidden="1" customHeight="1">
      <c r="A2234" s="91"/>
      <c r="B2234" s="93" t="s">
        <v>7126</v>
      </c>
      <c r="C2234" s="91" t="s">
        <v>36</v>
      </c>
      <c r="D2234" s="106" t="s">
        <v>291</v>
      </c>
      <c r="E2234" s="106" t="s">
        <v>7244</v>
      </c>
      <c r="F2234" s="92" t="s">
        <v>7245</v>
      </c>
      <c r="G2234" s="103">
        <v>34788</v>
      </c>
      <c r="H2234" s="103">
        <v>15621</v>
      </c>
      <c r="I2234" s="94" t="s">
        <v>4486</v>
      </c>
      <c r="J2234" s="94" t="s">
        <v>7246</v>
      </c>
      <c r="K2234" s="92">
        <v>984945242</v>
      </c>
      <c r="L2234" s="91" t="s">
        <v>60</v>
      </c>
      <c r="M2234" s="98">
        <f ca="1">(TODAY()-H2234)/365</f>
        <v>83.235616438356161</v>
      </c>
      <c r="N2234" s="99">
        <f>(G2234-H2234)/365</f>
        <v>52.512328767123286</v>
      </c>
      <c r="O2234" s="98">
        <f ca="1">(TODAY()-G2234)/365</f>
        <v>30.723287671232878</v>
      </c>
      <c r="P2234" s="91" t="s">
        <v>43</v>
      </c>
      <c r="Q2234" s="91">
        <v>0</v>
      </c>
      <c r="R2234" s="91">
        <v>0</v>
      </c>
      <c r="S2234" s="91">
        <v>0</v>
      </c>
      <c r="T2234" s="91"/>
      <c r="U2234" s="91"/>
      <c r="V2234" s="91"/>
      <c r="W2234" s="91"/>
      <c r="X2234" s="91"/>
      <c r="Y2234" s="91"/>
      <c r="Z2234" s="91"/>
      <c r="AA2234" s="91"/>
      <c r="AB2234" s="91"/>
      <c r="AC2234" s="91"/>
      <c r="AD2234" s="91"/>
      <c r="AE2234" s="91"/>
      <c r="AF2234" s="91"/>
      <c r="AG2234" s="91"/>
      <c r="AH2234" s="91"/>
      <c r="AI2234" s="91"/>
      <c r="AJ2234" s="91"/>
      <c r="AK2234" s="91"/>
      <c r="AL2234" s="91"/>
      <c r="AM2234" s="91"/>
    </row>
    <row r="2235" spans="1:39" ht="20.25" hidden="1" customHeight="1">
      <c r="A2235" s="91"/>
      <c r="B2235" s="93" t="s">
        <v>7126</v>
      </c>
      <c r="C2235" s="91" t="s">
        <v>36</v>
      </c>
      <c r="D2235" s="106" t="s">
        <v>284</v>
      </c>
      <c r="E2235" s="106" t="s">
        <v>7247</v>
      </c>
      <c r="F2235" s="92" t="s">
        <v>7248</v>
      </c>
      <c r="G2235" s="103">
        <v>43476</v>
      </c>
      <c r="H2235" s="103">
        <v>38549</v>
      </c>
      <c r="I2235" s="108" t="s">
        <v>12552</v>
      </c>
      <c r="J2235" s="94" t="s">
        <v>7249</v>
      </c>
      <c r="K2235" s="92">
        <v>953208908</v>
      </c>
      <c r="L2235" s="91" t="s">
        <v>60</v>
      </c>
      <c r="M2235" s="98">
        <f ca="1">(TODAY()-H2235)/365</f>
        <v>20.419178082191781</v>
      </c>
      <c r="N2235" s="99">
        <f>(G2235-H2235)/365</f>
        <v>13.498630136986302</v>
      </c>
      <c r="O2235" s="98">
        <f ca="1">(TODAY()-G2235)/365</f>
        <v>6.9205479452054792</v>
      </c>
      <c r="P2235" s="91" t="s">
        <v>43</v>
      </c>
      <c r="Q2235" s="91">
        <v>0</v>
      </c>
      <c r="R2235" s="91">
        <v>0</v>
      </c>
      <c r="S2235" s="91">
        <v>0</v>
      </c>
      <c r="T2235" s="91"/>
      <c r="U2235" s="91"/>
      <c r="V2235" s="91"/>
      <c r="W2235" s="91"/>
      <c r="X2235" s="91"/>
      <c r="Y2235" s="91"/>
      <c r="Z2235" s="91"/>
      <c r="AA2235" s="91"/>
      <c r="AB2235" s="91"/>
      <c r="AC2235" s="91"/>
      <c r="AD2235" s="91"/>
      <c r="AE2235" s="91"/>
      <c r="AF2235" s="91"/>
      <c r="AG2235" s="91"/>
      <c r="AH2235" s="91"/>
      <c r="AI2235" s="91"/>
      <c r="AJ2235" s="91"/>
      <c r="AK2235" s="91"/>
      <c r="AL2235" s="91"/>
      <c r="AM2235" s="91"/>
    </row>
    <row r="2236" spans="1:39" ht="20.25" hidden="1" customHeight="1">
      <c r="A2236" s="91"/>
      <c r="B2236" s="93" t="s">
        <v>7126</v>
      </c>
      <c r="C2236" s="91" t="s">
        <v>36</v>
      </c>
      <c r="D2236" s="106" t="s">
        <v>513</v>
      </c>
      <c r="E2236" s="106" t="s">
        <v>7250</v>
      </c>
      <c r="F2236" s="92" t="s">
        <v>7251</v>
      </c>
      <c r="G2236" s="103">
        <v>35128</v>
      </c>
      <c r="H2236" s="103">
        <v>22056</v>
      </c>
      <c r="I2236" s="108" t="s">
        <v>12553</v>
      </c>
      <c r="J2236" s="94" t="s">
        <v>7252</v>
      </c>
      <c r="K2236" s="92">
        <v>968221366</v>
      </c>
      <c r="L2236" s="91" t="s">
        <v>72</v>
      </c>
      <c r="M2236" s="98">
        <f ca="1">(TODAY()-H2236)/365</f>
        <v>65.605479452054794</v>
      </c>
      <c r="N2236" s="99">
        <f>(G2236-H2236)/365</f>
        <v>35.813698630136983</v>
      </c>
      <c r="O2236" s="98">
        <f ca="1">(TODAY()-G2236)/365</f>
        <v>29.791780821917808</v>
      </c>
      <c r="P2236" s="91" t="s">
        <v>43</v>
      </c>
      <c r="Q2236" s="91">
        <v>0</v>
      </c>
      <c r="R2236" s="91">
        <v>0</v>
      </c>
      <c r="S2236" s="91">
        <v>0</v>
      </c>
      <c r="T2236" s="91"/>
      <c r="U2236" s="91"/>
      <c r="V2236" s="91"/>
      <c r="W2236" s="91"/>
      <c r="X2236" s="91"/>
      <c r="Y2236" s="91"/>
      <c r="Z2236" s="91"/>
      <c r="AA2236" s="91"/>
      <c r="AB2236" s="91"/>
      <c r="AC2236" s="91"/>
      <c r="AD2236" s="91"/>
      <c r="AE2236" s="91"/>
      <c r="AF2236" s="91"/>
      <c r="AG2236" s="91"/>
      <c r="AH2236" s="91"/>
      <c r="AI2236" s="91"/>
      <c r="AJ2236" s="91"/>
      <c r="AK2236" s="91"/>
      <c r="AL2236" s="91"/>
      <c r="AM2236" s="91"/>
    </row>
    <row r="2237" spans="1:39" ht="20.25" hidden="1" customHeight="1">
      <c r="A2237" s="91"/>
      <c r="B2237" s="93" t="s">
        <v>7126</v>
      </c>
      <c r="C2237" s="91" t="s">
        <v>36</v>
      </c>
      <c r="D2237" s="106" t="s">
        <v>805</v>
      </c>
      <c r="E2237" s="106" t="s">
        <v>7250</v>
      </c>
      <c r="F2237" s="92" t="s">
        <v>7253</v>
      </c>
      <c r="G2237" s="103">
        <v>34788</v>
      </c>
      <c r="H2237" s="103">
        <v>18877</v>
      </c>
      <c r="I2237" s="94" t="s">
        <v>4486</v>
      </c>
      <c r="J2237" s="94" t="s">
        <v>7254</v>
      </c>
      <c r="K2237" s="92">
        <v>942930416</v>
      </c>
      <c r="L2237" s="91" t="s">
        <v>42</v>
      </c>
      <c r="M2237" s="98">
        <f ca="1">(TODAY()-H2237)/365</f>
        <v>74.31506849315069</v>
      </c>
      <c r="N2237" s="99">
        <f>(G2237-H2237)/365</f>
        <v>43.591780821917808</v>
      </c>
      <c r="O2237" s="98">
        <f ca="1">(TODAY()-G2237)/365</f>
        <v>30.723287671232878</v>
      </c>
      <c r="P2237" s="91" t="s">
        <v>43</v>
      </c>
      <c r="Q2237" s="91">
        <v>0</v>
      </c>
      <c r="R2237" s="91">
        <v>0</v>
      </c>
      <c r="S2237" s="91">
        <v>0</v>
      </c>
      <c r="T2237" s="91"/>
      <c r="U2237" s="91"/>
      <c r="V2237" s="91"/>
      <c r="W2237" s="91"/>
      <c r="X2237" s="91"/>
      <c r="Y2237" s="91"/>
      <c r="Z2237" s="91"/>
      <c r="AA2237" s="91"/>
      <c r="AB2237" s="91"/>
      <c r="AC2237" s="91"/>
      <c r="AD2237" s="91"/>
      <c r="AE2237" s="91"/>
      <c r="AF2237" s="91"/>
      <c r="AG2237" s="91"/>
      <c r="AH2237" s="91"/>
      <c r="AI2237" s="91"/>
      <c r="AJ2237" s="91"/>
      <c r="AK2237" s="91"/>
      <c r="AL2237" s="91"/>
      <c r="AM2237" s="91"/>
    </row>
    <row r="2238" spans="1:39" ht="20.25" hidden="1" customHeight="1">
      <c r="A2238" s="91"/>
      <c r="B2238" s="93" t="s">
        <v>7126</v>
      </c>
      <c r="C2238" s="91" t="s">
        <v>36</v>
      </c>
      <c r="D2238" s="106" t="s">
        <v>4623</v>
      </c>
      <c r="E2238" s="106" t="s">
        <v>7255</v>
      </c>
      <c r="F2238" s="92" t="s">
        <v>7256</v>
      </c>
      <c r="G2238" s="103">
        <v>38447</v>
      </c>
      <c r="H2238" s="103">
        <v>29725</v>
      </c>
      <c r="I2238" s="108" t="s">
        <v>12554</v>
      </c>
      <c r="J2238" s="94" t="s">
        <v>7257</v>
      </c>
      <c r="K2238" s="92">
        <v>977401869</v>
      </c>
      <c r="L2238" s="91" t="s">
        <v>60</v>
      </c>
      <c r="M2238" s="98">
        <f ca="1">(TODAY()-H2238)/365</f>
        <v>44.594520547945208</v>
      </c>
      <c r="N2238" s="99">
        <f>(G2238-H2238)/365</f>
        <v>23.895890410958906</v>
      </c>
      <c r="O2238" s="98">
        <f ca="1">(TODAY()-G2238)/365</f>
        <v>20.698630136986303</v>
      </c>
      <c r="P2238" s="91" t="s">
        <v>43</v>
      </c>
      <c r="Q2238" s="91">
        <v>0</v>
      </c>
      <c r="R2238" s="91">
        <v>0</v>
      </c>
      <c r="S2238" s="91">
        <v>0</v>
      </c>
      <c r="T2238" s="91"/>
      <c r="U2238" s="91"/>
      <c r="V2238" s="91"/>
      <c r="W2238" s="91"/>
      <c r="X2238" s="91"/>
      <c r="Y2238" s="91"/>
      <c r="Z2238" s="91"/>
      <c r="AA2238" s="91"/>
      <c r="AB2238" s="91"/>
      <c r="AC2238" s="91"/>
      <c r="AD2238" s="91"/>
      <c r="AE2238" s="91"/>
      <c r="AF2238" s="91"/>
      <c r="AG2238" s="91"/>
      <c r="AH2238" s="91"/>
      <c r="AI2238" s="91"/>
      <c r="AJ2238" s="91"/>
      <c r="AK2238" s="91"/>
      <c r="AL2238" s="91"/>
      <c r="AM2238" s="91"/>
    </row>
    <row r="2239" spans="1:39" ht="20.25" hidden="1" customHeight="1">
      <c r="A2239" s="91"/>
      <c r="B2239" s="93" t="s">
        <v>7126</v>
      </c>
      <c r="C2239" s="91" t="s">
        <v>36</v>
      </c>
      <c r="D2239" s="106" t="s">
        <v>3611</v>
      </c>
      <c r="E2239" s="106" t="s">
        <v>7258</v>
      </c>
      <c r="F2239" s="92" t="s">
        <v>7259</v>
      </c>
      <c r="G2239" s="103">
        <v>43392</v>
      </c>
      <c r="H2239" s="103">
        <v>37890</v>
      </c>
      <c r="I2239" s="108" t="s">
        <v>12555</v>
      </c>
      <c r="J2239" s="94" t="s">
        <v>7260</v>
      </c>
      <c r="K2239" s="92">
        <v>993258019</v>
      </c>
      <c r="L2239" s="91" t="s">
        <v>60</v>
      </c>
      <c r="M2239" s="98">
        <f ca="1">(TODAY()-H2239)/365</f>
        <v>22.224657534246575</v>
      </c>
      <c r="N2239" s="99">
        <f>(G2239-H2239)/365</f>
        <v>15.073972602739726</v>
      </c>
      <c r="O2239" s="98">
        <f ca="1">(TODAY()-G2239)/365</f>
        <v>7.1506849315068495</v>
      </c>
      <c r="P2239" s="91" t="s">
        <v>43</v>
      </c>
      <c r="Q2239" s="91">
        <v>0</v>
      </c>
      <c r="R2239" s="91">
        <v>0</v>
      </c>
      <c r="S2239" s="91">
        <v>0</v>
      </c>
      <c r="T2239" s="91"/>
      <c r="U2239" s="91"/>
      <c r="V2239" s="91"/>
      <c r="W2239" s="91"/>
      <c r="X2239" s="91"/>
      <c r="Y2239" s="91"/>
      <c r="Z2239" s="91"/>
      <c r="AA2239" s="91"/>
      <c r="AB2239" s="91"/>
      <c r="AC2239" s="91"/>
      <c r="AD2239" s="91"/>
      <c r="AE2239" s="91"/>
      <c r="AF2239" s="91"/>
      <c r="AG2239" s="91"/>
      <c r="AH2239" s="91"/>
      <c r="AI2239" s="91"/>
      <c r="AJ2239" s="91"/>
      <c r="AK2239" s="91"/>
      <c r="AL2239" s="91"/>
      <c r="AM2239" s="91"/>
    </row>
    <row r="2240" spans="1:39" ht="20.25" hidden="1" customHeight="1">
      <c r="A2240" s="91"/>
      <c r="B2240" s="93" t="s">
        <v>7126</v>
      </c>
      <c r="C2240" s="91" t="s">
        <v>36</v>
      </c>
      <c r="D2240" s="106" t="s">
        <v>5807</v>
      </c>
      <c r="E2240" s="106" t="s">
        <v>7160</v>
      </c>
      <c r="F2240" s="92" t="s">
        <v>7261</v>
      </c>
      <c r="G2240" s="103">
        <v>45327</v>
      </c>
      <c r="H2240" s="103">
        <v>36489</v>
      </c>
      <c r="I2240" s="108" t="s">
        <v>12556</v>
      </c>
      <c r="J2240" s="94" t="s">
        <v>7262</v>
      </c>
      <c r="K2240" s="92">
        <v>944555939</v>
      </c>
      <c r="L2240" s="91" t="s">
        <v>60</v>
      </c>
      <c r="M2240" s="98">
        <f ca="1">(TODAY()-H2240)/365</f>
        <v>26.063013698630137</v>
      </c>
      <c r="N2240" s="99">
        <f>(G2240-H2240)/365</f>
        <v>24.213698630136985</v>
      </c>
      <c r="O2240" s="98">
        <f ca="1">(TODAY()-G2240)/365</f>
        <v>1.8493150684931507</v>
      </c>
      <c r="P2240" s="91" t="s">
        <v>43</v>
      </c>
      <c r="Q2240" s="91">
        <v>0</v>
      </c>
      <c r="R2240" s="91">
        <v>0</v>
      </c>
      <c r="S2240" s="91">
        <v>0</v>
      </c>
      <c r="T2240" s="91"/>
      <c r="U2240" s="91"/>
      <c r="V2240" s="91"/>
      <c r="W2240" s="91"/>
      <c r="X2240" s="91"/>
      <c r="Y2240" s="91"/>
      <c r="Z2240" s="91"/>
      <c r="AA2240" s="91"/>
      <c r="AB2240" s="91"/>
      <c r="AC2240" s="91"/>
      <c r="AD2240" s="91"/>
      <c r="AE2240" s="91"/>
      <c r="AF2240" s="91"/>
      <c r="AG2240" s="91"/>
      <c r="AH2240" s="91"/>
      <c r="AI2240" s="91"/>
      <c r="AJ2240" s="91"/>
      <c r="AK2240" s="91"/>
      <c r="AL2240" s="91"/>
      <c r="AM2240" s="91"/>
    </row>
    <row r="2241" spans="1:39" ht="20.25" hidden="1" customHeight="1">
      <c r="A2241" s="91"/>
      <c r="B2241" s="93" t="s">
        <v>7126</v>
      </c>
      <c r="C2241" s="91" t="s">
        <v>36</v>
      </c>
      <c r="D2241" s="106" t="s">
        <v>7263</v>
      </c>
      <c r="E2241" s="106" t="s">
        <v>7264</v>
      </c>
      <c r="F2241" s="92" t="s">
        <v>7188</v>
      </c>
      <c r="G2241" s="103">
        <v>35312</v>
      </c>
      <c r="H2241" s="103">
        <v>21523</v>
      </c>
      <c r="I2241" s="108" t="s">
        <v>12557</v>
      </c>
      <c r="J2241" s="94" t="s">
        <v>7265</v>
      </c>
      <c r="K2241" s="92">
        <v>968472692</v>
      </c>
      <c r="L2241" s="91" t="s">
        <v>60</v>
      </c>
      <c r="M2241" s="98">
        <f ca="1">(TODAY()-H2241)/365</f>
        <v>67.06575342465753</v>
      </c>
      <c r="N2241" s="95"/>
      <c r="O2241" s="98">
        <f ca="1">(TODAY()-G2241)/365</f>
        <v>29.287671232876711</v>
      </c>
      <c r="P2241" s="91" t="s">
        <v>43</v>
      </c>
      <c r="Q2241" s="91">
        <v>0</v>
      </c>
      <c r="R2241" s="91">
        <v>0</v>
      </c>
      <c r="S2241" s="91">
        <v>0</v>
      </c>
      <c r="T2241" s="91"/>
      <c r="U2241" s="91"/>
      <c r="V2241" s="91"/>
      <c r="W2241" s="91"/>
      <c r="X2241" s="91"/>
      <c r="Y2241" s="91"/>
      <c r="Z2241" s="91"/>
      <c r="AA2241" s="91"/>
      <c r="AB2241" s="91"/>
      <c r="AC2241" s="91"/>
      <c r="AD2241" s="91"/>
      <c r="AE2241" s="91"/>
      <c r="AF2241" s="91"/>
      <c r="AG2241" s="91"/>
      <c r="AH2241" s="91"/>
      <c r="AI2241" s="91"/>
      <c r="AJ2241" s="91"/>
      <c r="AK2241" s="91"/>
      <c r="AL2241" s="91"/>
      <c r="AM2241" s="91"/>
    </row>
    <row r="2242" spans="1:39" ht="20.25" hidden="1" customHeight="1">
      <c r="A2242" s="91"/>
      <c r="B2242" s="93" t="s">
        <v>7126</v>
      </c>
      <c r="C2242" s="91" t="s">
        <v>36</v>
      </c>
      <c r="D2242" s="106" t="s">
        <v>7266</v>
      </c>
      <c r="E2242" s="106" t="s">
        <v>7267</v>
      </c>
      <c r="F2242" s="92" t="s">
        <v>7268</v>
      </c>
      <c r="G2242" s="103" t="s">
        <v>58</v>
      </c>
      <c r="H2242" s="103">
        <v>44689</v>
      </c>
      <c r="I2242" s="108" t="s">
        <v>12558</v>
      </c>
      <c r="J2242" s="94" t="s">
        <v>7269</v>
      </c>
      <c r="K2242" s="92">
        <v>935390684</v>
      </c>
      <c r="L2242" s="91" t="s">
        <v>121</v>
      </c>
      <c r="M2242" s="98">
        <f ca="1">(TODAY()-H2242)/365</f>
        <v>3.5972602739726027</v>
      </c>
      <c r="N2242" s="99" t="e">
        <f>(G2242-H2242)/365</f>
        <v>#VALUE!</v>
      </c>
      <c r="O2242" s="98" t="e">
        <f ca="1">(TODAY()-G2242)/365</f>
        <v>#VALUE!</v>
      </c>
      <c r="P2242" s="91" t="s">
        <v>43</v>
      </c>
      <c r="Q2242" s="91">
        <v>0</v>
      </c>
      <c r="R2242" s="91">
        <v>0</v>
      </c>
      <c r="S2242" s="91">
        <v>0</v>
      </c>
      <c r="T2242" s="91"/>
      <c r="U2242" s="91"/>
      <c r="V2242" s="91"/>
      <c r="W2242" s="91"/>
      <c r="X2242" s="91"/>
      <c r="Y2242" s="91"/>
      <c r="Z2242" s="91"/>
      <c r="AA2242" s="91"/>
      <c r="AB2242" s="91"/>
      <c r="AC2242" s="91"/>
      <c r="AD2242" s="91"/>
      <c r="AE2242" s="91"/>
      <c r="AF2242" s="91"/>
      <c r="AG2242" s="91"/>
      <c r="AH2242" s="91"/>
      <c r="AI2242" s="91"/>
      <c r="AJ2242" s="91"/>
      <c r="AK2242" s="91"/>
      <c r="AL2242" s="91"/>
      <c r="AM2242" s="91"/>
    </row>
    <row r="2243" spans="1:39" ht="20.25" hidden="1" customHeight="1">
      <c r="A2243" s="91"/>
      <c r="B2243" s="93" t="s">
        <v>7126</v>
      </c>
      <c r="C2243" s="91" t="s">
        <v>36</v>
      </c>
      <c r="D2243" s="106" t="s">
        <v>2683</v>
      </c>
      <c r="E2243" s="106" t="s">
        <v>10211</v>
      </c>
      <c r="F2243" s="92" t="s">
        <v>10212</v>
      </c>
      <c r="G2243" s="103">
        <v>44564</v>
      </c>
      <c r="H2243" s="103">
        <v>37446</v>
      </c>
      <c r="I2243" s="108" t="s">
        <v>12592</v>
      </c>
      <c r="J2243" s="94" t="s">
        <v>10213</v>
      </c>
      <c r="K2243" s="92">
        <v>965541726</v>
      </c>
      <c r="L2243" s="91"/>
      <c r="M2243" s="98">
        <f ca="1">(TODAY()-H2243)/365</f>
        <v>23.44109589041096</v>
      </c>
      <c r="N2243" s="99">
        <f>(G2243-H2243)/365</f>
        <v>19.5013698630137</v>
      </c>
      <c r="O2243" s="98">
        <f ca="1">(TODAY()-G2243)/365</f>
        <v>3.9397260273972603</v>
      </c>
      <c r="P2243" s="91" t="s">
        <v>43</v>
      </c>
      <c r="Q2243" s="91"/>
      <c r="R2243" s="91"/>
      <c r="S2243" s="91"/>
      <c r="T2243" s="91"/>
      <c r="U2243" s="91"/>
      <c r="V2243" s="91"/>
      <c r="W2243" s="91"/>
      <c r="X2243" s="91"/>
      <c r="Y2243" s="91"/>
      <c r="Z2243" s="91"/>
      <c r="AA2243" s="91"/>
      <c r="AB2243" s="91"/>
      <c r="AC2243" s="91"/>
      <c r="AD2243" s="91"/>
      <c r="AE2243" s="91"/>
      <c r="AF2243" s="91"/>
      <c r="AG2243" s="91"/>
      <c r="AH2243" s="91"/>
      <c r="AI2243" s="91"/>
      <c r="AJ2243" s="91"/>
      <c r="AK2243" s="91"/>
      <c r="AL2243" s="91"/>
      <c r="AM2243" s="91"/>
    </row>
    <row r="2244" spans="1:39" ht="20.25" hidden="1" customHeight="1">
      <c r="A2244" s="91"/>
      <c r="B2244" s="93" t="s">
        <v>7126</v>
      </c>
      <c r="C2244" s="91" t="s">
        <v>36</v>
      </c>
      <c r="D2244" s="106" t="s">
        <v>3944</v>
      </c>
      <c r="E2244" s="106" t="s">
        <v>10214</v>
      </c>
      <c r="F2244" s="92" t="s">
        <v>10215</v>
      </c>
      <c r="G2244" s="103">
        <v>43315</v>
      </c>
      <c r="H2244" s="103">
        <v>36890</v>
      </c>
      <c r="I2244" s="108" t="s">
        <v>12593</v>
      </c>
      <c r="J2244" s="94" t="s">
        <v>10216</v>
      </c>
      <c r="K2244" s="92">
        <v>977109058</v>
      </c>
      <c r="L2244" s="91"/>
      <c r="M2244" s="98">
        <f ca="1">(TODAY()-H2244)/365</f>
        <v>24.964383561643835</v>
      </c>
      <c r="N2244" s="99">
        <f>(G2244-H2244)/365</f>
        <v>17.602739726027398</v>
      </c>
      <c r="O2244" s="98">
        <f ca="1">(TODAY()-G2244)/365</f>
        <v>7.3616438356164382</v>
      </c>
      <c r="P2244" s="91" t="s">
        <v>43</v>
      </c>
      <c r="Q2244" s="91"/>
      <c r="R2244" s="91"/>
      <c r="S2244" s="91"/>
      <c r="T2244" s="91"/>
      <c r="U2244" s="91"/>
      <c r="V2244" s="91"/>
      <c r="W2244" s="91"/>
      <c r="X2244" s="91"/>
      <c r="Y2244" s="91"/>
      <c r="Z2244" s="91"/>
      <c r="AA2244" s="91"/>
      <c r="AB2244" s="91"/>
      <c r="AC2244" s="91"/>
      <c r="AD2244" s="91"/>
      <c r="AE2244" s="91"/>
      <c r="AF2244" s="91"/>
      <c r="AG2244" s="91"/>
      <c r="AH2244" s="91"/>
      <c r="AI2244" s="91"/>
      <c r="AJ2244" s="91"/>
      <c r="AK2244" s="91"/>
      <c r="AL2244" s="91"/>
      <c r="AM2244" s="91"/>
    </row>
    <row r="2245" spans="1:39" ht="20.25" hidden="1" customHeight="1">
      <c r="A2245" s="91"/>
      <c r="B2245" s="93" t="s">
        <v>7126</v>
      </c>
      <c r="C2245" s="91" t="s">
        <v>36</v>
      </c>
      <c r="D2245" s="106" t="s">
        <v>6938</v>
      </c>
      <c r="E2245" s="106" t="s">
        <v>10217</v>
      </c>
      <c r="F2245" s="92" t="s">
        <v>10218</v>
      </c>
      <c r="G2245" s="103">
        <v>33689</v>
      </c>
      <c r="H2245" s="103">
        <v>17737</v>
      </c>
      <c r="I2245" s="108" t="s">
        <v>12594</v>
      </c>
      <c r="J2245" s="94" t="s">
        <v>10219</v>
      </c>
      <c r="K2245" s="92">
        <v>998509541</v>
      </c>
      <c r="L2245" s="91"/>
      <c r="M2245" s="98">
        <f ca="1">(TODAY()-H2245)/365</f>
        <v>77.438356164383563</v>
      </c>
      <c r="N2245" s="99">
        <f>(G2245-H2245)/365</f>
        <v>43.704109589041096</v>
      </c>
      <c r="O2245" s="98">
        <f ca="1">(TODAY()-G2245)/365</f>
        <v>33.734246575342468</v>
      </c>
      <c r="P2245" s="91" t="s">
        <v>43</v>
      </c>
      <c r="Q2245" s="91"/>
      <c r="R2245" s="91"/>
      <c r="S2245" s="91"/>
      <c r="T2245" s="91"/>
      <c r="U2245" s="91"/>
      <c r="V2245" s="91"/>
      <c r="W2245" s="91"/>
      <c r="X2245" s="91"/>
      <c r="Y2245" s="91"/>
      <c r="Z2245" s="91"/>
      <c r="AA2245" s="91"/>
      <c r="AB2245" s="91"/>
      <c r="AC2245" s="91"/>
      <c r="AD2245" s="91"/>
      <c r="AE2245" s="91"/>
      <c r="AF2245" s="91"/>
      <c r="AG2245" s="91"/>
      <c r="AH2245" s="91"/>
      <c r="AI2245" s="91"/>
      <c r="AJ2245" s="91"/>
      <c r="AK2245" s="91"/>
      <c r="AL2245" s="91"/>
      <c r="AM2245" s="91"/>
    </row>
    <row r="2246" spans="1:39" ht="20.25" hidden="1" customHeight="1">
      <c r="A2246" s="91"/>
      <c r="B2246" s="93" t="s">
        <v>7270</v>
      </c>
      <c r="C2246" s="91" t="s">
        <v>36</v>
      </c>
      <c r="D2246" s="94" t="s">
        <v>7271</v>
      </c>
      <c r="E2246" s="94" t="s">
        <v>7272</v>
      </c>
      <c r="F2246" s="95" t="s">
        <v>7273</v>
      </c>
      <c r="G2246" s="96">
        <v>42824</v>
      </c>
      <c r="H2246" s="97">
        <v>36844</v>
      </c>
      <c r="I2246" s="94" t="s">
        <v>7274</v>
      </c>
      <c r="J2246" s="94" t="s">
        <v>7275</v>
      </c>
      <c r="K2246" s="92">
        <v>56945162763</v>
      </c>
      <c r="L2246" s="91" t="s">
        <v>121</v>
      </c>
      <c r="M2246" s="98">
        <f ca="1">(TODAY()-H2246)/365</f>
        <v>25.090410958904108</v>
      </c>
      <c r="N2246" s="99">
        <f>(G2246-H2246)/365</f>
        <v>16.383561643835616</v>
      </c>
      <c r="O2246" s="98">
        <f ca="1">(TODAY()-G2246)/365</f>
        <v>8.706849315068494</v>
      </c>
      <c r="P2246" s="91" t="s">
        <v>272</v>
      </c>
      <c r="Q2246" s="91">
        <v>0</v>
      </c>
      <c r="R2246" s="91">
        <v>0</v>
      </c>
      <c r="S2246" s="91">
        <v>0</v>
      </c>
      <c r="T2246" s="91"/>
      <c r="U2246" s="91"/>
      <c r="V2246" s="91"/>
      <c r="W2246" s="91"/>
      <c r="X2246" s="91"/>
      <c r="Y2246" s="91"/>
      <c r="Z2246" s="91"/>
      <c r="AA2246" s="91"/>
      <c r="AB2246" s="91"/>
      <c r="AC2246" s="91"/>
      <c r="AD2246" s="91"/>
      <c r="AE2246" s="91"/>
      <c r="AF2246" s="91"/>
      <c r="AG2246" s="91"/>
      <c r="AH2246" s="91"/>
      <c r="AI2246" s="91"/>
      <c r="AJ2246" s="91"/>
      <c r="AK2246" s="91"/>
      <c r="AL2246" s="91"/>
      <c r="AM2246" s="91"/>
    </row>
    <row r="2247" spans="1:39" ht="20.25" customHeight="1">
      <c r="A2247" s="91"/>
      <c r="B2247" s="93" t="s">
        <v>7961</v>
      </c>
      <c r="C2247" s="91" t="s">
        <v>73</v>
      </c>
      <c r="D2247" s="94" t="s">
        <v>7964</v>
      </c>
      <c r="E2247" s="94" t="s">
        <v>7965</v>
      </c>
      <c r="F2247" s="95" t="s">
        <v>7966</v>
      </c>
      <c r="G2247" s="96">
        <v>44492</v>
      </c>
      <c r="H2247" s="97">
        <v>36878</v>
      </c>
      <c r="I2247" s="100" t="s">
        <v>58</v>
      </c>
      <c r="J2247" s="100" t="s">
        <v>58</v>
      </c>
      <c r="K2247" s="91" t="s">
        <v>58</v>
      </c>
      <c r="L2247" s="91" t="s">
        <v>60</v>
      </c>
      <c r="M2247" s="98">
        <f ca="1">(TODAY()-H2247)/365</f>
        <v>24.997260273972604</v>
      </c>
      <c r="N2247" s="99">
        <f>(G2247-H2247)/365</f>
        <v>20.860273972602741</v>
      </c>
      <c r="O2247" s="98">
        <f ca="1">(TODAY()-G2247)/365</f>
        <v>4.1369863013698627</v>
      </c>
      <c r="P2247" s="91" t="s">
        <v>43</v>
      </c>
      <c r="Q2247" s="91">
        <v>0</v>
      </c>
      <c r="R2247" s="91">
        <v>0</v>
      </c>
      <c r="S2247" s="91">
        <v>0</v>
      </c>
      <c r="T2247" s="91"/>
      <c r="U2247" s="91"/>
      <c r="V2247" s="91"/>
      <c r="W2247" s="91"/>
      <c r="X2247" s="91"/>
      <c r="Y2247" s="91"/>
      <c r="Z2247" s="91"/>
      <c r="AA2247" s="91"/>
      <c r="AB2247" s="91"/>
      <c r="AC2247" s="91"/>
      <c r="AD2247" s="91"/>
      <c r="AE2247" s="91"/>
      <c r="AF2247" s="91"/>
      <c r="AG2247" s="91"/>
      <c r="AH2247" s="91"/>
      <c r="AI2247" s="91"/>
      <c r="AJ2247" s="91"/>
      <c r="AK2247" s="91"/>
      <c r="AL2247" s="91"/>
      <c r="AM2247" s="91"/>
    </row>
    <row r="2248" spans="1:39" ht="20.25" hidden="1" customHeight="1">
      <c r="A2248" s="91"/>
      <c r="B2248" s="93" t="s">
        <v>7270</v>
      </c>
      <c r="C2248" s="91" t="s">
        <v>36</v>
      </c>
      <c r="D2248" s="94" t="s">
        <v>7279</v>
      </c>
      <c r="E2248" s="94" t="s">
        <v>7280</v>
      </c>
      <c r="F2248" s="95" t="s">
        <v>7281</v>
      </c>
      <c r="G2248" s="96">
        <v>45444</v>
      </c>
      <c r="H2248" s="97">
        <v>34821</v>
      </c>
      <c r="I2248" s="94" t="s">
        <v>7282</v>
      </c>
      <c r="J2248" s="94" t="s">
        <v>7283</v>
      </c>
      <c r="K2248" s="92">
        <v>977680411</v>
      </c>
      <c r="L2248" s="91" t="s">
        <v>60</v>
      </c>
      <c r="M2248" s="98">
        <f ca="1">(TODAY()-H2248)/365</f>
        <v>30.632876712328766</v>
      </c>
      <c r="N2248" s="99">
        <f>(G2248-H2248)/365</f>
        <v>29.104109589041094</v>
      </c>
      <c r="O2248" s="98">
        <f ca="1">(TODAY()-G2248)/365</f>
        <v>1.5287671232876712</v>
      </c>
      <c r="P2248" s="91" t="s">
        <v>43</v>
      </c>
      <c r="Q2248" s="91">
        <v>0</v>
      </c>
      <c r="R2248" s="91">
        <v>0</v>
      </c>
      <c r="S2248" s="91">
        <v>0</v>
      </c>
      <c r="T2248" s="91"/>
      <c r="U2248" s="91"/>
      <c r="V2248" s="91"/>
      <c r="W2248" s="91"/>
      <c r="X2248" s="91"/>
      <c r="Y2248" s="91"/>
      <c r="Z2248" s="91"/>
      <c r="AA2248" s="91"/>
      <c r="AB2248" s="91"/>
      <c r="AC2248" s="91"/>
      <c r="AD2248" s="91"/>
      <c r="AE2248" s="91"/>
      <c r="AF2248" s="91"/>
      <c r="AG2248" s="91"/>
      <c r="AH2248" s="91"/>
      <c r="AI2248" s="91"/>
      <c r="AJ2248" s="91"/>
      <c r="AK2248" s="91"/>
      <c r="AL2248" s="91"/>
      <c r="AM2248" s="91"/>
    </row>
    <row r="2249" spans="1:39" ht="20.25" hidden="1" customHeight="1">
      <c r="A2249" s="91"/>
      <c r="B2249" s="93" t="s">
        <v>7270</v>
      </c>
      <c r="C2249" s="91" t="s">
        <v>36</v>
      </c>
      <c r="D2249" s="94" t="s">
        <v>7284</v>
      </c>
      <c r="E2249" s="94" t="s">
        <v>7285</v>
      </c>
      <c r="F2249" s="95" t="s">
        <v>7286</v>
      </c>
      <c r="G2249" s="96">
        <v>45444</v>
      </c>
      <c r="H2249" s="97">
        <v>34821</v>
      </c>
      <c r="I2249" s="94" t="s">
        <v>7287</v>
      </c>
      <c r="J2249" s="94" t="s">
        <v>7288</v>
      </c>
      <c r="K2249" s="92">
        <f>56935163246</f>
        <v>56935163246</v>
      </c>
      <c r="L2249" s="91" t="s">
        <v>60</v>
      </c>
      <c r="M2249" s="98">
        <f ca="1">(TODAY()-H2249)/365</f>
        <v>30.632876712328766</v>
      </c>
      <c r="N2249" s="99">
        <f>(G2249-H2249)/365</f>
        <v>29.104109589041094</v>
      </c>
      <c r="O2249" s="98">
        <f ca="1">(TODAY()-G2249)/365</f>
        <v>1.5287671232876712</v>
      </c>
      <c r="P2249" s="91" t="s">
        <v>43</v>
      </c>
      <c r="Q2249" s="91">
        <v>0</v>
      </c>
      <c r="R2249" s="91">
        <v>0</v>
      </c>
      <c r="S2249" s="91">
        <v>0</v>
      </c>
      <c r="T2249" s="91"/>
      <c r="U2249" s="91"/>
      <c r="V2249" s="91"/>
      <c r="W2249" s="91"/>
      <c r="X2249" s="91"/>
      <c r="Y2249" s="91"/>
      <c r="Z2249" s="91"/>
      <c r="AA2249" s="91"/>
      <c r="AB2249" s="91"/>
      <c r="AC2249" s="91"/>
      <c r="AD2249" s="91"/>
      <c r="AE2249" s="91"/>
      <c r="AF2249" s="91"/>
      <c r="AG2249" s="91"/>
      <c r="AH2249" s="91"/>
      <c r="AI2249" s="91"/>
      <c r="AJ2249" s="91"/>
      <c r="AK2249" s="91"/>
      <c r="AL2249" s="91"/>
      <c r="AM2249" s="91"/>
    </row>
    <row r="2250" spans="1:39" ht="20.25" hidden="1" customHeight="1">
      <c r="A2250" s="91"/>
      <c r="B2250" s="93" t="s">
        <v>7270</v>
      </c>
      <c r="C2250" s="91" t="s">
        <v>36</v>
      </c>
      <c r="D2250" s="94" t="s">
        <v>7289</v>
      </c>
      <c r="E2250" s="94" t="s">
        <v>7290</v>
      </c>
      <c r="F2250" s="95" t="s">
        <v>7291</v>
      </c>
      <c r="G2250" s="96">
        <v>31188</v>
      </c>
      <c r="H2250" s="97">
        <v>19058</v>
      </c>
      <c r="I2250" s="108" t="s">
        <v>12559</v>
      </c>
      <c r="J2250" s="94" t="s">
        <v>7292</v>
      </c>
      <c r="K2250" s="92">
        <v>56983101538</v>
      </c>
      <c r="L2250" s="91" t="s">
        <v>66</v>
      </c>
      <c r="M2250" s="98">
        <f ca="1">(TODAY()-H2250)/365</f>
        <v>73.819178082191783</v>
      </c>
      <c r="N2250" s="99">
        <f>(G2250-H2250)/365</f>
        <v>33.232876712328768</v>
      </c>
      <c r="O2250" s="98">
        <f ca="1">(TODAY()-G2250)/365</f>
        <v>40.586301369863016</v>
      </c>
      <c r="P2250" s="91" t="s">
        <v>43</v>
      </c>
      <c r="Q2250" s="91">
        <v>0</v>
      </c>
      <c r="R2250" s="91">
        <v>0</v>
      </c>
      <c r="S2250" s="91">
        <v>0</v>
      </c>
      <c r="T2250" s="91"/>
      <c r="U2250" s="91"/>
      <c r="V2250" s="91"/>
      <c r="W2250" s="91"/>
      <c r="X2250" s="91"/>
      <c r="Y2250" s="91"/>
      <c r="Z2250" s="91"/>
      <c r="AA2250" s="91"/>
      <c r="AB2250" s="91"/>
      <c r="AC2250" s="91"/>
      <c r="AD2250" s="91"/>
      <c r="AE2250" s="91"/>
      <c r="AF2250" s="91"/>
      <c r="AG2250" s="91"/>
      <c r="AH2250" s="91"/>
      <c r="AI2250" s="91"/>
      <c r="AJ2250" s="91"/>
      <c r="AK2250" s="91"/>
      <c r="AL2250" s="91"/>
      <c r="AM2250" s="91"/>
    </row>
    <row r="2251" spans="1:39" ht="20.25" customHeight="1">
      <c r="A2251" s="91"/>
      <c r="B2251" s="93" t="s">
        <v>4648</v>
      </c>
      <c r="C2251" s="91" t="s">
        <v>73</v>
      </c>
      <c r="D2251" s="94" t="s">
        <v>4693</v>
      </c>
      <c r="E2251" s="94" t="s">
        <v>4694</v>
      </c>
      <c r="F2251" s="95" t="s">
        <v>4695</v>
      </c>
      <c r="G2251" s="96">
        <v>44958</v>
      </c>
      <c r="H2251" s="97">
        <v>21150</v>
      </c>
      <c r="I2251" s="94" t="s">
        <v>58</v>
      </c>
      <c r="J2251" s="100" t="s">
        <v>58</v>
      </c>
      <c r="K2251" s="91" t="s">
        <v>58</v>
      </c>
      <c r="L2251" s="91" t="s">
        <v>60</v>
      </c>
      <c r="M2251" s="98">
        <f ca="1">(TODAY()-H2251)/365</f>
        <v>68.087671232876716</v>
      </c>
      <c r="N2251" s="99">
        <f>(G2251-H2251)/365</f>
        <v>65.227397260273975</v>
      </c>
      <c r="O2251" s="98">
        <f ca="1">(TODAY()-G2251)/365</f>
        <v>2.8602739726027395</v>
      </c>
      <c r="P2251" s="91" t="s">
        <v>272</v>
      </c>
      <c r="Q2251" s="91">
        <v>0</v>
      </c>
      <c r="R2251" s="91">
        <v>0</v>
      </c>
      <c r="S2251" s="91">
        <v>0</v>
      </c>
      <c r="T2251" s="91"/>
      <c r="U2251" s="91"/>
      <c r="V2251" s="91"/>
      <c r="W2251" s="91"/>
      <c r="X2251" s="91"/>
      <c r="Y2251" s="91"/>
      <c r="Z2251" s="91"/>
      <c r="AA2251" s="91"/>
      <c r="AB2251" s="91"/>
      <c r="AC2251" s="91"/>
      <c r="AD2251" s="91"/>
      <c r="AE2251" s="91"/>
      <c r="AF2251" s="91"/>
      <c r="AG2251" s="91"/>
      <c r="AH2251" s="91"/>
      <c r="AI2251" s="91"/>
      <c r="AJ2251" s="91"/>
      <c r="AK2251" s="91"/>
      <c r="AL2251" s="91"/>
      <c r="AM2251" s="91"/>
    </row>
    <row r="2252" spans="1:39" ht="20.25" hidden="1" customHeight="1">
      <c r="A2252" s="91"/>
      <c r="B2252" s="93" t="s">
        <v>7270</v>
      </c>
      <c r="C2252" s="91" t="s">
        <v>36</v>
      </c>
      <c r="D2252" s="94" t="s">
        <v>7296</v>
      </c>
      <c r="E2252" s="94" t="s">
        <v>7297</v>
      </c>
      <c r="F2252" s="95" t="s">
        <v>7298</v>
      </c>
      <c r="G2252" s="96">
        <v>34414</v>
      </c>
      <c r="H2252" s="97">
        <v>20548</v>
      </c>
      <c r="I2252" s="94" t="s">
        <v>7299</v>
      </c>
      <c r="J2252" s="94" t="s">
        <v>7300</v>
      </c>
      <c r="K2252" s="92">
        <v>56954979861</v>
      </c>
      <c r="L2252" s="91" t="s">
        <v>167</v>
      </c>
      <c r="M2252" s="98">
        <f ca="1">(TODAY()-H2252)/365</f>
        <v>69.736986301369868</v>
      </c>
      <c r="N2252" s="99">
        <f>(G2252-H2252)/365</f>
        <v>37.989041095890414</v>
      </c>
      <c r="O2252" s="98">
        <f ca="1">(TODAY()-G2252)/365</f>
        <v>31.747945205479454</v>
      </c>
      <c r="P2252" s="91" t="s">
        <v>43</v>
      </c>
      <c r="Q2252" s="91">
        <v>0</v>
      </c>
      <c r="R2252" s="91">
        <v>0</v>
      </c>
      <c r="S2252" s="91">
        <v>0</v>
      </c>
      <c r="T2252" s="91"/>
      <c r="U2252" s="91"/>
      <c r="V2252" s="91"/>
      <c r="W2252" s="91"/>
      <c r="X2252" s="91"/>
      <c r="Y2252" s="91"/>
      <c r="Z2252" s="91"/>
      <c r="AA2252" s="91"/>
      <c r="AB2252" s="91"/>
      <c r="AC2252" s="91"/>
      <c r="AD2252" s="91"/>
      <c r="AE2252" s="91"/>
      <c r="AF2252" s="91"/>
      <c r="AG2252" s="91"/>
      <c r="AH2252" s="91"/>
      <c r="AI2252" s="91"/>
      <c r="AJ2252" s="91"/>
      <c r="AK2252" s="91"/>
      <c r="AL2252" s="91"/>
      <c r="AM2252" s="91"/>
    </row>
    <row r="2253" spans="1:39" ht="20.25" hidden="1" customHeight="1">
      <c r="A2253" s="91"/>
      <c r="B2253" s="93" t="s">
        <v>7270</v>
      </c>
      <c r="C2253" s="91" t="s">
        <v>36</v>
      </c>
      <c r="D2253" s="94" t="s">
        <v>7301</v>
      </c>
      <c r="E2253" s="94" t="s">
        <v>7302</v>
      </c>
      <c r="F2253" s="95" t="s">
        <v>7303</v>
      </c>
      <c r="G2253" s="96">
        <v>34772</v>
      </c>
      <c r="H2253" s="97">
        <v>20775</v>
      </c>
      <c r="I2253" s="108" t="s">
        <v>12560</v>
      </c>
      <c r="J2253" s="94" t="s">
        <v>7304</v>
      </c>
      <c r="K2253" s="92">
        <v>964269842</v>
      </c>
      <c r="L2253" s="91" t="s">
        <v>54</v>
      </c>
      <c r="M2253" s="98">
        <f ca="1">(TODAY()-H2253)/365</f>
        <v>69.115068493150687</v>
      </c>
      <c r="N2253" s="99">
        <f>(G2253-H2253)/365</f>
        <v>38.347945205479455</v>
      </c>
      <c r="O2253" s="98">
        <f ca="1">(TODAY()-G2253)/365</f>
        <v>30.767123287671232</v>
      </c>
      <c r="P2253" s="91" t="s">
        <v>43</v>
      </c>
      <c r="Q2253" s="91">
        <v>0</v>
      </c>
      <c r="R2253" s="91">
        <v>0</v>
      </c>
      <c r="S2253" s="91">
        <v>0</v>
      </c>
      <c r="T2253" s="91"/>
      <c r="U2253" s="91"/>
      <c r="V2253" s="91"/>
      <c r="W2253" s="91"/>
      <c r="X2253" s="91"/>
      <c r="Y2253" s="91"/>
      <c r="Z2253" s="91"/>
      <c r="AA2253" s="91"/>
      <c r="AB2253" s="91"/>
      <c r="AC2253" s="91"/>
      <c r="AD2253" s="91"/>
      <c r="AE2253" s="91"/>
      <c r="AF2253" s="91"/>
      <c r="AG2253" s="91"/>
      <c r="AH2253" s="91"/>
      <c r="AI2253" s="91"/>
      <c r="AJ2253" s="91"/>
      <c r="AK2253" s="91"/>
      <c r="AL2253" s="91"/>
      <c r="AM2253" s="91"/>
    </row>
    <row r="2254" spans="1:39" ht="20.25" customHeight="1">
      <c r="A2254" s="91"/>
      <c r="B2254" s="93" t="s">
        <v>2663</v>
      </c>
      <c r="C2254" s="91" t="s">
        <v>73</v>
      </c>
      <c r="D2254" s="94" t="s">
        <v>2667</v>
      </c>
      <c r="E2254" s="94" t="s">
        <v>2668</v>
      </c>
      <c r="F2254" s="95" t="s">
        <v>2669</v>
      </c>
      <c r="G2254" s="96">
        <v>45366</v>
      </c>
      <c r="H2254" s="97">
        <v>39589</v>
      </c>
      <c r="I2254" s="94" t="s">
        <v>2670</v>
      </c>
      <c r="J2254" s="94" t="s">
        <v>58</v>
      </c>
      <c r="K2254" s="95" t="s">
        <v>58</v>
      </c>
      <c r="L2254" s="91" t="s">
        <v>60</v>
      </c>
      <c r="M2254" s="98">
        <f ca="1">(TODAY()-H2254)/365</f>
        <v>17.56986301369863</v>
      </c>
      <c r="N2254" s="99">
        <f>(G2254-H2254)/365</f>
        <v>15.827397260273973</v>
      </c>
      <c r="O2254" s="98">
        <f ca="1">(TODAY()-G2254)/365</f>
        <v>1.7424657534246575</v>
      </c>
      <c r="P2254" s="91" t="s">
        <v>43</v>
      </c>
      <c r="Q2254" s="91">
        <v>0</v>
      </c>
      <c r="R2254" s="91">
        <v>0</v>
      </c>
      <c r="S2254" s="91">
        <v>0</v>
      </c>
      <c r="T2254" s="91"/>
      <c r="U2254" s="91"/>
      <c r="V2254" s="91"/>
      <c r="W2254" s="91"/>
      <c r="X2254" s="91"/>
      <c r="Y2254" s="91"/>
      <c r="Z2254" s="91"/>
      <c r="AA2254" s="91"/>
      <c r="AB2254" s="91"/>
      <c r="AC2254" s="91"/>
      <c r="AD2254" s="91"/>
      <c r="AE2254" s="91"/>
      <c r="AF2254" s="91"/>
      <c r="AG2254" s="91"/>
      <c r="AH2254" s="91"/>
      <c r="AI2254" s="91"/>
      <c r="AJ2254" s="91"/>
      <c r="AK2254" s="91"/>
      <c r="AL2254" s="91"/>
      <c r="AM2254" s="91"/>
    </row>
    <row r="2255" spans="1:39" ht="20.25" hidden="1" customHeight="1">
      <c r="A2255" s="91"/>
      <c r="B2255" s="93" t="s">
        <v>7270</v>
      </c>
      <c r="C2255" s="91" t="s">
        <v>36</v>
      </c>
      <c r="D2255" s="94" t="s">
        <v>7308</v>
      </c>
      <c r="E2255" s="94" t="s">
        <v>7309</v>
      </c>
      <c r="F2255" s="95" t="s">
        <v>7310</v>
      </c>
      <c r="G2255" s="96">
        <v>37461</v>
      </c>
      <c r="H2255" s="97">
        <v>20209</v>
      </c>
      <c r="I2255" s="94" t="s">
        <v>7311</v>
      </c>
      <c r="J2255" s="94" t="s">
        <v>7312</v>
      </c>
      <c r="K2255" s="92">
        <f>56984923473</f>
        <v>56984923473</v>
      </c>
      <c r="L2255" s="91" t="s">
        <v>60</v>
      </c>
      <c r="M2255" s="98">
        <f ca="1">(TODAY()-H2255)/365</f>
        <v>70.665753424657538</v>
      </c>
      <c r="N2255" s="99">
        <f>(G2255-H2255)/365</f>
        <v>47.265753424657532</v>
      </c>
      <c r="O2255" s="98">
        <f ca="1">(TODAY()-G2255)/365</f>
        <v>23.4</v>
      </c>
      <c r="P2255" s="91" t="s">
        <v>43</v>
      </c>
      <c r="Q2255" s="91">
        <v>0</v>
      </c>
      <c r="R2255" s="91">
        <v>0</v>
      </c>
      <c r="S2255" s="91">
        <v>0</v>
      </c>
      <c r="T2255" s="91"/>
      <c r="U2255" s="91"/>
      <c r="V2255" s="91"/>
      <c r="W2255" s="91"/>
      <c r="X2255" s="91"/>
      <c r="Y2255" s="91"/>
      <c r="Z2255" s="91"/>
      <c r="AA2255" s="91"/>
      <c r="AB2255" s="91"/>
      <c r="AC2255" s="91"/>
      <c r="AD2255" s="91"/>
      <c r="AE2255" s="91"/>
      <c r="AF2255" s="91"/>
      <c r="AG2255" s="91"/>
      <c r="AH2255" s="91"/>
      <c r="AI2255" s="91"/>
      <c r="AJ2255" s="91"/>
      <c r="AK2255" s="91"/>
      <c r="AL2255" s="91"/>
      <c r="AM2255" s="91"/>
    </row>
    <row r="2256" spans="1:39" ht="20.25" customHeight="1">
      <c r="A2256" s="91"/>
      <c r="B2256" s="93" t="s">
        <v>35</v>
      </c>
      <c r="C2256" s="91" t="s">
        <v>73</v>
      </c>
      <c r="D2256" s="94" t="s">
        <v>74</v>
      </c>
      <c r="E2256" s="94" t="s">
        <v>75</v>
      </c>
      <c r="F2256" s="95" t="s">
        <v>76</v>
      </c>
      <c r="G2256" s="96">
        <v>45585</v>
      </c>
      <c r="H2256" s="97">
        <v>19004</v>
      </c>
      <c r="I2256" s="100" t="s">
        <v>58</v>
      </c>
      <c r="J2256" s="100" t="s">
        <v>58</v>
      </c>
      <c r="K2256" s="91" t="s">
        <v>58</v>
      </c>
      <c r="L2256" s="91" t="s">
        <v>60</v>
      </c>
      <c r="M2256" s="98">
        <f ca="1">(TODAY()-H2256)/365</f>
        <v>73.967123287671228</v>
      </c>
      <c r="N2256" s="99">
        <f>(G2256-H2256)/365</f>
        <v>72.824657534246569</v>
      </c>
      <c r="O2256" s="98">
        <f ca="1">(TODAY()-G2256)/365</f>
        <v>1.1424657534246576</v>
      </c>
      <c r="P2256" s="91" t="s">
        <v>43</v>
      </c>
      <c r="Q2256" s="91">
        <v>0</v>
      </c>
      <c r="R2256" s="91">
        <v>0</v>
      </c>
      <c r="S2256" s="91">
        <v>0</v>
      </c>
      <c r="T2256" s="91"/>
      <c r="U2256" s="91"/>
      <c r="V2256" s="91"/>
      <c r="W2256" s="91"/>
      <c r="X2256" s="91"/>
      <c r="Y2256" s="91"/>
      <c r="Z2256" s="91"/>
      <c r="AA2256" s="91"/>
      <c r="AB2256" s="91"/>
      <c r="AC2256" s="91"/>
      <c r="AD2256" s="91"/>
      <c r="AE2256" s="91"/>
      <c r="AF2256" s="91"/>
      <c r="AG2256" s="91"/>
      <c r="AH2256" s="91"/>
      <c r="AI2256" s="91"/>
      <c r="AJ2256" s="91"/>
      <c r="AK2256" s="91"/>
      <c r="AL2256" s="91"/>
      <c r="AM2256" s="91"/>
    </row>
    <row r="2257" spans="1:39" ht="20.25" hidden="1" customHeight="1">
      <c r="A2257" s="91"/>
      <c r="B2257" s="93" t="s">
        <v>7270</v>
      </c>
      <c r="C2257" s="91" t="s">
        <v>36</v>
      </c>
      <c r="D2257" s="94" t="s">
        <v>7316</v>
      </c>
      <c r="E2257" s="94" t="s">
        <v>7317</v>
      </c>
      <c r="F2257" s="95" t="s">
        <v>7318</v>
      </c>
      <c r="G2257" s="96">
        <v>39174</v>
      </c>
      <c r="H2257" s="97">
        <v>20892</v>
      </c>
      <c r="I2257" s="100" t="s">
        <v>58</v>
      </c>
      <c r="J2257" s="94" t="s">
        <v>7319</v>
      </c>
      <c r="K2257" s="92">
        <v>56968350864</v>
      </c>
      <c r="L2257" s="91" t="s">
        <v>60</v>
      </c>
      <c r="M2257" s="98">
        <f ca="1">(TODAY()-H2257)/365</f>
        <v>68.794520547945211</v>
      </c>
      <c r="N2257" s="99">
        <f>(G2257-H2257)/365</f>
        <v>50.087671232876716</v>
      </c>
      <c r="O2257" s="98">
        <f ca="1">(TODAY()-G2257)/365</f>
        <v>18.706849315068492</v>
      </c>
      <c r="P2257" s="91" t="s">
        <v>43</v>
      </c>
      <c r="Q2257" s="91">
        <v>0</v>
      </c>
      <c r="R2257" s="91">
        <v>0</v>
      </c>
      <c r="S2257" s="91">
        <v>0</v>
      </c>
      <c r="T2257" s="91"/>
      <c r="U2257" s="91"/>
      <c r="V2257" s="91"/>
      <c r="W2257" s="91"/>
      <c r="X2257" s="91"/>
      <c r="Y2257" s="91"/>
      <c r="Z2257" s="91"/>
      <c r="AA2257" s="91"/>
      <c r="AB2257" s="91"/>
      <c r="AC2257" s="91"/>
      <c r="AD2257" s="91"/>
      <c r="AE2257" s="91"/>
      <c r="AF2257" s="91"/>
      <c r="AG2257" s="91"/>
      <c r="AH2257" s="91"/>
      <c r="AI2257" s="91"/>
      <c r="AJ2257" s="91"/>
      <c r="AK2257" s="91"/>
      <c r="AL2257" s="91"/>
      <c r="AM2257" s="91"/>
    </row>
    <row r="2258" spans="1:39" ht="20.25" customHeight="1">
      <c r="A2258" s="91"/>
      <c r="B2258" s="93" t="s">
        <v>5484</v>
      </c>
      <c r="C2258" s="91" t="s">
        <v>73</v>
      </c>
      <c r="D2258" s="107" t="s">
        <v>2484</v>
      </c>
      <c r="E2258" s="107" t="s">
        <v>5487</v>
      </c>
      <c r="F2258" s="91" t="s">
        <v>5488</v>
      </c>
      <c r="G2258" s="96">
        <v>44197</v>
      </c>
      <c r="H2258" s="97">
        <v>27307</v>
      </c>
      <c r="I2258" s="100" t="s">
        <v>58</v>
      </c>
      <c r="J2258" s="100" t="s">
        <v>58</v>
      </c>
      <c r="K2258" s="91" t="s">
        <v>58</v>
      </c>
      <c r="L2258" s="91" t="s">
        <v>60</v>
      </c>
      <c r="M2258" s="98">
        <f ca="1">(TODAY()-H2258)/365</f>
        <v>51.219178082191782</v>
      </c>
      <c r="N2258" s="99">
        <f>(G2258-H2258)/365</f>
        <v>46.273972602739725</v>
      </c>
      <c r="O2258" s="98">
        <f ca="1">(TODAY()-G2258)/365</f>
        <v>4.9452054794520546</v>
      </c>
      <c r="P2258" s="91" t="s">
        <v>272</v>
      </c>
      <c r="Q2258" s="91">
        <v>0</v>
      </c>
      <c r="R2258" s="91">
        <v>0</v>
      </c>
      <c r="S2258" s="91">
        <v>0</v>
      </c>
      <c r="T2258" s="91"/>
      <c r="U2258" s="91"/>
      <c r="V2258" s="91"/>
      <c r="W2258" s="91"/>
      <c r="X2258" s="91"/>
      <c r="Y2258" s="91"/>
      <c r="Z2258" s="91"/>
      <c r="AA2258" s="91"/>
      <c r="AB2258" s="91"/>
      <c r="AC2258" s="91"/>
      <c r="AD2258" s="91"/>
      <c r="AE2258" s="91"/>
      <c r="AF2258" s="91"/>
      <c r="AG2258" s="91"/>
      <c r="AH2258" s="91"/>
      <c r="AI2258" s="91"/>
      <c r="AJ2258" s="91"/>
      <c r="AK2258" s="91"/>
      <c r="AL2258" s="91"/>
      <c r="AM2258" s="91"/>
    </row>
    <row r="2259" spans="1:39" ht="20.25" customHeight="1">
      <c r="A2259" s="91"/>
      <c r="B2259" s="93" t="s">
        <v>77</v>
      </c>
      <c r="C2259" s="91" t="s">
        <v>73</v>
      </c>
      <c r="D2259" s="94" t="s">
        <v>78</v>
      </c>
      <c r="E2259" s="94" t="s">
        <v>79</v>
      </c>
      <c r="F2259" s="95" t="s">
        <v>80</v>
      </c>
      <c r="G2259" s="96">
        <v>43297</v>
      </c>
      <c r="H2259" s="97">
        <v>38064</v>
      </c>
      <c r="I2259" s="94" t="s">
        <v>81</v>
      </c>
      <c r="J2259" s="100" t="s">
        <v>58</v>
      </c>
      <c r="K2259" s="91" t="s">
        <v>58</v>
      </c>
      <c r="L2259" s="91" t="s">
        <v>60</v>
      </c>
      <c r="M2259" s="98">
        <f ca="1">(TODAY()-H2259)/365</f>
        <v>21.747945205479454</v>
      </c>
      <c r="N2259" s="99">
        <f>(G2259-H2259)/365</f>
        <v>14.336986301369864</v>
      </c>
      <c r="O2259" s="98">
        <f ca="1">(TODAY()-G2259)/365</f>
        <v>7.4109589041095889</v>
      </c>
      <c r="P2259" s="91" t="s">
        <v>43</v>
      </c>
      <c r="Q2259" s="91">
        <v>0</v>
      </c>
      <c r="R2259" s="91">
        <v>0</v>
      </c>
      <c r="S2259" s="91">
        <v>0</v>
      </c>
      <c r="T2259" s="91"/>
      <c r="U2259" s="91"/>
      <c r="V2259" s="91"/>
      <c r="W2259" s="91"/>
      <c r="X2259" s="91"/>
      <c r="Y2259" s="91"/>
      <c r="Z2259" s="91"/>
      <c r="AA2259" s="91"/>
      <c r="AB2259" s="91"/>
      <c r="AC2259" s="91"/>
      <c r="AD2259" s="91"/>
      <c r="AE2259" s="91"/>
      <c r="AF2259" s="91"/>
      <c r="AG2259" s="91"/>
      <c r="AH2259" s="91"/>
      <c r="AI2259" s="91"/>
      <c r="AJ2259" s="91"/>
      <c r="AK2259" s="91"/>
      <c r="AL2259" s="91"/>
      <c r="AM2259" s="91"/>
    </row>
    <row r="2260" spans="1:39" ht="20.25" customHeight="1">
      <c r="A2260" s="91"/>
      <c r="B2260" s="93" t="s">
        <v>1698</v>
      </c>
      <c r="C2260" s="91" t="s">
        <v>73</v>
      </c>
      <c r="D2260" s="94" t="s">
        <v>1756</v>
      </c>
      <c r="E2260" s="94" t="s">
        <v>1757</v>
      </c>
      <c r="F2260" s="95" t="s">
        <v>1758</v>
      </c>
      <c r="G2260" s="96">
        <v>44627</v>
      </c>
      <c r="H2260" s="97">
        <v>27898</v>
      </c>
      <c r="I2260" s="94" t="s">
        <v>58</v>
      </c>
      <c r="J2260" s="94" t="s">
        <v>58</v>
      </c>
      <c r="K2260" s="95" t="s">
        <v>58</v>
      </c>
      <c r="L2260" s="91" t="s">
        <v>60</v>
      </c>
      <c r="M2260" s="98">
        <f ca="1">(TODAY()-H2260)/365</f>
        <v>49.6</v>
      </c>
      <c r="N2260" s="99">
        <f>(G2260-H2260)/365</f>
        <v>45.832876712328769</v>
      </c>
      <c r="O2260" s="98">
        <f ca="1">(TODAY()-G2260)/365</f>
        <v>3.7671232876712328</v>
      </c>
      <c r="P2260" s="91" t="s">
        <v>43</v>
      </c>
      <c r="Q2260" s="91">
        <v>0</v>
      </c>
      <c r="R2260" s="91">
        <v>0</v>
      </c>
      <c r="S2260" s="91">
        <v>0</v>
      </c>
      <c r="T2260" s="91"/>
      <c r="U2260" s="91"/>
      <c r="V2260" s="91"/>
      <c r="W2260" s="91"/>
      <c r="X2260" s="91"/>
      <c r="Y2260" s="91"/>
      <c r="Z2260" s="91"/>
      <c r="AA2260" s="91"/>
      <c r="AB2260" s="91"/>
      <c r="AC2260" s="91"/>
      <c r="AD2260" s="91"/>
      <c r="AE2260" s="91"/>
      <c r="AF2260" s="91"/>
      <c r="AG2260" s="91"/>
      <c r="AH2260" s="91"/>
      <c r="AI2260" s="91"/>
      <c r="AJ2260" s="91"/>
      <c r="AK2260" s="91"/>
      <c r="AL2260" s="91"/>
      <c r="AM2260" s="91"/>
    </row>
    <row r="2261" spans="1:39" ht="20.25" hidden="1" customHeight="1">
      <c r="A2261" s="91"/>
      <c r="B2261" s="93" t="s">
        <v>7270</v>
      </c>
      <c r="C2261" s="91" t="s">
        <v>36</v>
      </c>
      <c r="D2261" s="94" t="s">
        <v>7329</v>
      </c>
      <c r="E2261" s="94" t="s">
        <v>7330</v>
      </c>
      <c r="F2261" s="95" t="s">
        <v>7331</v>
      </c>
      <c r="G2261" s="96">
        <v>43133</v>
      </c>
      <c r="H2261" s="97">
        <v>21404</v>
      </c>
      <c r="I2261" s="94" t="s">
        <v>7332</v>
      </c>
      <c r="J2261" s="94" t="s">
        <v>7333</v>
      </c>
      <c r="K2261" s="92">
        <v>56984903038</v>
      </c>
      <c r="L2261" s="91" t="s">
        <v>42</v>
      </c>
      <c r="M2261" s="98">
        <f ca="1">(TODAY()-H2261)/365</f>
        <v>67.391780821917806</v>
      </c>
      <c r="N2261" s="99">
        <f>(G2261-H2261)/365</f>
        <v>59.531506849315072</v>
      </c>
      <c r="O2261" s="98">
        <f ca="1">(TODAY()-G2261)/365</f>
        <v>7.86027397260274</v>
      </c>
      <c r="P2261" s="91" t="s">
        <v>43</v>
      </c>
      <c r="Q2261" s="91">
        <v>0</v>
      </c>
      <c r="R2261" s="91">
        <v>0</v>
      </c>
      <c r="S2261" s="91">
        <v>0</v>
      </c>
      <c r="T2261" s="91"/>
      <c r="U2261" s="91"/>
      <c r="V2261" s="91"/>
      <c r="W2261" s="91"/>
      <c r="X2261" s="91"/>
      <c r="Y2261" s="91"/>
      <c r="Z2261" s="91"/>
      <c r="AA2261" s="91"/>
      <c r="AB2261" s="91"/>
      <c r="AC2261" s="91"/>
      <c r="AD2261" s="91"/>
      <c r="AE2261" s="91"/>
      <c r="AF2261" s="91"/>
      <c r="AG2261" s="91"/>
      <c r="AH2261" s="91"/>
      <c r="AI2261" s="91"/>
      <c r="AJ2261" s="91"/>
      <c r="AK2261" s="91"/>
      <c r="AL2261" s="91"/>
      <c r="AM2261" s="91"/>
    </row>
    <row r="2262" spans="1:39" ht="20.25" hidden="1" customHeight="1">
      <c r="A2262" s="91"/>
      <c r="B2262" s="93" t="s">
        <v>7270</v>
      </c>
      <c r="C2262" s="91" t="s">
        <v>36</v>
      </c>
      <c r="D2262" s="94" t="s">
        <v>7334</v>
      </c>
      <c r="E2262" s="94" t="s">
        <v>7335</v>
      </c>
      <c r="F2262" s="95" t="s">
        <v>7336</v>
      </c>
      <c r="G2262" s="96">
        <v>45449</v>
      </c>
      <c r="H2262" s="97">
        <v>23121</v>
      </c>
      <c r="I2262" s="94" t="s">
        <v>7337</v>
      </c>
      <c r="J2262" s="94" t="s">
        <v>7338</v>
      </c>
      <c r="K2262" s="92">
        <v>56998331324</v>
      </c>
      <c r="L2262" s="91" t="s">
        <v>60</v>
      </c>
      <c r="M2262" s="98">
        <f ca="1">(TODAY()-H2262)/365</f>
        <v>62.68767123287671</v>
      </c>
      <c r="N2262" s="99">
        <f>(G2262-H2262)/365</f>
        <v>61.172602739726024</v>
      </c>
      <c r="O2262" s="98">
        <f ca="1">(TODAY()-G2262)/365</f>
        <v>1.515068493150685</v>
      </c>
      <c r="P2262" s="91" t="s">
        <v>43</v>
      </c>
      <c r="Q2262" s="91">
        <v>0</v>
      </c>
      <c r="R2262" s="91">
        <v>0</v>
      </c>
      <c r="S2262" s="91">
        <v>0</v>
      </c>
      <c r="T2262" s="91"/>
      <c r="U2262" s="91"/>
      <c r="V2262" s="91"/>
      <c r="W2262" s="91"/>
      <c r="X2262" s="91"/>
      <c r="Y2262" s="91"/>
      <c r="Z2262" s="91"/>
      <c r="AA2262" s="91"/>
      <c r="AB2262" s="91"/>
      <c r="AC2262" s="91"/>
      <c r="AD2262" s="91"/>
      <c r="AE2262" s="91"/>
      <c r="AF2262" s="91"/>
      <c r="AG2262" s="91"/>
      <c r="AH2262" s="91"/>
      <c r="AI2262" s="91"/>
      <c r="AJ2262" s="91"/>
      <c r="AK2262" s="91"/>
      <c r="AL2262" s="91"/>
      <c r="AM2262" s="91"/>
    </row>
    <row r="2263" spans="1:39" ht="20.25" hidden="1" customHeight="1">
      <c r="A2263" s="91"/>
      <c r="B2263" s="93" t="s">
        <v>7270</v>
      </c>
      <c r="C2263" s="91" t="s">
        <v>36</v>
      </c>
      <c r="D2263" s="94" t="s">
        <v>7339</v>
      </c>
      <c r="E2263" s="94" t="s">
        <v>7340</v>
      </c>
      <c r="F2263" s="95" t="s">
        <v>7341</v>
      </c>
      <c r="G2263" s="96">
        <v>39724</v>
      </c>
      <c r="H2263" s="97">
        <v>16524</v>
      </c>
      <c r="I2263" s="94" t="s">
        <v>7342</v>
      </c>
      <c r="J2263" s="94" t="s">
        <v>7343</v>
      </c>
      <c r="K2263" s="92">
        <f>56955661521</f>
        <v>56955661521</v>
      </c>
      <c r="L2263" s="91" t="s">
        <v>72</v>
      </c>
      <c r="M2263" s="98">
        <f ca="1">(TODAY()-H2263)/365</f>
        <v>80.761643835616439</v>
      </c>
      <c r="N2263" s="99">
        <f>(G2263-H2263)/365</f>
        <v>63.561643835616437</v>
      </c>
      <c r="O2263" s="98">
        <f ca="1">(TODAY()-G2263)/365</f>
        <v>17.2</v>
      </c>
      <c r="P2263" s="91" t="s">
        <v>43</v>
      </c>
      <c r="Q2263" s="91">
        <v>0</v>
      </c>
      <c r="R2263" s="91">
        <v>0</v>
      </c>
      <c r="S2263" s="91">
        <v>0</v>
      </c>
      <c r="T2263" s="91"/>
      <c r="U2263" s="91"/>
      <c r="V2263" s="91"/>
      <c r="W2263" s="91"/>
      <c r="X2263" s="91"/>
      <c r="Y2263" s="91"/>
      <c r="Z2263" s="91"/>
      <c r="AA2263" s="91"/>
      <c r="AB2263" s="91"/>
      <c r="AC2263" s="91"/>
      <c r="AD2263" s="91"/>
      <c r="AE2263" s="91"/>
      <c r="AF2263" s="91"/>
      <c r="AG2263" s="91"/>
      <c r="AH2263" s="91"/>
      <c r="AI2263" s="91"/>
      <c r="AJ2263" s="91"/>
      <c r="AK2263" s="91"/>
      <c r="AL2263" s="91"/>
      <c r="AM2263" s="91"/>
    </row>
    <row r="2264" spans="1:39" ht="20.25" hidden="1" customHeight="1">
      <c r="A2264" s="91"/>
      <c r="B2264" s="93" t="s">
        <v>7270</v>
      </c>
      <c r="C2264" s="91" t="s">
        <v>36</v>
      </c>
      <c r="D2264" s="94" t="s">
        <v>6493</v>
      </c>
      <c r="E2264" s="94" t="s">
        <v>7344</v>
      </c>
      <c r="F2264" s="95" t="s">
        <v>7345</v>
      </c>
      <c r="G2264" s="96">
        <v>45449</v>
      </c>
      <c r="H2264" s="97">
        <v>22089</v>
      </c>
      <c r="I2264" s="94" t="s">
        <v>7346</v>
      </c>
      <c r="J2264" s="94" t="s">
        <v>7347</v>
      </c>
      <c r="K2264" s="92">
        <f>569930051147</f>
        <v>569930051147</v>
      </c>
      <c r="L2264" s="91" t="s">
        <v>60</v>
      </c>
      <c r="M2264" s="98">
        <f ca="1">(TODAY()-H2264)/365</f>
        <v>65.515068493150679</v>
      </c>
      <c r="N2264" s="99">
        <f>(G2264-H2264)/365</f>
        <v>64</v>
      </c>
      <c r="O2264" s="98">
        <f ca="1">(TODAY()-G2264)/365</f>
        <v>1.515068493150685</v>
      </c>
      <c r="P2264" s="91" t="s">
        <v>43</v>
      </c>
      <c r="Q2264" s="91">
        <v>0</v>
      </c>
      <c r="R2264" s="91">
        <v>0</v>
      </c>
      <c r="S2264" s="91">
        <v>0</v>
      </c>
      <c r="T2264" s="91"/>
      <c r="U2264" s="91"/>
      <c r="V2264" s="91"/>
      <c r="W2264" s="91"/>
      <c r="X2264" s="91"/>
      <c r="Y2264" s="91"/>
      <c r="Z2264" s="91"/>
      <c r="AA2264" s="91"/>
      <c r="AB2264" s="91"/>
      <c r="AC2264" s="91"/>
      <c r="AD2264" s="91"/>
      <c r="AE2264" s="91"/>
      <c r="AF2264" s="91"/>
      <c r="AG2264" s="91"/>
      <c r="AH2264" s="91"/>
      <c r="AI2264" s="91"/>
      <c r="AJ2264" s="91"/>
      <c r="AK2264" s="91"/>
      <c r="AL2264" s="91"/>
      <c r="AM2264" s="91"/>
    </row>
    <row r="2265" spans="1:39" ht="20.25" hidden="1" customHeight="1">
      <c r="A2265" s="91"/>
      <c r="B2265" s="93" t="s">
        <v>7270</v>
      </c>
      <c r="C2265" s="91" t="s">
        <v>36</v>
      </c>
      <c r="D2265" s="94" t="s">
        <v>7348</v>
      </c>
      <c r="E2265" s="94" t="s">
        <v>7349</v>
      </c>
      <c r="F2265" s="95" t="s">
        <v>7350</v>
      </c>
      <c r="G2265" s="96">
        <v>45449</v>
      </c>
      <c r="H2265" s="97">
        <v>21840</v>
      </c>
      <c r="I2265" s="94" t="s">
        <v>7351</v>
      </c>
      <c r="J2265" s="94" t="s">
        <v>7352</v>
      </c>
      <c r="K2265" s="92">
        <v>56968427464</v>
      </c>
      <c r="L2265" s="91" t="s">
        <v>49</v>
      </c>
      <c r="M2265" s="98">
        <f ca="1">(TODAY()-H2265)/365</f>
        <v>66.197260273972603</v>
      </c>
      <c r="N2265" s="99">
        <f>(G2265-H2265)/365</f>
        <v>64.682191780821924</v>
      </c>
      <c r="O2265" s="98">
        <f ca="1">(TODAY()-G2265)/365</f>
        <v>1.515068493150685</v>
      </c>
      <c r="P2265" s="91" t="s">
        <v>43</v>
      </c>
      <c r="Q2265" s="91">
        <v>0</v>
      </c>
      <c r="R2265" s="91">
        <v>0</v>
      </c>
      <c r="S2265" s="91">
        <v>0</v>
      </c>
      <c r="T2265" s="91"/>
      <c r="U2265" s="91"/>
      <c r="V2265" s="91"/>
      <c r="W2265" s="91"/>
      <c r="X2265" s="91"/>
      <c r="Y2265" s="91"/>
      <c r="Z2265" s="91"/>
      <c r="AA2265" s="91"/>
      <c r="AB2265" s="91"/>
      <c r="AC2265" s="91"/>
      <c r="AD2265" s="91"/>
      <c r="AE2265" s="91"/>
      <c r="AF2265" s="91"/>
      <c r="AG2265" s="91"/>
      <c r="AH2265" s="91"/>
      <c r="AI2265" s="91"/>
      <c r="AJ2265" s="91"/>
      <c r="AK2265" s="91"/>
      <c r="AL2265" s="91"/>
      <c r="AM2265" s="91"/>
    </row>
    <row r="2266" spans="1:39" ht="20.25" hidden="1" customHeight="1">
      <c r="A2266" s="91"/>
      <c r="B2266" s="93" t="s">
        <v>7270</v>
      </c>
      <c r="C2266" s="91" t="s">
        <v>36</v>
      </c>
      <c r="D2266" s="94" t="s">
        <v>7353</v>
      </c>
      <c r="E2266" s="94" t="s">
        <v>7354</v>
      </c>
      <c r="F2266" s="95" t="s">
        <v>7355</v>
      </c>
      <c r="G2266" s="96">
        <v>37396</v>
      </c>
      <c r="H2266" s="97">
        <v>13419</v>
      </c>
      <c r="I2266" s="94" t="s">
        <v>7356</v>
      </c>
      <c r="J2266" s="94" t="s">
        <v>7357</v>
      </c>
      <c r="K2266" s="92">
        <f>56976007403</f>
        <v>56976007403</v>
      </c>
      <c r="L2266" s="91" t="s">
        <v>216</v>
      </c>
      <c r="M2266" s="98">
        <f ca="1">(TODAY()-H2266)/365</f>
        <v>89.268493150684932</v>
      </c>
      <c r="N2266" s="99">
        <f>(G2266-H2266)/365</f>
        <v>65.69041095890411</v>
      </c>
      <c r="O2266" s="98">
        <f ca="1">(TODAY()-G2266)/365</f>
        <v>23.578082191780823</v>
      </c>
      <c r="P2266" s="91" t="s">
        <v>43</v>
      </c>
      <c r="Q2266" s="91">
        <v>0</v>
      </c>
      <c r="R2266" s="91">
        <v>0</v>
      </c>
      <c r="S2266" s="91">
        <v>0</v>
      </c>
      <c r="T2266" s="91"/>
      <c r="U2266" s="91"/>
      <c r="V2266" s="91"/>
      <c r="W2266" s="91"/>
      <c r="X2266" s="91"/>
      <c r="Y2266" s="91"/>
      <c r="Z2266" s="91"/>
      <c r="AA2266" s="91"/>
      <c r="AB2266" s="91"/>
      <c r="AC2266" s="91"/>
      <c r="AD2266" s="91"/>
      <c r="AE2266" s="91"/>
      <c r="AF2266" s="91"/>
      <c r="AG2266" s="91"/>
      <c r="AH2266" s="91"/>
      <c r="AI2266" s="91"/>
      <c r="AJ2266" s="91"/>
      <c r="AK2266" s="91"/>
      <c r="AL2266" s="91"/>
      <c r="AM2266" s="91"/>
    </row>
    <row r="2267" spans="1:39" ht="20.25" customHeight="1">
      <c r="A2267" s="91"/>
      <c r="B2267" s="93" t="s">
        <v>2320</v>
      </c>
      <c r="C2267" s="91" t="s">
        <v>73</v>
      </c>
      <c r="D2267" s="94" t="s">
        <v>2340</v>
      </c>
      <c r="E2267" s="94" t="s">
        <v>2341</v>
      </c>
      <c r="F2267" s="95" t="s">
        <v>2342</v>
      </c>
      <c r="G2267" s="96">
        <v>44905</v>
      </c>
      <c r="H2267" s="97">
        <v>37029</v>
      </c>
      <c r="I2267" s="94" t="s">
        <v>2343</v>
      </c>
      <c r="J2267" s="94" t="s">
        <v>58</v>
      </c>
      <c r="K2267" s="92">
        <v>41686606</v>
      </c>
      <c r="L2267" s="91" t="s">
        <v>60</v>
      </c>
      <c r="M2267" s="98">
        <f ca="1">(TODAY()-H2267)/365</f>
        <v>24.583561643835615</v>
      </c>
      <c r="N2267" s="99">
        <f>(G2267-H2267)/365</f>
        <v>21.578082191780823</v>
      </c>
      <c r="O2267" s="98">
        <f ca="1">(TODAY()-G2267)/365</f>
        <v>3.0054794520547947</v>
      </c>
      <c r="P2267" s="91" t="s">
        <v>43</v>
      </c>
      <c r="Q2267" s="91">
        <v>0</v>
      </c>
      <c r="R2267" s="91">
        <v>0</v>
      </c>
      <c r="S2267" s="91">
        <v>0</v>
      </c>
      <c r="T2267" s="91"/>
      <c r="U2267" s="91"/>
      <c r="V2267" s="91"/>
      <c r="W2267" s="91"/>
      <c r="X2267" s="91"/>
      <c r="Y2267" s="91"/>
      <c r="Z2267" s="91"/>
      <c r="AA2267" s="91"/>
      <c r="AB2267" s="91"/>
      <c r="AC2267" s="91"/>
      <c r="AD2267" s="91"/>
      <c r="AE2267" s="91"/>
      <c r="AF2267" s="91"/>
      <c r="AG2267" s="91"/>
      <c r="AH2267" s="91"/>
      <c r="AI2267" s="91"/>
      <c r="AJ2267" s="91"/>
      <c r="AK2267" s="91"/>
      <c r="AL2267" s="91"/>
      <c r="AM2267" s="91"/>
    </row>
    <row r="2268" spans="1:39" ht="20.25" customHeight="1">
      <c r="A2268" s="91"/>
      <c r="B2268" s="93" t="s">
        <v>371</v>
      </c>
      <c r="C2268" s="91" t="s">
        <v>73</v>
      </c>
      <c r="D2268" s="94" t="s">
        <v>408</v>
      </c>
      <c r="E2268" s="94" t="s">
        <v>409</v>
      </c>
      <c r="F2268" s="95" t="s">
        <v>410</v>
      </c>
      <c r="G2268" s="96">
        <v>45297</v>
      </c>
      <c r="H2268" s="97">
        <v>38306</v>
      </c>
      <c r="I2268" s="100" t="s">
        <v>411</v>
      </c>
      <c r="J2268" s="100" t="s">
        <v>58</v>
      </c>
      <c r="K2268" s="91" t="s">
        <v>58</v>
      </c>
      <c r="L2268" s="91" t="s">
        <v>60</v>
      </c>
      <c r="M2268" s="98">
        <f ca="1">(TODAY()-H2268)/365</f>
        <v>21.084931506849315</v>
      </c>
      <c r="N2268" s="99">
        <f>(G2268-H2268)/365</f>
        <v>19.153424657534245</v>
      </c>
      <c r="O2268" s="98">
        <f ca="1">(TODAY()-G2268)/365</f>
        <v>1.9315068493150684</v>
      </c>
      <c r="P2268" s="91" t="s">
        <v>43</v>
      </c>
      <c r="Q2268" s="91">
        <v>0</v>
      </c>
      <c r="R2268" s="91">
        <v>0</v>
      </c>
      <c r="S2268" s="91">
        <v>0</v>
      </c>
      <c r="T2268" s="91"/>
      <c r="U2268" s="91"/>
      <c r="V2268" s="91"/>
      <c r="W2268" s="91"/>
      <c r="X2268" s="91"/>
      <c r="Y2268" s="91"/>
      <c r="Z2268" s="91"/>
      <c r="AA2268" s="91"/>
      <c r="AB2268" s="91"/>
      <c r="AC2268" s="91"/>
      <c r="AD2268" s="91"/>
      <c r="AE2268" s="91"/>
      <c r="AF2268" s="91"/>
      <c r="AG2268" s="91"/>
      <c r="AH2268" s="91"/>
      <c r="AI2268" s="91"/>
      <c r="AJ2268" s="91"/>
      <c r="AK2268" s="91"/>
      <c r="AL2268" s="91"/>
      <c r="AM2268" s="91"/>
    </row>
    <row r="2269" spans="1:39" ht="20.25" customHeight="1">
      <c r="A2269" s="91"/>
      <c r="B2269" s="93" t="s">
        <v>1477</v>
      </c>
      <c r="C2269" s="91" t="s">
        <v>73</v>
      </c>
      <c r="D2269" s="94" t="s">
        <v>1488</v>
      </c>
      <c r="E2269" s="94" t="s">
        <v>1489</v>
      </c>
      <c r="F2269" s="95" t="s">
        <v>1490</v>
      </c>
      <c r="G2269" s="96">
        <v>45038</v>
      </c>
      <c r="H2269" s="97">
        <v>39699</v>
      </c>
      <c r="I2269" s="94" t="s">
        <v>1491</v>
      </c>
      <c r="J2269" s="100" t="s">
        <v>58</v>
      </c>
      <c r="K2269" s="91" t="s">
        <v>58</v>
      </c>
      <c r="L2269" s="91" t="s">
        <v>60</v>
      </c>
      <c r="M2269" s="98">
        <f ca="1">(TODAY()-H2269)/365</f>
        <v>17.268493150684932</v>
      </c>
      <c r="N2269" s="99">
        <f>(G2269-H2269)/365</f>
        <v>14.627397260273973</v>
      </c>
      <c r="O2269" s="98">
        <f ca="1">(TODAY()-G2269)/365</f>
        <v>2.6410958904109587</v>
      </c>
      <c r="P2269" s="91" t="s">
        <v>272</v>
      </c>
      <c r="Q2269" s="91">
        <v>0</v>
      </c>
      <c r="R2269" s="91">
        <v>0</v>
      </c>
      <c r="S2269" s="91">
        <v>0</v>
      </c>
      <c r="T2269" s="91"/>
      <c r="U2269" s="91"/>
      <c r="V2269" s="91"/>
      <c r="W2269" s="91"/>
      <c r="X2269" s="91"/>
      <c r="Y2269" s="91"/>
      <c r="Z2269" s="91"/>
      <c r="AA2269" s="91"/>
      <c r="AB2269" s="91"/>
      <c r="AC2269" s="91"/>
      <c r="AD2269" s="91"/>
      <c r="AE2269" s="91"/>
      <c r="AF2269" s="91"/>
      <c r="AG2269" s="91"/>
      <c r="AH2269" s="91"/>
      <c r="AI2269" s="91"/>
      <c r="AJ2269" s="91"/>
      <c r="AK2269" s="91"/>
      <c r="AL2269" s="91"/>
      <c r="AM2269" s="91"/>
    </row>
    <row r="2270" spans="1:39" ht="20.25" hidden="1" customHeight="1">
      <c r="A2270" s="91"/>
      <c r="B2270" s="93" t="s">
        <v>7360</v>
      </c>
      <c r="C2270" s="91" t="s">
        <v>36</v>
      </c>
      <c r="D2270" s="107" t="s">
        <v>7366</v>
      </c>
      <c r="E2270" s="107" t="s">
        <v>7367</v>
      </c>
      <c r="F2270" s="91" t="s">
        <v>7368</v>
      </c>
      <c r="G2270" s="96">
        <v>36586</v>
      </c>
      <c r="H2270" s="97">
        <v>25363</v>
      </c>
      <c r="I2270" s="108" t="s">
        <v>12398</v>
      </c>
      <c r="J2270" s="100" t="s">
        <v>7369</v>
      </c>
      <c r="K2270" s="91">
        <v>996984881</v>
      </c>
      <c r="L2270" s="91" t="s">
        <v>60</v>
      </c>
      <c r="M2270" s="98">
        <f ca="1">(TODAY()-H2270)/365</f>
        <v>56.545205479452058</v>
      </c>
      <c r="N2270" s="99">
        <f>(G2270-H2270)/365</f>
        <v>30.747945205479454</v>
      </c>
      <c r="O2270" s="98">
        <f ca="1">(TODAY()-G2270)/365</f>
        <v>25.797260273972604</v>
      </c>
      <c r="P2270" s="91" t="s">
        <v>43</v>
      </c>
      <c r="Q2270" s="91">
        <v>0</v>
      </c>
      <c r="R2270" s="91">
        <v>0</v>
      </c>
      <c r="S2270" s="91">
        <v>0</v>
      </c>
      <c r="T2270" s="91"/>
      <c r="U2270" s="91"/>
      <c r="V2270" s="91"/>
      <c r="W2270" s="91"/>
      <c r="X2270" s="91"/>
      <c r="Y2270" s="91"/>
      <c r="Z2270" s="91"/>
      <c r="AA2270" s="91"/>
      <c r="AB2270" s="91"/>
      <c r="AC2270" s="91"/>
      <c r="AD2270" s="91"/>
      <c r="AE2270" s="91"/>
      <c r="AF2270" s="91"/>
      <c r="AG2270" s="91"/>
      <c r="AH2270" s="91"/>
      <c r="AI2270" s="91"/>
      <c r="AJ2270" s="91"/>
      <c r="AK2270" s="91"/>
      <c r="AL2270" s="91"/>
      <c r="AM2270" s="91"/>
    </row>
    <row r="2271" spans="1:39" ht="20.25" hidden="1" customHeight="1">
      <c r="A2271" s="91"/>
      <c r="B2271" s="93" t="s">
        <v>7360</v>
      </c>
      <c r="C2271" s="91" t="s">
        <v>36</v>
      </c>
      <c r="D2271" s="107" t="s">
        <v>7370</v>
      </c>
      <c r="E2271" s="107" t="s">
        <v>7371</v>
      </c>
      <c r="F2271" s="91" t="s">
        <v>7372</v>
      </c>
      <c r="G2271" s="96">
        <v>33798</v>
      </c>
      <c r="H2271" s="97">
        <v>22360</v>
      </c>
      <c r="I2271" s="108" t="s">
        <v>12399</v>
      </c>
      <c r="J2271" s="100" t="s">
        <v>7373</v>
      </c>
      <c r="K2271" s="91">
        <v>993080856</v>
      </c>
      <c r="L2271" s="91" t="s">
        <v>60</v>
      </c>
      <c r="M2271" s="98">
        <f ca="1">(TODAY()-H2271)/365</f>
        <v>64.772602739726025</v>
      </c>
      <c r="N2271" s="99">
        <f>(G2271-H2271)/365</f>
        <v>31.336986301369862</v>
      </c>
      <c r="O2271" s="98">
        <f ca="1">(TODAY()-G2271)/365</f>
        <v>33.435616438356163</v>
      </c>
      <c r="P2271" s="91" t="s">
        <v>43</v>
      </c>
      <c r="Q2271" s="91">
        <v>0</v>
      </c>
      <c r="R2271" s="91">
        <v>0</v>
      </c>
      <c r="S2271" s="91">
        <v>0</v>
      </c>
      <c r="T2271" s="91"/>
      <c r="U2271" s="91"/>
      <c r="V2271" s="91"/>
      <c r="W2271" s="91"/>
      <c r="X2271" s="91"/>
      <c r="Y2271" s="91"/>
      <c r="Z2271" s="91"/>
      <c r="AA2271" s="91"/>
      <c r="AB2271" s="91"/>
      <c r="AC2271" s="91"/>
      <c r="AD2271" s="91"/>
      <c r="AE2271" s="91"/>
      <c r="AF2271" s="91"/>
      <c r="AG2271" s="91"/>
      <c r="AH2271" s="91"/>
      <c r="AI2271" s="91"/>
      <c r="AJ2271" s="91"/>
      <c r="AK2271" s="91"/>
      <c r="AL2271" s="91"/>
      <c r="AM2271" s="91"/>
    </row>
    <row r="2272" spans="1:39" ht="20.25" hidden="1" customHeight="1">
      <c r="A2272" s="91"/>
      <c r="B2272" s="93" t="s">
        <v>7360</v>
      </c>
      <c r="C2272" s="91" t="s">
        <v>36</v>
      </c>
      <c r="D2272" s="107" t="s">
        <v>7374</v>
      </c>
      <c r="E2272" s="107" t="s">
        <v>7375</v>
      </c>
      <c r="F2272" s="91" t="s">
        <v>7376</v>
      </c>
      <c r="G2272" s="96">
        <v>31875</v>
      </c>
      <c r="H2272" s="97">
        <v>19937</v>
      </c>
      <c r="I2272" s="108" t="s">
        <v>12400</v>
      </c>
      <c r="J2272" s="100" t="s">
        <v>7377</v>
      </c>
      <c r="K2272" s="91">
        <v>994406491</v>
      </c>
      <c r="L2272" s="91" t="s">
        <v>72</v>
      </c>
      <c r="M2272" s="98">
        <f ca="1">(TODAY()-H2272)/365</f>
        <v>71.410958904109592</v>
      </c>
      <c r="N2272" s="99">
        <f>(G2272-H2272)/365</f>
        <v>32.706849315068496</v>
      </c>
      <c r="O2272" s="98">
        <f ca="1">(TODAY()-G2272)/365</f>
        <v>38.704109589041096</v>
      </c>
      <c r="P2272" s="91" t="s">
        <v>43</v>
      </c>
      <c r="Q2272" s="91">
        <v>0</v>
      </c>
      <c r="R2272" s="91">
        <v>0</v>
      </c>
      <c r="S2272" s="91">
        <v>0</v>
      </c>
      <c r="T2272" s="91"/>
      <c r="U2272" s="91"/>
      <c r="V2272" s="91"/>
      <c r="W2272" s="91"/>
      <c r="X2272" s="91"/>
      <c r="Y2272" s="91"/>
      <c r="Z2272" s="91"/>
      <c r="AA2272" s="91"/>
      <c r="AB2272" s="91"/>
      <c r="AC2272" s="91"/>
      <c r="AD2272" s="91"/>
      <c r="AE2272" s="91"/>
      <c r="AF2272" s="91"/>
      <c r="AG2272" s="91"/>
      <c r="AH2272" s="91"/>
      <c r="AI2272" s="91"/>
      <c r="AJ2272" s="91"/>
      <c r="AK2272" s="91"/>
      <c r="AL2272" s="91"/>
      <c r="AM2272" s="91"/>
    </row>
    <row r="2273" spans="1:39" ht="20.25" hidden="1" customHeight="1">
      <c r="A2273" s="91"/>
      <c r="B2273" s="93" t="s">
        <v>7360</v>
      </c>
      <c r="C2273" s="91" t="s">
        <v>36</v>
      </c>
      <c r="D2273" s="107" t="s">
        <v>4649</v>
      </c>
      <c r="E2273" s="107" t="s">
        <v>7378</v>
      </c>
      <c r="F2273" s="91" t="s">
        <v>7379</v>
      </c>
      <c r="G2273" s="96">
        <v>31968</v>
      </c>
      <c r="H2273" s="97">
        <v>18417</v>
      </c>
      <c r="I2273" s="108" t="s">
        <v>12401</v>
      </c>
      <c r="J2273" s="100" t="s">
        <v>7380</v>
      </c>
      <c r="K2273" s="91">
        <v>966113007</v>
      </c>
      <c r="L2273" s="91" t="s">
        <v>42</v>
      </c>
      <c r="M2273" s="98">
        <f ca="1">(TODAY()-H2273)/365</f>
        <v>75.575342465753423</v>
      </c>
      <c r="N2273" s="99">
        <f>(G2273-H2273)/365</f>
        <v>37.126027397260273</v>
      </c>
      <c r="O2273" s="98">
        <f ca="1">(TODAY()-G2273)/365</f>
        <v>38.449315068493149</v>
      </c>
      <c r="P2273" s="91" t="s">
        <v>43</v>
      </c>
      <c r="Q2273" s="91">
        <v>0</v>
      </c>
      <c r="R2273" s="91">
        <v>0</v>
      </c>
      <c r="S2273" s="91">
        <v>0</v>
      </c>
      <c r="T2273" s="91"/>
      <c r="U2273" s="91"/>
      <c r="V2273" s="91"/>
      <c r="W2273" s="91"/>
      <c r="X2273" s="91"/>
      <c r="Y2273" s="91"/>
      <c r="Z2273" s="91"/>
      <c r="AA2273" s="91"/>
      <c r="AB2273" s="91"/>
      <c r="AC2273" s="91"/>
      <c r="AD2273" s="91"/>
      <c r="AE2273" s="91"/>
      <c r="AF2273" s="91"/>
      <c r="AG2273" s="91"/>
      <c r="AH2273" s="91"/>
      <c r="AI2273" s="91"/>
      <c r="AJ2273" s="91"/>
      <c r="AK2273" s="91"/>
      <c r="AL2273" s="91"/>
      <c r="AM2273" s="91"/>
    </row>
    <row r="2274" spans="1:39" ht="20.25" hidden="1" customHeight="1">
      <c r="A2274" s="91"/>
      <c r="B2274" s="93" t="s">
        <v>7360</v>
      </c>
      <c r="C2274" s="91" t="s">
        <v>36</v>
      </c>
      <c r="D2274" s="107" t="s">
        <v>5852</v>
      </c>
      <c r="E2274" s="107" t="s">
        <v>7381</v>
      </c>
      <c r="F2274" s="91" t="s">
        <v>7382</v>
      </c>
      <c r="G2274" s="96">
        <v>35654</v>
      </c>
      <c r="H2274" s="97">
        <v>21711</v>
      </c>
      <c r="I2274" s="108" t="s">
        <v>12402</v>
      </c>
      <c r="J2274" s="100" t="s">
        <v>7383</v>
      </c>
      <c r="K2274" s="91">
        <v>974610521</v>
      </c>
      <c r="L2274" s="91" t="s">
        <v>54</v>
      </c>
      <c r="M2274" s="98">
        <f ca="1">(TODAY()-H2274)/365</f>
        <v>66.550684931506851</v>
      </c>
      <c r="N2274" s="99">
        <f>(G2274-H2274)/365</f>
        <v>38.200000000000003</v>
      </c>
      <c r="O2274" s="98">
        <f ca="1">(TODAY()-G2274)/365</f>
        <v>28.350684931506848</v>
      </c>
      <c r="P2274" s="91" t="s">
        <v>43</v>
      </c>
      <c r="Q2274" s="91">
        <v>0</v>
      </c>
      <c r="R2274" s="91">
        <v>0</v>
      </c>
      <c r="S2274" s="91">
        <v>0</v>
      </c>
      <c r="T2274" s="91"/>
      <c r="U2274" s="91"/>
      <c r="V2274" s="91"/>
      <c r="W2274" s="91"/>
      <c r="X2274" s="91"/>
      <c r="Y2274" s="91"/>
      <c r="Z2274" s="91"/>
      <c r="AA2274" s="91"/>
      <c r="AB2274" s="91"/>
      <c r="AC2274" s="91"/>
      <c r="AD2274" s="91"/>
      <c r="AE2274" s="91"/>
      <c r="AF2274" s="91"/>
      <c r="AG2274" s="91"/>
      <c r="AH2274" s="91"/>
      <c r="AI2274" s="91"/>
      <c r="AJ2274" s="91"/>
      <c r="AK2274" s="91"/>
      <c r="AL2274" s="91"/>
      <c r="AM2274" s="91"/>
    </row>
    <row r="2275" spans="1:39" ht="20.25" hidden="1" customHeight="1">
      <c r="A2275" s="91"/>
      <c r="B2275" s="93" t="s">
        <v>7360</v>
      </c>
      <c r="C2275" s="91" t="s">
        <v>36</v>
      </c>
      <c r="D2275" s="107" t="s">
        <v>7384</v>
      </c>
      <c r="E2275" s="107" t="s">
        <v>7385</v>
      </c>
      <c r="F2275" s="91" t="s">
        <v>7386</v>
      </c>
      <c r="G2275" s="96">
        <v>29707</v>
      </c>
      <c r="H2275" s="97">
        <v>14959</v>
      </c>
      <c r="I2275" s="100" t="s">
        <v>58</v>
      </c>
      <c r="J2275" s="100" t="s">
        <v>7387</v>
      </c>
      <c r="K2275" s="91">
        <v>995169582</v>
      </c>
      <c r="L2275" s="91" t="s">
        <v>60</v>
      </c>
      <c r="M2275" s="98">
        <f ca="1">(TODAY()-H2275)/365</f>
        <v>85.049315068493144</v>
      </c>
      <c r="N2275" s="99">
        <f>(G2275-H2275)/365</f>
        <v>40.405479452054792</v>
      </c>
      <c r="O2275" s="98">
        <f ca="1">(TODAY()-G2275)/365</f>
        <v>44.643835616438359</v>
      </c>
      <c r="P2275" s="91" t="s">
        <v>43</v>
      </c>
      <c r="Q2275" s="91">
        <v>0</v>
      </c>
      <c r="R2275" s="91">
        <v>0</v>
      </c>
      <c r="S2275" s="91">
        <v>0</v>
      </c>
      <c r="T2275" s="91"/>
      <c r="U2275" s="91"/>
      <c r="V2275" s="91"/>
      <c r="W2275" s="91"/>
      <c r="X2275" s="91"/>
      <c r="Y2275" s="91"/>
      <c r="Z2275" s="91"/>
      <c r="AA2275" s="91"/>
      <c r="AB2275" s="91"/>
      <c r="AC2275" s="91"/>
      <c r="AD2275" s="91"/>
      <c r="AE2275" s="91"/>
      <c r="AF2275" s="91"/>
      <c r="AG2275" s="91"/>
      <c r="AH2275" s="91"/>
      <c r="AI2275" s="91"/>
      <c r="AJ2275" s="91"/>
      <c r="AK2275" s="91"/>
      <c r="AL2275" s="91"/>
      <c r="AM2275" s="91"/>
    </row>
    <row r="2276" spans="1:39" ht="20.25" hidden="1" customHeight="1">
      <c r="A2276" s="91"/>
      <c r="B2276" s="93" t="s">
        <v>7360</v>
      </c>
      <c r="C2276" s="91" t="s">
        <v>36</v>
      </c>
      <c r="D2276" s="107" t="s">
        <v>7388</v>
      </c>
      <c r="E2276" s="107" t="s">
        <v>7389</v>
      </c>
      <c r="F2276" s="91" t="s">
        <v>7390</v>
      </c>
      <c r="G2276" s="96">
        <v>45078</v>
      </c>
      <c r="H2276" s="97">
        <v>29510</v>
      </c>
      <c r="I2276" s="108" t="s">
        <v>12403</v>
      </c>
      <c r="J2276" s="100" t="s">
        <v>7391</v>
      </c>
      <c r="K2276" s="91">
        <v>942111086</v>
      </c>
      <c r="L2276" s="91" t="s">
        <v>60</v>
      </c>
      <c r="M2276" s="98">
        <f ca="1">(TODAY()-H2276)/365</f>
        <v>45.183561643835617</v>
      </c>
      <c r="N2276" s="99">
        <f>(G2276-H2276)/365</f>
        <v>42.652054794520545</v>
      </c>
      <c r="O2276" s="98">
        <f ca="1">(TODAY()-G2276)/365</f>
        <v>2.5315068493150683</v>
      </c>
      <c r="P2276" s="91" t="s">
        <v>43</v>
      </c>
      <c r="Q2276" s="91">
        <v>0</v>
      </c>
      <c r="R2276" s="91">
        <v>0</v>
      </c>
      <c r="S2276" s="91">
        <v>0</v>
      </c>
      <c r="T2276" s="91"/>
      <c r="U2276" s="91"/>
      <c r="V2276" s="91"/>
      <c r="W2276" s="91"/>
      <c r="X2276" s="91"/>
      <c r="Y2276" s="91"/>
      <c r="Z2276" s="91"/>
      <c r="AA2276" s="91"/>
      <c r="AB2276" s="91"/>
      <c r="AC2276" s="91"/>
      <c r="AD2276" s="91"/>
      <c r="AE2276" s="91"/>
      <c r="AF2276" s="91"/>
      <c r="AG2276" s="91"/>
      <c r="AH2276" s="91"/>
      <c r="AI2276" s="91"/>
      <c r="AJ2276" s="91"/>
      <c r="AK2276" s="91"/>
      <c r="AL2276" s="91"/>
      <c r="AM2276" s="91"/>
    </row>
    <row r="2277" spans="1:39" ht="20.25" customHeight="1">
      <c r="A2277" s="91"/>
      <c r="B2277" s="93" t="s">
        <v>77</v>
      </c>
      <c r="C2277" s="91" t="s">
        <v>73</v>
      </c>
      <c r="D2277" s="94" t="s">
        <v>242</v>
      </c>
      <c r="E2277" s="94" t="s">
        <v>243</v>
      </c>
      <c r="F2277" s="95" t="s">
        <v>244</v>
      </c>
      <c r="G2277" s="96">
        <v>41212</v>
      </c>
      <c r="H2277" s="97">
        <v>15102</v>
      </c>
      <c r="I2277" s="94" t="s">
        <v>245</v>
      </c>
      <c r="J2277" s="100" t="s">
        <v>58</v>
      </c>
      <c r="K2277" s="91" t="s">
        <v>58</v>
      </c>
      <c r="L2277" s="91" t="s">
        <v>60</v>
      </c>
      <c r="M2277" s="98">
        <f ca="1">(TODAY()-H2277)/365</f>
        <v>84.657534246575338</v>
      </c>
      <c r="N2277" s="99">
        <f>(G2277-H2277)/365</f>
        <v>71.534246575342465</v>
      </c>
      <c r="O2277" s="98">
        <f ca="1">(TODAY()-G2277)/365</f>
        <v>13.123287671232877</v>
      </c>
      <c r="P2277" s="91" t="s">
        <v>43</v>
      </c>
      <c r="Q2277" s="91">
        <v>0</v>
      </c>
      <c r="R2277" s="91">
        <v>0</v>
      </c>
      <c r="S2277" s="91">
        <v>0</v>
      </c>
      <c r="T2277" s="91"/>
      <c r="U2277" s="91"/>
      <c r="V2277" s="91"/>
      <c r="W2277" s="91"/>
      <c r="X2277" s="91"/>
      <c r="Y2277" s="91"/>
      <c r="Z2277" s="91"/>
      <c r="AA2277" s="91"/>
      <c r="AB2277" s="91"/>
      <c r="AC2277" s="91"/>
      <c r="AD2277" s="91"/>
      <c r="AE2277" s="91"/>
      <c r="AF2277" s="91"/>
      <c r="AG2277" s="91"/>
      <c r="AH2277" s="91"/>
      <c r="AI2277" s="91"/>
      <c r="AJ2277" s="91"/>
      <c r="AK2277" s="91"/>
      <c r="AL2277" s="91"/>
      <c r="AM2277" s="91"/>
    </row>
    <row r="2278" spans="1:39" ht="20.25" hidden="1" customHeight="1">
      <c r="A2278" s="91"/>
      <c r="B2278" s="93" t="s">
        <v>7360</v>
      </c>
      <c r="C2278" s="91" t="s">
        <v>36</v>
      </c>
      <c r="D2278" s="107" t="s">
        <v>7394</v>
      </c>
      <c r="E2278" s="107" t="s">
        <v>7395</v>
      </c>
      <c r="F2278" s="91" t="s">
        <v>7396</v>
      </c>
      <c r="G2278" s="96">
        <v>41127</v>
      </c>
      <c r="H2278" s="97">
        <v>19393</v>
      </c>
      <c r="I2278" s="100" t="s">
        <v>58</v>
      </c>
      <c r="J2278" s="100" t="s">
        <v>7397</v>
      </c>
      <c r="K2278" s="91">
        <v>997524387</v>
      </c>
      <c r="L2278" s="91" t="s">
        <v>151</v>
      </c>
      <c r="M2278" s="98">
        <f ca="1">(TODAY()-H2278)/365</f>
        <v>72.901369863013699</v>
      </c>
      <c r="N2278" s="99">
        <f>(G2278-H2278)/365</f>
        <v>59.545205479452058</v>
      </c>
      <c r="O2278" s="98">
        <f ca="1">(TODAY()-G2278)/365</f>
        <v>13.356164383561644</v>
      </c>
      <c r="P2278" s="91" t="s">
        <v>43</v>
      </c>
      <c r="Q2278" s="91">
        <v>0</v>
      </c>
      <c r="R2278" s="91">
        <v>0</v>
      </c>
      <c r="S2278" s="91">
        <v>0</v>
      </c>
      <c r="T2278" s="91"/>
      <c r="U2278" s="91"/>
      <c r="V2278" s="91"/>
      <c r="W2278" s="91"/>
      <c r="X2278" s="91"/>
      <c r="Y2278" s="91"/>
      <c r="Z2278" s="91"/>
      <c r="AA2278" s="91"/>
      <c r="AB2278" s="91"/>
      <c r="AC2278" s="91"/>
      <c r="AD2278" s="91"/>
      <c r="AE2278" s="91"/>
      <c r="AF2278" s="91"/>
      <c r="AG2278" s="91"/>
      <c r="AH2278" s="91"/>
      <c r="AI2278" s="91"/>
      <c r="AJ2278" s="91"/>
      <c r="AK2278" s="91"/>
      <c r="AL2278" s="91"/>
      <c r="AM2278" s="91"/>
    </row>
    <row r="2279" spans="1:39" ht="20.25" hidden="1" customHeight="1">
      <c r="A2279" s="91"/>
      <c r="B2279" s="93" t="s">
        <v>7360</v>
      </c>
      <c r="C2279" s="91" t="s">
        <v>36</v>
      </c>
      <c r="D2279" s="107" t="s">
        <v>7398</v>
      </c>
      <c r="E2279" s="107" t="s">
        <v>7399</v>
      </c>
      <c r="F2279" s="91" t="s">
        <v>7400</v>
      </c>
      <c r="G2279" s="96">
        <v>39996</v>
      </c>
      <c r="H2279" s="97">
        <v>17614</v>
      </c>
      <c r="I2279" s="108" t="s">
        <v>12405</v>
      </c>
      <c r="J2279" s="100" t="s">
        <v>7401</v>
      </c>
      <c r="K2279" s="91">
        <v>992217343</v>
      </c>
      <c r="L2279" s="91" t="s">
        <v>60</v>
      </c>
      <c r="M2279" s="98">
        <f ca="1">(TODAY()-H2279)/365</f>
        <v>77.775342465753425</v>
      </c>
      <c r="N2279" s="99">
        <f>(G2279-H2279)/365</f>
        <v>61.320547945205476</v>
      </c>
      <c r="O2279" s="98">
        <f ca="1">(TODAY()-G2279)/365</f>
        <v>16.454794520547946</v>
      </c>
      <c r="P2279" s="91" t="s">
        <v>43</v>
      </c>
      <c r="Q2279" s="91">
        <v>0</v>
      </c>
      <c r="R2279" s="91">
        <v>0</v>
      </c>
      <c r="S2279" s="91">
        <v>0</v>
      </c>
      <c r="T2279" s="91"/>
      <c r="U2279" s="91"/>
      <c r="V2279" s="91"/>
      <c r="W2279" s="91"/>
      <c r="X2279" s="91"/>
      <c r="Y2279" s="91"/>
      <c r="Z2279" s="91"/>
      <c r="AA2279" s="91"/>
      <c r="AB2279" s="91"/>
      <c r="AC2279" s="91"/>
      <c r="AD2279" s="91"/>
      <c r="AE2279" s="91"/>
      <c r="AF2279" s="91"/>
      <c r="AG2279" s="91"/>
      <c r="AH2279" s="91"/>
      <c r="AI2279" s="91"/>
      <c r="AJ2279" s="91"/>
      <c r="AK2279" s="91"/>
      <c r="AL2279" s="91"/>
      <c r="AM2279" s="91"/>
    </row>
    <row r="2280" spans="1:39" ht="20.25" hidden="1" customHeight="1">
      <c r="A2280" s="91"/>
      <c r="B2280" s="93" t="s">
        <v>7360</v>
      </c>
      <c r="C2280" s="91" t="s">
        <v>36</v>
      </c>
      <c r="D2280" s="107" t="s">
        <v>7402</v>
      </c>
      <c r="E2280" s="107" t="s">
        <v>7403</v>
      </c>
      <c r="F2280" s="91" t="s">
        <v>7404</v>
      </c>
      <c r="G2280" s="96">
        <v>45613</v>
      </c>
      <c r="H2280" s="97">
        <v>22763</v>
      </c>
      <c r="I2280" s="108" t="s">
        <v>12406</v>
      </c>
      <c r="J2280" s="100" t="s">
        <v>7405</v>
      </c>
      <c r="K2280" s="91">
        <v>952002775</v>
      </c>
      <c r="L2280" s="91" t="s">
        <v>60</v>
      </c>
      <c r="M2280" s="98">
        <f ca="1">(TODAY()-H2280)/365</f>
        <v>63.668493150684931</v>
      </c>
      <c r="N2280" s="99">
        <f>(G2280-H2280)/365</f>
        <v>62.602739726027394</v>
      </c>
      <c r="O2280" s="98">
        <f ca="1">(TODAY()-G2280)/365</f>
        <v>1.0657534246575342</v>
      </c>
      <c r="P2280" s="91" t="s">
        <v>43</v>
      </c>
      <c r="Q2280" s="91">
        <v>0</v>
      </c>
      <c r="R2280" s="91">
        <v>0</v>
      </c>
      <c r="S2280" s="91">
        <v>0</v>
      </c>
      <c r="T2280" s="91"/>
      <c r="U2280" s="91"/>
      <c r="V2280" s="91"/>
      <c r="W2280" s="91"/>
      <c r="X2280" s="91"/>
      <c r="Y2280" s="91"/>
      <c r="Z2280" s="91"/>
      <c r="AA2280" s="91"/>
      <c r="AB2280" s="91"/>
      <c r="AC2280" s="91"/>
      <c r="AD2280" s="91"/>
      <c r="AE2280" s="91"/>
      <c r="AF2280" s="91"/>
      <c r="AG2280" s="91"/>
      <c r="AH2280" s="91"/>
      <c r="AI2280" s="91"/>
      <c r="AJ2280" s="91"/>
      <c r="AK2280" s="91"/>
      <c r="AL2280" s="91"/>
      <c r="AM2280" s="91"/>
    </row>
    <row r="2281" spans="1:39" ht="20.25" hidden="1" customHeight="1">
      <c r="A2281" s="91"/>
      <c r="B2281" s="93" t="s">
        <v>7360</v>
      </c>
      <c r="C2281" s="91" t="s">
        <v>36</v>
      </c>
      <c r="D2281" s="107" t="s">
        <v>7406</v>
      </c>
      <c r="E2281" s="107" t="s">
        <v>7407</v>
      </c>
      <c r="F2281" s="91" t="s">
        <v>7408</v>
      </c>
      <c r="G2281" s="96">
        <v>41275</v>
      </c>
      <c r="H2281" s="97">
        <v>18230</v>
      </c>
      <c r="I2281" s="108" t="s">
        <v>12407</v>
      </c>
      <c r="J2281" s="100" t="s">
        <v>7409</v>
      </c>
      <c r="K2281" s="91">
        <v>944556454</v>
      </c>
      <c r="L2281" s="91" t="s">
        <v>60</v>
      </c>
      <c r="M2281" s="98">
        <f ca="1">(TODAY()-H2281)/365</f>
        <v>76.087671232876716</v>
      </c>
      <c r="N2281" s="99">
        <f>(G2281-H2281)/365</f>
        <v>63.136986301369866</v>
      </c>
      <c r="O2281" s="98">
        <f ca="1">(TODAY()-G2281)/365</f>
        <v>12.950684931506849</v>
      </c>
      <c r="P2281" s="91" t="s">
        <v>43</v>
      </c>
      <c r="Q2281" s="91">
        <v>0</v>
      </c>
      <c r="R2281" s="91">
        <v>0</v>
      </c>
      <c r="S2281" s="91">
        <v>0</v>
      </c>
      <c r="T2281" s="91"/>
      <c r="U2281" s="91"/>
      <c r="V2281" s="91"/>
      <c r="W2281" s="91"/>
      <c r="X2281" s="91"/>
      <c r="Y2281" s="91"/>
      <c r="Z2281" s="91"/>
      <c r="AA2281" s="91"/>
      <c r="AB2281" s="91"/>
      <c r="AC2281" s="91"/>
      <c r="AD2281" s="91"/>
      <c r="AE2281" s="91"/>
      <c r="AF2281" s="91"/>
      <c r="AG2281" s="91"/>
      <c r="AH2281" s="91"/>
      <c r="AI2281" s="91"/>
      <c r="AJ2281" s="91"/>
      <c r="AK2281" s="91"/>
      <c r="AL2281" s="91"/>
      <c r="AM2281" s="91"/>
    </row>
    <row r="2282" spans="1:39" ht="20.25" hidden="1" customHeight="1">
      <c r="A2282" s="91"/>
      <c r="B2282" s="93" t="s">
        <v>7360</v>
      </c>
      <c r="C2282" s="91" t="s">
        <v>36</v>
      </c>
      <c r="D2282" s="107" t="s">
        <v>7410</v>
      </c>
      <c r="E2282" s="107" t="s">
        <v>7411</v>
      </c>
      <c r="F2282" s="91" t="s">
        <v>7412</v>
      </c>
      <c r="G2282" s="96">
        <v>45613</v>
      </c>
      <c r="H2282" s="97">
        <v>22520</v>
      </c>
      <c r="I2282" s="108" t="s">
        <v>12408</v>
      </c>
      <c r="J2282" s="100" t="s">
        <v>7413</v>
      </c>
      <c r="K2282" s="91">
        <v>992513302</v>
      </c>
      <c r="L2282" s="91" t="s">
        <v>60</v>
      </c>
      <c r="M2282" s="98">
        <f ca="1">(TODAY()-H2282)/365</f>
        <v>64.334246575342462</v>
      </c>
      <c r="N2282" s="99">
        <f>(G2282-H2282)/365</f>
        <v>63.268493150684932</v>
      </c>
      <c r="O2282" s="98">
        <f ca="1">(TODAY()-G2282)/365</f>
        <v>1.0657534246575342</v>
      </c>
      <c r="P2282" s="91" t="s">
        <v>43</v>
      </c>
      <c r="Q2282" s="91">
        <v>0</v>
      </c>
      <c r="R2282" s="91">
        <v>0</v>
      </c>
      <c r="S2282" s="91">
        <v>0</v>
      </c>
      <c r="T2282" s="91"/>
      <c r="U2282" s="91"/>
      <c r="V2282" s="91"/>
      <c r="W2282" s="91"/>
      <c r="X2282" s="91"/>
      <c r="Y2282" s="91"/>
      <c r="Z2282" s="91"/>
      <c r="AA2282" s="91"/>
      <c r="AB2282" s="91"/>
      <c r="AC2282" s="91"/>
      <c r="AD2282" s="91"/>
      <c r="AE2282" s="91"/>
      <c r="AF2282" s="91"/>
      <c r="AG2282" s="91"/>
      <c r="AH2282" s="91"/>
      <c r="AI2282" s="91"/>
      <c r="AJ2282" s="91"/>
      <c r="AK2282" s="91"/>
      <c r="AL2282" s="91"/>
      <c r="AM2282" s="91"/>
    </row>
    <row r="2283" spans="1:39" ht="20.25" hidden="1" customHeight="1">
      <c r="A2283" s="91"/>
      <c r="B2283" s="93" t="s">
        <v>7360</v>
      </c>
      <c r="C2283" s="91" t="s">
        <v>36</v>
      </c>
      <c r="D2283" s="107" t="s">
        <v>7414</v>
      </c>
      <c r="E2283" s="107" t="s">
        <v>7415</v>
      </c>
      <c r="F2283" s="91" t="s">
        <v>7416</v>
      </c>
      <c r="G2283" s="96">
        <v>45170</v>
      </c>
      <c r="H2283" s="97">
        <v>18742</v>
      </c>
      <c r="I2283" s="108" t="s">
        <v>12409</v>
      </c>
      <c r="J2283" s="100" t="s">
        <v>7417</v>
      </c>
      <c r="K2283" s="91">
        <v>942111086</v>
      </c>
      <c r="L2283" s="91" t="s">
        <v>60</v>
      </c>
      <c r="M2283" s="98">
        <f ca="1">(TODAY()-H2283)/365</f>
        <v>74.68493150684931</v>
      </c>
      <c r="N2283" s="99">
        <f>(G2283-H2283)/365</f>
        <v>72.405479452054792</v>
      </c>
      <c r="O2283" s="98">
        <f ca="1">(TODAY()-G2283)/365</f>
        <v>2.2794520547945205</v>
      </c>
      <c r="P2283" s="91" t="s">
        <v>43</v>
      </c>
      <c r="Q2283" s="91">
        <v>0</v>
      </c>
      <c r="R2283" s="91">
        <v>0</v>
      </c>
      <c r="S2283" s="91">
        <v>0</v>
      </c>
      <c r="T2283" s="91"/>
      <c r="U2283" s="91"/>
      <c r="V2283" s="91"/>
      <c r="W2283" s="91"/>
      <c r="X2283" s="91"/>
      <c r="Y2283" s="91"/>
      <c r="Z2283" s="91"/>
      <c r="AA2283" s="91"/>
      <c r="AB2283" s="91"/>
      <c r="AC2283" s="91"/>
      <c r="AD2283" s="91"/>
      <c r="AE2283" s="91"/>
      <c r="AF2283" s="91"/>
      <c r="AG2283" s="91"/>
      <c r="AH2283" s="91"/>
      <c r="AI2283" s="91"/>
      <c r="AJ2283" s="91"/>
      <c r="AK2283" s="91"/>
      <c r="AL2283" s="91"/>
      <c r="AM2283" s="91"/>
    </row>
    <row r="2284" spans="1:39" ht="20.25" hidden="1" customHeight="1">
      <c r="A2284" s="91"/>
      <c r="B2284" s="93" t="s">
        <v>7360</v>
      </c>
      <c r="C2284" s="91" t="s">
        <v>36</v>
      </c>
      <c r="D2284" s="107" t="s">
        <v>7418</v>
      </c>
      <c r="E2284" s="107" t="s">
        <v>7419</v>
      </c>
      <c r="F2284" s="91" t="s">
        <v>7420</v>
      </c>
      <c r="G2284" s="96">
        <v>41496</v>
      </c>
      <c r="H2284" s="97">
        <v>13889</v>
      </c>
      <c r="I2284" s="108" t="s">
        <v>12410</v>
      </c>
      <c r="J2284" s="100" t="s">
        <v>7421</v>
      </c>
      <c r="K2284" s="91">
        <v>979893727</v>
      </c>
      <c r="L2284" s="91" t="s">
        <v>49</v>
      </c>
      <c r="M2284" s="98">
        <f ca="1">(TODAY()-H2284)/365</f>
        <v>87.980821917808214</v>
      </c>
      <c r="N2284" s="99">
        <f>(G2284-H2284)/365</f>
        <v>75.635616438356166</v>
      </c>
      <c r="O2284" s="98">
        <f ca="1">(TODAY()-G2284)/365</f>
        <v>12.345205479452055</v>
      </c>
      <c r="P2284" s="91" t="s">
        <v>43</v>
      </c>
      <c r="Q2284" s="91">
        <v>0</v>
      </c>
      <c r="R2284" s="91">
        <v>0</v>
      </c>
      <c r="S2284" s="91">
        <v>0</v>
      </c>
      <c r="T2284" s="91"/>
      <c r="U2284" s="91"/>
      <c r="V2284" s="91"/>
      <c r="W2284" s="91"/>
      <c r="X2284" s="91"/>
      <c r="Y2284" s="91"/>
      <c r="Z2284" s="91"/>
      <c r="AA2284" s="91"/>
      <c r="AB2284" s="91"/>
      <c r="AC2284" s="91"/>
      <c r="AD2284" s="91"/>
      <c r="AE2284" s="91"/>
      <c r="AF2284" s="91"/>
      <c r="AG2284" s="91"/>
      <c r="AH2284" s="91"/>
      <c r="AI2284" s="91"/>
      <c r="AJ2284" s="91"/>
      <c r="AK2284" s="91"/>
      <c r="AL2284" s="91"/>
      <c r="AM2284" s="91"/>
    </row>
    <row r="2285" spans="1:39" ht="20.25" hidden="1" customHeight="1">
      <c r="A2285" s="91"/>
      <c r="B2285" s="93" t="s">
        <v>7360</v>
      </c>
      <c r="C2285" s="91" t="s">
        <v>36</v>
      </c>
      <c r="D2285" s="107" t="s">
        <v>7422</v>
      </c>
      <c r="E2285" s="107" t="s">
        <v>7423</v>
      </c>
      <c r="F2285" s="91" t="s">
        <v>7424</v>
      </c>
      <c r="G2285" s="96">
        <v>43160</v>
      </c>
      <c r="H2285" s="97">
        <v>12854</v>
      </c>
      <c r="I2285" s="100" t="s">
        <v>58</v>
      </c>
      <c r="J2285" s="100" t="s">
        <v>7425</v>
      </c>
      <c r="K2285" s="91">
        <v>996905229</v>
      </c>
      <c r="L2285" s="91" t="s">
        <v>60</v>
      </c>
      <c r="M2285" s="98">
        <f ca="1">(TODAY()-H2285)/365</f>
        <v>90.816438356164383</v>
      </c>
      <c r="N2285" s="99">
        <f>(G2285-H2285)/365</f>
        <v>83.030136986301372</v>
      </c>
      <c r="O2285" s="98">
        <f ca="1">(TODAY()-G2285)/365</f>
        <v>7.7863013698630139</v>
      </c>
      <c r="P2285" s="91" t="s">
        <v>43</v>
      </c>
      <c r="Q2285" s="91">
        <v>0</v>
      </c>
      <c r="R2285" s="91">
        <v>0</v>
      </c>
      <c r="S2285" s="91">
        <v>0</v>
      </c>
      <c r="T2285" s="91"/>
      <c r="U2285" s="91"/>
      <c r="V2285" s="91"/>
      <c r="W2285" s="91"/>
      <c r="X2285" s="91"/>
      <c r="Y2285" s="91"/>
      <c r="Z2285" s="91"/>
      <c r="AA2285" s="91"/>
      <c r="AB2285" s="91"/>
      <c r="AC2285" s="91"/>
      <c r="AD2285" s="91"/>
      <c r="AE2285" s="91"/>
      <c r="AF2285" s="91"/>
      <c r="AG2285" s="91"/>
      <c r="AH2285" s="91"/>
      <c r="AI2285" s="91"/>
      <c r="AJ2285" s="91"/>
      <c r="AK2285" s="91"/>
      <c r="AL2285" s="91"/>
      <c r="AM2285" s="91"/>
    </row>
    <row r="2286" spans="1:39" ht="20.25" hidden="1" customHeight="1">
      <c r="A2286" s="91"/>
      <c r="B2286" s="93" t="s">
        <v>7360</v>
      </c>
      <c r="C2286" s="91" t="s">
        <v>36</v>
      </c>
      <c r="D2286" s="107" t="s">
        <v>7426</v>
      </c>
      <c r="E2286" s="107" t="s">
        <v>7427</v>
      </c>
      <c r="F2286" s="91" t="s">
        <v>7428</v>
      </c>
      <c r="G2286" s="96">
        <v>45078</v>
      </c>
      <c r="H2286" s="97">
        <v>14322</v>
      </c>
      <c r="I2286" s="108" t="s">
        <v>12411</v>
      </c>
      <c r="J2286" s="100" t="s">
        <v>7429</v>
      </c>
      <c r="K2286" s="91">
        <v>994427672</v>
      </c>
      <c r="L2286" s="91" t="s">
        <v>60</v>
      </c>
      <c r="M2286" s="98">
        <f ca="1">(TODAY()-H2286)/365</f>
        <v>86.794520547945211</v>
      </c>
      <c r="N2286" s="99">
        <f>(G2286-H2286)/365</f>
        <v>84.263013698630132</v>
      </c>
      <c r="O2286" s="98">
        <f ca="1">(TODAY()-G2286)/365</f>
        <v>2.5315068493150683</v>
      </c>
      <c r="P2286" s="91" t="s">
        <v>43</v>
      </c>
      <c r="Q2286" s="91">
        <v>0</v>
      </c>
      <c r="R2286" s="91">
        <v>0</v>
      </c>
      <c r="S2286" s="91">
        <v>0</v>
      </c>
      <c r="T2286" s="91"/>
      <c r="U2286" s="91"/>
      <c r="V2286" s="91"/>
      <c r="W2286" s="91"/>
      <c r="X2286" s="91"/>
      <c r="Y2286" s="91"/>
      <c r="Z2286" s="91"/>
      <c r="AA2286" s="91"/>
      <c r="AB2286" s="91"/>
      <c r="AC2286" s="91"/>
      <c r="AD2286" s="91"/>
      <c r="AE2286" s="91"/>
      <c r="AF2286" s="91"/>
      <c r="AG2286" s="91"/>
      <c r="AH2286" s="91"/>
      <c r="AI2286" s="91"/>
      <c r="AJ2286" s="91"/>
      <c r="AK2286" s="91"/>
      <c r="AL2286" s="91"/>
      <c r="AM2286" s="91"/>
    </row>
    <row r="2287" spans="1:39" ht="20.25" hidden="1" customHeight="1">
      <c r="A2287" s="91"/>
      <c r="B2287" s="93" t="s">
        <v>7360</v>
      </c>
      <c r="C2287" s="91" t="s">
        <v>36</v>
      </c>
      <c r="D2287" s="107" t="s">
        <v>7430</v>
      </c>
      <c r="E2287" s="107" t="s">
        <v>7431</v>
      </c>
      <c r="F2287" s="91" t="s">
        <v>7432</v>
      </c>
      <c r="G2287" s="96">
        <v>27150</v>
      </c>
      <c r="H2287" s="97">
        <v>13479</v>
      </c>
      <c r="I2287" s="108" t="s">
        <v>12412</v>
      </c>
      <c r="J2287" s="100" t="s">
        <v>7433</v>
      </c>
      <c r="K2287" s="91">
        <v>993381082</v>
      </c>
      <c r="L2287" s="91" t="s">
        <v>60</v>
      </c>
      <c r="M2287" s="98">
        <f ca="1">(TODAY()-H2287)/365</f>
        <v>89.104109589041101</v>
      </c>
      <c r="N2287" s="99">
        <f>(G2287-H2287)/365</f>
        <v>37.454794520547942</v>
      </c>
      <c r="O2287" s="98">
        <f ca="1">(TODAY()-G2287)/365</f>
        <v>51.649315068493152</v>
      </c>
      <c r="P2287" s="91" t="s">
        <v>43</v>
      </c>
      <c r="Q2287" s="91">
        <v>0</v>
      </c>
      <c r="R2287" s="91">
        <v>0</v>
      </c>
      <c r="S2287" s="91">
        <v>0</v>
      </c>
      <c r="T2287" s="91"/>
      <c r="U2287" s="91"/>
      <c r="V2287" s="91"/>
      <c r="W2287" s="91"/>
      <c r="X2287" s="91"/>
      <c r="Y2287" s="91"/>
      <c r="Z2287" s="91"/>
      <c r="AA2287" s="91"/>
      <c r="AB2287" s="91"/>
      <c r="AC2287" s="91"/>
      <c r="AD2287" s="91"/>
      <c r="AE2287" s="91"/>
      <c r="AF2287" s="91"/>
      <c r="AG2287" s="91"/>
      <c r="AH2287" s="91"/>
      <c r="AI2287" s="91"/>
      <c r="AJ2287" s="91"/>
      <c r="AK2287" s="91"/>
      <c r="AL2287" s="91"/>
      <c r="AM2287" s="91"/>
    </row>
    <row r="2288" spans="1:39" ht="20.25" hidden="1" customHeight="1">
      <c r="A2288" s="91"/>
      <c r="B2288" s="93" t="s">
        <v>7434</v>
      </c>
      <c r="C2288" s="91" t="s">
        <v>36</v>
      </c>
      <c r="D2288" s="94" t="s">
        <v>4655</v>
      </c>
      <c r="E2288" s="94" t="s">
        <v>7435</v>
      </c>
      <c r="F2288" s="95" t="s">
        <v>7436</v>
      </c>
      <c r="G2288" s="96">
        <v>28216</v>
      </c>
      <c r="H2288" s="97">
        <v>20917</v>
      </c>
      <c r="I2288" s="94" t="s">
        <v>7437</v>
      </c>
      <c r="J2288" s="94" t="s">
        <v>7438</v>
      </c>
      <c r="K2288" s="95">
        <f>56991735695</f>
        <v>56991735695</v>
      </c>
      <c r="L2288" s="91" t="s">
        <v>60</v>
      </c>
      <c r="M2288" s="98">
        <f ca="1">(TODAY()-H2288)/365</f>
        <v>68.726027397260268</v>
      </c>
      <c r="N2288" s="99">
        <f>(G2288-H2288)/365</f>
        <v>19.997260273972604</v>
      </c>
      <c r="O2288" s="98">
        <f ca="1">(TODAY()-G2288)/365</f>
        <v>48.728767123287675</v>
      </c>
      <c r="P2288" s="91" t="s">
        <v>43</v>
      </c>
      <c r="Q2288" s="91">
        <v>0</v>
      </c>
      <c r="R2288" s="91">
        <v>0</v>
      </c>
      <c r="S2288" s="91">
        <v>0</v>
      </c>
      <c r="T2288" s="91"/>
      <c r="U2288" s="91"/>
      <c r="V2288" s="91"/>
      <c r="W2288" s="91"/>
      <c r="X2288" s="91"/>
      <c r="Y2288" s="91"/>
      <c r="Z2288" s="91"/>
      <c r="AA2288" s="91">
        <v>1993</v>
      </c>
      <c r="AB2288" s="91"/>
      <c r="AC2288" s="91"/>
      <c r="AD2288" s="91"/>
      <c r="AE2288" s="91"/>
      <c r="AF2288" s="91"/>
      <c r="AG2288" s="91"/>
      <c r="AH2288" s="91"/>
      <c r="AI2288" s="91"/>
      <c r="AJ2288" s="91"/>
      <c r="AK2288" s="91"/>
      <c r="AL2288" s="91"/>
      <c r="AM2288" s="91"/>
    </row>
    <row r="2289" spans="1:39" ht="20.25" hidden="1" customHeight="1">
      <c r="A2289" s="91"/>
      <c r="B2289" s="93" t="s">
        <v>7434</v>
      </c>
      <c r="C2289" s="91" t="s">
        <v>36</v>
      </c>
      <c r="D2289" s="94" t="s">
        <v>7439</v>
      </c>
      <c r="E2289" s="94" t="s">
        <v>7440</v>
      </c>
      <c r="F2289" s="95" t="s">
        <v>7441</v>
      </c>
      <c r="G2289" s="96">
        <v>40664</v>
      </c>
      <c r="H2289" s="97">
        <v>31700</v>
      </c>
      <c r="I2289" s="94" t="s">
        <v>7437</v>
      </c>
      <c r="J2289" s="94" t="s">
        <v>7442</v>
      </c>
      <c r="K2289" s="95">
        <f>56985462365</f>
        <v>56985462365</v>
      </c>
      <c r="L2289" s="91" t="s">
        <v>60</v>
      </c>
      <c r="M2289" s="98">
        <f ca="1">(TODAY()-H2289)/365</f>
        <v>39.183561643835617</v>
      </c>
      <c r="N2289" s="99">
        <f>(G2289-H2289)/365</f>
        <v>24.55890410958904</v>
      </c>
      <c r="O2289" s="98">
        <f ca="1">(TODAY()-G2289)/365</f>
        <v>14.624657534246575</v>
      </c>
      <c r="P2289" s="91" t="s">
        <v>43</v>
      </c>
      <c r="Q2289" s="91">
        <v>0</v>
      </c>
      <c r="R2289" s="91">
        <v>0</v>
      </c>
      <c r="S2289" s="91">
        <v>0</v>
      </c>
      <c r="T2289" s="91"/>
      <c r="U2289" s="91"/>
      <c r="V2289" s="91"/>
      <c r="W2289" s="91"/>
      <c r="X2289" s="91"/>
      <c r="Y2289" s="91"/>
      <c r="Z2289" s="91"/>
      <c r="AA2289" s="91"/>
      <c r="AB2289" s="91"/>
      <c r="AC2289" s="91"/>
      <c r="AD2289" s="91"/>
      <c r="AE2289" s="91"/>
      <c r="AF2289" s="91"/>
      <c r="AG2289" s="91"/>
      <c r="AH2289" s="91"/>
      <c r="AI2289" s="91"/>
      <c r="AJ2289" s="91"/>
      <c r="AK2289" s="91"/>
      <c r="AL2289" s="91"/>
      <c r="AM2289" s="91"/>
    </row>
    <row r="2290" spans="1:39" ht="20.25" hidden="1" customHeight="1">
      <c r="A2290" s="91"/>
      <c r="B2290" s="93" t="s">
        <v>7434</v>
      </c>
      <c r="C2290" s="91" t="s">
        <v>36</v>
      </c>
      <c r="D2290" s="94" t="s">
        <v>7443</v>
      </c>
      <c r="E2290" s="94" t="s">
        <v>7444</v>
      </c>
      <c r="F2290" s="95" t="s">
        <v>7445</v>
      </c>
      <c r="G2290" s="96">
        <v>34060</v>
      </c>
      <c r="H2290" s="97">
        <v>23153</v>
      </c>
      <c r="I2290" s="94" t="s">
        <v>7437</v>
      </c>
      <c r="J2290" s="94" t="s">
        <v>7446</v>
      </c>
      <c r="K2290" s="95">
        <f>56985237562</f>
        <v>56985237562</v>
      </c>
      <c r="L2290" s="91" t="s">
        <v>72</v>
      </c>
      <c r="M2290" s="98">
        <f ca="1">(TODAY()-H2290)/365</f>
        <v>62.6</v>
      </c>
      <c r="N2290" s="99">
        <f>(G2290-H2290)/365</f>
        <v>29.882191780821916</v>
      </c>
      <c r="O2290" s="98">
        <f ca="1">(TODAY()-G2290)/365</f>
        <v>32.717808219178082</v>
      </c>
      <c r="P2290" s="91" t="s">
        <v>43</v>
      </c>
      <c r="Q2290" s="91">
        <v>0</v>
      </c>
      <c r="R2290" s="91">
        <v>0</v>
      </c>
      <c r="S2290" s="91">
        <v>0</v>
      </c>
      <c r="T2290" s="91"/>
      <c r="U2290" s="91"/>
      <c r="V2290" s="91"/>
      <c r="W2290" s="91"/>
      <c r="X2290" s="91"/>
      <c r="Y2290" s="91"/>
      <c r="Z2290" s="91"/>
      <c r="AA2290" s="91"/>
      <c r="AB2290" s="91"/>
      <c r="AC2290" s="91"/>
      <c r="AD2290" s="91"/>
      <c r="AE2290" s="91"/>
      <c r="AF2290" s="91"/>
      <c r="AG2290" s="91"/>
      <c r="AH2290" s="91"/>
      <c r="AI2290" s="91"/>
      <c r="AJ2290" s="91"/>
      <c r="AK2290" s="91"/>
      <c r="AL2290" s="91"/>
      <c r="AM2290" s="91"/>
    </row>
    <row r="2291" spans="1:39" ht="20.25" customHeight="1">
      <c r="A2291" s="91"/>
      <c r="B2291" s="93" t="s">
        <v>5484</v>
      </c>
      <c r="C2291" s="91" t="s">
        <v>73</v>
      </c>
      <c r="D2291" s="107" t="s">
        <v>339</v>
      </c>
      <c r="E2291" s="107" t="s">
        <v>5681</v>
      </c>
      <c r="F2291" s="91" t="s">
        <v>5682</v>
      </c>
      <c r="G2291" s="96">
        <v>35551</v>
      </c>
      <c r="H2291" s="97" t="s">
        <v>58</v>
      </c>
      <c r="I2291" s="100" t="s">
        <v>58</v>
      </c>
      <c r="J2291" s="100" t="s">
        <v>58</v>
      </c>
      <c r="K2291" s="91" t="s">
        <v>58</v>
      </c>
      <c r="L2291" s="91" t="s">
        <v>60</v>
      </c>
      <c r="M2291" s="98">
        <v>0</v>
      </c>
      <c r="N2291" s="91"/>
      <c r="O2291" s="98">
        <f ca="1">(TODAY()-G2291)/365</f>
        <v>28.632876712328766</v>
      </c>
      <c r="P2291" s="91" t="s">
        <v>43</v>
      </c>
      <c r="Q2291" s="91">
        <v>0</v>
      </c>
      <c r="R2291" s="91">
        <v>0</v>
      </c>
      <c r="S2291" s="91">
        <v>0</v>
      </c>
      <c r="T2291" s="91"/>
      <c r="U2291" s="91"/>
      <c r="V2291" s="91"/>
      <c r="W2291" s="91"/>
      <c r="X2291" s="91"/>
      <c r="Y2291" s="91"/>
      <c r="Z2291" s="91"/>
      <c r="AA2291" s="91"/>
      <c r="AB2291" s="91"/>
      <c r="AC2291" s="91"/>
      <c r="AD2291" s="91"/>
      <c r="AE2291" s="91"/>
      <c r="AF2291" s="91"/>
      <c r="AG2291" s="91"/>
      <c r="AH2291" s="91"/>
      <c r="AI2291" s="91"/>
      <c r="AJ2291" s="91"/>
      <c r="AK2291" s="91"/>
      <c r="AL2291" s="91"/>
      <c r="AM2291" s="91"/>
    </row>
    <row r="2292" spans="1:39" ht="20.25" hidden="1" customHeight="1">
      <c r="A2292" s="91"/>
      <c r="B2292" s="93" t="s">
        <v>7434</v>
      </c>
      <c r="C2292" s="91" t="s">
        <v>36</v>
      </c>
      <c r="D2292" s="94" t="s">
        <v>6867</v>
      </c>
      <c r="E2292" s="94" t="s">
        <v>7450</v>
      </c>
      <c r="F2292" s="95" t="s">
        <v>7451</v>
      </c>
      <c r="G2292" s="96">
        <v>30803</v>
      </c>
      <c r="H2292" s="97">
        <v>18400</v>
      </c>
      <c r="I2292" s="94" t="s">
        <v>7437</v>
      </c>
      <c r="J2292" s="94" t="s">
        <v>7452</v>
      </c>
      <c r="K2292" s="95">
        <f>56996668628</f>
        <v>56996668628</v>
      </c>
      <c r="L2292" s="91" t="s">
        <v>151</v>
      </c>
      <c r="M2292" s="98">
        <f ca="1">(TODAY()-H2292)/365</f>
        <v>75.62191780821918</v>
      </c>
      <c r="N2292" s="99">
        <f>(G2292-H2292)/365</f>
        <v>33.980821917808221</v>
      </c>
      <c r="O2292" s="98">
        <f ca="1">(TODAY()-G2292)/365</f>
        <v>41.641095890410959</v>
      </c>
      <c r="P2292" s="91" t="s">
        <v>43</v>
      </c>
      <c r="Q2292" s="91">
        <v>0</v>
      </c>
      <c r="R2292" s="91">
        <v>0</v>
      </c>
      <c r="S2292" s="91">
        <v>0</v>
      </c>
      <c r="T2292" s="91"/>
      <c r="U2292" s="91"/>
      <c r="V2292" s="91"/>
      <c r="W2292" s="91"/>
      <c r="X2292" s="91"/>
      <c r="Y2292" s="91"/>
      <c r="Z2292" s="91"/>
      <c r="AA2292" s="91"/>
      <c r="AB2292" s="91"/>
      <c r="AC2292" s="91"/>
      <c r="AD2292" s="91"/>
      <c r="AE2292" s="91"/>
      <c r="AF2292" s="91"/>
      <c r="AG2292" s="91"/>
      <c r="AH2292" s="91"/>
      <c r="AI2292" s="91"/>
      <c r="AJ2292" s="91"/>
      <c r="AK2292" s="91"/>
      <c r="AL2292" s="91"/>
      <c r="AM2292" s="91"/>
    </row>
    <row r="2293" spans="1:39" ht="20.25" hidden="1" customHeight="1">
      <c r="A2293" s="91"/>
      <c r="B2293" s="93" t="s">
        <v>7434</v>
      </c>
      <c r="C2293" s="91" t="s">
        <v>36</v>
      </c>
      <c r="D2293" s="94" t="s">
        <v>646</v>
      </c>
      <c r="E2293" s="94" t="s">
        <v>7453</v>
      </c>
      <c r="F2293" s="95" t="s">
        <v>7454</v>
      </c>
      <c r="G2293" s="96">
        <v>33359</v>
      </c>
      <c r="H2293" s="97">
        <v>20521</v>
      </c>
      <c r="I2293" s="94" t="s">
        <v>7437</v>
      </c>
      <c r="J2293" s="94" t="s">
        <v>7442</v>
      </c>
      <c r="K2293" s="95">
        <f>56994595414</f>
        <v>56994595414</v>
      </c>
      <c r="L2293" s="91" t="s">
        <v>49</v>
      </c>
      <c r="M2293" s="98">
        <f ca="1">(TODAY()-H2293)/365</f>
        <v>69.810958904109583</v>
      </c>
      <c r="N2293" s="99">
        <f>(G2293-H2293)/365</f>
        <v>35.172602739726024</v>
      </c>
      <c r="O2293" s="98">
        <f ca="1">(TODAY()-G2293)/365</f>
        <v>34.638356164383559</v>
      </c>
      <c r="P2293" s="91" t="s">
        <v>43</v>
      </c>
      <c r="Q2293" s="91">
        <v>0</v>
      </c>
      <c r="R2293" s="91">
        <v>0</v>
      </c>
      <c r="S2293" s="91">
        <v>0</v>
      </c>
      <c r="T2293" s="91"/>
      <c r="U2293" s="91"/>
      <c r="V2293" s="91"/>
      <c r="W2293" s="91"/>
      <c r="X2293" s="91"/>
      <c r="Y2293" s="91"/>
      <c r="Z2293" s="91"/>
      <c r="AA2293" s="91"/>
      <c r="AB2293" s="91"/>
      <c r="AC2293" s="91"/>
      <c r="AD2293" s="91"/>
      <c r="AE2293" s="91"/>
      <c r="AF2293" s="91"/>
      <c r="AG2293" s="91"/>
      <c r="AH2293" s="91"/>
      <c r="AI2293" s="91"/>
      <c r="AJ2293" s="91"/>
      <c r="AK2293" s="91"/>
      <c r="AL2293" s="91"/>
      <c r="AM2293" s="91"/>
    </row>
    <row r="2294" spans="1:39" ht="20.25" customHeight="1">
      <c r="A2294" s="91"/>
      <c r="B2294" s="93" t="s">
        <v>637</v>
      </c>
      <c r="C2294" s="91" t="s">
        <v>73</v>
      </c>
      <c r="D2294" s="94" t="s">
        <v>686</v>
      </c>
      <c r="E2294" s="94" t="s">
        <v>687</v>
      </c>
      <c r="F2294" s="95" t="s">
        <v>58</v>
      </c>
      <c r="G2294" s="96" t="s">
        <v>58</v>
      </c>
      <c r="H2294" s="96" t="s">
        <v>58</v>
      </c>
      <c r="I2294" s="94" t="s">
        <v>58</v>
      </c>
      <c r="J2294" s="94" t="s">
        <v>58</v>
      </c>
      <c r="K2294" s="95" t="s">
        <v>58</v>
      </c>
      <c r="L2294" s="91" t="s">
        <v>60</v>
      </c>
      <c r="M2294" s="98"/>
      <c r="N2294" s="95"/>
      <c r="O2294" s="98" t="e">
        <f ca="1">(TODAY()-G2294)/365</f>
        <v>#VALUE!</v>
      </c>
      <c r="P2294" s="91" t="s">
        <v>43</v>
      </c>
      <c r="Q2294" s="91">
        <v>0</v>
      </c>
      <c r="R2294" s="91">
        <v>0</v>
      </c>
      <c r="S2294" s="91">
        <v>0</v>
      </c>
      <c r="T2294" s="91"/>
      <c r="U2294" s="91"/>
      <c r="V2294" s="91"/>
      <c r="W2294" s="91"/>
      <c r="X2294" s="91"/>
      <c r="Y2294" s="91"/>
      <c r="Z2294" s="91"/>
      <c r="AA2294" s="91"/>
      <c r="AB2294" s="91"/>
      <c r="AC2294" s="91"/>
      <c r="AD2294" s="91"/>
      <c r="AE2294" s="91"/>
      <c r="AF2294" s="91"/>
      <c r="AG2294" s="91"/>
      <c r="AH2294" s="91"/>
      <c r="AI2294" s="91"/>
      <c r="AJ2294" s="91"/>
      <c r="AK2294" s="91"/>
      <c r="AL2294" s="91"/>
      <c r="AM2294" s="91"/>
    </row>
    <row r="2295" spans="1:39" ht="20.25" customHeight="1">
      <c r="A2295" s="91"/>
      <c r="B2295" s="93" t="s">
        <v>6787</v>
      </c>
      <c r="C2295" s="91" t="s">
        <v>73</v>
      </c>
      <c r="D2295" s="107" t="s">
        <v>2767</v>
      </c>
      <c r="E2295" s="107" t="s">
        <v>6792</v>
      </c>
      <c r="F2295" s="91" t="s">
        <v>6793</v>
      </c>
      <c r="G2295" s="96">
        <v>45146</v>
      </c>
      <c r="H2295" s="97">
        <v>34538</v>
      </c>
      <c r="I2295" s="94" t="s">
        <v>58</v>
      </c>
      <c r="J2295" s="94" t="s">
        <v>58</v>
      </c>
      <c r="K2295" s="91">
        <v>990888198</v>
      </c>
      <c r="L2295" s="91" t="s">
        <v>60</v>
      </c>
      <c r="M2295" s="98">
        <f ca="1">(TODAY()-H2295)/365</f>
        <v>31.408219178082192</v>
      </c>
      <c r="N2295" s="99">
        <f>(G2295-H2295)/365</f>
        <v>29.063013698630137</v>
      </c>
      <c r="O2295" s="98">
        <f ca="1">(TODAY()-G2295)/365</f>
        <v>2.3452054794520549</v>
      </c>
      <c r="P2295" s="91" t="s">
        <v>43</v>
      </c>
      <c r="Q2295" s="91">
        <v>0</v>
      </c>
      <c r="R2295" s="91">
        <v>0</v>
      </c>
      <c r="S2295" s="91">
        <v>0</v>
      </c>
      <c r="T2295" s="91"/>
      <c r="U2295" s="91"/>
      <c r="V2295" s="91"/>
      <c r="W2295" s="91"/>
      <c r="X2295" s="91"/>
      <c r="Y2295" s="91"/>
      <c r="Z2295" s="91"/>
      <c r="AA2295" s="91"/>
      <c r="AB2295" s="91"/>
      <c r="AC2295" s="91"/>
      <c r="AD2295" s="91"/>
      <c r="AE2295" s="91"/>
      <c r="AF2295" s="91"/>
      <c r="AG2295" s="91"/>
      <c r="AH2295" s="91"/>
      <c r="AI2295" s="91"/>
      <c r="AJ2295" s="91"/>
      <c r="AK2295" s="91"/>
      <c r="AL2295" s="91"/>
      <c r="AM2295" s="91"/>
    </row>
    <row r="2296" spans="1:39" ht="20.25" customHeight="1">
      <c r="A2296" s="91"/>
      <c r="B2296" s="93" t="s">
        <v>5846</v>
      </c>
      <c r="C2296" s="91" t="s">
        <v>73</v>
      </c>
      <c r="D2296" s="94" t="s">
        <v>5903</v>
      </c>
      <c r="E2296" s="94" t="s">
        <v>5904</v>
      </c>
      <c r="F2296" s="95" t="s">
        <v>5905</v>
      </c>
      <c r="G2296" s="96">
        <v>38097</v>
      </c>
      <c r="H2296" s="97">
        <v>17259</v>
      </c>
      <c r="I2296" s="100" t="s">
        <v>58</v>
      </c>
      <c r="J2296" s="100" t="s">
        <v>58</v>
      </c>
      <c r="K2296" s="91" t="s">
        <v>58</v>
      </c>
      <c r="L2296" s="91" t="s">
        <v>60</v>
      </c>
      <c r="M2296" s="98">
        <f ca="1">(TODAY()-H2296)/365</f>
        <v>78.747945205479454</v>
      </c>
      <c r="N2296" s="99">
        <f>(G2296-H2296)/365</f>
        <v>57.090410958904108</v>
      </c>
      <c r="O2296" s="98">
        <f ca="1">(TODAY()-G2296)/365</f>
        <v>21.657534246575342</v>
      </c>
      <c r="P2296" s="91" t="s">
        <v>43</v>
      </c>
      <c r="Q2296" s="91">
        <v>0</v>
      </c>
      <c r="R2296" s="91">
        <v>0</v>
      </c>
      <c r="S2296" s="91">
        <v>0</v>
      </c>
      <c r="T2296" s="91"/>
      <c r="U2296" s="91"/>
      <c r="V2296" s="91"/>
      <c r="W2296" s="91"/>
      <c r="X2296" s="91"/>
      <c r="Y2296" s="91"/>
      <c r="Z2296" s="91"/>
      <c r="AA2296" s="91"/>
      <c r="AB2296" s="91"/>
      <c r="AC2296" s="91"/>
      <c r="AD2296" s="91"/>
      <c r="AE2296" s="91"/>
      <c r="AF2296" s="91"/>
      <c r="AG2296" s="91"/>
      <c r="AH2296" s="91"/>
      <c r="AI2296" s="91"/>
      <c r="AJ2296" s="91"/>
      <c r="AK2296" s="91"/>
      <c r="AL2296" s="91"/>
      <c r="AM2296" s="91"/>
    </row>
    <row r="2297" spans="1:39" ht="20.25" customHeight="1">
      <c r="A2297" s="91"/>
      <c r="B2297" s="93" t="s">
        <v>2419</v>
      </c>
      <c r="C2297" s="91" t="s">
        <v>73</v>
      </c>
      <c r="D2297" s="94" t="s">
        <v>2466</v>
      </c>
      <c r="E2297" s="94" t="s">
        <v>2467</v>
      </c>
      <c r="F2297" s="95" t="s">
        <v>2468</v>
      </c>
      <c r="G2297" s="96">
        <v>45566</v>
      </c>
      <c r="H2297" s="97">
        <v>29073</v>
      </c>
      <c r="I2297" s="108" t="s">
        <v>12344</v>
      </c>
      <c r="J2297" s="94" t="s">
        <v>58</v>
      </c>
      <c r="K2297" s="95" t="s">
        <v>58</v>
      </c>
      <c r="L2297" s="91" t="s">
        <v>60</v>
      </c>
      <c r="M2297" s="98">
        <f ca="1">(TODAY()-H2297)/365</f>
        <v>46.38082191780822</v>
      </c>
      <c r="N2297" s="99">
        <f>(G2297-H2297)/365</f>
        <v>45.186301369863017</v>
      </c>
      <c r="O2297" s="98">
        <f ca="1">(TODAY()-G2297)/365</f>
        <v>1.1945205479452055</v>
      </c>
      <c r="P2297" s="91" t="s">
        <v>43</v>
      </c>
      <c r="Q2297" s="91">
        <v>0</v>
      </c>
      <c r="R2297" s="91">
        <v>0</v>
      </c>
      <c r="S2297" s="91">
        <v>0</v>
      </c>
      <c r="T2297" s="91"/>
      <c r="U2297" s="91"/>
      <c r="V2297" s="91"/>
      <c r="W2297" s="91"/>
      <c r="X2297" s="91"/>
      <c r="Y2297" s="91"/>
      <c r="Z2297" s="91"/>
      <c r="AA2297" s="91"/>
      <c r="AB2297" s="91"/>
      <c r="AC2297" s="91"/>
      <c r="AD2297" s="91"/>
      <c r="AE2297" s="91"/>
      <c r="AF2297" s="91"/>
      <c r="AG2297" s="91"/>
      <c r="AH2297" s="91"/>
      <c r="AI2297" s="91"/>
      <c r="AJ2297" s="91"/>
      <c r="AK2297" s="91"/>
      <c r="AL2297" s="91"/>
      <c r="AM2297" s="91"/>
    </row>
    <row r="2298" spans="1:39" ht="20.25" customHeight="1">
      <c r="A2298" s="91"/>
      <c r="B2298" s="93" t="s">
        <v>5023</v>
      </c>
      <c r="C2298" s="91" t="s">
        <v>73</v>
      </c>
      <c r="D2298" s="107" t="s">
        <v>5034</v>
      </c>
      <c r="E2298" s="107" t="s">
        <v>5035</v>
      </c>
      <c r="F2298" s="91" t="s">
        <v>5036</v>
      </c>
      <c r="G2298" s="96">
        <v>42874</v>
      </c>
      <c r="H2298" s="97">
        <v>36922</v>
      </c>
      <c r="I2298" s="100" t="s">
        <v>5037</v>
      </c>
      <c r="J2298" s="94" t="s">
        <v>58</v>
      </c>
      <c r="K2298" s="95" t="s">
        <v>58</v>
      </c>
      <c r="L2298" s="91" t="s">
        <v>60</v>
      </c>
      <c r="M2298" s="98">
        <f ca="1">(TODAY()-H2298)/365</f>
        <v>24.876712328767123</v>
      </c>
      <c r="N2298" s="99">
        <f>(G2298-H2298)/365</f>
        <v>16.306849315068494</v>
      </c>
      <c r="O2298" s="98">
        <f ca="1">(TODAY()-G2298)/365</f>
        <v>8.5698630136986296</v>
      </c>
      <c r="P2298" s="91" t="s">
        <v>43</v>
      </c>
      <c r="Q2298" s="91">
        <v>0</v>
      </c>
      <c r="R2298" s="91">
        <v>0</v>
      </c>
      <c r="S2298" s="91">
        <v>0</v>
      </c>
      <c r="T2298" s="91"/>
      <c r="U2298" s="91"/>
      <c r="V2298" s="91"/>
      <c r="W2298" s="91"/>
      <c r="X2298" s="91"/>
      <c r="Y2298" s="91"/>
      <c r="Z2298" s="91"/>
      <c r="AA2298" s="91"/>
      <c r="AB2298" s="91"/>
      <c r="AC2298" s="91"/>
      <c r="AD2298" s="91"/>
      <c r="AE2298" s="91"/>
      <c r="AF2298" s="91"/>
      <c r="AG2298" s="91"/>
      <c r="AH2298" s="91"/>
      <c r="AI2298" s="91"/>
      <c r="AJ2298" s="91"/>
      <c r="AK2298" s="91"/>
      <c r="AL2298" s="91"/>
      <c r="AM2298" s="91"/>
    </row>
    <row r="2299" spans="1:39" ht="20.25" hidden="1" customHeight="1">
      <c r="A2299" s="91"/>
      <c r="B2299" s="93" t="s">
        <v>7434</v>
      </c>
      <c r="C2299" s="91" t="s">
        <v>36</v>
      </c>
      <c r="D2299" s="94" t="s">
        <v>3580</v>
      </c>
      <c r="E2299" s="94" t="s">
        <v>7467</v>
      </c>
      <c r="F2299" s="95" t="s">
        <v>7468</v>
      </c>
      <c r="G2299" s="96">
        <v>37681</v>
      </c>
      <c r="H2299" s="97">
        <v>19726</v>
      </c>
      <c r="I2299" s="94" t="s">
        <v>7437</v>
      </c>
      <c r="J2299" s="94" t="s">
        <v>7469</v>
      </c>
      <c r="K2299" s="95">
        <f>56993733741</f>
        <v>56993733741</v>
      </c>
      <c r="L2299" s="91" t="s">
        <v>60</v>
      </c>
      <c r="M2299" s="98">
        <f ca="1">(TODAY()-H2299)/365</f>
        <v>71.989041095890414</v>
      </c>
      <c r="N2299" s="99">
        <f>(G2299-H2299)/365</f>
        <v>49.19178082191781</v>
      </c>
      <c r="O2299" s="98">
        <f ca="1">(TODAY()-G2299)/365</f>
        <v>22.797260273972604</v>
      </c>
      <c r="P2299" s="91" t="s">
        <v>43</v>
      </c>
      <c r="Q2299" s="91">
        <v>0</v>
      </c>
      <c r="R2299" s="91">
        <v>0</v>
      </c>
      <c r="S2299" s="91">
        <v>0</v>
      </c>
      <c r="T2299" s="91"/>
      <c r="U2299" s="91"/>
      <c r="V2299" s="91"/>
      <c r="W2299" s="91"/>
      <c r="X2299" s="91"/>
      <c r="Y2299" s="91"/>
      <c r="Z2299" s="91"/>
      <c r="AA2299" s="91"/>
      <c r="AB2299" s="91"/>
      <c r="AC2299" s="91"/>
      <c r="AD2299" s="91"/>
      <c r="AE2299" s="91"/>
      <c r="AF2299" s="91"/>
      <c r="AG2299" s="91"/>
      <c r="AH2299" s="91"/>
      <c r="AI2299" s="91"/>
      <c r="AJ2299" s="91"/>
      <c r="AK2299" s="91"/>
      <c r="AL2299" s="91"/>
      <c r="AM2299" s="91"/>
    </row>
    <row r="2300" spans="1:39" ht="20.25" hidden="1" customHeight="1">
      <c r="A2300" s="91"/>
      <c r="B2300" s="93" t="s">
        <v>7434</v>
      </c>
      <c r="C2300" s="91" t="s">
        <v>36</v>
      </c>
      <c r="D2300" s="94" t="s">
        <v>7470</v>
      </c>
      <c r="E2300" s="94" t="s">
        <v>7447</v>
      </c>
      <c r="F2300" s="95" t="s">
        <v>7471</v>
      </c>
      <c r="G2300" s="96">
        <v>45444</v>
      </c>
      <c r="H2300" s="97">
        <v>26588</v>
      </c>
      <c r="I2300" s="94" t="s">
        <v>7472</v>
      </c>
      <c r="J2300" s="94" t="s">
        <v>7473</v>
      </c>
      <c r="K2300" s="95">
        <f>56995495237</f>
        <v>56995495237</v>
      </c>
      <c r="L2300" s="91" t="s">
        <v>60</v>
      </c>
      <c r="M2300" s="98">
        <f ca="1">(TODAY()-H2300)/365</f>
        <v>53.18904109589041</v>
      </c>
      <c r="N2300" s="99">
        <f>(G2300-H2300)/365</f>
        <v>51.660273972602738</v>
      </c>
      <c r="O2300" s="98">
        <f ca="1">(TODAY()-G2300)/365</f>
        <v>1.5287671232876712</v>
      </c>
      <c r="P2300" s="91" t="s">
        <v>43</v>
      </c>
      <c r="Q2300" s="91">
        <v>0</v>
      </c>
      <c r="R2300" s="91">
        <v>0</v>
      </c>
      <c r="S2300" s="91">
        <v>0</v>
      </c>
      <c r="T2300" s="91"/>
      <c r="U2300" s="91"/>
      <c r="V2300" s="91"/>
      <c r="W2300" s="91"/>
      <c r="X2300" s="91"/>
      <c r="Y2300" s="91"/>
      <c r="Z2300" s="91"/>
      <c r="AA2300" s="91"/>
      <c r="AB2300" s="91"/>
      <c r="AC2300" s="91"/>
      <c r="AD2300" s="91"/>
      <c r="AE2300" s="91"/>
      <c r="AF2300" s="91"/>
      <c r="AG2300" s="91"/>
      <c r="AH2300" s="91"/>
      <c r="AI2300" s="91"/>
      <c r="AJ2300" s="91"/>
      <c r="AK2300" s="91"/>
      <c r="AL2300" s="91"/>
      <c r="AM2300" s="91"/>
    </row>
    <row r="2301" spans="1:39" ht="20.25" hidden="1" customHeight="1">
      <c r="A2301" s="91"/>
      <c r="B2301" s="93" t="s">
        <v>7434</v>
      </c>
      <c r="C2301" s="91" t="s">
        <v>36</v>
      </c>
      <c r="D2301" s="94" t="s">
        <v>7474</v>
      </c>
      <c r="E2301" s="94" t="s">
        <v>7475</v>
      </c>
      <c r="F2301" s="95" t="s">
        <v>7476</v>
      </c>
      <c r="G2301" s="96">
        <v>37712</v>
      </c>
      <c r="H2301" s="97">
        <v>18081</v>
      </c>
      <c r="I2301" s="94" t="s">
        <v>7477</v>
      </c>
      <c r="J2301" s="94" t="s">
        <v>7478</v>
      </c>
      <c r="K2301" s="95">
        <f>56976190191</f>
        <v>56976190191</v>
      </c>
      <c r="L2301" s="91" t="s">
        <v>42</v>
      </c>
      <c r="M2301" s="98">
        <f ca="1">(TODAY()-H2301)/365</f>
        <v>76.495890410958907</v>
      </c>
      <c r="N2301" s="99">
        <f>(G2301-H2301)/365</f>
        <v>53.783561643835618</v>
      </c>
      <c r="O2301" s="98">
        <f ca="1">(TODAY()-G2301)/365</f>
        <v>22.712328767123289</v>
      </c>
      <c r="P2301" s="91" t="s">
        <v>43</v>
      </c>
      <c r="Q2301" s="91">
        <v>0</v>
      </c>
      <c r="R2301" s="91">
        <v>0</v>
      </c>
      <c r="S2301" s="91">
        <v>0</v>
      </c>
      <c r="T2301" s="91"/>
      <c r="U2301" s="91"/>
      <c r="V2301" s="91"/>
      <c r="W2301" s="91"/>
      <c r="X2301" s="91"/>
      <c r="Y2301" s="91"/>
      <c r="Z2301" s="91"/>
      <c r="AA2301" s="91"/>
      <c r="AB2301" s="91"/>
      <c r="AC2301" s="91"/>
      <c r="AD2301" s="91"/>
      <c r="AE2301" s="91"/>
      <c r="AF2301" s="91"/>
      <c r="AG2301" s="91"/>
      <c r="AH2301" s="91"/>
      <c r="AI2301" s="91"/>
      <c r="AJ2301" s="91"/>
      <c r="AK2301" s="91"/>
      <c r="AL2301" s="91"/>
      <c r="AM2301" s="91"/>
    </row>
    <row r="2302" spans="1:39" ht="20.25" customHeight="1">
      <c r="A2302" s="91"/>
      <c r="B2302" s="93" t="s">
        <v>4326</v>
      </c>
      <c r="C2302" s="91" t="s">
        <v>73</v>
      </c>
      <c r="D2302" s="107" t="s">
        <v>4327</v>
      </c>
      <c r="E2302" s="107" t="s">
        <v>4328</v>
      </c>
      <c r="F2302" s="92" t="s">
        <v>4329</v>
      </c>
      <c r="G2302" s="96">
        <v>40290</v>
      </c>
      <c r="H2302" s="97">
        <v>35998</v>
      </c>
      <c r="I2302" s="94" t="s">
        <v>58</v>
      </c>
      <c r="J2302" s="94" t="s">
        <v>58</v>
      </c>
      <c r="K2302" s="95" t="s">
        <v>58</v>
      </c>
      <c r="L2302" s="91" t="s">
        <v>60</v>
      </c>
      <c r="M2302" s="98">
        <f ca="1">(TODAY()-H2302)/365</f>
        <v>27.408219178082192</v>
      </c>
      <c r="N2302" s="99">
        <f>(G2302-H2302)/365</f>
        <v>11.758904109589041</v>
      </c>
      <c r="O2302" s="98">
        <f ca="1">(TODAY()-G2302)/365</f>
        <v>15.64931506849315</v>
      </c>
      <c r="P2302" s="91" t="s">
        <v>43</v>
      </c>
      <c r="Q2302" s="91">
        <v>0</v>
      </c>
      <c r="R2302" s="91">
        <v>0</v>
      </c>
      <c r="S2302" s="91">
        <v>0</v>
      </c>
      <c r="T2302" s="91"/>
      <c r="U2302" s="91"/>
      <c r="V2302" s="91"/>
      <c r="W2302" s="91"/>
      <c r="X2302" s="91"/>
      <c r="Y2302" s="91"/>
      <c r="Z2302" s="91"/>
      <c r="AA2302" s="91"/>
      <c r="AB2302" s="91"/>
      <c r="AC2302" s="91"/>
      <c r="AD2302" s="91"/>
      <c r="AE2302" s="91"/>
      <c r="AF2302" s="91"/>
      <c r="AG2302" s="91"/>
      <c r="AH2302" s="91"/>
      <c r="AI2302" s="91"/>
      <c r="AJ2302" s="91"/>
      <c r="AK2302" s="91"/>
      <c r="AL2302" s="91"/>
      <c r="AM2302" s="91"/>
    </row>
    <row r="2303" spans="1:39" ht="20.25" customHeight="1">
      <c r="A2303" s="91"/>
      <c r="B2303" s="93" t="s">
        <v>7434</v>
      </c>
      <c r="C2303" s="91" t="s">
        <v>73</v>
      </c>
      <c r="D2303" s="94" t="s">
        <v>7465</v>
      </c>
      <c r="E2303" s="94" t="s">
        <v>7466</v>
      </c>
      <c r="F2303" s="91" t="s">
        <v>58</v>
      </c>
      <c r="G2303" s="97" t="s">
        <v>58</v>
      </c>
      <c r="H2303" s="97" t="s">
        <v>58</v>
      </c>
      <c r="I2303" s="100" t="s">
        <v>58</v>
      </c>
      <c r="J2303" s="100" t="s">
        <v>58</v>
      </c>
      <c r="K2303" s="91" t="s">
        <v>58</v>
      </c>
      <c r="L2303" s="91" t="s">
        <v>66</v>
      </c>
      <c r="M2303" s="98"/>
      <c r="N2303" s="91"/>
      <c r="O2303" s="98" t="e">
        <f ca="1">(TODAY()-G2303)/365</f>
        <v>#VALUE!</v>
      </c>
      <c r="P2303" s="91" t="s">
        <v>43</v>
      </c>
      <c r="Q2303" s="91">
        <v>0</v>
      </c>
      <c r="R2303" s="91">
        <v>0</v>
      </c>
      <c r="S2303" s="91">
        <v>0</v>
      </c>
      <c r="T2303" s="91"/>
      <c r="U2303" s="91"/>
      <c r="V2303" s="91"/>
      <c r="W2303" s="91"/>
      <c r="X2303" s="91"/>
      <c r="Y2303" s="91"/>
      <c r="Z2303" s="91"/>
      <c r="AA2303" s="91"/>
      <c r="AB2303" s="91">
        <v>2023</v>
      </c>
      <c r="AC2303" s="91"/>
      <c r="AD2303" s="91"/>
      <c r="AE2303" s="91"/>
      <c r="AF2303" s="91"/>
      <c r="AG2303" s="91"/>
      <c r="AH2303" s="91"/>
      <c r="AI2303" s="91"/>
      <c r="AJ2303" s="91"/>
      <c r="AK2303" s="91"/>
      <c r="AL2303" s="91"/>
      <c r="AM2303" s="91"/>
    </row>
    <row r="2304" spans="1:39" ht="20.25" customHeight="1">
      <c r="A2304" s="91"/>
      <c r="B2304" s="93" t="s">
        <v>10137</v>
      </c>
      <c r="C2304" s="91" t="s">
        <v>73</v>
      </c>
      <c r="D2304" s="106" t="s">
        <v>10195</v>
      </c>
      <c r="E2304" s="106" t="s">
        <v>10196</v>
      </c>
      <c r="F2304" s="92" t="s">
        <v>10197</v>
      </c>
      <c r="G2304" s="103">
        <v>44875</v>
      </c>
      <c r="H2304" s="103">
        <v>36689</v>
      </c>
      <c r="I2304" s="108" t="s">
        <v>12587</v>
      </c>
      <c r="J2304" s="100" t="s">
        <v>58</v>
      </c>
      <c r="K2304" s="95" t="s">
        <v>58</v>
      </c>
      <c r="L2304" s="91"/>
      <c r="M2304" s="98">
        <f ca="1">(TODAY()-H2304)/365</f>
        <v>25.515068493150686</v>
      </c>
      <c r="N2304" s="99">
        <f>(G2304-H2304)/365</f>
        <v>22.427397260273974</v>
      </c>
      <c r="O2304" s="98">
        <f ca="1">(TODAY()-G2304)/365</f>
        <v>3.0876712328767124</v>
      </c>
      <c r="P2304" s="91" t="s">
        <v>43</v>
      </c>
      <c r="Q2304" s="91"/>
      <c r="R2304" s="91"/>
      <c r="S2304" s="91"/>
      <c r="T2304" s="91"/>
      <c r="U2304" s="91"/>
      <c r="V2304" s="91"/>
      <c r="W2304" s="91"/>
      <c r="X2304" s="91"/>
      <c r="Y2304" s="91"/>
      <c r="Z2304" s="91"/>
      <c r="AA2304" s="91"/>
      <c r="AB2304" s="91"/>
      <c r="AC2304" s="91"/>
      <c r="AD2304" s="91"/>
      <c r="AE2304" s="91"/>
      <c r="AF2304" s="91"/>
      <c r="AG2304" s="91"/>
      <c r="AH2304" s="91"/>
      <c r="AI2304" s="91"/>
      <c r="AJ2304" s="91"/>
      <c r="AK2304" s="91"/>
      <c r="AL2304" s="91"/>
      <c r="AM2304" s="91"/>
    </row>
    <row r="2305" spans="1:39" ht="20.25" customHeight="1">
      <c r="A2305" s="91"/>
      <c r="B2305" s="93" t="s">
        <v>8524</v>
      </c>
      <c r="C2305" s="91" t="s">
        <v>73</v>
      </c>
      <c r="D2305" s="94" t="s">
        <v>8601</v>
      </c>
      <c r="E2305" s="94" t="s">
        <v>8602</v>
      </c>
      <c r="F2305" s="95" t="s">
        <v>8603</v>
      </c>
      <c r="G2305" s="96">
        <v>39446</v>
      </c>
      <c r="H2305" s="96">
        <v>27736</v>
      </c>
      <c r="I2305" s="94" t="s">
        <v>8604</v>
      </c>
      <c r="J2305" s="100" t="s">
        <v>58</v>
      </c>
      <c r="K2305" s="91" t="s">
        <v>58</v>
      </c>
      <c r="L2305" s="91" t="s">
        <v>60</v>
      </c>
      <c r="M2305" s="98">
        <f ca="1">(TODAY()-H2305)/365</f>
        <v>50.043835616438358</v>
      </c>
      <c r="N2305" s="99">
        <f>(G2305-H2305)/365</f>
        <v>32.082191780821915</v>
      </c>
      <c r="O2305" s="98">
        <f ca="1">(TODAY()-G2305)/365</f>
        <v>17.961643835616439</v>
      </c>
      <c r="P2305" s="91" t="s">
        <v>272</v>
      </c>
      <c r="Q2305" s="91">
        <v>0</v>
      </c>
      <c r="R2305" s="91">
        <v>0</v>
      </c>
      <c r="S2305" s="91">
        <v>0</v>
      </c>
      <c r="T2305" s="91"/>
      <c r="U2305" s="91"/>
      <c r="V2305" s="91"/>
      <c r="W2305" s="91"/>
      <c r="X2305" s="91"/>
      <c r="Y2305" s="91"/>
      <c r="Z2305" s="91"/>
      <c r="AA2305" s="91"/>
      <c r="AB2305" s="91"/>
      <c r="AC2305" s="91"/>
      <c r="AD2305" s="91"/>
      <c r="AE2305" s="91"/>
      <c r="AF2305" s="91"/>
      <c r="AG2305" s="91"/>
      <c r="AH2305" s="91"/>
      <c r="AI2305" s="91"/>
      <c r="AJ2305" s="91"/>
      <c r="AK2305" s="91"/>
      <c r="AL2305" s="91"/>
      <c r="AM2305" s="91"/>
    </row>
    <row r="2306" spans="1:39" ht="20.25" hidden="1" customHeight="1">
      <c r="A2306" s="91"/>
      <c r="B2306" s="93" t="s">
        <v>10854</v>
      </c>
      <c r="C2306" s="91" t="s">
        <v>36</v>
      </c>
      <c r="D2306" s="106" t="s">
        <v>513</v>
      </c>
      <c r="E2306" s="106" t="s">
        <v>10855</v>
      </c>
      <c r="F2306" s="92" t="s">
        <v>10856</v>
      </c>
      <c r="G2306" s="103">
        <v>44083</v>
      </c>
      <c r="H2306" s="103">
        <v>20995</v>
      </c>
      <c r="I2306" s="94" t="s">
        <v>10857</v>
      </c>
      <c r="J2306" s="94" t="s">
        <v>10858</v>
      </c>
      <c r="K2306" s="92">
        <v>968655715</v>
      </c>
      <c r="L2306" s="91"/>
      <c r="M2306" s="98">
        <f ca="1">(TODAY()-H2306)/365</f>
        <v>68.512328767123293</v>
      </c>
      <c r="N2306" s="99">
        <f>(G2306-H2306)/365</f>
        <v>63.254794520547946</v>
      </c>
      <c r="O2306" s="98">
        <f ca="1">(TODAY()-G2306)/365</f>
        <v>5.2575342465753421</v>
      </c>
      <c r="P2306" s="91" t="s">
        <v>43</v>
      </c>
      <c r="Q2306" s="91"/>
      <c r="R2306" s="91"/>
      <c r="S2306" s="91"/>
      <c r="T2306" s="91"/>
      <c r="U2306" s="91"/>
      <c r="V2306" s="91"/>
      <c r="W2306" s="91"/>
      <c r="X2306" s="91"/>
      <c r="Y2306" s="91"/>
      <c r="Z2306" s="91"/>
      <c r="AA2306" s="91"/>
      <c r="AB2306" s="91"/>
      <c r="AC2306" s="91"/>
      <c r="AD2306" s="91"/>
      <c r="AE2306" s="91"/>
      <c r="AF2306" s="91"/>
      <c r="AG2306" s="91"/>
      <c r="AH2306" s="91"/>
      <c r="AI2306" s="91"/>
      <c r="AJ2306" s="91"/>
      <c r="AK2306" s="91"/>
      <c r="AL2306" s="91"/>
      <c r="AM2306" s="91"/>
    </row>
    <row r="2307" spans="1:39" ht="20.25" hidden="1" customHeight="1">
      <c r="A2307" s="91"/>
      <c r="B2307" s="93" t="s">
        <v>10854</v>
      </c>
      <c r="C2307" s="91" t="s">
        <v>36</v>
      </c>
      <c r="D2307" s="106" t="s">
        <v>5587</v>
      </c>
      <c r="E2307" s="106" t="s">
        <v>10859</v>
      </c>
      <c r="F2307" s="92" t="s">
        <v>10860</v>
      </c>
      <c r="G2307" s="103">
        <v>43616</v>
      </c>
      <c r="H2307" s="103">
        <v>26454</v>
      </c>
      <c r="I2307" s="94" t="s">
        <v>10861</v>
      </c>
      <c r="J2307" s="94" t="s">
        <v>10862</v>
      </c>
      <c r="K2307" s="92">
        <v>990186092</v>
      </c>
      <c r="L2307" s="91"/>
      <c r="M2307" s="98">
        <f ca="1">(TODAY()-H2307)/365</f>
        <v>53.556164383561644</v>
      </c>
      <c r="N2307" s="99">
        <f>(G2307-H2307)/365</f>
        <v>47.019178082191779</v>
      </c>
      <c r="O2307" s="98">
        <f ca="1">(TODAY()-G2307)/365</f>
        <v>6.536986301369863</v>
      </c>
      <c r="P2307" s="91" t="s">
        <v>43</v>
      </c>
      <c r="Q2307" s="91"/>
      <c r="R2307" s="91"/>
      <c r="S2307" s="91"/>
      <c r="T2307" s="91"/>
      <c r="U2307" s="91"/>
      <c r="V2307" s="91"/>
      <c r="W2307" s="91"/>
      <c r="X2307" s="91"/>
      <c r="Y2307" s="91"/>
      <c r="Z2307" s="91"/>
      <c r="AA2307" s="91"/>
      <c r="AB2307" s="91"/>
      <c r="AC2307" s="91"/>
      <c r="AD2307" s="91"/>
      <c r="AE2307" s="91"/>
      <c r="AF2307" s="91"/>
      <c r="AG2307" s="91"/>
      <c r="AH2307" s="91"/>
      <c r="AI2307" s="91"/>
      <c r="AJ2307" s="91"/>
      <c r="AK2307" s="91"/>
      <c r="AL2307" s="91"/>
      <c r="AM2307" s="91"/>
    </row>
    <row r="2308" spans="1:39" ht="20.25" hidden="1" customHeight="1">
      <c r="A2308" s="91"/>
      <c r="B2308" s="93" t="s">
        <v>10854</v>
      </c>
      <c r="C2308" s="91" t="s">
        <v>36</v>
      </c>
      <c r="D2308" s="106" t="s">
        <v>416</v>
      </c>
      <c r="E2308" s="106" t="s">
        <v>10863</v>
      </c>
      <c r="F2308" s="92" t="s">
        <v>10864</v>
      </c>
      <c r="G2308" s="103">
        <v>41199</v>
      </c>
      <c r="H2308" s="103">
        <v>20407</v>
      </c>
      <c r="I2308" s="94" t="s">
        <v>10865</v>
      </c>
      <c r="J2308" s="94" t="s">
        <v>10866</v>
      </c>
      <c r="K2308" s="92">
        <v>982319337</v>
      </c>
      <c r="L2308" s="91"/>
      <c r="M2308" s="98">
        <f ca="1">(TODAY()-H2308)/365</f>
        <v>70.123287671232873</v>
      </c>
      <c r="N2308" s="99">
        <f>(G2308-H2308)/365</f>
        <v>56.964383561643835</v>
      </c>
      <c r="O2308" s="98">
        <f ca="1">(TODAY()-G2308)/365</f>
        <v>13.158904109589042</v>
      </c>
      <c r="P2308" s="91" t="s">
        <v>43</v>
      </c>
      <c r="Q2308" s="91"/>
      <c r="R2308" s="91"/>
      <c r="S2308" s="91"/>
      <c r="T2308" s="91"/>
      <c r="U2308" s="91"/>
      <c r="V2308" s="91"/>
      <c r="W2308" s="91"/>
      <c r="X2308" s="91"/>
      <c r="Y2308" s="91"/>
      <c r="Z2308" s="91"/>
      <c r="AA2308" s="91"/>
      <c r="AB2308" s="91"/>
      <c r="AC2308" s="91"/>
      <c r="AD2308" s="91"/>
      <c r="AE2308" s="91"/>
      <c r="AF2308" s="91"/>
      <c r="AG2308" s="91"/>
      <c r="AH2308" s="91"/>
      <c r="AI2308" s="91"/>
      <c r="AJ2308" s="91"/>
      <c r="AK2308" s="91"/>
      <c r="AL2308" s="91"/>
      <c r="AM2308" s="91"/>
    </row>
    <row r="2309" spans="1:39" ht="20.25" hidden="1" customHeight="1">
      <c r="A2309" s="91"/>
      <c r="B2309" s="93" t="s">
        <v>10854</v>
      </c>
      <c r="C2309" s="91" t="s">
        <v>36</v>
      </c>
      <c r="D2309" s="106" t="s">
        <v>416</v>
      </c>
      <c r="E2309" s="106" t="s">
        <v>10867</v>
      </c>
      <c r="F2309" s="92" t="s">
        <v>10868</v>
      </c>
      <c r="G2309" s="103">
        <v>30609</v>
      </c>
      <c r="H2309" s="103">
        <v>16399</v>
      </c>
      <c r="I2309" s="94" t="s">
        <v>58</v>
      </c>
      <c r="J2309" s="94" t="s">
        <v>10869</v>
      </c>
      <c r="K2309" s="92">
        <v>995909906</v>
      </c>
      <c r="L2309" s="91"/>
      <c r="M2309" s="98">
        <f ca="1">(TODAY()-H2309)/365</f>
        <v>81.104109589041101</v>
      </c>
      <c r="N2309" s="99">
        <f>(G2309-H2309)/365</f>
        <v>38.93150684931507</v>
      </c>
      <c r="O2309" s="98">
        <f ca="1">(TODAY()-G2309)/365</f>
        <v>42.172602739726024</v>
      </c>
      <c r="P2309" s="91" t="s">
        <v>43</v>
      </c>
      <c r="Q2309" s="91"/>
      <c r="R2309" s="91"/>
      <c r="S2309" s="91"/>
      <c r="T2309" s="91"/>
      <c r="U2309" s="91"/>
      <c r="V2309" s="91"/>
      <c r="W2309" s="91"/>
      <c r="X2309" s="91"/>
      <c r="Y2309" s="91"/>
      <c r="Z2309" s="91"/>
      <c r="AA2309" s="91"/>
      <c r="AB2309" s="91"/>
      <c r="AC2309" s="91"/>
      <c r="AD2309" s="91"/>
      <c r="AE2309" s="91"/>
      <c r="AF2309" s="91"/>
      <c r="AG2309" s="91"/>
      <c r="AH2309" s="91"/>
      <c r="AI2309" s="91"/>
      <c r="AJ2309" s="91"/>
      <c r="AK2309" s="91"/>
      <c r="AL2309" s="91"/>
      <c r="AM2309" s="91"/>
    </row>
    <row r="2310" spans="1:39" ht="20.25" hidden="1" customHeight="1">
      <c r="A2310" s="91"/>
      <c r="B2310" s="93" t="s">
        <v>10854</v>
      </c>
      <c r="C2310" s="91" t="s">
        <v>36</v>
      </c>
      <c r="D2310" s="106" t="s">
        <v>7263</v>
      </c>
      <c r="E2310" s="106" t="s">
        <v>10870</v>
      </c>
      <c r="F2310" s="92" t="s">
        <v>10871</v>
      </c>
      <c r="G2310" s="103">
        <v>32257</v>
      </c>
      <c r="H2310" s="103">
        <v>16778</v>
      </c>
      <c r="I2310" s="94" t="s">
        <v>58</v>
      </c>
      <c r="J2310" s="94" t="s">
        <v>10872</v>
      </c>
      <c r="K2310" s="92">
        <v>944306019</v>
      </c>
      <c r="L2310" s="91"/>
      <c r="M2310" s="98">
        <f ca="1">(TODAY()-H2310)/365</f>
        <v>80.06575342465753</v>
      </c>
      <c r="N2310" s="99">
        <f>(G2310-H2310)/365</f>
        <v>42.408219178082192</v>
      </c>
      <c r="O2310" s="98">
        <f ca="1">(TODAY()-G2310)/365</f>
        <v>37.657534246575345</v>
      </c>
      <c r="P2310" s="91" t="s">
        <v>43</v>
      </c>
      <c r="Q2310" s="91"/>
      <c r="R2310" s="91"/>
      <c r="S2310" s="91"/>
      <c r="T2310" s="91"/>
      <c r="U2310" s="91"/>
      <c r="V2310" s="91"/>
      <c r="W2310" s="91"/>
      <c r="X2310" s="91"/>
      <c r="Y2310" s="91"/>
      <c r="Z2310" s="91"/>
      <c r="AA2310" s="91"/>
      <c r="AB2310" s="91"/>
      <c r="AC2310" s="91"/>
      <c r="AD2310" s="91"/>
      <c r="AE2310" s="91"/>
      <c r="AF2310" s="91"/>
      <c r="AG2310" s="91"/>
      <c r="AH2310" s="91"/>
      <c r="AI2310" s="91"/>
      <c r="AJ2310" s="91"/>
      <c r="AK2310" s="91"/>
      <c r="AL2310" s="91"/>
      <c r="AM2310" s="91"/>
    </row>
    <row r="2311" spans="1:39" ht="20.25" hidden="1" customHeight="1">
      <c r="A2311" s="91"/>
      <c r="B2311" s="93" t="s">
        <v>10854</v>
      </c>
      <c r="C2311" s="91" t="s">
        <v>36</v>
      </c>
      <c r="D2311" s="106" t="s">
        <v>2455</v>
      </c>
      <c r="E2311" s="106" t="s">
        <v>10873</v>
      </c>
      <c r="F2311" s="92" t="s">
        <v>10874</v>
      </c>
      <c r="G2311" s="103">
        <v>41420</v>
      </c>
      <c r="H2311" s="103">
        <v>18663</v>
      </c>
      <c r="I2311" s="94" t="s">
        <v>58</v>
      </c>
      <c r="J2311" s="94" t="s">
        <v>10875</v>
      </c>
      <c r="K2311" s="92">
        <v>961876969</v>
      </c>
      <c r="L2311" s="91"/>
      <c r="M2311" s="98">
        <f ca="1">(TODAY()-H2311)/365</f>
        <v>74.901369863013699</v>
      </c>
      <c r="N2311" s="99">
        <f>(G2311-H2311)/365</f>
        <v>62.347945205479455</v>
      </c>
      <c r="O2311" s="98">
        <f ca="1">(TODAY()-G2311)/365</f>
        <v>12.553424657534247</v>
      </c>
      <c r="P2311" s="91" t="s">
        <v>43</v>
      </c>
      <c r="Q2311" s="91"/>
      <c r="R2311" s="91"/>
      <c r="S2311" s="91"/>
      <c r="T2311" s="91"/>
      <c r="U2311" s="91"/>
      <c r="V2311" s="91"/>
      <c r="W2311" s="91"/>
      <c r="X2311" s="91"/>
      <c r="Y2311" s="91"/>
      <c r="Z2311" s="91"/>
      <c r="AA2311" s="91"/>
      <c r="AB2311" s="91"/>
      <c r="AC2311" s="91"/>
      <c r="AD2311" s="91"/>
      <c r="AE2311" s="91"/>
      <c r="AF2311" s="91"/>
      <c r="AG2311" s="91"/>
      <c r="AH2311" s="91"/>
      <c r="AI2311" s="91"/>
      <c r="AJ2311" s="91"/>
      <c r="AK2311" s="91"/>
      <c r="AL2311" s="91"/>
      <c r="AM2311" s="91"/>
    </row>
    <row r="2312" spans="1:39" ht="20.25" hidden="1" customHeight="1">
      <c r="A2312" s="91"/>
      <c r="B2312" s="93" t="s">
        <v>10854</v>
      </c>
      <c r="C2312" s="91" t="s">
        <v>36</v>
      </c>
      <c r="D2312" s="106" t="s">
        <v>7512</v>
      </c>
      <c r="E2312" s="106" t="s">
        <v>10876</v>
      </c>
      <c r="F2312" s="92" t="s">
        <v>10877</v>
      </c>
      <c r="G2312" s="103" t="s">
        <v>58</v>
      </c>
      <c r="H2312" s="103">
        <v>45444</v>
      </c>
      <c r="I2312" s="94" t="s">
        <v>58</v>
      </c>
      <c r="J2312" s="94" t="s">
        <v>10878</v>
      </c>
      <c r="K2312" s="92">
        <v>998773753</v>
      </c>
      <c r="L2312" s="91"/>
      <c r="M2312" s="98">
        <f ca="1">(TODAY()-H2312)/365</f>
        <v>1.5287671232876712</v>
      </c>
      <c r="N2312" s="99" t="e">
        <f>(G2312-H2312)/365</f>
        <v>#VALUE!</v>
      </c>
      <c r="O2312" s="98" t="e">
        <f ca="1">(TODAY()-G2312)/365</f>
        <v>#VALUE!</v>
      </c>
      <c r="P2312" s="91" t="s">
        <v>43</v>
      </c>
      <c r="Q2312" s="91"/>
      <c r="R2312" s="91"/>
      <c r="S2312" s="91"/>
      <c r="T2312" s="91"/>
      <c r="U2312" s="91"/>
      <c r="V2312" s="91"/>
      <c r="W2312" s="91"/>
      <c r="X2312" s="91"/>
      <c r="Y2312" s="91"/>
      <c r="Z2312" s="91"/>
      <c r="AA2312" s="91"/>
      <c r="AB2312" s="91"/>
      <c r="AC2312" s="91"/>
      <c r="AD2312" s="91"/>
      <c r="AE2312" s="91"/>
      <c r="AF2312" s="91"/>
      <c r="AG2312" s="91"/>
      <c r="AH2312" s="91"/>
      <c r="AI2312" s="91"/>
      <c r="AJ2312" s="91"/>
      <c r="AK2312" s="91"/>
      <c r="AL2312" s="91"/>
      <c r="AM2312" s="91"/>
    </row>
    <row r="2313" spans="1:39" ht="20.25" hidden="1" customHeight="1">
      <c r="A2313" s="91"/>
      <c r="B2313" s="93" t="s">
        <v>10854</v>
      </c>
      <c r="C2313" s="91" t="s">
        <v>36</v>
      </c>
      <c r="D2313" s="106" t="s">
        <v>10879</v>
      </c>
      <c r="E2313" s="106" t="s">
        <v>10880</v>
      </c>
      <c r="F2313" s="92" t="s">
        <v>10881</v>
      </c>
      <c r="G2313" s="103">
        <v>45563</v>
      </c>
      <c r="H2313" s="103">
        <v>30658</v>
      </c>
      <c r="I2313" s="94" t="s">
        <v>10882</v>
      </c>
      <c r="J2313" s="94" t="s">
        <v>10883</v>
      </c>
      <c r="K2313" s="92">
        <v>971262578</v>
      </c>
      <c r="L2313" s="91"/>
      <c r="M2313" s="98">
        <f ca="1">(TODAY()-H2313)/365</f>
        <v>42.038356164383565</v>
      </c>
      <c r="N2313" s="99">
        <f>(G2313-H2313)/365</f>
        <v>40.835616438356162</v>
      </c>
      <c r="O2313" s="98">
        <f ca="1">(TODAY()-G2313)/365</f>
        <v>1.2027397260273973</v>
      </c>
      <c r="P2313" s="91" t="s">
        <v>43</v>
      </c>
      <c r="Q2313" s="91"/>
      <c r="R2313" s="91"/>
      <c r="S2313" s="91"/>
      <c r="T2313" s="91"/>
      <c r="U2313" s="91"/>
      <c r="V2313" s="91"/>
      <c r="W2313" s="91"/>
      <c r="X2313" s="91"/>
      <c r="Y2313" s="91"/>
      <c r="Z2313" s="91"/>
      <c r="AA2313" s="91"/>
      <c r="AB2313" s="91"/>
      <c r="AC2313" s="91"/>
      <c r="AD2313" s="91"/>
      <c r="AE2313" s="91"/>
      <c r="AF2313" s="91"/>
      <c r="AG2313" s="91"/>
      <c r="AH2313" s="91"/>
      <c r="AI2313" s="91"/>
      <c r="AJ2313" s="91"/>
      <c r="AK2313" s="91"/>
      <c r="AL2313" s="91"/>
      <c r="AM2313" s="91"/>
    </row>
    <row r="2314" spans="1:39" ht="20.25" hidden="1" customHeight="1">
      <c r="A2314" s="91"/>
      <c r="B2314" s="93" t="s">
        <v>10854</v>
      </c>
      <c r="C2314" s="91" t="s">
        <v>36</v>
      </c>
      <c r="D2314" s="106" t="s">
        <v>416</v>
      </c>
      <c r="E2314" s="106" t="s">
        <v>10884</v>
      </c>
      <c r="F2314" s="92" t="s">
        <v>10885</v>
      </c>
      <c r="G2314" s="103" t="s">
        <v>58</v>
      </c>
      <c r="H2314" s="103">
        <v>34036</v>
      </c>
      <c r="I2314" s="94" t="s">
        <v>10886</v>
      </c>
      <c r="J2314" s="94" t="s">
        <v>10887</v>
      </c>
      <c r="K2314" s="92">
        <v>939054730</v>
      </c>
      <c r="L2314" s="91"/>
      <c r="M2314" s="98">
        <f ca="1">(TODAY()-H2314)/365</f>
        <v>32.783561643835618</v>
      </c>
      <c r="N2314" s="99" t="e">
        <f>(G2314-H2314)/365</f>
        <v>#VALUE!</v>
      </c>
      <c r="O2314" s="98" t="e">
        <f ca="1">(TODAY()-G2314)/365</f>
        <v>#VALUE!</v>
      </c>
      <c r="P2314" s="91" t="s">
        <v>43</v>
      </c>
      <c r="Q2314" s="91"/>
      <c r="R2314" s="91"/>
      <c r="S2314" s="91"/>
      <c r="T2314" s="91"/>
      <c r="U2314" s="91"/>
      <c r="V2314" s="91"/>
      <c r="W2314" s="91"/>
      <c r="X2314" s="91"/>
      <c r="Y2314" s="91"/>
      <c r="Z2314" s="91"/>
      <c r="AA2314" s="91"/>
      <c r="AB2314" s="91"/>
      <c r="AC2314" s="91"/>
      <c r="AD2314" s="91"/>
      <c r="AE2314" s="91"/>
      <c r="AF2314" s="91"/>
      <c r="AG2314" s="91"/>
      <c r="AH2314" s="91"/>
      <c r="AI2314" s="91"/>
      <c r="AJ2314" s="91"/>
      <c r="AK2314" s="91"/>
      <c r="AL2314" s="91"/>
      <c r="AM2314" s="91"/>
    </row>
    <row r="2315" spans="1:39" ht="20.25" hidden="1" customHeight="1">
      <c r="A2315" s="91"/>
      <c r="B2315" s="93" t="s">
        <v>10264</v>
      </c>
      <c r="C2315" s="91" t="s">
        <v>36</v>
      </c>
      <c r="D2315" s="106" t="s">
        <v>10265</v>
      </c>
      <c r="E2315" s="106" t="s">
        <v>10266</v>
      </c>
      <c r="F2315" s="92" t="s">
        <v>10267</v>
      </c>
      <c r="G2315" s="103">
        <v>44381</v>
      </c>
      <c r="H2315" s="103">
        <v>18510</v>
      </c>
      <c r="I2315" s="108" t="s">
        <v>12604</v>
      </c>
      <c r="J2315" s="94" t="s">
        <v>10268</v>
      </c>
      <c r="K2315" s="92">
        <v>974142233</v>
      </c>
      <c r="L2315" s="91"/>
      <c r="M2315" s="98">
        <f ca="1">(TODAY()-H2315)/365</f>
        <v>75.320547945205476</v>
      </c>
      <c r="N2315" s="99">
        <f>(G2315-H2315)/365</f>
        <v>70.879452054794527</v>
      </c>
      <c r="O2315" s="98">
        <f ca="1">(TODAY()-G2315)/365</f>
        <v>4.441095890410959</v>
      </c>
      <c r="P2315" s="91" t="s">
        <v>43</v>
      </c>
      <c r="Q2315" s="91"/>
      <c r="R2315" s="91"/>
      <c r="S2315" s="91"/>
      <c r="T2315" s="91"/>
      <c r="U2315" s="91"/>
      <c r="V2315" s="91"/>
      <c r="W2315" s="91"/>
      <c r="X2315" s="91"/>
      <c r="Y2315" s="91"/>
      <c r="Z2315" s="91"/>
      <c r="AA2315" s="91"/>
      <c r="AB2315" s="91"/>
      <c r="AC2315" s="91"/>
      <c r="AD2315" s="91"/>
      <c r="AE2315" s="91"/>
      <c r="AF2315" s="91"/>
      <c r="AG2315" s="91"/>
      <c r="AH2315" s="91"/>
      <c r="AI2315" s="91"/>
      <c r="AJ2315" s="91"/>
      <c r="AK2315" s="91"/>
      <c r="AL2315" s="91"/>
      <c r="AM2315" s="91"/>
    </row>
    <row r="2316" spans="1:39" ht="20.25" hidden="1" customHeight="1">
      <c r="A2316" s="91"/>
      <c r="B2316" s="93" t="s">
        <v>10264</v>
      </c>
      <c r="C2316" s="91" t="s">
        <v>36</v>
      </c>
      <c r="D2316" s="106" t="s">
        <v>10269</v>
      </c>
      <c r="E2316" s="106" t="s">
        <v>10270</v>
      </c>
      <c r="F2316" s="92" t="s">
        <v>10271</v>
      </c>
      <c r="G2316" s="103">
        <v>30780</v>
      </c>
      <c r="H2316" s="103">
        <v>18421</v>
      </c>
      <c r="I2316" s="94" t="s">
        <v>58</v>
      </c>
      <c r="J2316" s="94" t="s">
        <v>10273</v>
      </c>
      <c r="K2316" s="92">
        <v>985550170</v>
      </c>
      <c r="L2316" s="91"/>
      <c r="M2316" s="98">
        <f ca="1">(TODAY()-H2316)/365</f>
        <v>75.564383561643837</v>
      </c>
      <c r="N2316" s="99">
        <f>(G2316-H2316)/365</f>
        <v>33.860273972602741</v>
      </c>
      <c r="O2316" s="98">
        <f ca="1">(TODAY()-G2316)/365</f>
        <v>41.704109589041096</v>
      </c>
      <c r="P2316" s="91" t="s">
        <v>43</v>
      </c>
      <c r="Q2316" s="91"/>
      <c r="R2316" s="91"/>
      <c r="S2316" s="91"/>
      <c r="T2316" s="91"/>
      <c r="U2316" s="91"/>
      <c r="V2316" s="91"/>
      <c r="W2316" s="91"/>
      <c r="X2316" s="91"/>
      <c r="Y2316" s="91"/>
      <c r="Z2316" s="91"/>
      <c r="AA2316" s="91"/>
      <c r="AB2316" s="91"/>
      <c r="AC2316" s="91"/>
      <c r="AD2316" s="91"/>
      <c r="AE2316" s="91"/>
      <c r="AF2316" s="91"/>
      <c r="AG2316" s="91"/>
      <c r="AH2316" s="91"/>
      <c r="AI2316" s="91"/>
      <c r="AJ2316" s="91"/>
      <c r="AK2316" s="91"/>
      <c r="AL2316" s="91"/>
      <c r="AM2316" s="91"/>
    </row>
    <row r="2317" spans="1:39" ht="20.25" hidden="1" customHeight="1">
      <c r="A2317" s="91"/>
      <c r="B2317" s="93" t="s">
        <v>10264</v>
      </c>
      <c r="C2317" s="91" t="s">
        <v>36</v>
      </c>
      <c r="D2317" s="106" t="s">
        <v>10274</v>
      </c>
      <c r="E2317" s="106" t="s">
        <v>10275</v>
      </c>
      <c r="F2317" s="92" t="s">
        <v>10276</v>
      </c>
      <c r="G2317" s="103">
        <v>35917</v>
      </c>
      <c r="H2317" s="103">
        <v>22807</v>
      </c>
      <c r="I2317" s="94" t="s">
        <v>58</v>
      </c>
      <c r="J2317" s="94" t="s">
        <v>10277</v>
      </c>
      <c r="K2317" s="92">
        <v>985373934</v>
      </c>
      <c r="L2317" s="91"/>
      <c r="M2317" s="98">
        <f ca="1">(TODAY()-H2317)/365</f>
        <v>63.547945205479451</v>
      </c>
      <c r="N2317" s="99">
        <f>(G2317-H2317)/365</f>
        <v>35.917808219178085</v>
      </c>
      <c r="O2317" s="98">
        <f ca="1">(TODAY()-G2317)/365</f>
        <v>27.63013698630137</v>
      </c>
      <c r="P2317" s="91" t="s">
        <v>43</v>
      </c>
      <c r="Q2317" s="91"/>
      <c r="R2317" s="91"/>
      <c r="S2317" s="91"/>
      <c r="T2317" s="91"/>
      <c r="U2317" s="91"/>
      <c r="V2317" s="91"/>
      <c r="W2317" s="91"/>
      <c r="X2317" s="91"/>
      <c r="Y2317" s="91"/>
      <c r="Z2317" s="91"/>
      <c r="AA2317" s="91"/>
      <c r="AB2317" s="91"/>
      <c r="AC2317" s="91"/>
      <c r="AD2317" s="91"/>
      <c r="AE2317" s="91"/>
      <c r="AF2317" s="91"/>
      <c r="AG2317" s="91"/>
      <c r="AH2317" s="91"/>
      <c r="AI2317" s="91"/>
      <c r="AJ2317" s="91"/>
      <c r="AK2317" s="91"/>
      <c r="AL2317" s="91"/>
      <c r="AM2317" s="91"/>
    </row>
    <row r="2318" spans="1:39" ht="20.25" hidden="1" customHeight="1">
      <c r="A2318" s="91"/>
      <c r="B2318" s="93" t="s">
        <v>10264</v>
      </c>
      <c r="C2318" s="91" t="s">
        <v>36</v>
      </c>
      <c r="D2318" s="106" t="s">
        <v>10278</v>
      </c>
      <c r="E2318" s="106" t="s">
        <v>10279</v>
      </c>
      <c r="F2318" s="92" t="s">
        <v>10280</v>
      </c>
      <c r="G2318" s="103">
        <v>31145</v>
      </c>
      <c r="H2318" s="103">
        <v>19725</v>
      </c>
      <c r="I2318" s="94" t="s">
        <v>58</v>
      </c>
      <c r="J2318" s="94" t="s">
        <v>10281</v>
      </c>
      <c r="K2318" s="92">
        <v>996231366</v>
      </c>
      <c r="L2318" s="91"/>
      <c r="M2318" s="98">
        <f ca="1">(TODAY()-H2318)/365</f>
        <v>71.991780821917814</v>
      </c>
      <c r="N2318" s="99">
        <f>(G2318-H2318)/365</f>
        <v>31.287671232876711</v>
      </c>
      <c r="O2318" s="98">
        <f ca="1">(TODAY()-G2318)/365</f>
        <v>40.704109589041096</v>
      </c>
      <c r="P2318" s="91" t="s">
        <v>43</v>
      </c>
      <c r="Q2318" s="91"/>
      <c r="R2318" s="91"/>
      <c r="S2318" s="91"/>
      <c r="T2318" s="91"/>
      <c r="U2318" s="91"/>
      <c r="V2318" s="91"/>
      <c r="W2318" s="91"/>
      <c r="X2318" s="91"/>
      <c r="Y2318" s="91"/>
      <c r="Z2318" s="91"/>
      <c r="AA2318" s="91"/>
      <c r="AB2318" s="91"/>
      <c r="AC2318" s="91"/>
      <c r="AD2318" s="91"/>
      <c r="AE2318" s="91"/>
      <c r="AF2318" s="91"/>
      <c r="AG2318" s="91"/>
      <c r="AH2318" s="91"/>
      <c r="AI2318" s="91"/>
      <c r="AJ2318" s="91"/>
      <c r="AK2318" s="91"/>
      <c r="AL2318" s="91"/>
      <c r="AM2318" s="91"/>
    </row>
    <row r="2319" spans="1:39" ht="20.25" hidden="1" customHeight="1">
      <c r="A2319" s="91"/>
      <c r="B2319" s="93" t="s">
        <v>10264</v>
      </c>
      <c r="C2319" s="91" t="s">
        <v>36</v>
      </c>
      <c r="D2319" s="106" t="s">
        <v>10282</v>
      </c>
      <c r="E2319" s="106" t="s">
        <v>10283</v>
      </c>
      <c r="F2319" s="92" t="s">
        <v>10284</v>
      </c>
      <c r="G2319" s="103">
        <v>31994</v>
      </c>
      <c r="H2319" s="103">
        <v>20079</v>
      </c>
      <c r="I2319" s="94" t="s">
        <v>58</v>
      </c>
      <c r="J2319" s="94" t="s">
        <v>10285</v>
      </c>
      <c r="K2319" s="92">
        <v>989885924</v>
      </c>
      <c r="L2319" s="91"/>
      <c r="M2319" s="98">
        <f ca="1">(TODAY()-H2319)/365</f>
        <v>71.021917808219172</v>
      </c>
      <c r="N2319" s="99">
        <f>(G2319-H2319)/365</f>
        <v>32.643835616438359</v>
      </c>
      <c r="O2319" s="98">
        <f ca="1">(TODAY()-G2319)/365</f>
        <v>38.37808219178082</v>
      </c>
      <c r="P2319" s="91" t="s">
        <v>43</v>
      </c>
      <c r="Q2319" s="91"/>
      <c r="R2319" s="91"/>
      <c r="S2319" s="91"/>
      <c r="T2319" s="91"/>
      <c r="U2319" s="91"/>
      <c r="V2319" s="91"/>
      <c r="W2319" s="91"/>
      <c r="X2319" s="91"/>
      <c r="Y2319" s="91"/>
      <c r="Z2319" s="91"/>
      <c r="AA2319" s="91"/>
      <c r="AB2319" s="91"/>
      <c r="AC2319" s="91"/>
      <c r="AD2319" s="91"/>
      <c r="AE2319" s="91"/>
      <c r="AF2319" s="91"/>
      <c r="AG2319" s="91"/>
      <c r="AH2319" s="91"/>
      <c r="AI2319" s="91"/>
      <c r="AJ2319" s="91"/>
      <c r="AK2319" s="91"/>
      <c r="AL2319" s="91"/>
      <c r="AM2319" s="91"/>
    </row>
    <row r="2320" spans="1:39" ht="20.25" hidden="1" customHeight="1">
      <c r="A2320" s="91"/>
      <c r="B2320" s="93" t="s">
        <v>10264</v>
      </c>
      <c r="C2320" s="91" t="s">
        <v>36</v>
      </c>
      <c r="D2320" s="106" t="s">
        <v>10286</v>
      </c>
      <c r="E2320" s="106" t="s">
        <v>10287</v>
      </c>
      <c r="F2320" s="92" t="s">
        <v>10288</v>
      </c>
      <c r="G2320" s="103">
        <v>41412</v>
      </c>
      <c r="H2320" s="103">
        <v>15614</v>
      </c>
      <c r="I2320" s="94" t="s">
        <v>58</v>
      </c>
      <c r="J2320" s="94" t="s">
        <v>10289</v>
      </c>
      <c r="K2320" s="92">
        <v>966842702</v>
      </c>
      <c r="L2320" s="91"/>
      <c r="M2320" s="98">
        <f ca="1">(TODAY()-H2320)/365</f>
        <v>83.254794520547946</v>
      </c>
      <c r="N2320" s="99">
        <f>(G2320-H2320)/365</f>
        <v>70.679452054794524</v>
      </c>
      <c r="O2320" s="98">
        <f ca="1">(TODAY()-G2320)/365</f>
        <v>12.575342465753424</v>
      </c>
      <c r="P2320" s="91" t="s">
        <v>43</v>
      </c>
      <c r="Q2320" s="91"/>
      <c r="R2320" s="91"/>
      <c r="S2320" s="91"/>
      <c r="T2320" s="91"/>
      <c r="U2320" s="91"/>
      <c r="V2320" s="91"/>
      <c r="W2320" s="91"/>
      <c r="X2320" s="91"/>
      <c r="Y2320" s="91"/>
      <c r="Z2320" s="91"/>
      <c r="AA2320" s="91"/>
      <c r="AB2320" s="91"/>
      <c r="AC2320" s="91"/>
      <c r="AD2320" s="91"/>
      <c r="AE2320" s="91"/>
      <c r="AF2320" s="91"/>
      <c r="AG2320" s="91"/>
      <c r="AH2320" s="91"/>
      <c r="AI2320" s="91"/>
      <c r="AJ2320" s="91"/>
      <c r="AK2320" s="91"/>
      <c r="AL2320" s="91"/>
      <c r="AM2320" s="91"/>
    </row>
    <row r="2321" spans="1:39" ht="20.25" hidden="1" customHeight="1">
      <c r="A2321" s="91"/>
      <c r="B2321" s="93" t="s">
        <v>10264</v>
      </c>
      <c r="C2321" s="91" t="s">
        <v>36</v>
      </c>
      <c r="D2321" s="106" t="s">
        <v>10290</v>
      </c>
      <c r="E2321" s="106" t="s">
        <v>10291</v>
      </c>
      <c r="F2321" s="92" t="s">
        <v>10292</v>
      </c>
      <c r="G2321" s="103">
        <v>32265</v>
      </c>
      <c r="H2321" s="103">
        <v>17138</v>
      </c>
      <c r="I2321" s="94" t="s">
        <v>58</v>
      </c>
      <c r="J2321" s="94" t="s">
        <v>10293</v>
      </c>
      <c r="K2321" s="92">
        <v>963921015</v>
      </c>
      <c r="L2321" s="91"/>
      <c r="M2321" s="98">
        <f ca="1">(TODAY()-H2321)/365</f>
        <v>79.079452054794515</v>
      </c>
      <c r="N2321" s="99">
        <f>(G2321-H2321)/365</f>
        <v>41.443835616438356</v>
      </c>
      <c r="O2321" s="98">
        <f ca="1">(TODAY()-G2321)/365</f>
        <v>37.635616438356166</v>
      </c>
      <c r="P2321" s="91" t="s">
        <v>43</v>
      </c>
      <c r="Q2321" s="91"/>
      <c r="R2321" s="91"/>
      <c r="S2321" s="91"/>
      <c r="T2321" s="91"/>
      <c r="U2321" s="91"/>
      <c r="V2321" s="91"/>
      <c r="W2321" s="91"/>
      <c r="X2321" s="91"/>
      <c r="Y2321" s="91"/>
      <c r="Z2321" s="91"/>
      <c r="AA2321" s="91"/>
      <c r="AB2321" s="91"/>
      <c r="AC2321" s="91"/>
      <c r="AD2321" s="91"/>
      <c r="AE2321" s="91"/>
      <c r="AF2321" s="91"/>
      <c r="AG2321" s="91"/>
      <c r="AH2321" s="91"/>
      <c r="AI2321" s="91"/>
      <c r="AJ2321" s="91"/>
      <c r="AK2321" s="91"/>
      <c r="AL2321" s="91"/>
      <c r="AM2321" s="91"/>
    </row>
    <row r="2322" spans="1:39" ht="20.25" hidden="1" customHeight="1">
      <c r="A2322" s="91"/>
      <c r="B2322" s="93" t="s">
        <v>10264</v>
      </c>
      <c r="C2322" s="91" t="s">
        <v>36</v>
      </c>
      <c r="D2322" s="106" t="s">
        <v>10294</v>
      </c>
      <c r="E2322" s="106" t="s">
        <v>10295</v>
      </c>
      <c r="F2322" s="92" t="s">
        <v>10296</v>
      </c>
      <c r="G2322" s="103">
        <v>43581</v>
      </c>
      <c r="H2322" s="103">
        <v>25412</v>
      </c>
      <c r="I2322" s="94" t="s">
        <v>58</v>
      </c>
      <c r="J2322" s="94" t="s">
        <v>10293</v>
      </c>
      <c r="K2322" s="92">
        <v>992122820</v>
      </c>
      <c r="L2322" s="91"/>
      <c r="M2322" s="98">
        <f ca="1">(TODAY()-H2322)/365</f>
        <v>56.410958904109592</v>
      </c>
      <c r="N2322" s="99">
        <f>(G2322-H2322)/365</f>
        <v>49.778082191780825</v>
      </c>
      <c r="O2322" s="98">
        <f ca="1">(TODAY()-G2322)/365</f>
        <v>6.6328767123287671</v>
      </c>
      <c r="P2322" s="91" t="s">
        <v>43</v>
      </c>
      <c r="Q2322" s="91"/>
      <c r="R2322" s="91"/>
      <c r="S2322" s="91"/>
      <c r="T2322" s="91"/>
      <c r="U2322" s="91"/>
      <c r="V2322" s="91"/>
      <c r="W2322" s="91"/>
      <c r="X2322" s="91"/>
      <c r="Y2322" s="91"/>
      <c r="Z2322" s="91"/>
      <c r="AA2322" s="91"/>
      <c r="AB2322" s="91"/>
      <c r="AC2322" s="91"/>
      <c r="AD2322" s="91"/>
      <c r="AE2322" s="91"/>
      <c r="AF2322" s="91"/>
      <c r="AG2322" s="91"/>
      <c r="AH2322" s="91"/>
      <c r="AI2322" s="91"/>
      <c r="AJ2322" s="91"/>
      <c r="AK2322" s="91"/>
      <c r="AL2322" s="91"/>
      <c r="AM2322" s="91"/>
    </row>
    <row r="2323" spans="1:39" ht="20.25" hidden="1" customHeight="1">
      <c r="A2323" s="91"/>
      <c r="B2323" s="93" t="s">
        <v>10264</v>
      </c>
      <c r="C2323" s="91" t="s">
        <v>36</v>
      </c>
      <c r="D2323" s="106" t="s">
        <v>10297</v>
      </c>
      <c r="E2323" s="106" t="s">
        <v>10298</v>
      </c>
      <c r="F2323" s="92" t="s">
        <v>10299</v>
      </c>
      <c r="G2323" s="103">
        <v>43581</v>
      </c>
      <c r="H2323" s="103">
        <v>23281</v>
      </c>
      <c r="I2323" s="108" t="s">
        <v>12605</v>
      </c>
      <c r="J2323" s="94" t="s">
        <v>10293</v>
      </c>
      <c r="K2323" s="92">
        <v>978252397</v>
      </c>
      <c r="L2323" s="91"/>
      <c r="M2323" s="98">
        <f ca="1">(TODAY()-H2323)/365</f>
        <v>62.249315068493154</v>
      </c>
      <c r="N2323" s="99">
        <f>(G2323-H2323)/365</f>
        <v>55.61643835616438</v>
      </c>
      <c r="O2323" s="98">
        <f ca="1">(TODAY()-G2323)/365</f>
        <v>6.6328767123287671</v>
      </c>
      <c r="P2323" s="91" t="s">
        <v>272</v>
      </c>
      <c r="Q2323" s="91"/>
      <c r="R2323" s="91"/>
      <c r="S2323" s="91"/>
      <c r="T2323" s="91"/>
      <c r="U2323" s="91"/>
      <c r="V2323" s="91"/>
      <c r="W2323" s="91"/>
      <c r="X2323" s="91"/>
      <c r="Y2323" s="91"/>
      <c r="Z2323" s="91"/>
      <c r="AA2323" s="91"/>
      <c r="AB2323" s="91"/>
      <c r="AC2323" s="91"/>
      <c r="AD2323" s="91"/>
      <c r="AE2323" s="91"/>
      <c r="AF2323" s="91"/>
      <c r="AG2323" s="91"/>
      <c r="AH2323" s="91"/>
      <c r="AI2323" s="91"/>
      <c r="AJ2323" s="91"/>
      <c r="AK2323" s="91"/>
      <c r="AL2323" s="91"/>
      <c r="AM2323" s="91"/>
    </row>
    <row r="2324" spans="1:39" ht="20.25" hidden="1" customHeight="1">
      <c r="A2324" s="91"/>
      <c r="B2324" s="93" t="s">
        <v>10264</v>
      </c>
      <c r="C2324" s="91" t="s">
        <v>36</v>
      </c>
      <c r="D2324" s="106" t="s">
        <v>10300</v>
      </c>
      <c r="E2324" s="106" t="s">
        <v>10301</v>
      </c>
      <c r="F2324" s="92" t="s">
        <v>10302</v>
      </c>
      <c r="G2324" s="103">
        <v>41222</v>
      </c>
      <c r="H2324" s="103">
        <v>17288</v>
      </c>
      <c r="I2324" s="94" t="s">
        <v>58</v>
      </c>
      <c r="J2324" s="94" t="s">
        <v>10303</v>
      </c>
      <c r="K2324" s="92">
        <v>932987131</v>
      </c>
      <c r="L2324" s="91"/>
      <c r="M2324" s="98">
        <f ca="1">(TODAY()-H2324)/365</f>
        <v>78.668493150684938</v>
      </c>
      <c r="N2324" s="99">
        <f>(G2324-H2324)/365</f>
        <v>65.572602739726022</v>
      </c>
      <c r="O2324" s="98">
        <f ca="1">(TODAY()-G2324)/365</f>
        <v>13.095890410958905</v>
      </c>
      <c r="P2324" s="91" t="s">
        <v>272</v>
      </c>
      <c r="Q2324" s="91"/>
      <c r="R2324" s="91"/>
      <c r="S2324" s="91"/>
      <c r="T2324" s="91"/>
      <c r="U2324" s="91"/>
      <c r="V2324" s="91"/>
      <c r="W2324" s="91"/>
      <c r="X2324" s="91"/>
      <c r="Y2324" s="91"/>
      <c r="Z2324" s="91"/>
      <c r="AA2324" s="91"/>
      <c r="AB2324" s="91"/>
      <c r="AC2324" s="91"/>
      <c r="AD2324" s="91"/>
      <c r="AE2324" s="91"/>
      <c r="AF2324" s="91"/>
      <c r="AG2324" s="91"/>
      <c r="AH2324" s="91"/>
      <c r="AI2324" s="91"/>
      <c r="AJ2324" s="91"/>
      <c r="AK2324" s="91"/>
      <c r="AL2324" s="91"/>
      <c r="AM2324" s="91"/>
    </row>
    <row r="2325" spans="1:39" ht="20.25" hidden="1" customHeight="1">
      <c r="A2325" s="91"/>
      <c r="B2325" s="93" t="s">
        <v>10264</v>
      </c>
      <c r="C2325" s="91" t="s">
        <v>36</v>
      </c>
      <c r="D2325" s="106" t="s">
        <v>10304</v>
      </c>
      <c r="E2325" s="106" t="s">
        <v>10305</v>
      </c>
      <c r="F2325" s="92" t="s">
        <v>10306</v>
      </c>
      <c r="G2325" s="103">
        <v>42608</v>
      </c>
      <c r="H2325" s="103">
        <v>19386</v>
      </c>
      <c r="I2325" s="94" t="s">
        <v>58</v>
      </c>
      <c r="J2325" s="94" t="s">
        <v>10307</v>
      </c>
      <c r="K2325" s="92">
        <v>930261046</v>
      </c>
      <c r="L2325" s="91"/>
      <c r="M2325" s="98">
        <f ca="1">(TODAY()-H2325)/365</f>
        <v>72.920547945205485</v>
      </c>
      <c r="N2325" s="99">
        <f>(G2325-H2325)/365</f>
        <v>63.62191780821918</v>
      </c>
      <c r="O2325" s="98">
        <f ca="1">(TODAY()-G2325)/365</f>
        <v>9.2986301369863007</v>
      </c>
      <c r="P2325" s="91" t="s">
        <v>43</v>
      </c>
      <c r="Q2325" s="91"/>
      <c r="R2325" s="91"/>
      <c r="S2325" s="91"/>
      <c r="T2325" s="91"/>
      <c r="U2325" s="91"/>
      <c r="V2325" s="91"/>
      <c r="W2325" s="91"/>
      <c r="X2325" s="91"/>
      <c r="Y2325" s="91"/>
      <c r="Z2325" s="91"/>
      <c r="AA2325" s="91"/>
      <c r="AB2325" s="91"/>
      <c r="AC2325" s="91"/>
      <c r="AD2325" s="91"/>
      <c r="AE2325" s="91"/>
      <c r="AF2325" s="91"/>
      <c r="AG2325" s="91"/>
      <c r="AH2325" s="91"/>
      <c r="AI2325" s="91"/>
      <c r="AJ2325" s="91"/>
      <c r="AK2325" s="91"/>
      <c r="AL2325" s="91"/>
      <c r="AM2325" s="91"/>
    </row>
    <row r="2326" spans="1:39" ht="20.25" customHeight="1">
      <c r="A2326" s="91"/>
      <c r="B2326" s="93" t="s">
        <v>3610</v>
      </c>
      <c r="C2326" s="91" t="s">
        <v>73</v>
      </c>
      <c r="D2326" s="94" t="s">
        <v>1175</v>
      </c>
      <c r="E2326" s="94" t="s">
        <v>3687</v>
      </c>
      <c r="F2326" s="91" t="s">
        <v>58</v>
      </c>
      <c r="G2326" s="116" t="s">
        <v>58</v>
      </c>
      <c r="H2326" s="96" t="s">
        <v>58</v>
      </c>
      <c r="I2326" s="100" t="s">
        <v>58</v>
      </c>
      <c r="J2326" s="100" t="s">
        <v>58</v>
      </c>
      <c r="K2326" s="91" t="s">
        <v>58</v>
      </c>
      <c r="L2326" s="91" t="s">
        <v>60</v>
      </c>
      <c r="M2326" s="98">
        <v>0</v>
      </c>
      <c r="N2326" s="109"/>
      <c r="O2326" s="98" t="e">
        <f ca="1">(TODAY()-G2326)/365</f>
        <v>#VALUE!</v>
      </c>
      <c r="P2326" s="91" t="s">
        <v>272</v>
      </c>
      <c r="Q2326" s="91">
        <v>0</v>
      </c>
      <c r="R2326" s="91">
        <v>0</v>
      </c>
      <c r="S2326" s="91">
        <v>0</v>
      </c>
      <c r="T2326" s="91"/>
      <c r="U2326" s="91"/>
      <c r="V2326" s="91"/>
      <c r="W2326" s="91"/>
      <c r="X2326" s="91"/>
      <c r="Y2326" s="91"/>
      <c r="Z2326" s="91"/>
      <c r="AA2326" s="91"/>
      <c r="AB2326" s="91"/>
      <c r="AC2326" s="91"/>
      <c r="AD2326" s="91"/>
      <c r="AE2326" s="91"/>
      <c r="AF2326" s="91"/>
      <c r="AG2326" s="91"/>
      <c r="AH2326" s="91"/>
      <c r="AI2326" s="91"/>
      <c r="AJ2326" s="91"/>
      <c r="AK2326" s="91"/>
      <c r="AL2326" s="91"/>
      <c r="AM2326" s="91"/>
    </row>
    <row r="2327" spans="1:39" ht="20.25" customHeight="1">
      <c r="A2327" s="128"/>
      <c r="B2327" s="93" t="s">
        <v>11240</v>
      </c>
      <c r="C2327" s="91" t="s">
        <v>73</v>
      </c>
      <c r="D2327" s="106" t="s">
        <v>1665</v>
      </c>
      <c r="E2327" s="106" t="s">
        <v>11264</v>
      </c>
      <c r="F2327" s="92" t="s">
        <v>11265</v>
      </c>
      <c r="G2327" s="103">
        <v>45292</v>
      </c>
      <c r="H2327" s="103">
        <v>22156</v>
      </c>
      <c r="I2327" s="94" t="s">
        <v>58</v>
      </c>
      <c r="J2327" s="100" t="s">
        <v>58</v>
      </c>
      <c r="K2327" s="95" t="s">
        <v>58</v>
      </c>
      <c r="L2327" s="91"/>
      <c r="M2327" s="98">
        <f ca="1">(TODAY()-H2327)/365</f>
        <v>65.331506849315062</v>
      </c>
      <c r="N2327" s="99">
        <f>(G2327-H2327)/365</f>
        <v>63.386301369863013</v>
      </c>
      <c r="O2327" s="98">
        <f ca="1">(TODAY()-G2327)/365</f>
        <v>1.9452054794520548</v>
      </c>
      <c r="P2327" s="91" t="s">
        <v>43</v>
      </c>
      <c r="Q2327" s="91"/>
      <c r="R2327" s="91"/>
      <c r="S2327" s="91"/>
      <c r="T2327" s="91"/>
      <c r="U2327" s="91"/>
      <c r="V2327" s="91"/>
      <c r="W2327" s="91"/>
      <c r="X2327" s="91"/>
      <c r="Y2327" s="91"/>
      <c r="Z2327" s="91"/>
      <c r="AA2327" s="91"/>
      <c r="AB2327" s="91"/>
      <c r="AC2327" s="91"/>
      <c r="AD2327" s="91"/>
      <c r="AE2327" s="91"/>
      <c r="AF2327" s="91"/>
      <c r="AG2327" s="91"/>
      <c r="AH2327" s="91"/>
      <c r="AI2327" s="91"/>
      <c r="AJ2327" s="91"/>
      <c r="AK2327" s="91"/>
      <c r="AL2327" s="91"/>
      <c r="AM2327" s="91"/>
    </row>
    <row r="2328" spans="1:39" ht="20.25" customHeight="1">
      <c r="A2328" s="91"/>
      <c r="B2328" s="93" t="s">
        <v>9861</v>
      </c>
      <c r="C2328" s="91" t="s">
        <v>73</v>
      </c>
      <c r="D2328" s="106" t="s">
        <v>10010</v>
      </c>
      <c r="E2328" s="106" t="s">
        <v>10011</v>
      </c>
      <c r="F2328" s="92" t="s">
        <v>10012</v>
      </c>
      <c r="G2328" s="103">
        <v>44677</v>
      </c>
      <c r="H2328" s="103">
        <v>32546</v>
      </c>
      <c r="I2328" s="94" t="s">
        <v>10013</v>
      </c>
      <c r="J2328" s="100" t="s">
        <v>58</v>
      </c>
      <c r="K2328" s="95" t="s">
        <v>58</v>
      </c>
      <c r="L2328" s="91"/>
      <c r="M2328" s="98">
        <f ca="1">(TODAY()-H2328)/365</f>
        <v>36.865753424657534</v>
      </c>
      <c r="N2328" s="99">
        <f>(G2328-H2328)/365</f>
        <v>33.235616438356168</v>
      </c>
      <c r="O2328" s="98">
        <f ca="1">(TODAY()-G2328)/365</f>
        <v>3.6301369863013697</v>
      </c>
      <c r="P2328" s="91" t="s">
        <v>43</v>
      </c>
      <c r="Q2328" s="91"/>
      <c r="R2328" s="91"/>
      <c r="S2328" s="91"/>
      <c r="T2328" s="91"/>
      <c r="U2328" s="91"/>
      <c r="V2328" s="91"/>
      <c r="W2328" s="91"/>
      <c r="X2328" s="91"/>
      <c r="Y2328" s="91"/>
      <c r="Z2328" s="91"/>
      <c r="AA2328" s="91"/>
      <c r="AB2328" s="91"/>
      <c r="AC2328" s="91"/>
      <c r="AD2328" s="91"/>
      <c r="AE2328" s="91"/>
      <c r="AF2328" s="91"/>
      <c r="AG2328" s="91"/>
      <c r="AH2328" s="91"/>
      <c r="AI2328" s="91"/>
      <c r="AJ2328" s="91"/>
      <c r="AK2328" s="91"/>
      <c r="AL2328" s="91"/>
      <c r="AM2328" s="91"/>
    </row>
    <row r="2329" spans="1:39" ht="20.25" hidden="1" customHeight="1">
      <c r="A2329" s="91"/>
      <c r="B2329" s="93" t="s">
        <v>11928</v>
      </c>
      <c r="C2329" s="91" t="s">
        <v>36</v>
      </c>
      <c r="D2329" s="107" t="s">
        <v>335</v>
      </c>
      <c r="E2329" s="107"/>
      <c r="F2329" s="91" t="s">
        <v>58</v>
      </c>
      <c r="G2329" s="96" t="s">
        <v>58</v>
      </c>
      <c r="H2329" s="96" t="s">
        <v>58</v>
      </c>
      <c r="I2329" s="94" t="s">
        <v>58</v>
      </c>
      <c r="J2329" s="94" t="s">
        <v>58</v>
      </c>
      <c r="K2329" s="95" t="s">
        <v>58</v>
      </c>
      <c r="L2329" s="91" t="s">
        <v>60</v>
      </c>
      <c r="M2329" s="98"/>
      <c r="N2329" s="95"/>
      <c r="O2329" s="98" t="e">
        <f ca="1">(TODAY()-G2329)/365</f>
        <v>#VALUE!</v>
      </c>
      <c r="P2329" s="91" t="s">
        <v>43</v>
      </c>
      <c r="Q2329" s="91">
        <v>0</v>
      </c>
      <c r="R2329" s="91">
        <v>0</v>
      </c>
      <c r="S2329" s="91">
        <v>0</v>
      </c>
      <c r="T2329" s="91"/>
      <c r="U2329" s="91"/>
      <c r="V2329" s="91"/>
      <c r="W2329" s="91"/>
      <c r="X2329" s="91"/>
      <c r="Y2329" s="91"/>
      <c r="Z2329" s="91"/>
      <c r="AA2329" s="91"/>
      <c r="AB2329" s="91"/>
      <c r="AC2329" s="91"/>
      <c r="AD2329" s="91"/>
      <c r="AE2329" s="91"/>
      <c r="AF2329" s="91"/>
      <c r="AG2329" s="91"/>
      <c r="AH2329" s="91"/>
      <c r="AI2329" s="91"/>
      <c r="AJ2329" s="91"/>
      <c r="AK2329" s="91"/>
      <c r="AL2329" s="91"/>
      <c r="AM2329" s="91"/>
    </row>
    <row r="2330" spans="1:39" ht="20.25" hidden="1" customHeight="1">
      <c r="A2330" s="91"/>
      <c r="B2330" s="93" t="s">
        <v>11928</v>
      </c>
      <c r="C2330" s="91" t="s">
        <v>36</v>
      </c>
      <c r="D2330" s="107" t="s">
        <v>754</v>
      </c>
      <c r="E2330" s="107" t="s">
        <v>702</v>
      </c>
      <c r="F2330" s="91" t="s">
        <v>7490</v>
      </c>
      <c r="G2330" s="96">
        <v>42010</v>
      </c>
      <c r="H2330" s="97">
        <v>36713</v>
      </c>
      <c r="I2330" s="94" t="s">
        <v>58</v>
      </c>
      <c r="J2330" s="94" t="s">
        <v>58</v>
      </c>
      <c r="K2330" s="95" t="s">
        <v>58</v>
      </c>
      <c r="L2330" s="91" t="s">
        <v>60</v>
      </c>
      <c r="M2330" s="98">
        <f ca="1">(TODAY()-H2330)/365</f>
        <v>25.449315068493149</v>
      </c>
      <c r="N2330" s="99">
        <f>(G2330-H2330)/365</f>
        <v>14.512328767123288</v>
      </c>
      <c r="O2330" s="98">
        <f ca="1">(TODAY()-G2330)/365</f>
        <v>10.936986301369863</v>
      </c>
      <c r="P2330" s="91" t="s">
        <v>43</v>
      </c>
      <c r="Q2330" s="91">
        <v>0</v>
      </c>
      <c r="R2330" s="91">
        <v>0</v>
      </c>
      <c r="S2330" s="91">
        <v>0</v>
      </c>
      <c r="T2330" s="91"/>
      <c r="U2330" s="91"/>
      <c r="V2330" s="91"/>
      <c r="W2330" s="91"/>
      <c r="X2330" s="91"/>
      <c r="Y2330" s="91"/>
      <c r="Z2330" s="91"/>
      <c r="AA2330" s="91"/>
      <c r="AB2330" s="91"/>
      <c r="AC2330" s="91"/>
      <c r="AD2330" s="91"/>
      <c r="AE2330" s="91"/>
      <c r="AF2330" s="91"/>
      <c r="AG2330" s="91"/>
      <c r="AH2330" s="91"/>
      <c r="AI2330" s="91"/>
      <c r="AJ2330" s="91"/>
      <c r="AK2330" s="91"/>
      <c r="AL2330" s="91"/>
      <c r="AM2330" s="91"/>
    </row>
    <row r="2331" spans="1:39" ht="20.25" hidden="1" customHeight="1">
      <c r="A2331" s="91"/>
      <c r="B2331" s="93" t="s">
        <v>11928</v>
      </c>
      <c r="C2331" s="91" t="s">
        <v>36</v>
      </c>
      <c r="D2331" s="107" t="s">
        <v>3493</v>
      </c>
      <c r="E2331" s="107" t="s">
        <v>7491</v>
      </c>
      <c r="F2331" s="91" t="s">
        <v>7492</v>
      </c>
      <c r="G2331" s="96">
        <v>44540</v>
      </c>
      <c r="H2331" s="97">
        <v>33550</v>
      </c>
      <c r="I2331" s="94" t="s">
        <v>58</v>
      </c>
      <c r="J2331" s="94" t="s">
        <v>58</v>
      </c>
      <c r="K2331" s="95" t="s">
        <v>58</v>
      </c>
      <c r="L2331" s="91" t="s">
        <v>60</v>
      </c>
      <c r="M2331" s="98">
        <f ca="1">(TODAY()-H2331)/365</f>
        <v>34.115068493150687</v>
      </c>
      <c r="N2331" s="99">
        <f>(G2331-H2331)/365</f>
        <v>30.109589041095891</v>
      </c>
      <c r="O2331" s="98">
        <f ca="1">(TODAY()-G2331)/365</f>
        <v>4.0054794520547947</v>
      </c>
      <c r="P2331" s="91" t="s">
        <v>43</v>
      </c>
      <c r="Q2331" s="91">
        <v>0</v>
      </c>
      <c r="R2331" s="91">
        <v>0</v>
      </c>
      <c r="S2331" s="91">
        <v>0</v>
      </c>
      <c r="T2331" s="91"/>
      <c r="U2331" s="91"/>
      <c r="V2331" s="91"/>
      <c r="W2331" s="91"/>
      <c r="X2331" s="91"/>
      <c r="Y2331" s="91"/>
      <c r="Z2331" s="91"/>
      <c r="AA2331" s="91"/>
      <c r="AB2331" s="91"/>
      <c r="AC2331" s="91"/>
      <c r="AD2331" s="91"/>
      <c r="AE2331" s="91"/>
      <c r="AF2331" s="91"/>
      <c r="AG2331" s="91"/>
      <c r="AH2331" s="91"/>
      <c r="AI2331" s="91"/>
      <c r="AJ2331" s="91"/>
      <c r="AK2331" s="91"/>
      <c r="AL2331" s="91"/>
      <c r="AM2331" s="91"/>
    </row>
    <row r="2332" spans="1:39" ht="20.25" hidden="1" customHeight="1">
      <c r="A2332" s="91"/>
      <c r="B2332" s="93" t="s">
        <v>11928</v>
      </c>
      <c r="C2332" s="91" t="s">
        <v>36</v>
      </c>
      <c r="D2332" s="107" t="s">
        <v>1408</v>
      </c>
      <c r="E2332" s="107" t="s">
        <v>7493</v>
      </c>
      <c r="F2332" s="91" t="s">
        <v>7494</v>
      </c>
      <c r="G2332" s="96">
        <v>33219</v>
      </c>
      <c r="H2332" s="97">
        <v>21688</v>
      </c>
      <c r="I2332" s="94" t="s">
        <v>58</v>
      </c>
      <c r="J2332" s="94" t="s">
        <v>58</v>
      </c>
      <c r="K2332" s="95" t="s">
        <v>58</v>
      </c>
      <c r="L2332" s="91" t="s">
        <v>60</v>
      </c>
      <c r="M2332" s="98">
        <f ca="1">(TODAY()-H2332)/365</f>
        <v>66.61369863013698</v>
      </c>
      <c r="N2332" s="99">
        <f>(G2332-H2332)/365</f>
        <v>31.591780821917808</v>
      </c>
      <c r="O2332" s="98">
        <f ca="1">(TODAY()-G2332)/365</f>
        <v>35.021917808219179</v>
      </c>
      <c r="P2332" s="91" t="s">
        <v>43</v>
      </c>
      <c r="Q2332" s="91">
        <v>0</v>
      </c>
      <c r="R2332" s="91">
        <v>0</v>
      </c>
      <c r="S2332" s="91">
        <v>0</v>
      </c>
      <c r="T2332" s="91"/>
      <c r="U2332" s="91"/>
      <c r="V2332" s="91"/>
      <c r="W2332" s="91"/>
      <c r="X2332" s="91"/>
      <c r="Y2332" s="91"/>
      <c r="Z2332" s="91"/>
      <c r="AA2332" s="91"/>
      <c r="AB2332" s="91"/>
      <c r="AC2332" s="91"/>
      <c r="AD2332" s="91"/>
      <c r="AE2332" s="91"/>
      <c r="AF2332" s="91"/>
      <c r="AG2332" s="91"/>
      <c r="AH2332" s="91"/>
      <c r="AI2332" s="91"/>
      <c r="AJ2332" s="91"/>
      <c r="AK2332" s="91"/>
      <c r="AL2332" s="91"/>
      <c r="AM2332" s="91"/>
    </row>
    <row r="2333" spans="1:39" ht="20.25" hidden="1" customHeight="1">
      <c r="A2333" s="91"/>
      <c r="B2333" s="93" t="s">
        <v>11928</v>
      </c>
      <c r="C2333" s="91" t="s">
        <v>36</v>
      </c>
      <c r="D2333" s="107" t="s">
        <v>2791</v>
      </c>
      <c r="E2333" s="107" t="s">
        <v>7495</v>
      </c>
      <c r="F2333" s="91" t="s">
        <v>7496</v>
      </c>
      <c r="G2333" s="96">
        <v>44540</v>
      </c>
      <c r="H2333" s="97">
        <v>32961</v>
      </c>
      <c r="I2333" s="94" t="s">
        <v>58</v>
      </c>
      <c r="J2333" s="94" t="s">
        <v>58</v>
      </c>
      <c r="K2333" s="95" t="s">
        <v>58</v>
      </c>
      <c r="L2333" s="91" t="s">
        <v>60</v>
      </c>
      <c r="M2333" s="98">
        <f ca="1">(TODAY()-H2333)/365</f>
        <v>35.728767123287675</v>
      </c>
      <c r="N2333" s="99">
        <f>(G2333-H2333)/365</f>
        <v>31.723287671232878</v>
      </c>
      <c r="O2333" s="98">
        <f ca="1">(TODAY()-G2333)/365</f>
        <v>4.0054794520547947</v>
      </c>
      <c r="P2333" s="91" t="s">
        <v>272</v>
      </c>
      <c r="Q2333" s="91">
        <v>0</v>
      </c>
      <c r="R2333" s="91">
        <v>0</v>
      </c>
      <c r="S2333" s="91">
        <v>0</v>
      </c>
      <c r="T2333" s="91"/>
      <c r="U2333" s="91"/>
      <c r="V2333" s="91"/>
      <c r="W2333" s="91"/>
      <c r="X2333" s="91"/>
      <c r="Y2333" s="91"/>
      <c r="Z2333" s="91"/>
      <c r="AA2333" s="91"/>
      <c r="AB2333" s="91"/>
      <c r="AC2333" s="91"/>
      <c r="AD2333" s="91"/>
      <c r="AE2333" s="91"/>
      <c r="AF2333" s="91"/>
      <c r="AG2333" s="91"/>
      <c r="AH2333" s="91"/>
      <c r="AI2333" s="91"/>
      <c r="AJ2333" s="91"/>
      <c r="AK2333" s="91"/>
      <c r="AL2333" s="91"/>
      <c r="AM2333" s="91"/>
    </row>
    <row r="2334" spans="1:39" ht="20.25" hidden="1" customHeight="1">
      <c r="A2334" s="91"/>
      <c r="B2334" s="93" t="s">
        <v>11928</v>
      </c>
      <c r="C2334" s="91" t="s">
        <v>36</v>
      </c>
      <c r="D2334" s="107" t="s">
        <v>361</v>
      </c>
      <c r="E2334" s="107" t="s">
        <v>7497</v>
      </c>
      <c r="F2334" s="91" t="s">
        <v>7498</v>
      </c>
      <c r="G2334" s="96">
        <v>40669</v>
      </c>
      <c r="H2334" s="97">
        <v>28009</v>
      </c>
      <c r="I2334" s="94" t="s">
        <v>58</v>
      </c>
      <c r="J2334" s="94" t="s">
        <v>58</v>
      </c>
      <c r="K2334" s="95" t="s">
        <v>58</v>
      </c>
      <c r="L2334" s="91" t="s">
        <v>60</v>
      </c>
      <c r="M2334" s="98">
        <f ca="1">(TODAY()-H2334)/365</f>
        <v>49.295890410958904</v>
      </c>
      <c r="N2334" s="99">
        <f>(G2334-H2334)/365</f>
        <v>34.684931506849317</v>
      </c>
      <c r="O2334" s="98">
        <f ca="1">(TODAY()-G2334)/365</f>
        <v>14.610958904109589</v>
      </c>
      <c r="P2334" s="91" t="s">
        <v>43</v>
      </c>
      <c r="Q2334" s="91">
        <v>0</v>
      </c>
      <c r="R2334" s="91">
        <v>0</v>
      </c>
      <c r="S2334" s="91">
        <v>0</v>
      </c>
      <c r="T2334" s="91"/>
      <c r="U2334" s="91"/>
      <c r="V2334" s="91"/>
      <c r="W2334" s="91"/>
      <c r="X2334" s="91"/>
      <c r="Y2334" s="91"/>
      <c r="Z2334" s="91"/>
      <c r="AA2334" s="91"/>
      <c r="AB2334" s="91"/>
      <c r="AC2334" s="91"/>
      <c r="AD2334" s="91"/>
      <c r="AE2334" s="91"/>
      <c r="AF2334" s="91"/>
      <c r="AG2334" s="91"/>
      <c r="AH2334" s="91"/>
      <c r="AI2334" s="91"/>
      <c r="AJ2334" s="91"/>
      <c r="AK2334" s="91"/>
      <c r="AL2334" s="91"/>
      <c r="AM2334" s="91"/>
    </row>
    <row r="2335" spans="1:39" ht="20.25" customHeight="1">
      <c r="A2335" s="91"/>
      <c r="B2335" s="93" t="s">
        <v>5484</v>
      </c>
      <c r="C2335" s="91" t="s">
        <v>73</v>
      </c>
      <c r="D2335" s="107" t="s">
        <v>4392</v>
      </c>
      <c r="E2335" s="107" t="s">
        <v>5683</v>
      </c>
      <c r="F2335" s="91" t="s">
        <v>5684</v>
      </c>
      <c r="G2335" s="97" t="s">
        <v>58</v>
      </c>
      <c r="H2335" s="97" t="s">
        <v>58</v>
      </c>
      <c r="I2335" s="100" t="s">
        <v>58</v>
      </c>
      <c r="J2335" s="100" t="s">
        <v>58</v>
      </c>
      <c r="K2335" s="91" t="s">
        <v>58</v>
      </c>
      <c r="L2335" s="91" t="s">
        <v>60</v>
      </c>
      <c r="M2335" s="98">
        <v>0</v>
      </c>
      <c r="N2335" s="91"/>
      <c r="O2335" s="98" t="e">
        <f ca="1">(TODAY()-G2335)/365</f>
        <v>#VALUE!</v>
      </c>
      <c r="P2335" s="91" t="s">
        <v>43</v>
      </c>
      <c r="Q2335" s="91">
        <v>0</v>
      </c>
      <c r="R2335" s="91">
        <v>0</v>
      </c>
      <c r="S2335" s="91">
        <v>0</v>
      </c>
      <c r="T2335" s="91"/>
      <c r="U2335" s="91"/>
      <c r="V2335" s="91"/>
      <c r="W2335" s="91"/>
      <c r="X2335" s="91"/>
      <c r="Y2335" s="91"/>
      <c r="Z2335" s="91"/>
      <c r="AA2335" s="91"/>
      <c r="AB2335" s="91"/>
      <c r="AC2335" s="91"/>
      <c r="AD2335" s="91"/>
      <c r="AE2335" s="91"/>
      <c r="AF2335" s="91"/>
      <c r="AG2335" s="91"/>
      <c r="AH2335" s="91"/>
      <c r="AI2335" s="91"/>
      <c r="AJ2335" s="91"/>
      <c r="AK2335" s="91"/>
      <c r="AL2335" s="91"/>
      <c r="AM2335" s="91"/>
    </row>
    <row r="2336" spans="1:39" ht="20.25" hidden="1" customHeight="1">
      <c r="A2336" s="91"/>
      <c r="B2336" s="93" t="s">
        <v>11928</v>
      </c>
      <c r="C2336" s="91" t="s">
        <v>36</v>
      </c>
      <c r="D2336" s="107" t="s">
        <v>7502</v>
      </c>
      <c r="E2336" s="107" t="s">
        <v>7503</v>
      </c>
      <c r="F2336" s="91" t="s">
        <v>7504</v>
      </c>
      <c r="G2336" s="96">
        <v>38483</v>
      </c>
      <c r="H2336" s="97">
        <v>23756</v>
      </c>
      <c r="I2336" s="94" t="s">
        <v>58</v>
      </c>
      <c r="J2336" s="94" t="s">
        <v>58</v>
      </c>
      <c r="K2336" s="95" t="s">
        <v>58</v>
      </c>
      <c r="L2336" s="91" t="s">
        <v>60</v>
      </c>
      <c r="M2336" s="98">
        <f ca="1">(TODAY()-H2336)/365</f>
        <v>60.947945205479449</v>
      </c>
      <c r="N2336" s="99">
        <f>(G2336-H2336)/365</f>
        <v>40.347945205479455</v>
      </c>
      <c r="O2336" s="98">
        <f ca="1">(TODAY()-G2336)/365</f>
        <v>20.6</v>
      </c>
      <c r="P2336" s="91" t="s">
        <v>43</v>
      </c>
      <c r="Q2336" s="91">
        <v>0</v>
      </c>
      <c r="R2336" s="91">
        <v>0</v>
      </c>
      <c r="S2336" s="91">
        <v>0</v>
      </c>
      <c r="T2336" s="91"/>
      <c r="U2336" s="91"/>
      <c r="V2336" s="91"/>
      <c r="W2336" s="91"/>
      <c r="X2336" s="91"/>
      <c r="Y2336" s="91"/>
      <c r="Z2336" s="91"/>
      <c r="AA2336" s="91"/>
      <c r="AB2336" s="91"/>
      <c r="AC2336" s="91"/>
      <c r="AD2336" s="91"/>
      <c r="AE2336" s="91"/>
      <c r="AF2336" s="91"/>
      <c r="AG2336" s="91"/>
      <c r="AH2336" s="91"/>
      <c r="AI2336" s="91"/>
      <c r="AJ2336" s="91"/>
      <c r="AK2336" s="91"/>
      <c r="AL2336" s="91"/>
      <c r="AM2336" s="91"/>
    </row>
    <row r="2337" spans="1:39" ht="20.25" hidden="1" customHeight="1">
      <c r="A2337" s="91"/>
      <c r="B2337" s="93" t="s">
        <v>11928</v>
      </c>
      <c r="C2337" s="91" t="s">
        <v>36</v>
      </c>
      <c r="D2337" s="107" t="s">
        <v>1386</v>
      </c>
      <c r="E2337" s="107" t="s">
        <v>7505</v>
      </c>
      <c r="F2337" s="91" t="s">
        <v>7506</v>
      </c>
      <c r="G2337" s="96">
        <v>40883</v>
      </c>
      <c r="H2337" s="97">
        <v>26029</v>
      </c>
      <c r="I2337" s="94" t="s">
        <v>58</v>
      </c>
      <c r="J2337" s="94" t="s">
        <v>58</v>
      </c>
      <c r="K2337" s="95" t="s">
        <v>58</v>
      </c>
      <c r="L2337" s="91" t="s">
        <v>60</v>
      </c>
      <c r="M2337" s="98">
        <f ca="1">(TODAY()-H2337)/365</f>
        <v>54.720547945205482</v>
      </c>
      <c r="N2337" s="99">
        <f>(G2337-H2337)/365</f>
        <v>40.695890410958903</v>
      </c>
      <c r="O2337" s="98">
        <f ca="1">(TODAY()-G2337)/365</f>
        <v>14.024657534246575</v>
      </c>
      <c r="P2337" s="91" t="s">
        <v>43</v>
      </c>
      <c r="Q2337" s="91">
        <v>0</v>
      </c>
      <c r="R2337" s="91">
        <v>0</v>
      </c>
      <c r="S2337" s="91">
        <v>0</v>
      </c>
      <c r="T2337" s="91"/>
      <c r="U2337" s="91"/>
      <c r="V2337" s="91"/>
      <c r="W2337" s="91"/>
      <c r="X2337" s="91"/>
      <c r="Y2337" s="91"/>
      <c r="Z2337" s="91"/>
      <c r="AA2337" s="91"/>
      <c r="AB2337" s="91"/>
      <c r="AC2337" s="91"/>
      <c r="AD2337" s="91"/>
      <c r="AE2337" s="91"/>
      <c r="AF2337" s="91"/>
      <c r="AG2337" s="91"/>
      <c r="AH2337" s="91"/>
      <c r="AI2337" s="91"/>
      <c r="AJ2337" s="91"/>
      <c r="AK2337" s="91"/>
      <c r="AL2337" s="91"/>
      <c r="AM2337" s="91"/>
    </row>
    <row r="2338" spans="1:39" ht="20.25" customHeight="1">
      <c r="A2338" s="91"/>
      <c r="B2338" s="93" t="s">
        <v>2419</v>
      </c>
      <c r="C2338" s="91" t="s">
        <v>73</v>
      </c>
      <c r="D2338" s="94" t="s">
        <v>2477</v>
      </c>
      <c r="E2338" s="94" t="s">
        <v>2478</v>
      </c>
      <c r="F2338" s="95" t="s">
        <v>2479</v>
      </c>
      <c r="G2338" s="96">
        <v>37622</v>
      </c>
      <c r="H2338" s="97">
        <v>20128</v>
      </c>
      <c r="I2338" s="94" t="s">
        <v>2480</v>
      </c>
      <c r="J2338" s="94" t="s">
        <v>58</v>
      </c>
      <c r="K2338" s="95" t="s">
        <v>58</v>
      </c>
      <c r="L2338" s="91" t="s">
        <v>60</v>
      </c>
      <c r="M2338" s="98">
        <f ca="1">(TODAY()-H2338)/365</f>
        <v>70.887671232876713</v>
      </c>
      <c r="N2338" s="99">
        <f>(G2338-H2338)/365</f>
        <v>47.92876712328767</v>
      </c>
      <c r="O2338" s="98">
        <f ca="1">(TODAY()-G2338)/365</f>
        <v>22.958904109589042</v>
      </c>
      <c r="P2338" s="91" t="s">
        <v>43</v>
      </c>
      <c r="Q2338" s="91">
        <v>0</v>
      </c>
      <c r="R2338" s="91">
        <v>0</v>
      </c>
      <c r="S2338" s="91">
        <v>0</v>
      </c>
      <c r="T2338" s="91"/>
      <c r="U2338" s="91"/>
      <c r="V2338" s="91"/>
      <c r="W2338" s="91"/>
      <c r="X2338" s="91"/>
      <c r="Y2338" s="91"/>
      <c r="Z2338" s="91"/>
      <c r="AA2338" s="91"/>
      <c r="AB2338" s="91"/>
      <c r="AC2338" s="91"/>
      <c r="AD2338" s="91"/>
      <c r="AE2338" s="91"/>
      <c r="AF2338" s="91"/>
      <c r="AG2338" s="91"/>
      <c r="AH2338" s="91"/>
      <c r="AI2338" s="91"/>
      <c r="AJ2338" s="91"/>
      <c r="AK2338" s="91"/>
      <c r="AL2338" s="91"/>
      <c r="AM2338" s="91"/>
    </row>
    <row r="2339" spans="1:39" ht="20.25" hidden="1" customHeight="1">
      <c r="A2339" s="91"/>
      <c r="B2339" s="93" t="s">
        <v>11928</v>
      </c>
      <c r="C2339" s="91" t="s">
        <v>36</v>
      </c>
      <c r="D2339" s="107" t="s">
        <v>771</v>
      </c>
      <c r="E2339" s="107" t="s">
        <v>7510</v>
      </c>
      <c r="F2339" s="91" t="s">
        <v>7511</v>
      </c>
      <c r="G2339" s="96">
        <v>35918</v>
      </c>
      <c r="H2339" s="97">
        <v>20277</v>
      </c>
      <c r="I2339" s="94" t="s">
        <v>58</v>
      </c>
      <c r="J2339" s="94" t="s">
        <v>58</v>
      </c>
      <c r="K2339" s="95" t="s">
        <v>58</v>
      </c>
      <c r="L2339" s="91" t="s">
        <v>60</v>
      </c>
      <c r="M2339" s="98">
        <f ca="1">(TODAY()-H2339)/365</f>
        <v>70.479452054794521</v>
      </c>
      <c r="N2339" s="99">
        <f>(G2339-H2339)/365</f>
        <v>42.852054794520548</v>
      </c>
      <c r="O2339" s="98">
        <f ca="1">(TODAY()-G2339)/365</f>
        <v>27.627397260273973</v>
      </c>
      <c r="P2339" s="91" t="s">
        <v>43</v>
      </c>
      <c r="Q2339" s="91">
        <v>0</v>
      </c>
      <c r="R2339" s="91">
        <v>0</v>
      </c>
      <c r="S2339" s="91">
        <v>0</v>
      </c>
      <c r="T2339" s="91"/>
      <c r="U2339" s="91"/>
      <c r="V2339" s="91"/>
      <c r="W2339" s="91"/>
      <c r="X2339" s="91"/>
      <c r="Y2339" s="91"/>
      <c r="Z2339" s="91"/>
      <c r="AA2339" s="91"/>
      <c r="AB2339" s="91"/>
      <c r="AC2339" s="91"/>
      <c r="AD2339" s="91"/>
      <c r="AE2339" s="91"/>
      <c r="AF2339" s="91"/>
      <c r="AG2339" s="91"/>
      <c r="AH2339" s="91"/>
      <c r="AI2339" s="91"/>
      <c r="AJ2339" s="91"/>
      <c r="AK2339" s="91"/>
      <c r="AL2339" s="91"/>
      <c r="AM2339" s="91"/>
    </row>
    <row r="2340" spans="1:39" ht="20.25" hidden="1" customHeight="1">
      <c r="A2340" s="91"/>
      <c r="B2340" s="93" t="s">
        <v>11928</v>
      </c>
      <c r="C2340" s="91" t="s">
        <v>36</v>
      </c>
      <c r="D2340" s="107" t="s">
        <v>7512</v>
      </c>
      <c r="E2340" s="107" t="s">
        <v>3296</v>
      </c>
      <c r="F2340" s="91" t="s">
        <v>7513</v>
      </c>
      <c r="G2340" s="96">
        <v>37356</v>
      </c>
      <c r="H2340" s="97">
        <v>20246</v>
      </c>
      <c r="I2340" s="94" t="s">
        <v>58</v>
      </c>
      <c r="J2340" s="94" t="s">
        <v>58</v>
      </c>
      <c r="K2340" s="95" t="s">
        <v>58</v>
      </c>
      <c r="L2340" s="91" t="s">
        <v>60</v>
      </c>
      <c r="M2340" s="98">
        <f ca="1">(TODAY()-H2340)/365</f>
        <v>70.564383561643837</v>
      </c>
      <c r="N2340" s="99">
        <f>(G2340-H2340)/365</f>
        <v>46.876712328767127</v>
      </c>
      <c r="O2340" s="98">
        <f ca="1">(TODAY()-G2340)/365</f>
        <v>23.687671232876713</v>
      </c>
      <c r="P2340" s="91" t="s">
        <v>43</v>
      </c>
      <c r="Q2340" s="91">
        <v>0</v>
      </c>
      <c r="R2340" s="91">
        <v>0</v>
      </c>
      <c r="S2340" s="91">
        <v>0</v>
      </c>
      <c r="T2340" s="91"/>
      <c r="U2340" s="91"/>
      <c r="V2340" s="91"/>
      <c r="W2340" s="91"/>
      <c r="X2340" s="91"/>
      <c r="Y2340" s="91"/>
      <c r="Z2340" s="91"/>
      <c r="AA2340" s="91"/>
      <c r="AB2340" s="91"/>
      <c r="AC2340" s="91"/>
      <c r="AD2340" s="91"/>
      <c r="AE2340" s="91"/>
      <c r="AF2340" s="91"/>
      <c r="AG2340" s="91"/>
      <c r="AH2340" s="91"/>
      <c r="AI2340" s="91"/>
      <c r="AJ2340" s="91"/>
      <c r="AK2340" s="91"/>
      <c r="AL2340" s="91"/>
      <c r="AM2340" s="91"/>
    </row>
    <row r="2341" spans="1:39" ht="20.25" hidden="1" customHeight="1">
      <c r="A2341" s="91"/>
      <c r="B2341" s="93" t="s">
        <v>11928</v>
      </c>
      <c r="C2341" s="91" t="s">
        <v>36</v>
      </c>
      <c r="D2341" s="107" t="s">
        <v>4721</v>
      </c>
      <c r="E2341" s="107" t="s">
        <v>7514</v>
      </c>
      <c r="F2341" s="91" t="s">
        <v>7515</v>
      </c>
      <c r="G2341" s="96">
        <v>39927</v>
      </c>
      <c r="H2341" s="97">
        <v>22124</v>
      </c>
      <c r="I2341" s="94" t="s">
        <v>58</v>
      </c>
      <c r="J2341" s="94" t="s">
        <v>58</v>
      </c>
      <c r="K2341" s="95" t="s">
        <v>58</v>
      </c>
      <c r="L2341" s="91" t="s">
        <v>42</v>
      </c>
      <c r="M2341" s="98">
        <f ca="1">(TODAY()-H2341)/365</f>
        <v>65.419178082191777</v>
      </c>
      <c r="N2341" s="99">
        <f>(G2341-H2341)/365</f>
        <v>48.775342465753425</v>
      </c>
      <c r="O2341" s="98">
        <f ca="1">(TODAY()-G2341)/365</f>
        <v>16.643835616438356</v>
      </c>
      <c r="P2341" s="91" t="s">
        <v>43</v>
      </c>
      <c r="Q2341" s="91">
        <v>0</v>
      </c>
      <c r="R2341" s="91">
        <v>0</v>
      </c>
      <c r="S2341" s="91">
        <v>0</v>
      </c>
      <c r="T2341" s="91"/>
      <c r="U2341" s="91"/>
      <c r="V2341" s="91"/>
      <c r="W2341" s="91"/>
      <c r="X2341" s="91"/>
      <c r="Y2341" s="91"/>
      <c r="Z2341" s="91"/>
      <c r="AA2341" s="91"/>
      <c r="AB2341" s="91"/>
      <c r="AC2341" s="91"/>
      <c r="AD2341" s="91"/>
      <c r="AE2341" s="91"/>
      <c r="AF2341" s="91"/>
      <c r="AG2341" s="91"/>
      <c r="AH2341" s="91"/>
      <c r="AI2341" s="91"/>
      <c r="AJ2341" s="91"/>
      <c r="AK2341" s="91"/>
      <c r="AL2341" s="91"/>
      <c r="AM2341" s="91"/>
    </row>
    <row r="2342" spans="1:39" ht="20.25" customHeight="1">
      <c r="A2342" s="91"/>
      <c r="B2342" s="93" t="s">
        <v>1245</v>
      </c>
      <c r="C2342" s="91" t="s">
        <v>73</v>
      </c>
      <c r="D2342" s="107" t="s">
        <v>1281</v>
      </c>
      <c r="E2342" s="107" t="s">
        <v>1282</v>
      </c>
      <c r="F2342" s="91" t="s">
        <v>1283</v>
      </c>
      <c r="G2342" s="96">
        <v>43722</v>
      </c>
      <c r="H2342" s="97">
        <v>37388</v>
      </c>
      <c r="I2342" s="100" t="s">
        <v>1284</v>
      </c>
      <c r="J2342" s="100" t="s">
        <v>1285</v>
      </c>
      <c r="K2342" s="91">
        <v>934874886</v>
      </c>
      <c r="L2342" s="91" t="s">
        <v>60</v>
      </c>
      <c r="M2342" s="98">
        <f ca="1">(TODAY()-H2342)/365</f>
        <v>23.6</v>
      </c>
      <c r="N2342" s="99">
        <f>(G2342-H2342)/365</f>
        <v>17.353424657534248</v>
      </c>
      <c r="O2342" s="98">
        <f ca="1">(TODAY()-G2342)/365</f>
        <v>6.2465753424657535</v>
      </c>
      <c r="P2342" s="91" t="s">
        <v>43</v>
      </c>
      <c r="Q2342" s="91">
        <v>0</v>
      </c>
      <c r="R2342" s="91">
        <v>0</v>
      </c>
      <c r="S2342" s="91">
        <v>0</v>
      </c>
      <c r="T2342" s="91"/>
      <c r="U2342" s="91"/>
      <c r="V2342" s="91"/>
      <c r="W2342" s="91"/>
      <c r="X2342" s="91"/>
      <c r="Y2342" s="91"/>
      <c r="Z2342" s="91"/>
      <c r="AA2342" s="91"/>
      <c r="AB2342" s="91"/>
      <c r="AC2342" s="91"/>
      <c r="AD2342" s="91"/>
      <c r="AE2342" s="91"/>
      <c r="AF2342" s="91"/>
      <c r="AG2342" s="91"/>
      <c r="AH2342" s="91"/>
      <c r="AI2342" s="91"/>
      <c r="AJ2342" s="91"/>
      <c r="AK2342" s="91"/>
      <c r="AL2342" s="91"/>
      <c r="AM2342" s="91"/>
    </row>
    <row r="2343" spans="1:39" ht="20.25" customHeight="1">
      <c r="A2343" s="91"/>
      <c r="B2343" s="93" t="s">
        <v>77</v>
      </c>
      <c r="C2343" s="91" t="s">
        <v>73</v>
      </c>
      <c r="D2343" s="94" t="s">
        <v>189</v>
      </c>
      <c r="E2343" s="94" t="s">
        <v>190</v>
      </c>
      <c r="F2343" s="95" t="s">
        <v>191</v>
      </c>
      <c r="G2343" s="96">
        <v>44657</v>
      </c>
      <c r="H2343" s="97">
        <v>26284</v>
      </c>
      <c r="I2343" s="100" t="s">
        <v>58</v>
      </c>
      <c r="J2343" s="100" t="s">
        <v>58</v>
      </c>
      <c r="K2343" s="91" t="s">
        <v>58</v>
      </c>
      <c r="L2343" s="91" t="s">
        <v>60</v>
      </c>
      <c r="M2343" s="98">
        <f ca="1">(TODAY()-H2343)/365</f>
        <v>54.021917808219179</v>
      </c>
      <c r="N2343" s="99">
        <f>(G2343-H2343)/365</f>
        <v>50.336986301369862</v>
      </c>
      <c r="O2343" s="98">
        <f ca="1">(TODAY()-G2343)/365</f>
        <v>3.6849315068493151</v>
      </c>
      <c r="P2343" s="91" t="s">
        <v>43</v>
      </c>
      <c r="Q2343" s="91">
        <v>0</v>
      </c>
      <c r="R2343" s="91">
        <v>0</v>
      </c>
      <c r="S2343" s="91">
        <v>0</v>
      </c>
      <c r="T2343" s="91"/>
      <c r="U2343" s="91"/>
      <c r="V2343" s="91"/>
      <c r="W2343" s="91"/>
      <c r="X2343" s="91"/>
      <c r="Y2343" s="91"/>
      <c r="Z2343" s="91"/>
      <c r="AA2343" s="91"/>
      <c r="AB2343" s="91"/>
      <c r="AC2343" s="91"/>
      <c r="AD2343" s="91"/>
      <c r="AE2343" s="91"/>
      <c r="AF2343" s="91"/>
      <c r="AG2343" s="91"/>
      <c r="AH2343" s="91"/>
      <c r="AI2343" s="91"/>
      <c r="AJ2343" s="91"/>
      <c r="AK2343" s="91"/>
      <c r="AL2343" s="91"/>
      <c r="AM2343" s="91"/>
    </row>
    <row r="2344" spans="1:39" ht="20.25" hidden="1" customHeight="1">
      <c r="A2344" s="91"/>
      <c r="B2344" s="93" t="s">
        <v>10391</v>
      </c>
      <c r="C2344" s="91" t="s">
        <v>36</v>
      </c>
      <c r="D2344" s="106" t="s">
        <v>1349</v>
      </c>
      <c r="E2344" s="106" t="s">
        <v>10392</v>
      </c>
      <c r="F2344" s="92" t="s">
        <v>10393</v>
      </c>
      <c r="G2344" s="103">
        <v>42128</v>
      </c>
      <c r="H2344" s="103">
        <v>18387</v>
      </c>
      <c r="I2344" s="100" t="s">
        <v>10394</v>
      </c>
      <c r="J2344" s="94" t="s">
        <v>10395</v>
      </c>
      <c r="K2344" s="92">
        <v>976412108</v>
      </c>
      <c r="L2344" s="91"/>
      <c r="M2344" s="98">
        <f ca="1">(TODAY()-H2344)/365</f>
        <v>75.657534246575338</v>
      </c>
      <c r="N2344" s="99">
        <f>(G2344-H2344)/365</f>
        <v>65.043835616438358</v>
      </c>
      <c r="O2344" s="98">
        <f ca="1">(TODAY()-G2344)/365</f>
        <v>10.613698630136986</v>
      </c>
      <c r="P2344" s="91" t="s">
        <v>272</v>
      </c>
      <c r="Q2344" s="91"/>
      <c r="R2344" s="91"/>
      <c r="S2344" s="91"/>
      <c r="T2344" s="91"/>
      <c r="U2344" s="91"/>
      <c r="V2344" s="91"/>
      <c r="W2344" s="91"/>
      <c r="X2344" s="91"/>
      <c r="Y2344" s="91"/>
      <c r="Z2344" s="91"/>
      <c r="AA2344" s="91"/>
      <c r="AB2344" s="91"/>
      <c r="AC2344" s="91"/>
      <c r="AD2344" s="91"/>
      <c r="AE2344" s="91"/>
      <c r="AF2344" s="91"/>
      <c r="AG2344" s="91"/>
      <c r="AH2344" s="91"/>
      <c r="AI2344" s="91"/>
      <c r="AJ2344" s="91"/>
      <c r="AK2344" s="91"/>
      <c r="AL2344" s="91"/>
      <c r="AM2344" s="91"/>
    </row>
    <row r="2345" spans="1:39" ht="20.25" hidden="1" customHeight="1">
      <c r="A2345" s="91"/>
      <c r="B2345" s="93" t="s">
        <v>10391</v>
      </c>
      <c r="C2345" s="91" t="s">
        <v>36</v>
      </c>
      <c r="D2345" s="106" t="s">
        <v>10396</v>
      </c>
      <c r="E2345" s="106" t="s">
        <v>10397</v>
      </c>
      <c r="F2345" s="92" t="s">
        <v>10398</v>
      </c>
      <c r="G2345" s="103">
        <v>31422</v>
      </c>
      <c r="H2345" s="103">
        <v>13202</v>
      </c>
      <c r="I2345" s="100" t="s">
        <v>10394</v>
      </c>
      <c r="J2345" s="94" t="s">
        <v>10399</v>
      </c>
      <c r="K2345" s="92">
        <v>979317058</v>
      </c>
      <c r="L2345" s="91"/>
      <c r="M2345" s="98">
        <f ca="1">(TODAY()-H2345)/365</f>
        <v>89.863013698630141</v>
      </c>
      <c r="N2345" s="99">
        <f>(G2345-H2345)/365</f>
        <v>49.917808219178085</v>
      </c>
      <c r="O2345" s="98">
        <f ca="1">(TODAY()-G2345)/365</f>
        <v>39.945205479452056</v>
      </c>
      <c r="P2345" s="91" t="s">
        <v>43</v>
      </c>
      <c r="Q2345" s="91"/>
      <c r="R2345" s="91"/>
      <c r="S2345" s="91"/>
      <c r="T2345" s="91"/>
      <c r="U2345" s="91"/>
      <c r="V2345" s="91"/>
      <c r="W2345" s="91"/>
      <c r="X2345" s="91"/>
      <c r="Y2345" s="91"/>
      <c r="Z2345" s="91"/>
      <c r="AA2345" s="91"/>
      <c r="AB2345" s="91"/>
      <c r="AC2345" s="91"/>
      <c r="AD2345" s="91"/>
      <c r="AE2345" s="91"/>
      <c r="AF2345" s="91"/>
      <c r="AG2345" s="91"/>
      <c r="AH2345" s="91"/>
      <c r="AI2345" s="91"/>
      <c r="AJ2345" s="91"/>
      <c r="AK2345" s="91"/>
      <c r="AL2345" s="91"/>
      <c r="AM2345" s="91"/>
    </row>
    <row r="2346" spans="1:39" ht="20.25" hidden="1" customHeight="1">
      <c r="A2346" s="91"/>
      <c r="B2346" s="93" t="s">
        <v>10391</v>
      </c>
      <c r="C2346" s="91" t="s">
        <v>36</v>
      </c>
      <c r="D2346" s="106" t="s">
        <v>5587</v>
      </c>
      <c r="E2346" s="106" t="s">
        <v>10400</v>
      </c>
      <c r="F2346" s="92" t="s">
        <v>10401</v>
      </c>
      <c r="G2346" s="103">
        <v>44958</v>
      </c>
      <c r="H2346" s="103">
        <v>20370</v>
      </c>
      <c r="I2346" s="100" t="s">
        <v>10394</v>
      </c>
      <c r="J2346" s="94" t="s">
        <v>10402</v>
      </c>
      <c r="K2346" s="92">
        <v>988950228</v>
      </c>
      <c r="L2346" s="91"/>
      <c r="M2346" s="98">
        <f ca="1">(TODAY()-H2346)/365</f>
        <v>70.224657534246575</v>
      </c>
      <c r="N2346" s="99">
        <f>(G2346-H2346)/365</f>
        <v>67.364383561643834</v>
      </c>
      <c r="O2346" s="98">
        <f ca="1">(TODAY()-G2346)/365</f>
        <v>2.8602739726027395</v>
      </c>
      <c r="P2346" s="91" t="s">
        <v>43</v>
      </c>
      <c r="Q2346" s="91"/>
      <c r="R2346" s="91"/>
      <c r="S2346" s="91"/>
      <c r="T2346" s="91"/>
      <c r="U2346" s="91"/>
      <c r="V2346" s="91"/>
      <c r="W2346" s="91"/>
      <c r="X2346" s="91"/>
      <c r="Y2346" s="91"/>
      <c r="Z2346" s="91"/>
      <c r="AA2346" s="91"/>
      <c r="AB2346" s="91"/>
      <c r="AC2346" s="91"/>
      <c r="AD2346" s="91"/>
      <c r="AE2346" s="91"/>
      <c r="AF2346" s="91"/>
      <c r="AG2346" s="91"/>
      <c r="AH2346" s="91"/>
      <c r="AI2346" s="91"/>
      <c r="AJ2346" s="91"/>
      <c r="AK2346" s="91"/>
      <c r="AL2346" s="91"/>
      <c r="AM2346" s="91"/>
    </row>
    <row r="2347" spans="1:39" ht="20.25" hidden="1" customHeight="1">
      <c r="A2347" s="91"/>
      <c r="B2347" s="93" t="s">
        <v>10391</v>
      </c>
      <c r="C2347" s="91" t="s">
        <v>36</v>
      </c>
      <c r="D2347" s="106" t="s">
        <v>1424</v>
      </c>
      <c r="E2347" s="106" t="s">
        <v>10403</v>
      </c>
      <c r="F2347" s="92" t="s">
        <v>10404</v>
      </c>
      <c r="G2347" s="103">
        <v>44958</v>
      </c>
      <c r="H2347" s="103">
        <v>24746</v>
      </c>
      <c r="I2347" s="100" t="s">
        <v>10394</v>
      </c>
      <c r="J2347" s="94" t="s">
        <v>10405</v>
      </c>
      <c r="K2347" s="92">
        <v>979477421</v>
      </c>
      <c r="L2347" s="91"/>
      <c r="M2347" s="98">
        <f ca="1">(TODAY()-H2347)/365</f>
        <v>58.235616438356168</v>
      </c>
      <c r="N2347" s="99">
        <f>(G2347-H2347)/365</f>
        <v>55.375342465753427</v>
      </c>
      <c r="O2347" s="98">
        <f ca="1">(TODAY()-G2347)/365</f>
        <v>2.8602739726027395</v>
      </c>
      <c r="P2347" s="91" t="s">
        <v>43</v>
      </c>
      <c r="Q2347" s="91"/>
      <c r="R2347" s="91"/>
      <c r="S2347" s="91"/>
      <c r="T2347" s="91"/>
      <c r="U2347" s="91"/>
      <c r="V2347" s="91"/>
      <c r="W2347" s="91"/>
      <c r="X2347" s="91"/>
      <c r="Y2347" s="91"/>
      <c r="Z2347" s="91"/>
      <c r="AA2347" s="91"/>
      <c r="AB2347" s="91"/>
      <c r="AC2347" s="91"/>
      <c r="AD2347" s="91"/>
      <c r="AE2347" s="91"/>
      <c r="AF2347" s="91"/>
      <c r="AG2347" s="91"/>
      <c r="AH2347" s="91"/>
      <c r="AI2347" s="91"/>
      <c r="AJ2347" s="91"/>
      <c r="AK2347" s="91"/>
      <c r="AL2347" s="91"/>
      <c r="AM2347" s="91"/>
    </row>
    <row r="2348" spans="1:39" ht="20.25" hidden="1" customHeight="1">
      <c r="A2348" s="91"/>
      <c r="B2348" s="93" t="s">
        <v>10391</v>
      </c>
      <c r="C2348" s="91" t="s">
        <v>36</v>
      </c>
      <c r="D2348" s="106" t="s">
        <v>10406</v>
      </c>
      <c r="E2348" s="106" t="s">
        <v>10407</v>
      </c>
      <c r="F2348" s="92" t="s">
        <v>10408</v>
      </c>
      <c r="G2348" s="103">
        <v>34597</v>
      </c>
      <c r="H2348" s="103">
        <v>17098</v>
      </c>
      <c r="I2348" s="100" t="s">
        <v>10394</v>
      </c>
      <c r="J2348" s="94" t="s">
        <v>10409</v>
      </c>
      <c r="K2348" s="92">
        <v>981826068</v>
      </c>
      <c r="L2348" s="91"/>
      <c r="M2348" s="98">
        <f ca="1">(TODAY()-H2348)/365</f>
        <v>79.189041095890417</v>
      </c>
      <c r="N2348" s="99">
        <f>(G2348-H2348)/365</f>
        <v>47.942465753424656</v>
      </c>
      <c r="O2348" s="98">
        <f ca="1">(TODAY()-G2348)/365</f>
        <v>31.246575342465754</v>
      </c>
      <c r="P2348" s="91" t="s">
        <v>43</v>
      </c>
      <c r="Q2348" s="91"/>
      <c r="R2348" s="91"/>
      <c r="S2348" s="91"/>
      <c r="T2348" s="91"/>
      <c r="U2348" s="91"/>
      <c r="V2348" s="91"/>
      <c r="W2348" s="91"/>
      <c r="X2348" s="91"/>
      <c r="Y2348" s="91"/>
      <c r="Z2348" s="91"/>
      <c r="AA2348" s="91"/>
      <c r="AB2348" s="91"/>
      <c r="AC2348" s="91"/>
      <c r="AD2348" s="91"/>
      <c r="AE2348" s="91"/>
      <c r="AF2348" s="91"/>
      <c r="AG2348" s="91"/>
      <c r="AH2348" s="91"/>
      <c r="AI2348" s="91"/>
      <c r="AJ2348" s="91"/>
      <c r="AK2348" s="91"/>
      <c r="AL2348" s="91"/>
      <c r="AM2348" s="91"/>
    </row>
    <row r="2349" spans="1:39" ht="20.25" hidden="1" customHeight="1">
      <c r="A2349" s="91"/>
      <c r="B2349" s="93" t="s">
        <v>10391</v>
      </c>
      <c r="C2349" s="91" t="s">
        <v>36</v>
      </c>
      <c r="D2349" s="106" t="s">
        <v>10410</v>
      </c>
      <c r="E2349" s="106" t="s">
        <v>10411</v>
      </c>
      <c r="F2349" s="92" t="s">
        <v>10412</v>
      </c>
      <c r="G2349" s="103">
        <v>44867</v>
      </c>
      <c r="H2349" s="103">
        <v>16600</v>
      </c>
      <c r="I2349" s="100" t="s">
        <v>10394</v>
      </c>
      <c r="J2349" s="94" t="s">
        <v>10405</v>
      </c>
      <c r="K2349" s="92">
        <v>979072925</v>
      </c>
      <c r="L2349" s="91"/>
      <c r="M2349" s="98">
        <f ca="1">(TODAY()-H2349)/365</f>
        <v>80.553424657534251</v>
      </c>
      <c r="N2349" s="99">
        <f>(G2349-H2349)/365</f>
        <v>77.443835616438349</v>
      </c>
      <c r="O2349" s="98">
        <f ca="1">(TODAY()-G2349)/365</f>
        <v>3.1095890410958904</v>
      </c>
      <c r="P2349" s="91" t="s">
        <v>43</v>
      </c>
      <c r="Q2349" s="91"/>
      <c r="R2349" s="91"/>
      <c r="S2349" s="91"/>
      <c r="T2349" s="91"/>
      <c r="U2349" s="91"/>
      <c r="V2349" s="91"/>
      <c r="W2349" s="91"/>
      <c r="X2349" s="91"/>
      <c r="Y2349" s="91"/>
      <c r="Z2349" s="91"/>
      <c r="AA2349" s="91"/>
      <c r="AB2349" s="91"/>
      <c r="AC2349" s="91"/>
      <c r="AD2349" s="91"/>
      <c r="AE2349" s="91"/>
      <c r="AF2349" s="91"/>
      <c r="AG2349" s="91"/>
      <c r="AH2349" s="91"/>
      <c r="AI2349" s="91"/>
      <c r="AJ2349" s="91"/>
      <c r="AK2349" s="91"/>
      <c r="AL2349" s="91"/>
      <c r="AM2349" s="91"/>
    </row>
    <row r="2350" spans="1:39" ht="20.25" hidden="1" customHeight="1">
      <c r="A2350" s="91"/>
      <c r="B2350" s="93" t="s">
        <v>10391</v>
      </c>
      <c r="C2350" s="91" t="s">
        <v>36</v>
      </c>
      <c r="D2350" s="106" t="s">
        <v>10413</v>
      </c>
      <c r="E2350" s="106" t="s">
        <v>10414</v>
      </c>
      <c r="F2350" s="92" t="s">
        <v>10415</v>
      </c>
      <c r="G2350" s="103">
        <v>40686</v>
      </c>
      <c r="H2350" s="103">
        <v>17222</v>
      </c>
      <c r="I2350" s="100" t="s">
        <v>10394</v>
      </c>
      <c r="J2350" s="94" t="s">
        <v>10416</v>
      </c>
      <c r="K2350" s="92">
        <v>966603361</v>
      </c>
      <c r="L2350" s="91"/>
      <c r="M2350" s="98">
        <f ca="1">(TODAY()-H2350)/365</f>
        <v>78.849315068493155</v>
      </c>
      <c r="N2350" s="99">
        <f>(G2350-H2350)/365</f>
        <v>64.284931506849318</v>
      </c>
      <c r="O2350" s="98">
        <f ca="1">(TODAY()-G2350)/365</f>
        <v>14.564383561643835</v>
      </c>
      <c r="P2350" s="91" t="s">
        <v>43</v>
      </c>
      <c r="Q2350" s="91"/>
      <c r="R2350" s="91"/>
      <c r="S2350" s="91"/>
      <c r="T2350" s="91"/>
      <c r="U2350" s="91"/>
      <c r="V2350" s="91"/>
      <c r="W2350" s="91"/>
      <c r="X2350" s="91"/>
      <c r="Y2350" s="91"/>
      <c r="Z2350" s="91"/>
      <c r="AA2350" s="91"/>
      <c r="AB2350" s="91"/>
      <c r="AC2350" s="91"/>
      <c r="AD2350" s="91"/>
      <c r="AE2350" s="91"/>
      <c r="AF2350" s="91"/>
      <c r="AG2350" s="91"/>
      <c r="AH2350" s="91"/>
      <c r="AI2350" s="91"/>
      <c r="AJ2350" s="91"/>
      <c r="AK2350" s="91"/>
      <c r="AL2350" s="91"/>
      <c r="AM2350" s="91"/>
    </row>
    <row r="2351" spans="1:39" ht="20.25" hidden="1" customHeight="1">
      <c r="A2351" s="91"/>
      <c r="B2351" s="93" t="s">
        <v>10391</v>
      </c>
      <c r="C2351" s="91" t="s">
        <v>36</v>
      </c>
      <c r="D2351" s="106" t="s">
        <v>10417</v>
      </c>
      <c r="E2351" s="106" t="s">
        <v>10418</v>
      </c>
      <c r="F2351" s="92" t="s">
        <v>10419</v>
      </c>
      <c r="G2351" s="103">
        <v>40714</v>
      </c>
      <c r="H2351" s="103">
        <v>17435</v>
      </c>
      <c r="I2351" s="100" t="s">
        <v>10394</v>
      </c>
      <c r="J2351" s="94" t="s">
        <v>10405</v>
      </c>
      <c r="K2351" s="92">
        <v>990527257</v>
      </c>
      <c r="L2351" s="91"/>
      <c r="M2351" s="98">
        <f ca="1">(TODAY()-H2351)/365</f>
        <v>78.265753424657532</v>
      </c>
      <c r="N2351" s="99">
        <f>(G2351-H2351)/365</f>
        <v>63.778082191780825</v>
      </c>
      <c r="O2351" s="98">
        <f ca="1">(TODAY()-G2351)/365</f>
        <v>14.487671232876712</v>
      </c>
      <c r="P2351" s="91" t="s">
        <v>43</v>
      </c>
      <c r="Q2351" s="91"/>
      <c r="R2351" s="91"/>
      <c r="S2351" s="91"/>
      <c r="T2351" s="91"/>
      <c r="U2351" s="91"/>
      <c r="V2351" s="91"/>
      <c r="W2351" s="91"/>
      <c r="X2351" s="91"/>
      <c r="Y2351" s="91"/>
      <c r="Z2351" s="91"/>
      <c r="AA2351" s="91"/>
      <c r="AB2351" s="91"/>
      <c r="AC2351" s="91"/>
      <c r="AD2351" s="91"/>
      <c r="AE2351" s="91"/>
      <c r="AF2351" s="91"/>
      <c r="AG2351" s="91"/>
      <c r="AH2351" s="91"/>
      <c r="AI2351" s="91"/>
      <c r="AJ2351" s="91"/>
      <c r="AK2351" s="91"/>
      <c r="AL2351" s="91"/>
      <c r="AM2351" s="91"/>
    </row>
    <row r="2352" spans="1:39" ht="20.25" hidden="1" customHeight="1">
      <c r="A2352" s="91"/>
      <c r="B2352" s="93" t="s">
        <v>10391</v>
      </c>
      <c r="C2352" s="91" t="s">
        <v>36</v>
      </c>
      <c r="D2352" s="106" t="s">
        <v>10420</v>
      </c>
      <c r="E2352" s="106" t="s">
        <v>10421</v>
      </c>
      <c r="F2352" s="92" t="s">
        <v>10422</v>
      </c>
      <c r="G2352" s="103">
        <v>28856</v>
      </c>
      <c r="H2352" s="103">
        <v>16567</v>
      </c>
      <c r="I2352" s="100" t="s">
        <v>10394</v>
      </c>
      <c r="J2352" s="94" t="s">
        <v>10423</v>
      </c>
      <c r="K2352" s="92">
        <v>992964624</v>
      </c>
      <c r="L2352" s="91"/>
      <c r="M2352" s="98">
        <f ca="1">(TODAY()-H2352)/365</f>
        <v>80.643835616438352</v>
      </c>
      <c r="N2352" s="99">
        <f>(G2352-H2352)/365</f>
        <v>33.668493150684931</v>
      </c>
      <c r="O2352" s="98">
        <f ca="1">(TODAY()-G2352)/365</f>
        <v>46.975342465753428</v>
      </c>
      <c r="P2352" s="91" t="s">
        <v>272</v>
      </c>
      <c r="Q2352" s="91"/>
      <c r="R2352" s="91"/>
      <c r="S2352" s="91"/>
      <c r="T2352" s="91"/>
      <c r="U2352" s="91"/>
      <c r="V2352" s="91"/>
      <c r="W2352" s="91"/>
      <c r="X2352" s="91"/>
      <c r="Y2352" s="91"/>
      <c r="Z2352" s="91"/>
      <c r="AA2352" s="91"/>
      <c r="AB2352" s="91"/>
      <c r="AC2352" s="91"/>
      <c r="AD2352" s="91"/>
      <c r="AE2352" s="91"/>
      <c r="AF2352" s="91"/>
      <c r="AG2352" s="91"/>
      <c r="AH2352" s="91"/>
      <c r="AI2352" s="91"/>
      <c r="AJ2352" s="91"/>
      <c r="AK2352" s="91"/>
      <c r="AL2352" s="91"/>
      <c r="AM2352" s="91"/>
    </row>
    <row r="2353" spans="1:39" ht="20.25" hidden="1" customHeight="1">
      <c r="A2353" s="91"/>
      <c r="B2353" s="93" t="s">
        <v>10391</v>
      </c>
      <c r="C2353" s="91" t="s">
        <v>36</v>
      </c>
      <c r="D2353" s="106" t="s">
        <v>10424</v>
      </c>
      <c r="E2353" s="106" t="s">
        <v>10425</v>
      </c>
      <c r="F2353" s="92" t="s">
        <v>10426</v>
      </c>
      <c r="G2353" s="103">
        <v>35870</v>
      </c>
      <c r="H2353" s="103">
        <v>17294</v>
      </c>
      <c r="I2353" s="100" t="s">
        <v>10394</v>
      </c>
      <c r="J2353" s="100" t="s">
        <v>58</v>
      </c>
      <c r="K2353" s="92">
        <v>989242632</v>
      </c>
      <c r="L2353" s="91"/>
      <c r="M2353" s="98">
        <f ca="1">(TODAY()-H2353)/365</f>
        <v>78.652054794520552</v>
      </c>
      <c r="N2353" s="99">
        <f>(G2353-H2353)/365</f>
        <v>50.893150684931506</v>
      </c>
      <c r="O2353" s="98">
        <f ca="1">(TODAY()-G2353)/365</f>
        <v>27.758904109589039</v>
      </c>
      <c r="P2353" s="91" t="s">
        <v>272</v>
      </c>
      <c r="Q2353" s="91"/>
      <c r="R2353" s="91"/>
      <c r="S2353" s="91"/>
      <c r="T2353" s="91"/>
      <c r="U2353" s="91"/>
      <c r="V2353" s="91"/>
      <c r="W2353" s="91"/>
      <c r="X2353" s="91"/>
      <c r="Y2353" s="91"/>
      <c r="Z2353" s="91"/>
      <c r="AA2353" s="91"/>
      <c r="AB2353" s="91"/>
      <c r="AC2353" s="91"/>
      <c r="AD2353" s="91"/>
      <c r="AE2353" s="91"/>
      <c r="AF2353" s="91"/>
      <c r="AG2353" s="91"/>
      <c r="AH2353" s="91"/>
      <c r="AI2353" s="91"/>
      <c r="AJ2353" s="91"/>
      <c r="AK2353" s="91"/>
      <c r="AL2353" s="91"/>
      <c r="AM2353" s="91"/>
    </row>
    <row r="2354" spans="1:39" ht="20.25" hidden="1" customHeight="1">
      <c r="A2354" s="91"/>
      <c r="B2354" s="93" t="s">
        <v>10391</v>
      </c>
      <c r="C2354" s="91" t="s">
        <v>36</v>
      </c>
      <c r="D2354" s="106" t="s">
        <v>6938</v>
      </c>
      <c r="E2354" s="106" t="s">
        <v>10427</v>
      </c>
      <c r="F2354" s="92" t="s">
        <v>10428</v>
      </c>
      <c r="G2354" s="103">
        <v>40714</v>
      </c>
      <c r="H2354" s="103">
        <v>21068</v>
      </c>
      <c r="I2354" s="100" t="s">
        <v>10394</v>
      </c>
      <c r="J2354" s="100" t="s">
        <v>58</v>
      </c>
      <c r="K2354" s="92">
        <v>950751548</v>
      </c>
      <c r="L2354" s="91"/>
      <c r="M2354" s="98">
        <f ca="1">(TODAY()-H2354)/365</f>
        <v>68.31232876712329</v>
      </c>
      <c r="N2354" s="99">
        <f>(G2354-H2354)/365</f>
        <v>53.824657534246576</v>
      </c>
      <c r="O2354" s="98">
        <f ca="1">(TODAY()-G2354)/365</f>
        <v>14.487671232876712</v>
      </c>
      <c r="P2354" s="91" t="s">
        <v>43</v>
      </c>
      <c r="Q2354" s="91"/>
      <c r="R2354" s="91"/>
      <c r="S2354" s="91"/>
      <c r="T2354" s="91"/>
      <c r="U2354" s="91"/>
      <c r="V2354" s="91"/>
      <c r="W2354" s="91"/>
      <c r="X2354" s="91"/>
      <c r="Y2354" s="91"/>
      <c r="Z2354" s="91"/>
      <c r="AA2354" s="91"/>
      <c r="AB2354" s="91"/>
      <c r="AC2354" s="91"/>
      <c r="AD2354" s="91"/>
      <c r="AE2354" s="91"/>
      <c r="AF2354" s="91"/>
      <c r="AG2354" s="91"/>
      <c r="AH2354" s="91"/>
      <c r="AI2354" s="91"/>
      <c r="AJ2354" s="91"/>
      <c r="AK2354" s="91"/>
      <c r="AL2354" s="91"/>
      <c r="AM2354" s="91"/>
    </row>
    <row r="2355" spans="1:39" ht="20.25" hidden="1" customHeight="1">
      <c r="A2355" s="91"/>
      <c r="B2355" s="93" t="s">
        <v>10391</v>
      </c>
      <c r="C2355" s="91" t="s">
        <v>36</v>
      </c>
      <c r="D2355" s="106" t="s">
        <v>10429</v>
      </c>
      <c r="E2355" s="106" t="s">
        <v>10414</v>
      </c>
      <c r="F2355" s="92" t="s">
        <v>10430</v>
      </c>
      <c r="G2355" s="103">
        <v>32040</v>
      </c>
      <c r="H2355" s="103">
        <v>10768</v>
      </c>
      <c r="I2355" s="100" t="s">
        <v>10394</v>
      </c>
      <c r="J2355" s="100" t="s">
        <v>58</v>
      </c>
      <c r="K2355" s="92">
        <v>9593189930</v>
      </c>
      <c r="L2355" s="91"/>
      <c r="M2355" s="98">
        <f ca="1">(TODAY()-H2355)/365</f>
        <v>96.531506849315065</v>
      </c>
      <c r="N2355" s="99">
        <f>(G2355-H2355)/365</f>
        <v>58.279452054794518</v>
      </c>
      <c r="O2355" s="98">
        <f ca="1">(TODAY()-G2355)/365</f>
        <v>38.252054794520546</v>
      </c>
      <c r="P2355" s="91" t="s">
        <v>43</v>
      </c>
      <c r="Q2355" s="91"/>
      <c r="R2355" s="91"/>
      <c r="S2355" s="91"/>
      <c r="T2355" s="91"/>
      <c r="U2355" s="91"/>
      <c r="V2355" s="91"/>
      <c r="W2355" s="91"/>
      <c r="X2355" s="91"/>
      <c r="Y2355" s="91"/>
      <c r="Z2355" s="91"/>
      <c r="AA2355" s="91"/>
      <c r="AB2355" s="91"/>
      <c r="AC2355" s="91"/>
      <c r="AD2355" s="91"/>
      <c r="AE2355" s="91"/>
      <c r="AF2355" s="91"/>
      <c r="AG2355" s="91"/>
      <c r="AH2355" s="91"/>
      <c r="AI2355" s="91"/>
      <c r="AJ2355" s="91"/>
      <c r="AK2355" s="91"/>
      <c r="AL2355" s="91"/>
      <c r="AM2355" s="91"/>
    </row>
    <row r="2356" spans="1:39" ht="20.25" hidden="1" customHeight="1">
      <c r="A2356" s="91"/>
      <c r="B2356" s="93" t="s">
        <v>10391</v>
      </c>
      <c r="C2356" s="91" t="s">
        <v>36</v>
      </c>
      <c r="D2356" s="106" t="s">
        <v>8031</v>
      </c>
      <c r="E2356" s="106" t="s">
        <v>10431</v>
      </c>
      <c r="F2356" s="92" t="s">
        <v>10432</v>
      </c>
      <c r="G2356" s="103">
        <v>32470</v>
      </c>
      <c r="H2356" s="103">
        <v>19163</v>
      </c>
      <c r="I2356" s="100" t="s">
        <v>10394</v>
      </c>
      <c r="J2356" s="100" t="s">
        <v>58</v>
      </c>
      <c r="K2356" s="92">
        <v>960127204</v>
      </c>
      <c r="L2356" s="91"/>
      <c r="M2356" s="98">
        <f ca="1">(TODAY()-H2356)/365</f>
        <v>73.531506849315065</v>
      </c>
      <c r="N2356" s="99">
        <f>(G2356-H2356)/365</f>
        <v>36.457534246575342</v>
      </c>
      <c r="O2356" s="98">
        <f ca="1">(TODAY()-G2356)/365</f>
        <v>37.073972602739723</v>
      </c>
      <c r="P2356" s="91" t="s">
        <v>43</v>
      </c>
      <c r="Q2356" s="91"/>
      <c r="R2356" s="91"/>
      <c r="S2356" s="91"/>
      <c r="T2356" s="91"/>
      <c r="U2356" s="91"/>
      <c r="V2356" s="91"/>
      <c r="W2356" s="91"/>
      <c r="X2356" s="91"/>
      <c r="Y2356" s="91"/>
      <c r="Z2356" s="91"/>
      <c r="AA2356" s="91"/>
      <c r="AB2356" s="91"/>
      <c r="AC2356" s="91"/>
      <c r="AD2356" s="91"/>
      <c r="AE2356" s="91"/>
      <c r="AF2356" s="91"/>
      <c r="AG2356" s="91"/>
      <c r="AH2356" s="91"/>
      <c r="AI2356" s="91"/>
      <c r="AJ2356" s="91"/>
      <c r="AK2356" s="91"/>
      <c r="AL2356" s="91"/>
      <c r="AM2356" s="91"/>
    </row>
    <row r="2357" spans="1:39" ht="20.25" hidden="1" customHeight="1">
      <c r="A2357" s="91"/>
      <c r="B2357" s="93" t="s">
        <v>10391</v>
      </c>
      <c r="C2357" s="91" t="s">
        <v>36</v>
      </c>
      <c r="D2357" s="106" t="s">
        <v>3580</v>
      </c>
      <c r="E2357" s="106" t="s">
        <v>10134</v>
      </c>
      <c r="F2357" s="92" t="s">
        <v>10433</v>
      </c>
      <c r="G2357" s="103">
        <v>33477</v>
      </c>
      <c r="H2357" s="103">
        <v>16812</v>
      </c>
      <c r="I2357" s="100" t="s">
        <v>10394</v>
      </c>
      <c r="J2357" s="100" t="s">
        <v>58</v>
      </c>
      <c r="K2357" s="95" t="s">
        <v>58</v>
      </c>
      <c r="L2357" s="91"/>
      <c r="M2357" s="98">
        <f ca="1">(TODAY()-H2357)/365</f>
        <v>79.972602739726028</v>
      </c>
      <c r="N2357" s="99">
        <f>(G2357-H2357)/365</f>
        <v>45.657534246575345</v>
      </c>
      <c r="O2357" s="98">
        <f ca="1">(TODAY()-G2357)/365</f>
        <v>34.315068493150683</v>
      </c>
      <c r="P2357" s="91" t="s">
        <v>43</v>
      </c>
      <c r="Q2357" s="91"/>
      <c r="R2357" s="91"/>
      <c r="S2357" s="91"/>
      <c r="T2357" s="91"/>
      <c r="U2357" s="91"/>
      <c r="V2357" s="91"/>
      <c r="W2357" s="91"/>
      <c r="X2357" s="91"/>
      <c r="Y2357" s="91"/>
      <c r="Z2357" s="91"/>
      <c r="AA2357" s="91"/>
      <c r="AB2357" s="91"/>
      <c r="AC2357" s="91"/>
      <c r="AD2357" s="91"/>
      <c r="AE2357" s="91"/>
      <c r="AF2357" s="91"/>
      <c r="AG2357" s="91"/>
      <c r="AH2357" s="91"/>
      <c r="AI2357" s="91"/>
      <c r="AJ2357" s="91"/>
      <c r="AK2357" s="91"/>
      <c r="AL2357" s="91"/>
      <c r="AM2357" s="91"/>
    </row>
    <row r="2358" spans="1:39" ht="20.25" hidden="1" customHeight="1">
      <c r="A2358" s="91"/>
      <c r="B2358" s="93" t="s">
        <v>10391</v>
      </c>
      <c r="C2358" s="91" t="s">
        <v>36</v>
      </c>
      <c r="D2358" s="106" t="s">
        <v>679</v>
      </c>
      <c r="E2358" s="106" t="s">
        <v>10434</v>
      </c>
      <c r="F2358" s="92" t="s">
        <v>10435</v>
      </c>
      <c r="G2358" s="103">
        <v>44808</v>
      </c>
      <c r="H2358" s="103">
        <v>18145</v>
      </c>
      <c r="I2358" s="100" t="s">
        <v>10394</v>
      </c>
      <c r="J2358" s="100" t="s">
        <v>58</v>
      </c>
      <c r="K2358" s="95" t="s">
        <v>58</v>
      </c>
      <c r="L2358" s="91"/>
      <c r="M2358" s="98">
        <f ca="1">(TODAY()-H2358)/365</f>
        <v>76.320547945205476</v>
      </c>
      <c r="N2358" s="99">
        <f>(G2358-H2358)/365</f>
        <v>73.049315068493144</v>
      </c>
      <c r="O2358" s="98">
        <f ca="1">(TODAY()-G2358)/365</f>
        <v>3.2712328767123289</v>
      </c>
      <c r="P2358" s="91" t="s">
        <v>43</v>
      </c>
      <c r="Q2358" s="91"/>
      <c r="R2358" s="91"/>
      <c r="S2358" s="91"/>
      <c r="T2358" s="91"/>
      <c r="U2358" s="91"/>
      <c r="V2358" s="91"/>
      <c r="W2358" s="91"/>
      <c r="X2358" s="91"/>
      <c r="Y2358" s="91"/>
      <c r="Z2358" s="91"/>
      <c r="AA2358" s="91"/>
      <c r="AB2358" s="91"/>
      <c r="AC2358" s="91"/>
      <c r="AD2358" s="91"/>
      <c r="AE2358" s="91"/>
      <c r="AF2358" s="91"/>
      <c r="AG2358" s="91"/>
      <c r="AH2358" s="91"/>
      <c r="AI2358" s="91"/>
      <c r="AJ2358" s="91"/>
      <c r="AK2358" s="91"/>
      <c r="AL2358" s="91"/>
      <c r="AM2358" s="91"/>
    </row>
    <row r="2359" spans="1:39" ht="20.25" hidden="1" customHeight="1">
      <c r="A2359" s="91"/>
      <c r="B2359" s="93" t="s">
        <v>7520</v>
      </c>
      <c r="C2359" s="91" t="s">
        <v>36</v>
      </c>
      <c r="D2359" s="107" t="s">
        <v>7521</v>
      </c>
      <c r="E2359" s="107" t="s">
        <v>7522</v>
      </c>
      <c r="F2359" s="91" t="s">
        <v>7523</v>
      </c>
      <c r="G2359" s="96">
        <v>45447</v>
      </c>
      <c r="H2359" s="97">
        <v>33991</v>
      </c>
      <c r="I2359" s="94" t="s">
        <v>58</v>
      </c>
      <c r="J2359" s="94" t="s">
        <v>58</v>
      </c>
      <c r="K2359" s="91">
        <v>959180078</v>
      </c>
      <c r="L2359" s="91" t="s">
        <v>60</v>
      </c>
      <c r="M2359" s="98">
        <f ca="1">(TODAY()-H2359)/365</f>
        <v>32.906849315068492</v>
      </c>
      <c r="N2359" s="99">
        <f>(G2359-H2359)/365</f>
        <v>31.386301369863013</v>
      </c>
      <c r="O2359" s="98">
        <f ca="1">(TODAY()-G2359)/365</f>
        <v>1.5205479452054795</v>
      </c>
      <c r="P2359" s="91" t="s">
        <v>43</v>
      </c>
      <c r="Q2359" s="91">
        <v>0</v>
      </c>
      <c r="R2359" s="91">
        <v>0</v>
      </c>
      <c r="S2359" s="91">
        <v>0</v>
      </c>
      <c r="T2359" s="91"/>
      <c r="U2359" s="91"/>
      <c r="V2359" s="91"/>
      <c r="W2359" s="91"/>
      <c r="X2359" s="91"/>
      <c r="Y2359" s="91"/>
      <c r="Z2359" s="91"/>
      <c r="AA2359" s="91"/>
      <c r="AB2359" s="91"/>
      <c r="AC2359" s="91"/>
      <c r="AD2359" s="91"/>
      <c r="AE2359" s="91"/>
      <c r="AF2359" s="91"/>
      <c r="AG2359" s="91"/>
      <c r="AH2359" s="91"/>
      <c r="AI2359" s="91"/>
      <c r="AJ2359" s="91"/>
      <c r="AK2359" s="91"/>
      <c r="AL2359" s="91"/>
      <c r="AM2359" s="91"/>
    </row>
    <row r="2360" spans="1:39" ht="20.25" hidden="1" customHeight="1">
      <c r="A2360" s="91"/>
      <c r="B2360" s="93" t="s">
        <v>7520</v>
      </c>
      <c r="C2360" s="91" t="s">
        <v>36</v>
      </c>
      <c r="D2360" s="107" t="s">
        <v>4676</v>
      </c>
      <c r="E2360" s="107" t="s">
        <v>7524</v>
      </c>
      <c r="F2360" s="92" t="s">
        <v>12308</v>
      </c>
      <c r="G2360" s="96">
        <v>40553</v>
      </c>
      <c r="H2360" s="97">
        <v>26849</v>
      </c>
      <c r="I2360" s="94" t="s">
        <v>58</v>
      </c>
      <c r="J2360" s="100" t="s">
        <v>7525</v>
      </c>
      <c r="K2360" s="91">
        <v>976030312</v>
      </c>
      <c r="L2360" s="91" t="s">
        <v>42</v>
      </c>
      <c r="M2360" s="98">
        <f ca="1">(TODAY()-H2360)/365</f>
        <v>52.473972602739728</v>
      </c>
      <c r="N2360" s="99">
        <f>(G2360-H2360)/365</f>
        <v>37.545205479452058</v>
      </c>
      <c r="O2360" s="98">
        <f ca="1">(TODAY()-G2360)/365</f>
        <v>14.92876712328767</v>
      </c>
      <c r="P2360" s="91" t="s">
        <v>43</v>
      </c>
      <c r="Q2360" s="91">
        <v>0</v>
      </c>
      <c r="R2360" s="91">
        <v>0</v>
      </c>
      <c r="S2360" s="91">
        <v>0</v>
      </c>
      <c r="T2360" s="91"/>
      <c r="U2360" s="91"/>
      <c r="V2360" s="91"/>
      <c r="W2360" s="91"/>
      <c r="X2360" s="91"/>
      <c r="Y2360" s="91"/>
      <c r="Z2360" s="91"/>
      <c r="AA2360" s="91"/>
      <c r="AB2360" s="91"/>
      <c r="AC2360" s="91"/>
      <c r="AD2360" s="91"/>
      <c r="AE2360" s="91"/>
      <c r="AF2360" s="91"/>
      <c r="AG2360" s="91"/>
      <c r="AH2360" s="91"/>
      <c r="AI2360" s="91"/>
      <c r="AJ2360" s="91"/>
      <c r="AK2360" s="91"/>
      <c r="AL2360" s="91"/>
      <c r="AM2360" s="91"/>
    </row>
    <row r="2361" spans="1:39" ht="20.25" hidden="1" customHeight="1">
      <c r="A2361" s="91"/>
      <c r="B2361" s="93" t="s">
        <v>7520</v>
      </c>
      <c r="C2361" s="91" t="s">
        <v>36</v>
      </c>
      <c r="D2361" s="107" t="s">
        <v>7526</v>
      </c>
      <c r="E2361" s="107" t="s">
        <v>7527</v>
      </c>
      <c r="F2361" s="91" t="s">
        <v>7528</v>
      </c>
      <c r="G2361" s="96">
        <v>45605</v>
      </c>
      <c r="H2361" s="97">
        <v>31440</v>
      </c>
      <c r="I2361" s="94" t="s">
        <v>58</v>
      </c>
      <c r="J2361" s="94" t="s">
        <v>58</v>
      </c>
      <c r="K2361" s="91">
        <v>994487234</v>
      </c>
      <c r="L2361" s="91" t="s">
        <v>60</v>
      </c>
      <c r="M2361" s="98">
        <f ca="1">(TODAY()-H2361)/365</f>
        <v>39.895890410958906</v>
      </c>
      <c r="N2361" s="99">
        <f>(G2361-H2361)/365</f>
        <v>38.80821917808219</v>
      </c>
      <c r="O2361" s="98">
        <f ca="1">(TODAY()-G2361)/365</f>
        <v>1.0876712328767124</v>
      </c>
      <c r="P2361" s="91" t="s">
        <v>272</v>
      </c>
      <c r="Q2361" s="91">
        <v>0</v>
      </c>
      <c r="R2361" s="91">
        <v>0</v>
      </c>
      <c r="S2361" s="91">
        <v>0</v>
      </c>
      <c r="T2361" s="91"/>
      <c r="U2361" s="91"/>
      <c r="V2361" s="91"/>
      <c r="W2361" s="91"/>
      <c r="X2361" s="91"/>
      <c r="Y2361" s="91"/>
      <c r="Z2361" s="91"/>
      <c r="AA2361" s="91"/>
      <c r="AB2361" s="91"/>
      <c r="AC2361" s="91"/>
      <c r="AD2361" s="91"/>
      <c r="AE2361" s="91"/>
      <c r="AF2361" s="91"/>
      <c r="AG2361" s="91"/>
      <c r="AH2361" s="91"/>
      <c r="AI2361" s="91"/>
      <c r="AJ2361" s="91"/>
      <c r="AK2361" s="91"/>
      <c r="AL2361" s="91"/>
      <c r="AM2361" s="91"/>
    </row>
    <row r="2362" spans="1:39" ht="20.25" hidden="1" customHeight="1">
      <c r="A2362" s="91"/>
      <c r="B2362" s="93" t="s">
        <v>7520</v>
      </c>
      <c r="C2362" s="91" t="s">
        <v>36</v>
      </c>
      <c r="D2362" s="107" t="s">
        <v>7529</v>
      </c>
      <c r="E2362" s="107" t="s">
        <v>7530</v>
      </c>
      <c r="F2362" s="91" t="s">
        <v>7531</v>
      </c>
      <c r="G2362" s="96">
        <v>39338</v>
      </c>
      <c r="H2362" s="97">
        <v>19355</v>
      </c>
      <c r="I2362" s="94" t="s">
        <v>58</v>
      </c>
      <c r="J2362" s="94" t="s">
        <v>58</v>
      </c>
      <c r="K2362" s="91">
        <v>985200742</v>
      </c>
      <c r="L2362" s="91" t="s">
        <v>60</v>
      </c>
      <c r="M2362" s="98">
        <f ca="1">(TODAY()-H2362)/365</f>
        <v>73.0054794520548</v>
      </c>
      <c r="N2362" s="99">
        <f>(G2362-H2362)/365</f>
        <v>54.747945205479454</v>
      </c>
      <c r="O2362" s="98">
        <f ca="1">(TODAY()-G2362)/365</f>
        <v>18.257534246575343</v>
      </c>
      <c r="P2362" s="91" t="s">
        <v>43</v>
      </c>
      <c r="Q2362" s="91">
        <v>0</v>
      </c>
      <c r="R2362" s="91">
        <v>0</v>
      </c>
      <c r="S2362" s="91">
        <v>0</v>
      </c>
      <c r="T2362" s="91"/>
      <c r="U2362" s="91"/>
      <c r="V2362" s="91"/>
      <c r="W2362" s="91"/>
      <c r="X2362" s="91"/>
      <c r="Y2362" s="91"/>
      <c r="Z2362" s="91"/>
      <c r="AA2362" s="91"/>
      <c r="AB2362" s="91"/>
      <c r="AC2362" s="91"/>
      <c r="AD2362" s="91"/>
      <c r="AE2362" s="91"/>
      <c r="AF2362" s="91"/>
      <c r="AG2362" s="91"/>
      <c r="AH2362" s="91"/>
      <c r="AI2362" s="91"/>
      <c r="AJ2362" s="91"/>
      <c r="AK2362" s="91"/>
      <c r="AL2362" s="91"/>
      <c r="AM2362" s="91"/>
    </row>
    <row r="2363" spans="1:39" ht="20.25" hidden="1" customHeight="1">
      <c r="A2363" s="91"/>
      <c r="B2363" s="93" t="s">
        <v>7520</v>
      </c>
      <c r="C2363" s="91" t="s">
        <v>36</v>
      </c>
      <c r="D2363" s="107" t="s">
        <v>7532</v>
      </c>
      <c r="E2363" s="107" t="s">
        <v>2825</v>
      </c>
      <c r="F2363" s="92" t="s">
        <v>7533</v>
      </c>
      <c r="G2363" s="96">
        <v>45233</v>
      </c>
      <c r="H2363" s="97">
        <v>24995</v>
      </c>
      <c r="I2363" s="94" t="s">
        <v>58</v>
      </c>
      <c r="J2363" s="94" t="s">
        <v>58</v>
      </c>
      <c r="K2363" s="91">
        <v>944449690</v>
      </c>
      <c r="L2363" s="91" t="s">
        <v>60</v>
      </c>
      <c r="M2363" s="98">
        <f ca="1">(TODAY()-H2363)/365</f>
        <v>57.553424657534244</v>
      </c>
      <c r="N2363" s="99">
        <f>(G2363-H2363)/365</f>
        <v>55.446575342465756</v>
      </c>
      <c r="O2363" s="98">
        <f ca="1">(TODAY()-G2363)/365</f>
        <v>2.106849315068493</v>
      </c>
      <c r="P2363" s="91" t="s">
        <v>43</v>
      </c>
      <c r="Q2363" s="91">
        <v>0</v>
      </c>
      <c r="R2363" s="91">
        <v>0</v>
      </c>
      <c r="S2363" s="91">
        <v>0</v>
      </c>
      <c r="T2363" s="91"/>
      <c r="U2363" s="91"/>
      <c r="V2363" s="91"/>
      <c r="W2363" s="91"/>
      <c r="X2363" s="91"/>
      <c r="Y2363" s="91"/>
      <c r="Z2363" s="91"/>
      <c r="AA2363" s="91"/>
      <c r="AB2363" s="91"/>
      <c r="AC2363" s="91"/>
      <c r="AD2363" s="91"/>
      <c r="AE2363" s="91"/>
      <c r="AF2363" s="91"/>
      <c r="AG2363" s="91"/>
      <c r="AH2363" s="91"/>
      <c r="AI2363" s="91"/>
      <c r="AJ2363" s="91"/>
      <c r="AK2363" s="91"/>
      <c r="AL2363" s="91"/>
      <c r="AM2363" s="91"/>
    </row>
    <row r="2364" spans="1:39" ht="20.25" hidden="1" customHeight="1">
      <c r="A2364" s="91"/>
      <c r="B2364" s="93" t="s">
        <v>7520</v>
      </c>
      <c r="C2364" s="91" t="s">
        <v>36</v>
      </c>
      <c r="D2364" s="107" t="s">
        <v>2211</v>
      </c>
      <c r="E2364" s="107" t="s">
        <v>7534</v>
      </c>
      <c r="F2364" s="91" t="s">
        <v>7535</v>
      </c>
      <c r="G2364" s="96">
        <v>39874</v>
      </c>
      <c r="H2364" s="97">
        <v>19616</v>
      </c>
      <c r="I2364" s="94" t="s">
        <v>58</v>
      </c>
      <c r="J2364" s="94" t="s">
        <v>58</v>
      </c>
      <c r="K2364" s="91">
        <v>987534566</v>
      </c>
      <c r="L2364" s="91" t="s">
        <v>54</v>
      </c>
      <c r="M2364" s="98">
        <f ca="1">(TODAY()-H2364)/365</f>
        <v>72.290410958904104</v>
      </c>
      <c r="N2364" s="99">
        <f>(G2364-H2364)/365</f>
        <v>55.5013698630137</v>
      </c>
      <c r="O2364" s="98">
        <f ca="1">(TODAY()-G2364)/365</f>
        <v>16.789041095890411</v>
      </c>
      <c r="P2364" s="91" t="s">
        <v>43</v>
      </c>
      <c r="Q2364" s="91">
        <v>0</v>
      </c>
      <c r="R2364" s="91">
        <v>0</v>
      </c>
      <c r="S2364" s="91">
        <v>0</v>
      </c>
      <c r="T2364" s="91"/>
      <c r="U2364" s="91"/>
      <c r="V2364" s="91"/>
      <c r="W2364" s="91"/>
      <c r="X2364" s="91"/>
      <c r="Y2364" s="91"/>
      <c r="Z2364" s="91"/>
      <c r="AA2364" s="91"/>
      <c r="AB2364" s="91"/>
      <c r="AC2364" s="91"/>
      <c r="AD2364" s="91"/>
      <c r="AE2364" s="91"/>
      <c r="AF2364" s="91"/>
      <c r="AG2364" s="91"/>
      <c r="AH2364" s="91"/>
      <c r="AI2364" s="91"/>
      <c r="AJ2364" s="91"/>
      <c r="AK2364" s="91"/>
      <c r="AL2364" s="91"/>
      <c r="AM2364" s="91"/>
    </row>
    <row r="2365" spans="1:39" ht="20.25" hidden="1" customHeight="1">
      <c r="A2365" s="91"/>
      <c r="B2365" s="93" t="s">
        <v>7520</v>
      </c>
      <c r="C2365" s="91" t="s">
        <v>36</v>
      </c>
      <c r="D2365" s="107" t="s">
        <v>3140</v>
      </c>
      <c r="E2365" s="107" t="s">
        <v>7536</v>
      </c>
      <c r="F2365" s="91" t="s">
        <v>7537</v>
      </c>
      <c r="G2365" s="96">
        <v>45564</v>
      </c>
      <c r="H2365" s="97">
        <v>23203</v>
      </c>
      <c r="I2365" s="94" t="s">
        <v>58</v>
      </c>
      <c r="J2365" s="94" t="s">
        <v>58</v>
      </c>
      <c r="K2365" s="91">
        <v>963068993</v>
      </c>
      <c r="L2365" s="91" t="s">
        <v>60</v>
      </c>
      <c r="M2365" s="98">
        <f ca="1">(TODAY()-H2365)/365</f>
        <v>62.463013698630135</v>
      </c>
      <c r="N2365" s="99">
        <f>(G2365-H2365)/365</f>
        <v>61.263013698630139</v>
      </c>
      <c r="O2365" s="98">
        <f ca="1">(TODAY()-G2365)/365</f>
        <v>1.2</v>
      </c>
      <c r="P2365" s="91" t="s">
        <v>43</v>
      </c>
      <c r="Q2365" s="91">
        <v>0</v>
      </c>
      <c r="R2365" s="91">
        <v>0</v>
      </c>
      <c r="S2365" s="91">
        <v>0</v>
      </c>
      <c r="T2365" s="91"/>
      <c r="U2365" s="91"/>
      <c r="V2365" s="91"/>
      <c r="W2365" s="91"/>
      <c r="X2365" s="91"/>
      <c r="Y2365" s="91"/>
      <c r="Z2365" s="91"/>
      <c r="AA2365" s="91"/>
      <c r="AB2365" s="91"/>
      <c r="AC2365" s="91"/>
      <c r="AD2365" s="91"/>
      <c r="AE2365" s="91"/>
      <c r="AF2365" s="91"/>
      <c r="AG2365" s="91"/>
      <c r="AH2365" s="91"/>
      <c r="AI2365" s="91"/>
      <c r="AJ2365" s="91"/>
      <c r="AK2365" s="91"/>
      <c r="AL2365" s="91"/>
      <c r="AM2365" s="91"/>
    </row>
    <row r="2366" spans="1:39" ht="20.25" hidden="1" customHeight="1">
      <c r="A2366" s="91"/>
      <c r="B2366" s="93" t="s">
        <v>7520</v>
      </c>
      <c r="C2366" s="91" t="s">
        <v>36</v>
      </c>
      <c r="D2366" s="107" t="s">
        <v>6938</v>
      </c>
      <c r="E2366" s="107" t="s">
        <v>7538</v>
      </c>
      <c r="F2366" s="91" t="s">
        <v>7539</v>
      </c>
      <c r="G2366" s="96">
        <v>43301</v>
      </c>
      <c r="H2366" s="97">
        <v>20147</v>
      </c>
      <c r="I2366" s="94" t="s">
        <v>58</v>
      </c>
      <c r="J2366" s="94" t="s">
        <v>58</v>
      </c>
      <c r="K2366" s="91">
        <v>976238070</v>
      </c>
      <c r="L2366" s="91" t="s">
        <v>66</v>
      </c>
      <c r="M2366" s="98">
        <f ca="1">(TODAY()-H2366)/365</f>
        <v>70.835616438356169</v>
      </c>
      <c r="N2366" s="99">
        <f>(G2366-H2366)/365</f>
        <v>63.435616438356163</v>
      </c>
      <c r="O2366" s="98">
        <f ca="1">(TODAY()-G2366)/365</f>
        <v>7.4</v>
      </c>
      <c r="P2366" s="91" t="s">
        <v>43</v>
      </c>
      <c r="Q2366" s="91">
        <v>0</v>
      </c>
      <c r="R2366" s="91">
        <v>0</v>
      </c>
      <c r="S2366" s="91">
        <v>0</v>
      </c>
      <c r="T2366" s="91"/>
      <c r="U2366" s="91"/>
      <c r="V2366" s="91"/>
      <c r="W2366" s="91"/>
      <c r="X2366" s="91"/>
      <c r="Y2366" s="91"/>
      <c r="Z2366" s="91"/>
      <c r="AA2366" s="91"/>
      <c r="AB2366" s="91"/>
      <c r="AC2366" s="91"/>
      <c r="AD2366" s="91"/>
      <c r="AE2366" s="91"/>
      <c r="AF2366" s="91"/>
      <c r="AG2366" s="91"/>
      <c r="AH2366" s="91"/>
      <c r="AI2366" s="91"/>
      <c r="AJ2366" s="91"/>
      <c r="AK2366" s="91"/>
      <c r="AL2366" s="91"/>
      <c r="AM2366" s="91"/>
    </row>
    <row r="2367" spans="1:39" ht="20.25" hidden="1" customHeight="1">
      <c r="A2367" s="91"/>
      <c r="B2367" s="93" t="s">
        <v>7520</v>
      </c>
      <c r="C2367" s="91" t="s">
        <v>36</v>
      </c>
      <c r="D2367" s="107" t="s">
        <v>1473</v>
      </c>
      <c r="E2367" s="107" t="s">
        <v>7540</v>
      </c>
      <c r="F2367" s="91" t="s">
        <v>7541</v>
      </c>
      <c r="G2367" s="96">
        <v>44653</v>
      </c>
      <c r="H2367" s="97">
        <v>17094</v>
      </c>
      <c r="I2367" s="94" t="s">
        <v>58</v>
      </c>
      <c r="J2367" s="94" t="s">
        <v>58</v>
      </c>
      <c r="K2367" s="91">
        <v>983123128</v>
      </c>
      <c r="L2367" s="91" t="s">
        <v>49</v>
      </c>
      <c r="M2367" s="98">
        <f ca="1">(TODAY()-H2367)/365</f>
        <v>79.2</v>
      </c>
      <c r="N2367" s="99">
        <f>(G2367-H2367)/365</f>
        <v>75.504109589041093</v>
      </c>
      <c r="O2367" s="98">
        <f ca="1">(TODAY()-G2367)/365</f>
        <v>3.6958904109589041</v>
      </c>
      <c r="P2367" s="91" t="s">
        <v>43</v>
      </c>
      <c r="Q2367" s="91">
        <v>0</v>
      </c>
      <c r="R2367" s="91">
        <v>0</v>
      </c>
      <c r="S2367" s="91">
        <v>0</v>
      </c>
      <c r="T2367" s="91"/>
      <c r="U2367" s="91"/>
      <c r="V2367" s="91"/>
      <c r="W2367" s="91"/>
      <c r="X2367" s="91"/>
      <c r="Y2367" s="91"/>
      <c r="Z2367" s="91"/>
      <c r="AA2367" s="91"/>
      <c r="AB2367" s="91"/>
      <c r="AC2367" s="91"/>
      <c r="AD2367" s="91"/>
      <c r="AE2367" s="91"/>
      <c r="AF2367" s="91"/>
      <c r="AG2367" s="91"/>
      <c r="AH2367" s="91"/>
      <c r="AI2367" s="91"/>
      <c r="AJ2367" s="91"/>
      <c r="AK2367" s="91"/>
      <c r="AL2367" s="91"/>
      <c r="AM2367" s="91"/>
    </row>
    <row r="2368" spans="1:39" ht="20.25" hidden="1" customHeight="1">
      <c r="A2368" s="91"/>
      <c r="B2368" s="93" t="s">
        <v>7542</v>
      </c>
      <c r="C2368" s="91" t="s">
        <v>36</v>
      </c>
      <c r="D2368" s="94" t="s">
        <v>7543</v>
      </c>
      <c r="E2368" s="94" t="s">
        <v>7544</v>
      </c>
      <c r="F2368" s="95" t="s">
        <v>7545</v>
      </c>
      <c r="G2368" s="96">
        <v>39223</v>
      </c>
      <c r="H2368" s="97">
        <v>31689</v>
      </c>
      <c r="I2368" s="94" t="s">
        <v>7546</v>
      </c>
      <c r="J2368" s="100" t="s">
        <v>58</v>
      </c>
      <c r="K2368" s="91" t="s">
        <v>58</v>
      </c>
      <c r="L2368" s="91" t="s">
        <v>60</v>
      </c>
      <c r="M2368" s="98">
        <f ca="1">(TODAY()-H2368)/365</f>
        <v>39.213698630136989</v>
      </c>
      <c r="N2368" s="99">
        <f>(G2368-H2368)/365</f>
        <v>20.641095890410959</v>
      </c>
      <c r="O2368" s="98">
        <f ca="1">(TODAY()-G2368)/365</f>
        <v>18.572602739726026</v>
      </c>
      <c r="P2368" s="91" t="s">
        <v>43</v>
      </c>
      <c r="Q2368" s="91">
        <v>0</v>
      </c>
      <c r="R2368" s="91">
        <v>0</v>
      </c>
      <c r="S2368" s="91">
        <v>0</v>
      </c>
      <c r="T2368" s="91"/>
      <c r="U2368" s="91"/>
      <c r="V2368" s="91"/>
      <c r="W2368" s="91"/>
      <c r="X2368" s="91"/>
      <c r="Y2368" s="91"/>
      <c r="Z2368" s="91"/>
      <c r="AA2368" s="91"/>
      <c r="AB2368" s="91"/>
      <c r="AC2368" s="91"/>
      <c r="AD2368" s="91"/>
      <c r="AE2368" s="91"/>
      <c r="AF2368" s="91"/>
      <c r="AG2368" s="91"/>
      <c r="AH2368" s="91"/>
      <c r="AI2368" s="91"/>
      <c r="AJ2368" s="91"/>
      <c r="AK2368" s="91"/>
      <c r="AL2368" s="91"/>
      <c r="AM2368" s="91"/>
    </row>
    <row r="2369" spans="1:39" ht="20.25" hidden="1" customHeight="1">
      <c r="A2369" s="91"/>
      <c r="B2369" s="93" t="s">
        <v>7542</v>
      </c>
      <c r="C2369" s="91" t="s">
        <v>36</v>
      </c>
      <c r="D2369" s="94" t="s">
        <v>7547</v>
      </c>
      <c r="E2369" s="94" t="s">
        <v>7548</v>
      </c>
      <c r="F2369" s="95" t="s">
        <v>7549</v>
      </c>
      <c r="G2369" s="96">
        <v>45590</v>
      </c>
      <c r="H2369" s="97">
        <v>36491</v>
      </c>
      <c r="I2369" s="94" t="s">
        <v>7550</v>
      </c>
      <c r="J2369" s="100" t="s">
        <v>58</v>
      </c>
      <c r="K2369" s="91" t="s">
        <v>58</v>
      </c>
      <c r="L2369" s="91" t="s">
        <v>60</v>
      </c>
      <c r="M2369" s="98">
        <f ca="1">(TODAY()-H2369)/365</f>
        <v>26.057534246575344</v>
      </c>
      <c r="N2369" s="99">
        <f>(G2369-H2369)/365</f>
        <v>24.92876712328767</v>
      </c>
      <c r="O2369" s="98">
        <f ca="1">(TODAY()-G2369)/365</f>
        <v>1.1287671232876713</v>
      </c>
      <c r="P2369" s="91" t="s">
        <v>43</v>
      </c>
      <c r="Q2369" s="91">
        <v>0</v>
      </c>
      <c r="R2369" s="91">
        <v>0</v>
      </c>
      <c r="S2369" s="91">
        <v>0</v>
      </c>
      <c r="T2369" s="91"/>
      <c r="U2369" s="91"/>
      <c r="V2369" s="91"/>
      <c r="W2369" s="91"/>
      <c r="X2369" s="91"/>
      <c r="Y2369" s="91"/>
      <c r="Z2369" s="91"/>
      <c r="AA2369" s="91"/>
      <c r="AB2369" s="91"/>
      <c r="AC2369" s="91"/>
      <c r="AD2369" s="91"/>
      <c r="AE2369" s="91"/>
      <c r="AF2369" s="91"/>
      <c r="AG2369" s="91"/>
      <c r="AH2369" s="91"/>
      <c r="AI2369" s="91"/>
      <c r="AJ2369" s="91"/>
      <c r="AK2369" s="91"/>
      <c r="AL2369" s="91"/>
      <c r="AM2369" s="91"/>
    </row>
    <row r="2370" spans="1:39" ht="20.25" hidden="1" customHeight="1">
      <c r="A2370" s="91"/>
      <c r="B2370" s="93" t="s">
        <v>7542</v>
      </c>
      <c r="C2370" s="91" t="s">
        <v>36</v>
      </c>
      <c r="D2370" s="94" t="s">
        <v>7551</v>
      </c>
      <c r="E2370" s="94" t="s">
        <v>7552</v>
      </c>
      <c r="F2370" s="95" t="s">
        <v>7553</v>
      </c>
      <c r="G2370" s="96">
        <v>45292</v>
      </c>
      <c r="H2370" s="97">
        <v>36024</v>
      </c>
      <c r="I2370" s="94" t="s">
        <v>7554</v>
      </c>
      <c r="J2370" s="100" t="s">
        <v>58</v>
      </c>
      <c r="K2370" s="91" t="s">
        <v>58</v>
      </c>
      <c r="L2370" s="91" t="s">
        <v>60</v>
      </c>
      <c r="M2370" s="98">
        <f ca="1">(TODAY()-H2370)/365</f>
        <v>27.336986301369862</v>
      </c>
      <c r="N2370" s="99">
        <f>(G2370-H2370)/365</f>
        <v>25.391780821917809</v>
      </c>
      <c r="O2370" s="98">
        <f ca="1">(TODAY()-G2370)/365</f>
        <v>1.9452054794520548</v>
      </c>
      <c r="P2370" s="91" t="s">
        <v>43</v>
      </c>
      <c r="Q2370" s="91">
        <v>0</v>
      </c>
      <c r="R2370" s="91">
        <v>0</v>
      </c>
      <c r="S2370" s="91">
        <v>0</v>
      </c>
      <c r="T2370" s="91"/>
      <c r="U2370" s="91"/>
      <c r="V2370" s="91"/>
      <c r="W2370" s="91"/>
      <c r="X2370" s="91"/>
      <c r="Y2370" s="91"/>
      <c r="Z2370" s="91"/>
      <c r="AA2370" s="91"/>
      <c r="AB2370" s="91"/>
      <c r="AC2370" s="91"/>
      <c r="AD2370" s="91"/>
      <c r="AE2370" s="91"/>
      <c r="AF2370" s="91"/>
      <c r="AG2370" s="91"/>
      <c r="AH2370" s="91"/>
      <c r="AI2370" s="91"/>
      <c r="AJ2370" s="91"/>
      <c r="AK2370" s="91"/>
      <c r="AL2370" s="91"/>
      <c r="AM2370" s="91"/>
    </row>
    <row r="2371" spans="1:39" ht="20.25" hidden="1" customHeight="1">
      <c r="A2371" s="91"/>
      <c r="B2371" s="93" t="s">
        <v>7542</v>
      </c>
      <c r="C2371" s="91" t="s">
        <v>36</v>
      </c>
      <c r="D2371" s="94" t="s">
        <v>7555</v>
      </c>
      <c r="E2371" s="94" t="s">
        <v>7556</v>
      </c>
      <c r="F2371" s="95" t="s">
        <v>7557</v>
      </c>
      <c r="G2371" s="96">
        <v>43101</v>
      </c>
      <c r="H2371" s="97">
        <v>33616</v>
      </c>
      <c r="I2371" s="94" t="s">
        <v>7558</v>
      </c>
      <c r="J2371" s="100" t="s">
        <v>58</v>
      </c>
      <c r="K2371" s="91" t="s">
        <v>58</v>
      </c>
      <c r="L2371" s="91" t="s">
        <v>60</v>
      </c>
      <c r="M2371" s="98">
        <f ca="1">(TODAY()-H2371)/365</f>
        <v>33.934246575342463</v>
      </c>
      <c r="N2371" s="99">
        <f>(G2371-H2371)/365</f>
        <v>25.986301369863014</v>
      </c>
      <c r="O2371" s="98">
        <f ca="1">(TODAY()-G2371)/365</f>
        <v>7.9479452054794519</v>
      </c>
      <c r="P2371" s="91" t="s">
        <v>272</v>
      </c>
      <c r="Q2371" s="91">
        <v>1</v>
      </c>
      <c r="R2371" s="91">
        <v>0</v>
      </c>
      <c r="S2371" s="91">
        <v>0</v>
      </c>
      <c r="T2371" s="91"/>
      <c r="U2371" s="91"/>
      <c r="V2371" s="91"/>
      <c r="W2371" s="91"/>
      <c r="X2371" s="91"/>
      <c r="Y2371" s="91"/>
      <c r="Z2371" s="91"/>
      <c r="AA2371" s="91"/>
      <c r="AB2371" s="91"/>
      <c r="AC2371" s="91"/>
      <c r="AD2371" s="91"/>
      <c r="AE2371" s="91"/>
      <c r="AF2371" s="91"/>
      <c r="AG2371" s="91"/>
      <c r="AH2371" s="91"/>
      <c r="AI2371" s="91"/>
      <c r="AJ2371" s="91"/>
      <c r="AK2371" s="91"/>
      <c r="AL2371" s="91"/>
      <c r="AM2371" s="91"/>
    </row>
    <row r="2372" spans="1:39" ht="20.25" hidden="1" customHeight="1">
      <c r="A2372" s="91"/>
      <c r="B2372" s="93" t="s">
        <v>7542</v>
      </c>
      <c r="C2372" s="91" t="s">
        <v>36</v>
      </c>
      <c r="D2372" s="94" t="s">
        <v>7559</v>
      </c>
      <c r="E2372" s="94" t="s">
        <v>7560</v>
      </c>
      <c r="F2372" s="95" t="s">
        <v>7561</v>
      </c>
      <c r="G2372" s="96">
        <v>45546</v>
      </c>
      <c r="H2372" s="97">
        <v>35803</v>
      </c>
      <c r="I2372" s="94" t="s">
        <v>7562</v>
      </c>
      <c r="J2372" s="100" t="s">
        <v>58</v>
      </c>
      <c r="K2372" s="91" t="s">
        <v>58</v>
      </c>
      <c r="L2372" s="91" t="s">
        <v>60</v>
      </c>
      <c r="M2372" s="98">
        <f ca="1">(TODAY()-H2372)/365</f>
        <v>27.942465753424656</v>
      </c>
      <c r="N2372" s="99">
        <f>(G2372-H2372)/365</f>
        <v>26.693150684931506</v>
      </c>
      <c r="O2372" s="98">
        <f ca="1">(TODAY()-G2372)/365</f>
        <v>1.2493150684931507</v>
      </c>
      <c r="P2372" s="91" t="s">
        <v>43</v>
      </c>
      <c r="Q2372" s="91">
        <v>0</v>
      </c>
      <c r="R2372" s="91">
        <v>0</v>
      </c>
      <c r="S2372" s="91">
        <v>0</v>
      </c>
      <c r="T2372" s="91"/>
      <c r="U2372" s="91"/>
      <c r="V2372" s="91"/>
      <c r="W2372" s="91"/>
      <c r="X2372" s="91"/>
      <c r="Y2372" s="91"/>
      <c r="Z2372" s="91"/>
      <c r="AA2372" s="91"/>
      <c r="AB2372" s="91"/>
      <c r="AC2372" s="91"/>
      <c r="AD2372" s="91"/>
      <c r="AE2372" s="91"/>
      <c r="AF2372" s="91"/>
      <c r="AG2372" s="91"/>
      <c r="AH2372" s="91"/>
      <c r="AI2372" s="91"/>
      <c r="AJ2372" s="91"/>
      <c r="AK2372" s="91"/>
      <c r="AL2372" s="91"/>
      <c r="AM2372" s="91"/>
    </row>
    <row r="2373" spans="1:39" ht="20.25" hidden="1" customHeight="1">
      <c r="A2373" s="91"/>
      <c r="B2373" s="93" t="s">
        <v>7542</v>
      </c>
      <c r="C2373" s="91" t="s">
        <v>36</v>
      </c>
      <c r="D2373" s="94" t="s">
        <v>7563</v>
      </c>
      <c r="E2373" s="94" t="s">
        <v>7564</v>
      </c>
      <c r="F2373" s="95" t="s">
        <v>7565</v>
      </c>
      <c r="G2373" s="96">
        <v>32975</v>
      </c>
      <c r="H2373" s="97">
        <v>23152</v>
      </c>
      <c r="I2373" s="94" t="s">
        <v>7566</v>
      </c>
      <c r="J2373" s="100" t="s">
        <v>58</v>
      </c>
      <c r="K2373" s="91" t="s">
        <v>58</v>
      </c>
      <c r="L2373" s="91" t="s">
        <v>60</v>
      </c>
      <c r="M2373" s="98">
        <f ca="1">(TODAY()-H2373)/365</f>
        <v>62.602739726027394</v>
      </c>
      <c r="N2373" s="99">
        <f>(G2373-H2373)/365</f>
        <v>26.912328767123288</v>
      </c>
      <c r="O2373" s="98">
        <f ca="1">(TODAY()-G2373)/365</f>
        <v>35.69041095890411</v>
      </c>
      <c r="P2373" s="91" t="s">
        <v>43</v>
      </c>
      <c r="Q2373" s="91">
        <v>0</v>
      </c>
      <c r="R2373" s="91">
        <v>0</v>
      </c>
      <c r="S2373" s="91">
        <v>0</v>
      </c>
      <c r="T2373" s="91"/>
      <c r="U2373" s="91"/>
      <c r="V2373" s="91"/>
      <c r="W2373" s="91"/>
      <c r="X2373" s="91"/>
      <c r="Y2373" s="91"/>
      <c r="Z2373" s="91"/>
      <c r="AA2373" s="91"/>
      <c r="AB2373" s="91"/>
      <c r="AC2373" s="91"/>
      <c r="AD2373" s="91"/>
      <c r="AE2373" s="91"/>
      <c r="AF2373" s="91"/>
      <c r="AG2373" s="91"/>
      <c r="AH2373" s="91"/>
      <c r="AI2373" s="91"/>
      <c r="AJ2373" s="91"/>
      <c r="AK2373" s="91"/>
      <c r="AL2373" s="91"/>
      <c r="AM2373" s="91"/>
    </row>
    <row r="2374" spans="1:39" ht="20.25" hidden="1" customHeight="1">
      <c r="A2374" s="91"/>
      <c r="B2374" s="93" t="s">
        <v>7542</v>
      </c>
      <c r="C2374" s="91" t="s">
        <v>36</v>
      </c>
      <c r="D2374" s="94" t="s">
        <v>7567</v>
      </c>
      <c r="E2374" s="94" t="s">
        <v>7568</v>
      </c>
      <c r="F2374" s="95" t="s">
        <v>7569</v>
      </c>
      <c r="G2374" s="96">
        <v>42522</v>
      </c>
      <c r="H2374" s="97">
        <v>30963</v>
      </c>
      <c r="I2374" s="94" t="s">
        <v>7570</v>
      </c>
      <c r="J2374" s="100" t="s">
        <v>58</v>
      </c>
      <c r="K2374" s="91" t="s">
        <v>58</v>
      </c>
      <c r="L2374" s="91" t="s">
        <v>60</v>
      </c>
      <c r="M2374" s="98">
        <f ca="1">(TODAY()-H2374)/365</f>
        <v>41.202739726027396</v>
      </c>
      <c r="N2374" s="99">
        <f>(G2374-H2374)/365</f>
        <v>31.668493150684931</v>
      </c>
      <c r="O2374" s="98">
        <f ca="1">(TODAY()-G2374)/365</f>
        <v>9.5342465753424666</v>
      </c>
      <c r="P2374" s="91" t="s">
        <v>43</v>
      </c>
      <c r="Q2374" s="91">
        <v>0</v>
      </c>
      <c r="R2374" s="91">
        <v>0</v>
      </c>
      <c r="S2374" s="91">
        <v>0</v>
      </c>
      <c r="T2374" s="91"/>
      <c r="U2374" s="91"/>
      <c r="V2374" s="91"/>
      <c r="W2374" s="91"/>
      <c r="X2374" s="91"/>
      <c r="Y2374" s="91"/>
      <c r="Z2374" s="91"/>
      <c r="AA2374" s="91"/>
      <c r="AB2374" s="91"/>
      <c r="AC2374" s="91"/>
      <c r="AD2374" s="91"/>
      <c r="AE2374" s="91"/>
      <c r="AF2374" s="91"/>
      <c r="AG2374" s="91"/>
      <c r="AH2374" s="91"/>
      <c r="AI2374" s="91"/>
      <c r="AJ2374" s="91"/>
      <c r="AK2374" s="91"/>
      <c r="AL2374" s="91"/>
      <c r="AM2374" s="91"/>
    </row>
    <row r="2375" spans="1:39" ht="20.25" hidden="1" customHeight="1">
      <c r="A2375" s="91"/>
      <c r="B2375" s="93" t="s">
        <v>7542</v>
      </c>
      <c r="C2375" s="91" t="s">
        <v>36</v>
      </c>
      <c r="D2375" s="94" t="s">
        <v>7571</v>
      </c>
      <c r="E2375" s="94" t="s">
        <v>7572</v>
      </c>
      <c r="F2375" s="95" t="s">
        <v>7573</v>
      </c>
      <c r="G2375" s="96">
        <v>33005</v>
      </c>
      <c r="H2375" s="97">
        <v>21127</v>
      </c>
      <c r="I2375" s="100" t="s">
        <v>58</v>
      </c>
      <c r="J2375" s="100" t="s">
        <v>58</v>
      </c>
      <c r="K2375" s="91" t="s">
        <v>58</v>
      </c>
      <c r="L2375" s="91" t="s">
        <v>60</v>
      </c>
      <c r="M2375" s="98">
        <f ca="1">(TODAY()-H2375)/365</f>
        <v>68.150684931506845</v>
      </c>
      <c r="N2375" s="99">
        <f>(G2375-H2375)/365</f>
        <v>32.542465753424658</v>
      </c>
      <c r="O2375" s="98">
        <f ca="1">(TODAY()-G2375)/365</f>
        <v>35.608219178082194</v>
      </c>
      <c r="P2375" s="91" t="s">
        <v>43</v>
      </c>
      <c r="Q2375" s="91">
        <v>0</v>
      </c>
      <c r="R2375" s="91">
        <v>0</v>
      </c>
      <c r="S2375" s="91">
        <v>0</v>
      </c>
      <c r="T2375" s="91"/>
      <c r="U2375" s="91"/>
      <c r="V2375" s="91"/>
      <c r="W2375" s="91"/>
      <c r="X2375" s="91"/>
      <c r="Y2375" s="91"/>
      <c r="Z2375" s="91"/>
      <c r="AA2375" s="91"/>
      <c r="AB2375" s="91"/>
      <c r="AC2375" s="91"/>
      <c r="AD2375" s="91"/>
      <c r="AE2375" s="91"/>
      <c r="AF2375" s="91"/>
      <c r="AG2375" s="91"/>
      <c r="AH2375" s="91"/>
      <c r="AI2375" s="91"/>
      <c r="AJ2375" s="91"/>
      <c r="AK2375" s="91"/>
      <c r="AL2375" s="91"/>
      <c r="AM2375" s="91"/>
    </row>
    <row r="2376" spans="1:39" ht="20.25" hidden="1" customHeight="1">
      <c r="A2376" s="91"/>
      <c r="B2376" s="93" t="s">
        <v>7542</v>
      </c>
      <c r="C2376" s="91" t="s">
        <v>36</v>
      </c>
      <c r="D2376" s="94" t="s">
        <v>7574</v>
      </c>
      <c r="E2376" s="94" t="s">
        <v>7575</v>
      </c>
      <c r="F2376" s="95" t="s">
        <v>7576</v>
      </c>
      <c r="G2376" s="96">
        <v>45292</v>
      </c>
      <c r="H2376" s="97">
        <v>29419</v>
      </c>
      <c r="I2376" s="94" t="s">
        <v>7577</v>
      </c>
      <c r="J2376" s="100" t="s">
        <v>58</v>
      </c>
      <c r="K2376" s="91" t="s">
        <v>58</v>
      </c>
      <c r="L2376" s="91" t="s">
        <v>60</v>
      </c>
      <c r="M2376" s="98">
        <f ca="1">(TODAY()-H2376)/365</f>
        <v>45.43287671232877</v>
      </c>
      <c r="N2376" s="99">
        <f>(G2376-H2376)/365</f>
        <v>43.487671232876714</v>
      </c>
      <c r="O2376" s="98">
        <f ca="1">(TODAY()-G2376)/365</f>
        <v>1.9452054794520548</v>
      </c>
      <c r="P2376" s="91" t="s">
        <v>272</v>
      </c>
      <c r="Q2376" s="91">
        <v>0</v>
      </c>
      <c r="R2376" s="91">
        <v>0</v>
      </c>
      <c r="S2376" s="91">
        <v>0</v>
      </c>
      <c r="T2376" s="91"/>
      <c r="U2376" s="91"/>
      <c r="V2376" s="91"/>
      <c r="W2376" s="91"/>
      <c r="X2376" s="91"/>
      <c r="Y2376" s="91"/>
      <c r="Z2376" s="91"/>
      <c r="AA2376" s="91"/>
      <c r="AB2376" s="91"/>
      <c r="AC2376" s="91"/>
      <c r="AD2376" s="91"/>
      <c r="AE2376" s="91"/>
      <c r="AF2376" s="91"/>
      <c r="AG2376" s="91"/>
      <c r="AH2376" s="91"/>
      <c r="AI2376" s="91"/>
      <c r="AJ2376" s="91"/>
      <c r="AK2376" s="91"/>
      <c r="AL2376" s="91"/>
      <c r="AM2376" s="91"/>
    </row>
    <row r="2377" spans="1:39" ht="20.25" hidden="1" customHeight="1">
      <c r="A2377" s="91"/>
      <c r="B2377" s="93" t="s">
        <v>7542</v>
      </c>
      <c r="C2377" s="91" t="s">
        <v>36</v>
      </c>
      <c r="D2377" s="94" t="s">
        <v>7578</v>
      </c>
      <c r="E2377" s="94" t="s">
        <v>7579</v>
      </c>
      <c r="F2377" s="95" t="s">
        <v>7580</v>
      </c>
      <c r="G2377" s="96">
        <v>45292</v>
      </c>
      <c r="H2377" s="97">
        <v>28823</v>
      </c>
      <c r="I2377" s="94" t="s">
        <v>7581</v>
      </c>
      <c r="J2377" s="100" t="s">
        <v>58</v>
      </c>
      <c r="K2377" s="91" t="s">
        <v>58</v>
      </c>
      <c r="L2377" s="91" t="s">
        <v>60</v>
      </c>
      <c r="M2377" s="98">
        <f ca="1">(TODAY()-H2377)/365</f>
        <v>47.065753424657537</v>
      </c>
      <c r="N2377" s="99">
        <f>(G2377-H2377)/365</f>
        <v>45.12054794520548</v>
      </c>
      <c r="O2377" s="98">
        <f ca="1">(TODAY()-G2377)/365</f>
        <v>1.9452054794520548</v>
      </c>
      <c r="P2377" s="91" t="s">
        <v>43</v>
      </c>
      <c r="Q2377" s="91">
        <v>0</v>
      </c>
      <c r="R2377" s="91">
        <v>0</v>
      </c>
      <c r="S2377" s="91">
        <v>0</v>
      </c>
      <c r="T2377" s="91"/>
      <c r="U2377" s="91"/>
      <c r="V2377" s="91"/>
      <c r="W2377" s="91"/>
      <c r="X2377" s="91"/>
      <c r="Y2377" s="91"/>
      <c r="Z2377" s="91"/>
      <c r="AA2377" s="91"/>
      <c r="AB2377" s="91"/>
      <c r="AC2377" s="91"/>
      <c r="AD2377" s="91"/>
      <c r="AE2377" s="91"/>
      <c r="AF2377" s="91"/>
      <c r="AG2377" s="91"/>
      <c r="AH2377" s="91"/>
      <c r="AI2377" s="91"/>
      <c r="AJ2377" s="91"/>
      <c r="AK2377" s="91"/>
      <c r="AL2377" s="91"/>
      <c r="AM2377" s="91"/>
    </row>
    <row r="2378" spans="1:39" ht="20.25" hidden="1" customHeight="1">
      <c r="A2378" s="91"/>
      <c r="B2378" s="93" t="s">
        <v>7542</v>
      </c>
      <c r="C2378" s="91" t="s">
        <v>36</v>
      </c>
      <c r="D2378" s="94" t="s">
        <v>7582</v>
      </c>
      <c r="E2378" s="94" t="s">
        <v>7583</v>
      </c>
      <c r="F2378" s="95" t="s">
        <v>7584</v>
      </c>
      <c r="G2378" s="96">
        <v>40969</v>
      </c>
      <c r="H2378" s="97">
        <v>24155</v>
      </c>
      <c r="I2378" s="100" t="s">
        <v>58</v>
      </c>
      <c r="J2378" s="100" t="s">
        <v>58</v>
      </c>
      <c r="K2378" s="91" t="s">
        <v>58</v>
      </c>
      <c r="L2378" s="91" t="s">
        <v>60</v>
      </c>
      <c r="M2378" s="98">
        <f ca="1">(TODAY()-H2378)/365</f>
        <v>59.854794520547948</v>
      </c>
      <c r="N2378" s="99">
        <f>(G2378-H2378)/365</f>
        <v>46.065753424657537</v>
      </c>
      <c r="O2378" s="98">
        <f ca="1">(TODAY()-G2378)/365</f>
        <v>13.789041095890411</v>
      </c>
      <c r="P2378" s="91" t="s">
        <v>43</v>
      </c>
      <c r="Q2378" s="91">
        <v>0</v>
      </c>
      <c r="R2378" s="91">
        <v>0</v>
      </c>
      <c r="S2378" s="91">
        <v>0</v>
      </c>
      <c r="T2378" s="91"/>
      <c r="U2378" s="91"/>
      <c r="V2378" s="91"/>
      <c r="W2378" s="91"/>
      <c r="X2378" s="91"/>
      <c r="Y2378" s="91"/>
      <c r="Z2378" s="91"/>
      <c r="AA2378" s="91"/>
      <c r="AB2378" s="91"/>
      <c r="AC2378" s="91"/>
      <c r="AD2378" s="91"/>
      <c r="AE2378" s="91"/>
      <c r="AF2378" s="91"/>
      <c r="AG2378" s="91"/>
      <c r="AH2378" s="91"/>
      <c r="AI2378" s="91"/>
      <c r="AJ2378" s="91"/>
      <c r="AK2378" s="91"/>
      <c r="AL2378" s="91"/>
      <c r="AM2378" s="91"/>
    </row>
    <row r="2379" spans="1:39" ht="20.25" hidden="1" customHeight="1">
      <c r="A2379" s="91"/>
      <c r="B2379" s="93" t="s">
        <v>7542</v>
      </c>
      <c r="C2379" s="91" t="s">
        <v>36</v>
      </c>
      <c r="D2379" s="94" t="s">
        <v>7585</v>
      </c>
      <c r="E2379" s="94" t="s">
        <v>7586</v>
      </c>
      <c r="F2379" s="95" t="s">
        <v>7587</v>
      </c>
      <c r="G2379" s="96">
        <v>42430</v>
      </c>
      <c r="H2379" s="97">
        <v>24778</v>
      </c>
      <c r="I2379" s="100" t="s">
        <v>58</v>
      </c>
      <c r="J2379" s="100" t="s">
        <v>58</v>
      </c>
      <c r="K2379" s="91" t="s">
        <v>58</v>
      </c>
      <c r="L2379" s="91" t="s">
        <v>60</v>
      </c>
      <c r="M2379" s="98">
        <f ca="1">(TODAY()-H2379)/365</f>
        <v>58.147945205479452</v>
      </c>
      <c r="N2379" s="99">
        <f>(G2379-H2379)/365</f>
        <v>48.361643835616441</v>
      </c>
      <c r="O2379" s="98">
        <f ca="1">(TODAY()-G2379)/365</f>
        <v>9.786301369863013</v>
      </c>
      <c r="P2379" s="91" t="s">
        <v>43</v>
      </c>
      <c r="Q2379" s="91">
        <v>0</v>
      </c>
      <c r="R2379" s="91">
        <v>0</v>
      </c>
      <c r="S2379" s="91">
        <v>0</v>
      </c>
      <c r="T2379" s="91"/>
      <c r="U2379" s="91"/>
      <c r="V2379" s="91"/>
      <c r="W2379" s="91"/>
      <c r="X2379" s="91"/>
      <c r="Y2379" s="91"/>
      <c r="Z2379" s="91"/>
      <c r="AA2379" s="91"/>
      <c r="AB2379" s="91"/>
      <c r="AC2379" s="91"/>
      <c r="AD2379" s="91"/>
      <c r="AE2379" s="91"/>
      <c r="AF2379" s="91"/>
      <c r="AG2379" s="91"/>
      <c r="AH2379" s="91"/>
      <c r="AI2379" s="91"/>
      <c r="AJ2379" s="91"/>
      <c r="AK2379" s="91"/>
      <c r="AL2379" s="91"/>
      <c r="AM2379" s="91"/>
    </row>
    <row r="2380" spans="1:39" ht="20.25" hidden="1" customHeight="1">
      <c r="A2380" s="91"/>
      <c r="B2380" s="93" t="s">
        <v>7542</v>
      </c>
      <c r="C2380" s="91" t="s">
        <v>36</v>
      </c>
      <c r="D2380" s="94" t="s">
        <v>7588</v>
      </c>
      <c r="E2380" s="94" t="s">
        <v>7589</v>
      </c>
      <c r="F2380" s="95" t="s">
        <v>7590</v>
      </c>
      <c r="G2380" s="96">
        <v>33009</v>
      </c>
      <c r="H2380" s="97">
        <v>14664</v>
      </c>
      <c r="I2380" s="94" t="s">
        <v>7591</v>
      </c>
      <c r="J2380" s="100" t="s">
        <v>58</v>
      </c>
      <c r="K2380" s="91" t="s">
        <v>58</v>
      </c>
      <c r="L2380" s="91" t="s">
        <v>60</v>
      </c>
      <c r="M2380" s="98">
        <f ca="1">(TODAY()-H2380)/365</f>
        <v>85.857534246575341</v>
      </c>
      <c r="N2380" s="99">
        <f>(G2380-H2380)/365</f>
        <v>50.260273972602739</v>
      </c>
      <c r="O2380" s="98">
        <f ca="1">(TODAY()-G2380)/365</f>
        <v>35.597260273972601</v>
      </c>
      <c r="P2380" s="91" t="s">
        <v>43</v>
      </c>
      <c r="Q2380" s="91">
        <v>0</v>
      </c>
      <c r="R2380" s="91">
        <v>0</v>
      </c>
      <c r="S2380" s="91">
        <v>0</v>
      </c>
      <c r="T2380" s="91"/>
      <c r="U2380" s="91"/>
      <c r="V2380" s="91"/>
      <c r="W2380" s="91"/>
      <c r="X2380" s="91"/>
      <c r="Y2380" s="91"/>
      <c r="Z2380" s="91"/>
      <c r="AA2380" s="91"/>
      <c r="AB2380" s="91"/>
      <c r="AC2380" s="91"/>
      <c r="AD2380" s="91"/>
      <c r="AE2380" s="91"/>
      <c r="AF2380" s="91"/>
      <c r="AG2380" s="91"/>
      <c r="AH2380" s="91"/>
      <c r="AI2380" s="91"/>
      <c r="AJ2380" s="91"/>
      <c r="AK2380" s="91"/>
      <c r="AL2380" s="91"/>
      <c r="AM2380" s="91"/>
    </row>
    <row r="2381" spans="1:39" ht="20.25" hidden="1" customHeight="1">
      <c r="A2381" s="91"/>
      <c r="B2381" s="93" t="s">
        <v>7542</v>
      </c>
      <c r="C2381" s="91" t="s">
        <v>36</v>
      </c>
      <c r="D2381" s="94" t="s">
        <v>7592</v>
      </c>
      <c r="E2381" s="94" t="s">
        <v>7593</v>
      </c>
      <c r="F2381" s="95" t="s">
        <v>7594</v>
      </c>
      <c r="G2381" s="96">
        <v>45546</v>
      </c>
      <c r="H2381" s="97">
        <v>27134</v>
      </c>
      <c r="I2381" s="94" t="s">
        <v>7595</v>
      </c>
      <c r="J2381" s="100" t="s">
        <v>58</v>
      </c>
      <c r="K2381" s="91" t="s">
        <v>58</v>
      </c>
      <c r="L2381" s="91" t="s">
        <v>60</v>
      </c>
      <c r="M2381" s="98">
        <f ca="1">(TODAY()-H2381)/365</f>
        <v>51.69315068493151</v>
      </c>
      <c r="N2381" s="99">
        <f>(G2381-H2381)/365</f>
        <v>50.443835616438356</v>
      </c>
      <c r="O2381" s="98">
        <f ca="1">(TODAY()-G2381)/365</f>
        <v>1.2493150684931507</v>
      </c>
      <c r="P2381" s="91" t="s">
        <v>43</v>
      </c>
      <c r="Q2381" s="91">
        <v>0</v>
      </c>
      <c r="R2381" s="91">
        <v>0</v>
      </c>
      <c r="S2381" s="91">
        <v>0</v>
      </c>
      <c r="T2381" s="91"/>
      <c r="U2381" s="91"/>
      <c r="V2381" s="91"/>
      <c r="W2381" s="91"/>
      <c r="X2381" s="91"/>
      <c r="Y2381" s="91"/>
      <c r="Z2381" s="91"/>
      <c r="AA2381" s="91"/>
      <c r="AB2381" s="91"/>
      <c r="AC2381" s="91"/>
      <c r="AD2381" s="91"/>
      <c r="AE2381" s="91"/>
      <c r="AF2381" s="91"/>
      <c r="AG2381" s="91"/>
      <c r="AH2381" s="91"/>
      <c r="AI2381" s="91"/>
      <c r="AJ2381" s="91"/>
      <c r="AK2381" s="91"/>
      <c r="AL2381" s="91"/>
      <c r="AM2381" s="91"/>
    </row>
    <row r="2382" spans="1:39" ht="20.25" hidden="1" customHeight="1">
      <c r="A2382" s="91"/>
      <c r="B2382" s="93" t="s">
        <v>7542</v>
      </c>
      <c r="C2382" s="91" t="s">
        <v>36</v>
      </c>
      <c r="D2382" s="94" t="s">
        <v>7596</v>
      </c>
      <c r="E2382" s="94" t="s">
        <v>7597</v>
      </c>
      <c r="F2382" s="95" t="s">
        <v>7598</v>
      </c>
      <c r="G2382" s="97" t="s">
        <v>58</v>
      </c>
      <c r="H2382" s="97" t="s">
        <v>58</v>
      </c>
      <c r="I2382" s="100" t="s">
        <v>58</v>
      </c>
      <c r="J2382" s="100" t="s">
        <v>58</v>
      </c>
      <c r="K2382" s="91" t="s">
        <v>58</v>
      </c>
      <c r="L2382" s="91" t="s">
        <v>60</v>
      </c>
      <c r="M2382" s="98"/>
      <c r="N2382" s="91"/>
      <c r="O2382" s="98" t="e">
        <f ca="1">(TODAY()-G2382)/365</f>
        <v>#VALUE!</v>
      </c>
      <c r="P2382" s="91" t="s">
        <v>43</v>
      </c>
      <c r="Q2382" s="91">
        <v>0</v>
      </c>
      <c r="R2382" s="91">
        <v>0</v>
      </c>
      <c r="S2382" s="91">
        <v>0</v>
      </c>
      <c r="T2382" s="91"/>
      <c r="U2382" s="91"/>
      <c r="V2382" s="91"/>
      <c r="W2382" s="91"/>
      <c r="X2382" s="91"/>
      <c r="Y2382" s="91"/>
      <c r="Z2382" s="91"/>
      <c r="AA2382" s="91"/>
      <c r="AB2382" s="91"/>
      <c r="AC2382" s="91"/>
      <c r="AD2382" s="91"/>
      <c r="AE2382" s="91"/>
      <c r="AF2382" s="91"/>
      <c r="AG2382" s="91"/>
      <c r="AH2382" s="91"/>
      <c r="AI2382" s="91"/>
      <c r="AJ2382" s="91"/>
      <c r="AK2382" s="91"/>
      <c r="AL2382" s="91"/>
      <c r="AM2382" s="91"/>
    </row>
    <row r="2383" spans="1:39" ht="20.25" hidden="1" customHeight="1">
      <c r="A2383" s="91"/>
      <c r="B2383" s="93" t="s">
        <v>7542</v>
      </c>
      <c r="C2383" s="91" t="s">
        <v>36</v>
      </c>
      <c r="D2383" s="94" t="s">
        <v>7599</v>
      </c>
      <c r="E2383" s="94" t="s">
        <v>7600</v>
      </c>
      <c r="F2383" s="95" t="s">
        <v>7601</v>
      </c>
      <c r="G2383" s="96">
        <v>39930</v>
      </c>
      <c r="H2383" s="97">
        <v>14422</v>
      </c>
      <c r="I2383" s="94" t="s">
        <v>7602</v>
      </c>
      <c r="J2383" s="100" t="s">
        <v>58</v>
      </c>
      <c r="K2383" s="91" t="s">
        <v>58</v>
      </c>
      <c r="L2383" s="91" t="s">
        <v>60</v>
      </c>
      <c r="M2383" s="98">
        <f ca="1">(TODAY()-H2383)/365</f>
        <v>86.520547945205479</v>
      </c>
      <c r="N2383" s="99">
        <f>(G2383-H2383)/365</f>
        <v>69.884931506849313</v>
      </c>
      <c r="O2383" s="98">
        <f ca="1">(TODAY()-G2383)/365</f>
        <v>16.635616438356163</v>
      </c>
      <c r="P2383" s="91" t="s">
        <v>43</v>
      </c>
      <c r="Q2383" s="91">
        <v>0</v>
      </c>
      <c r="R2383" s="91">
        <v>0</v>
      </c>
      <c r="S2383" s="91">
        <v>0</v>
      </c>
      <c r="T2383" s="91"/>
      <c r="U2383" s="91"/>
      <c r="V2383" s="91"/>
      <c r="W2383" s="91"/>
      <c r="X2383" s="91"/>
      <c r="Y2383" s="91"/>
      <c r="Z2383" s="91"/>
      <c r="AA2383" s="91"/>
      <c r="AB2383" s="91"/>
      <c r="AC2383" s="91"/>
      <c r="AD2383" s="91"/>
      <c r="AE2383" s="91"/>
      <c r="AF2383" s="91"/>
      <c r="AG2383" s="91"/>
      <c r="AH2383" s="91"/>
      <c r="AI2383" s="91"/>
      <c r="AJ2383" s="91"/>
      <c r="AK2383" s="91"/>
      <c r="AL2383" s="91"/>
      <c r="AM2383" s="91"/>
    </row>
    <row r="2384" spans="1:39" ht="20.25" hidden="1" customHeight="1">
      <c r="A2384" s="91"/>
      <c r="B2384" s="93" t="s">
        <v>7603</v>
      </c>
      <c r="C2384" s="91" t="s">
        <v>36</v>
      </c>
      <c r="D2384" s="107" t="s">
        <v>7604</v>
      </c>
      <c r="E2384" s="107" t="s">
        <v>7605</v>
      </c>
      <c r="F2384" s="95" t="s">
        <v>7606</v>
      </c>
      <c r="G2384" s="96">
        <v>26036</v>
      </c>
      <c r="H2384" s="97">
        <v>17873</v>
      </c>
      <c r="I2384" s="94" t="s">
        <v>58</v>
      </c>
      <c r="J2384" s="94" t="s">
        <v>7607</v>
      </c>
      <c r="K2384" s="95" t="s">
        <v>7608</v>
      </c>
      <c r="L2384" s="91" t="s">
        <v>60</v>
      </c>
      <c r="M2384" s="98">
        <f ca="1">(TODAY()-H2384)/365</f>
        <v>77.06575342465753</v>
      </c>
      <c r="N2384" s="99">
        <f>(G2384-H2384)/365</f>
        <v>22.364383561643837</v>
      </c>
      <c r="O2384" s="98">
        <f ca="1">(TODAY()-G2384)/365</f>
        <v>54.701369863013696</v>
      </c>
      <c r="P2384" s="91" t="s">
        <v>43</v>
      </c>
      <c r="Q2384" s="91">
        <v>0</v>
      </c>
      <c r="R2384" s="91">
        <v>0</v>
      </c>
      <c r="S2384" s="91">
        <v>0</v>
      </c>
      <c r="T2384" s="91"/>
      <c r="U2384" s="91"/>
      <c r="V2384" s="91"/>
      <c r="W2384" s="91"/>
      <c r="X2384" s="91"/>
      <c r="Y2384" s="91"/>
      <c r="Z2384" s="91"/>
      <c r="AA2384" s="91"/>
      <c r="AB2384" s="91"/>
      <c r="AC2384" s="91"/>
      <c r="AD2384" s="91"/>
      <c r="AE2384" s="91"/>
      <c r="AF2384" s="91"/>
      <c r="AG2384" s="91"/>
      <c r="AH2384" s="91"/>
      <c r="AI2384" s="91"/>
      <c r="AJ2384" s="91"/>
      <c r="AK2384" s="91"/>
      <c r="AL2384" s="91"/>
      <c r="AM2384" s="91"/>
    </row>
    <row r="2385" spans="1:39" ht="20.25" hidden="1" customHeight="1">
      <c r="A2385" s="91"/>
      <c r="B2385" s="93" t="s">
        <v>7603</v>
      </c>
      <c r="C2385" s="91" t="s">
        <v>36</v>
      </c>
      <c r="D2385" s="107" t="s">
        <v>7609</v>
      </c>
      <c r="E2385" s="107" t="s">
        <v>7610</v>
      </c>
      <c r="F2385" s="95" t="s">
        <v>7611</v>
      </c>
      <c r="G2385" s="96">
        <v>27927</v>
      </c>
      <c r="H2385" s="97">
        <v>17910</v>
      </c>
      <c r="I2385" s="105" t="s">
        <v>7612</v>
      </c>
      <c r="J2385" s="94" t="s">
        <v>7613</v>
      </c>
      <c r="K2385" s="95">
        <v>985839253</v>
      </c>
      <c r="L2385" s="91" t="s">
        <v>60</v>
      </c>
      <c r="M2385" s="98">
        <f ca="1">(TODAY()-H2385)/365</f>
        <v>76.964383561643842</v>
      </c>
      <c r="N2385" s="99">
        <f>(G2385-H2385)/365</f>
        <v>27.443835616438356</v>
      </c>
      <c r="O2385" s="98">
        <f ca="1">(TODAY()-G2385)/365</f>
        <v>49.520547945205479</v>
      </c>
      <c r="P2385" s="91" t="s">
        <v>43</v>
      </c>
      <c r="Q2385" s="91">
        <v>0</v>
      </c>
      <c r="R2385" s="91">
        <v>0</v>
      </c>
      <c r="S2385" s="91">
        <v>0</v>
      </c>
      <c r="T2385" s="91"/>
      <c r="U2385" s="91"/>
      <c r="V2385" s="91"/>
      <c r="W2385" s="91"/>
      <c r="X2385" s="91"/>
      <c r="Y2385" s="91"/>
      <c r="Z2385" s="91"/>
      <c r="AA2385" s="91"/>
      <c r="AB2385" s="91"/>
      <c r="AC2385" s="91"/>
      <c r="AD2385" s="91"/>
      <c r="AE2385" s="91"/>
      <c r="AF2385" s="91"/>
      <c r="AG2385" s="91"/>
      <c r="AH2385" s="91"/>
      <c r="AI2385" s="91"/>
      <c r="AJ2385" s="91"/>
      <c r="AK2385" s="91"/>
      <c r="AL2385" s="91"/>
      <c r="AM2385" s="91"/>
    </row>
    <row r="2386" spans="1:39" ht="20.25" hidden="1" customHeight="1">
      <c r="A2386" s="91"/>
      <c r="B2386" s="93" t="s">
        <v>7603</v>
      </c>
      <c r="C2386" s="91" t="s">
        <v>36</v>
      </c>
      <c r="D2386" s="107" t="s">
        <v>7614</v>
      </c>
      <c r="E2386" s="107" t="s">
        <v>7615</v>
      </c>
      <c r="F2386" s="95" t="s">
        <v>7616</v>
      </c>
      <c r="G2386" s="96">
        <v>44372</v>
      </c>
      <c r="H2386" s="97">
        <v>32340</v>
      </c>
      <c r="I2386" s="94" t="s">
        <v>7617</v>
      </c>
      <c r="J2386" s="94" t="s">
        <v>7618</v>
      </c>
      <c r="K2386" s="95">
        <v>933888805</v>
      </c>
      <c r="L2386" s="91" t="s">
        <v>121</v>
      </c>
      <c r="M2386" s="98">
        <f ca="1">(TODAY()-H2386)/365</f>
        <v>37.43013698630137</v>
      </c>
      <c r="N2386" s="99">
        <f>(G2386-H2386)/365</f>
        <v>32.964383561643835</v>
      </c>
      <c r="O2386" s="98">
        <f ca="1">(TODAY()-G2386)/365</f>
        <v>4.4657534246575343</v>
      </c>
      <c r="P2386" s="91" t="s">
        <v>272</v>
      </c>
      <c r="Q2386" s="91">
        <v>0</v>
      </c>
      <c r="R2386" s="91">
        <v>0</v>
      </c>
      <c r="S2386" s="91">
        <v>0</v>
      </c>
      <c r="T2386" s="91"/>
      <c r="U2386" s="91"/>
      <c r="V2386" s="91"/>
      <c r="W2386" s="91"/>
      <c r="X2386" s="91"/>
      <c r="Y2386" s="91"/>
      <c r="Z2386" s="91"/>
      <c r="AA2386" s="91"/>
      <c r="AB2386" s="91"/>
      <c r="AC2386" s="91"/>
      <c r="AD2386" s="91"/>
      <c r="AE2386" s="91"/>
      <c r="AF2386" s="91"/>
      <c r="AG2386" s="91"/>
      <c r="AH2386" s="91"/>
      <c r="AI2386" s="91"/>
      <c r="AJ2386" s="91"/>
      <c r="AK2386" s="91"/>
      <c r="AL2386" s="91"/>
      <c r="AM2386" s="91"/>
    </row>
    <row r="2387" spans="1:39" ht="20.25" hidden="1" customHeight="1">
      <c r="A2387" s="91"/>
      <c r="B2387" s="93" t="s">
        <v>7603</v>
      </c>
      <c r="C2387" s="91" t="s">
        <v>36</v>
      </c>
      <c r="D2387" s="107" t="s">
        <v>7619</v>
      </c>
      <c r="E2387" s="107" t="s">
        <v>7620</v>
      </c>
      <c r="F2387" s="95" t="s">
        <v>7621</v>
      </c>
      <c r="G2387" s="96">
        <v>28304</v>
      </c>
      <c r="H2387" s="97">
        <v>15836</v>
      </c>
      <c r="I2387" s="94" t="s">
        <v>7622</v>
      </c>
      <c r="J2387" s="94" t="s">
        <v>7623</v>
      </c>
      <c r="K2387" s="95">
        <v>977978233</v>
      </c>
      <c r="L2387" s="91" t="s">
        <v>42</v>
      </c>
      <c r="M2387" s="98">
        <f ca="1">(TODAY()-H2387)/365</f>
        <v>82.646575342465752</v>
      </c>
      <c r="N2387" s="99">
        <f>(G2387-H2387)/365</f>
        <v>34.158904109589038</v>
      </c>
      <c r="O2387" s="98">
        <f ca="1">(TODAY()-G2387)/365</f>
        <v>48.487671232876714</v>
      </c>
      <c r="P2387" s="91" t="s">
        <v>43</v>
      </c>
      <c r="Q2387" s="91">
        <v>0</v>
      </c>
      <c r="R2387" s="91">
        <v>0</v>
      </c>
      <c r="S2387" s="91">
        <v>0</v>
      </c>
      <c r="T2387" s="91"/>
      <c r="U2387" s="91"/>
      <c r="V2387" s="91"/>
      <c r="W2387" s="91"/>
      <c r="X2387" s="91"/>
      <c r="Y2387" s="91"/>
      <c r="Z2387" s="91"/>
      <c r="AA2387" s="91"/>
      <c r="AB2387" s="91"/>
      <c r="AC2387" s="91"/>
      <c r="AD2387" s="91"/>
      <c r="AE2387" s="91"/>
      <c r="AF2387" s="91"/>
      <c r="AG2387" s="91"/>
      <c r="AH2387" s="91"/>
      <c r="AI2387" s="91"/>
      <c r="AJ2387" s="91"/>
      <c r="AK2387" s="91"/>
      <c r="AL2387" s="91"/>
      <c r="AM2387" s="91"/>
    </row>
    <row r="2388" spans="1:39" ht="20.25" hidden="1" customHeight="1">
      <c r="A2388" s="91"/>
      <c r="B2388" s="93" t="s">
        <v>7603</v>
      </c>
      <c r="C2388" s="91" t="s">
        <v>36</v>
      </c>
      <c r="D2388" s="107" t="s">
        <v>7624</v>
      </c>
      <c r="E2388" s="107" t="s">
        <v>7625</v>
      </c>
      <c r="F2388" s="95" t="s">
        <v>7626</v>
      </c>
      <c r="G2388" s="96">
        <v>29473</v>
      </c>
      <c r="H2388" s="97">
        <v>15567</v>
      </c>
      <c r="I2388" s="94" t="s">
        <v>7627</v>
      </c>
      <c r="J2388" s="94" t="s">
        <v>7628</v>
      </c>
      <c r="K2388" s="95">
        <v>992915434</v>
      </c>
      <c r="L2388" s="91" t="s">
        <v>60</v>
      </c>
      <c r="M2388" s="98">
        <f ca="1">(TODAY()-H2388)/365</f>
        <v>83.38356164383562</v>
      </c>
      <c r="N2388" s="99">
        <f>(G2388-H2388)/365</f>
        <v>38.098630136986301</v>
      </c>
      <c r="O2388" s="98">
        <f ca="1">(TODAY()-G2388)/365</f>
        <v>45.284931506849318</v>
      </c>
      <c r="P2388" s="91" t="s">
        <v>43</v>
      </c>
      <c r="Q2388" s="91">
        <v>0</v>
      </c>
      <c r="R2388" s="91">
        <v>0</v>
      </c>
      <c r="S2388" s="91">
        <v>0</v>
      </c>
      <c r="T2388" s="91"/>
      <c r="U2388" s="91"/>
      <c r="V2388" s="91"/>
      <c r="W2388" s="91"/>
      <c r="X2388" s="91"/>
      <c r="Y2388" s="91"/>
      <c r="Z2388" s="91"/>
      <c r="AA2388" s="91"/>
      <c r="AB2388" s="91"/>
      <c r="AC2388" s="91"/>
      <c r="AD2388" s="91"/>
      <c r="AE2388" s="91"/>
      <c r="AF2388" s="91"/>
      <c r="AG2388" s="91"/>
      <c r="AH2388" s="91"/>
      <c r="AI2388" s="91"/>
      <c r="AJ2388" s="91"/>
      <c r="AK2388" s="91"/>
      <c r="AL2388" s="91"/>
      <c r="AM2388" s="91"/>
    </row>
    <row r="2389" spans="1:39" ht="20.25" hidden="1" customHeight="1">
      <c r="A2389" s="91"/>
      <c r="B2389" s="93" t="s">
        <v>7603</v>
      </c>
      <c r="C2389" s="91" t="s">
        <v>36</v>
      </c>
      <c r="D2389" s="107" t="s">
        <v>7629</v>
      </c>
      <c r="E2389" s="107" t="s">
        <v>7630</v>
      </c>
      <c r="F2389" s="95" t="s">
        <v>7631</v>
      </c>
      <c r="G2389" s="96">
        <v>31518</v>
      </c>
      <c r="H2389" s="97">
        <v>15697</v>
      </c>
      <c r="I2389" s="94" t="s">
        <v>58</v>
      </c>
      <c r="J2389" s="94" t="s">
        <v>7632</v>
      </c>
      <c r="K2389" s="95">
        <v>999646129</v>
      </c>
      <c r="L2389" s="91" t="s">
        <v>151</v>
      </c>
      <c r="M2389" s="98">
        <f ca="1">(TODAY()-H2389)/365</f>
        <v>83.027397260273972</v>
      </c>
      <c r="N2389" s="99">
        <f>(G2389-H2389)/365</f>
        <v>43.345205479452055</v>
      </c>
      <c r="O2389" s="98">
        <f ca="1">(TODAY()-G2389)/365</f>
        <v>39.682191780821917</v>
      </c>
      <c r="P2389" s="91" t="s">
        <v>43</v>
      </c>
      <c r="Q2389" s="91">
        <v>0</v>
      </c>
      <c r="R2389" s="91">
        <v>0</v>
      </c>
      <c r="S2389" s="91">
        <v>0</v>
      </c>
      <c r="T2389" s="91"/>
      <c r="U2389" s="91"/>
      <c r="V2389" s="91"/>
      <c r="W2389" s="91"/>
      <c r="X2389" s="91"/>
      <c r="Y2389" s="91"/>
      <c r="Z2389" s="91"/>
      <c r="AA2389" s="91"/>
      <c r="AB2389" s="91"/>
      <c r="AC2389" s="91"/>
      <c r="AD2389" s="91"/>
      <c r="AE2389" s="91"/>
      <c r="AF2389" s="91"/>
      <c r="AG2389" s="91"/>
      <c r="AH2389" s="91"/>
      <c r="AI2389" s="91"/>
      <c r="AJ2389" s="91"/>
      <c r="AK2389" s="91"/>
      <c r="AL2389" s="91"/>
      <c r="AM2389" s="91"/>
    </row>
    <row r="2390" spans="1:39" ht="20.25" hidden="1" customHeight="1">
      <c r="A2390" s="91"/>
      <c r="B2390" s="93" t="s">
        <v>7603</v>
      </c>
      <c r="C2390" s="91" t="s">
        <v>36</v>
      </c>
      <c r="D2390" s="107" t="s">
        <v>3665</v>
      </c>
      <c r="E2390" s="107" t="s">
        <v>7633</v>
      </c>
      <c r="F2390" s="95" t="s">
        <v>7634</v>
      </c>
      <c r="G2390" s="96">
        <v>33512</v>
      </c>
      <c r="H2390" s="97">
        <v>17573</v>
      </c>
      <c r="I2390" s="108" t="s">
        <v>12413</v>
      </c>
      <c r="J2390" s="94" t="s">
        <v>7635</v>
      </c>
      <c r="K2390" s="95">
        <v>988075420</v>
      </c>
      <c r="L2390" s="91" t="s">
        <v>60</v>
      </c>
      <c r="M2390" s="98">
        <f ca="1">(TODAY()-H2390)/365</f>
        <v>77.887671232876713</v>
      </c>
      <c r="N2390" s="99">
        <f>(G2390-H2390)/365</f>
        <v>43.668493150684931</v>
      </c>
      <c r="O2390" s="98">
        <f ca="1">(TODAY()-G2390)/365</f>
        <v>34.219178082191782</v>
      </c>
      <c r="P2390" s="91" t="s">
        <v>43</v>
      </c>
      <c r="Q2390" s="91">
        <v>0</v>
      </c>
      <c r="R2390" s="91">
        <v>0</v>
      </c>
      <c r="S2390" s="91">
        <v>0</v>
      </c>
      <c r="T2390" s="91"/>
      <c r="U2390" s="91"/>
      <c r="V2390" s="91"/>
      <c r="W2390" s="91"/>
      <c r="X2390" s="91"/>
      <c r="Y2390" s="91"/>
      <c r="Z2390" s="91"/>
      <c r="AA2390" s="91"/>
      <c r="AB2390" s="91"/>
      <c r="AC2390" s="91"/>
      <c r="AD2390" s="91"/>
      <c r="AE2390" s="91"/>
      <c r="AF2390" s="91"/>
      <c r="AG2390" s="91"/>
      <c r="AH2390" s="91"/>
      <c r="AI2390" s="91"/>
      <c r="AJ2390" s="91"/>
      <c r="AK2390" s="91"/>
      <c r="AL2390" s="91"/>
      <c r="AM2390" s="91"/>
    </row>
    <row r="2391" spans="1:39" ht="20.25" hidden="1" customHeight="1">
      <c r="A2391" s="91"/>
      <c r="B2391" s="93" t="s">
        <v>7603</v>
      </c>
      <c r="C2391" s="91" t="s">
        <v>36</v>
      </c>
      <c r="D2391" s="107" t="s">
        <v>7636</v>
      </c>
      <c r="E2391" s="107" t="s">
        <v>7637</v>
      </c>
      <c r="F2391" s="95" t="s">
        <v>7638</v>
      </c>
      <c r="G2391" s="96">
        <v>29473</v>
      </c>
      <c r="H2391" s="97">
        <v>12597</v>
      </c>
      <c r="I2391" s="94" t="s">
        <v>58</v>
      </c>
      <c r="J2391" s="94" t="s">
        <v>7639</v>
      </c>
      <c r="K2391" s="95" t="s">
        <v>7640</v>
      </c>
      <c r="L2391" s="91" t="s">
        <v>60</v>
      </c>
      <c r="M2391" s="98">
        <f ca="1">(TODAY()-H2391)/365</f>
        <v>91.520547945205479</v>
      </c>
      <c r="N2391" s="99">
        <f>(G2391-H2391)/365</f>
        <v>46.235616438356168</v>
      </c>
      <c r="O2391" s="98">
        <f ca="1">(TODAY()-G2391)/365</f>
        <v>45.284931506849318</v>
      </c>
      <c r="P2391" s="91" t="s">
        <v>43</v>
      </c>
      <c r="Q2391" s="91">
        <v>0</v>
      </c>
      <c r="R2391" s="91">
        <v>0</v>
      </c>
      <c r="S2391" s="91">
        <v>0</v>
      </c>
      <c r="T2391" s="91"/>
      <c r="U2391" s="91"/>
      <c r="V2391" s="91"/>
      <c r="W2391" s="91"/>
      <c r="X2391" s="91"/>
      <c r="Y2391" s="91"/>
      <c r="Z2391" s="91"/>
      <c r="AA2391" s="91"/>
      <c r="AB2391" s="91"/>
      <c r="AC2391" s="91"/>
      <c r="AD2391" s="91"/>
      <c r="AE2391" s="91"/>
      <c r="AF2391" s="91"/>
      <c r="AG2391" s="91"/>
      <c r="AH2391" s="91"/>
      <c r="AI2391" s="91"/>
      <c r="AJ2391" s="91"/>
      <c r="AK2391" s="91"/>
      <c r="AL2391" s="91"/>
      <c r="AM2391" s="91"/>
    </row>
    <row r="2392" spans="1:39" ht="20.25" hidden="1" customHeight="1">
      <c r="A2392" s="91"/>
      <c r="B2392" s="93" t="s">
        <v>7603</v>
      </c>
      <c r="C2392" s="91" t="s">
        <v>36</v>
      </c>
      <c r="D2392" s="107" t="s">
        <v>7641</v>
      </c>
      <c r="E2392" s="107" t="s">
        <v>7642</v>
      </c>
      <c r="F2392" s="95" t="s">
        <v>7643</v>
      </c>
      <c r="G2392" s="96">
        <v>37389</v>
      </c>
      <c r="H2392" s="97">
        <v>19287</v>
      </c>
      <c r="I2392" s="94" t="s">
        <v>58</v>
      </c>
      <c r="J2392" s="94" t="s">
        <v>7644</v>
      </c>
      <c r="K2392" s="95">
        <v>983699769</v>
      </c>
      <c r="L2392" s="91" t="s">
        <v>60</v>
      </c>
      <c r="M2392" s="98">
        <f ca="1">(TODAY()-H2392)/365</f>
        <v>73.191780821917803</v>
      </c>
      <c r="N2392" s="99">
        <f>(G2392-H2392)/365</f>
        <v>49.594520547945208</v>
      </c>
      <c r="O2392" s="98">
        <f ca="1">(TODAY()-G2392)/365</f>
        <v>23.597260273972601</v>
      </c>
      <c r="P2392" s="91" t="s">
        <v>43</v>
      </c>
      <c r="Q2392" s="91">
        <v>0</v>
      </c>
      <c r="R2392" s="91">
        <v>0</v>
      </c>
      <c r="S2392" s="91">
        <v>0</v>
      </c>
      <c r="T2392" s="91"/>
      <c r="U2392" s="91"/>
      <c r="V2392" s="91"/>
      <c r="W2392" s="91"/>
      <c r="X2392" s="91"/>
      <c r="Y2392" s="91"/>
      <c r="Z2392" s="91"/>
      <c r="AA2392" s="91"/>
      <c r="AB2392" s="91"/>
      <c r="AC2392" s="91"/>
      <c r="AD2392" s="91"/>
      <c r="AE2392" s="91"/>
      <c r="AF2392" s="91"/>
      <c r="AG2392" s="91"/>
      <c r="AH2392" s="91"/>
      <c r="AI2392" s="91"/>
      <c r="AJ2392" s="91"/>
      <c r="AK2392" s="91"/>
      <c r="AL2392" s="91"/>
      <c r="AM2392" s="91"/>
    </row>
    <row r="2393" spans="1:39" ht="20.25" hidden="1" customHeight="1">
      <c r="A2393" s="91"/>
      <c r="B2393" s="93" t="s">
        <v>7603</v>
      </c>
      <c r="C2393" s="91" t="s">
        <v>36</v>
      </c>
      <c r="D2393" s="107" t="s">
        <v>7645</v>
      </c>
      <c r="E2393" s="107" t="s">
        <v>7646</v>
      </c>
      <c r="F2393" s="95" t="s">
        <v>7647</v>
      </c>
      <c r="G2393" s="96">
        <v>41423</v>
      </c>
      <c r="H2393" s="97">
        <v>23054</v>
      </c>
      <c r="I2393" s="94" t="s">
        <v>58</v>
      </c>
      <c r="J2393" s="94" t="s">
        <v>7648</v>
      </c>
      <c r="K2393" s="95">
        <v>91372799</v>
      </c>
      <c r="L2393" s="91" t="s">
        <v>60</v>
      </c>
      <c r="M2393" s="98">
        <f ca="1">(TODAY()-H2393)/365</f>
        <v>62.871232876712327</v>
      </c>
      <c r="N2393" s="99">
        <f>(G2393-H2393)/365</f>
        <v>50.326027397260276</v>
      </c>
      <c r="O2393" s="98">
        <f ca="1">(TODAY()-G2393)/365</f>
        <v>12.545205479452054</v>
      </c>
      <c r="P2393" s="91" t="s">
        <v>43</v>
      </c>
      <c r="Q2393" s="91">
        <v>0</v>
      </c>
      <c r="R2393" s="91">
        <v>0</v>
      </c>
      <c r="S2393" s="91">
        <v>0</v>
      </c>
      <c r="T2393" s="91"/>
      <c r="U2393" s="91"/>
      <c r="V2393" s="91"/>
      <c r="W2393" s="91"/>
      <c r="X2393" s="91"/>
      <c r="Y2393" s="91"/>
      <c r="Z2393" s="91"/>
      <c r="AA2393" s="91"/>
      <c r="AB2393" s="91"/>
      <c r="AC2393" s="91"/>
      <c r="AD2393" s="91"/>
      <c r="AE2393" s="91"/>
      <c r="AF2393" s="91"/>
      <c r="AG2393" s="91"/>
      <c r="AH2393" s="91"/>
      <c r="AI2393" s="91"/>
      <c r="AJ2393" s="91"/>
      <c r="AK2393" s="91"/>
      <c r="AL2393" s="91"/>
      <c r="AM2393" s="91"/>
    </row>
    <row r="2394" spans="1:39" ht="20.25" hidden="1" customHeight="1">
      <c r="A2394" s="91"/>
      <c r="B2394" s="93" t="s">
        <v>7603</v>
      </c>
      <c r="C2394" s="91" t="s">
        <v>36</v>
      </c>
      <c r="D2394" s="107" t="s">
        <v>7649</v>
      </c>
      <c r="E2394" s="107" t="s">
        <v>7650</v>
      </c>
      <c r="F2394" s="95" t="s">
        <v>7651</v>
      </c>
      <c r="G2394" s="96">
        <v>39539</v>
      </c>
      <c r="H2394" s="97">
        <v>18746</v>
      </c>
      <c r="I2394" s="94" t="s">
        <v>58</v>
      </c>
      <c r="J2394" s="94" t="s">
        <v>7618</v>
      </c>
      <c r="K2394" s="95">
        <v>994408325</v>
      </c>
      <c r="L2394" s="91" t="s">
        <v>167</v>
      </c>
      <c r="M2394" s="98">
        <f ca="1">(TODAY()-H2394)/365</f>
        <v>74.673972602739724</v>
      </c>
      <c r="N2394" s="99">
        <f>(G2394-H2394)/365</f>
        <v>56.967123287671235</v>
      </c>
      <c r="O2394" s="98">
        <f ca="1">(TODAY()-G2394)/365</f>
        <v>17.706849315068492</v>
      </c>
      <c r="P2394" s="91" t="s">
        <v>43</v>
      </c>
      <c r="Q2394" s="91">
        <v>0</v>
      </c>
      <c r="R2394" s="91">
        <v>0</v>
      </c>
      <c r="S2394" s="91">
        <v>0</v>
      </c>
      <c r="T2394" s="91"/>
      <c r="U2394" s="91"/>
      <c r="V2394" s="91"/>
      <c r="W2394" s="91"/>
      <c r="X2394" s="91"/>
      <c r="Y2394" s="91"/>
      <c r="Z2394" s="91"/>
      <c r="AA2394" s="91"/>
      <c r="AB2394" s="91"/>
      <c r="AC2394" s="91"/>
      <c r="AD2394" s="91"/>
      <c r="AE2394" s="91"/>
      <c r="AF2394" s="91"/>
      <c r="AG2394" s="91"/>
      <c r="AH2394" s="91"/>
      <c r="AI2394" s="91"/>
      <c r="AJ2394" s="91"/>
      <c r="AK2394" s="91"/>
      <c r="AL2394" s="91"/>
      <c r="AM2394" s="91"/>
    </row>
    <row r="2395" spans="1:39" ht="20.25" hidden="1" customHeight="1">
      <c r="A2395" s="91"/>
      <c r="B2395" s="93" t="s">
        <v>7603</v>
      </c>
      <c r="C2395" s="91" t="s">
        <v>36</v>
      </c>
      <c r="D2395" s="107" t="s">
        <v>3335</v>
      </c>
      <c r="E2395" s="107" t="s">
        <v>7652</v>
      </c>
      <c r="F2395" s="95" t="s">
        <v>7653</v>
      </c>
      <c r="G2395" s="96">
        <v>38103</v>
      </c>
      <c r="H2395" s="97">
        <v>17292</v>
      </c>
      <c r="I2395" s="94" t="s">
        <v>7654</v>
      </c>
      <c r="J2395" s="94" t="s">
        <v>7655</v>
      </c>
      <c r="K2395" s="95">
        <v>961348119</v>
      </c>
      <c r="L2395" s="91" t="s">
        <v>66</v>
      </c>
      <c r="M2395" s="98">
        <f ca="1">(TODAY()-H2395)/365</f>
        <v>78.657534246575338</v>
      </c>
      <c r="N2395" s="99">
        <f>(G2395-H2395)/365</f>
        <v>57.016438356164386</v>
      </c>
      <c r="O2395" s="98">
        <f ca="1">(TODAY()-G2395)/365</f>
        <v>21.641095890410959</v>
      </c>
      <c r="P2395" s="91" t="s">
        <v>43</v>
      </c>
      <c r="Q2395" s="91">
        <v>0</v>
      </c>
      <c r="R2395" s="91">
        <v>0</v>
      </c>
      <c r="S2395" s="91">
        <v>1</v>
      </c>
      <c r="T2395" s="91"/>
      <c r="U2395" s="91"/>
      <c r="V2395" s="91"/>
      <c r="W2395" s="91"/>
      <c r="X2395" s="91"/>
      <c r="Y2395" s="91"/>
      <c r="Z2395" s="91"/>
      <c r="AA2395" s="91"/>
      <c r="AB2395" s="91"/>
      <c r="AC2395" s="91"/>
      <c r="AD2395" s="91"/>
      <c r="AE2395" s="91"/>
      <c r="AF2395" s="91"/>
      <c r="AG2395" s="91"/>
      <c r="AH2395" s="91"/>
      <c r="AI2395" s="91"/>
      <c r="AJ2395" s="91"/>
      <c r="AK2395" s="91"/>
      <c r="AL2395" s="91"/>
      <c r="AM2395" s="91"/>
    </row>
    <row r="2396" spans="1:39" ht="20.25" hidden="1" customHeight="1">
      <c r="A2396" s="91"/>
      <c r="B2396" s="93" t="s">
        <v>7603</v>
      </c>
      <c r="C2396" s="91" t="s">
        <v>36</v>
      </c>
      <c r="D2396" s="107" t="s">
        <v>7656</v>
      </c>
      <c r="E2396" s="107" t="s">
        <v>7657</v>
      </c>
      <c r="F2396" s="95" t="s">
        <v>7658</v>
      </c>
      <c r="G2396" s="96">
        <v>43322</v>
      </c>
      <c r="H2396" s="97">
        <v>22073</v>
      </c>
      <c r="I2396" s="94" t="s">
        <v>58</v>
      </c>
      <c r="J2396" s="94" t="s">
        <v>7659</v>
      </c>
      <c r="K2396" s="95">
        <v>958969599</v>
      </c>
      <c r="L2396" s="91" t="s">
        <v>197</v>
      </c>
      <c r="M2396" s="98">
        <f ca="1">(TODAY()-H2396)/365</f>
        <v>65.558904109589037</v>
      </c>
      <c r="N2396" s="99">
        <f>(G2396-H2396)/365</f>
        <v>58.216438356164382</v>
      </c>
      <c r="O2396" s="98">
        <f ca="1">(TODAY()-G2396)/365</f>
        <v>7.3424657534246576</v>
      </c>
      <c r="P2396" s="91" t="s">
        <v>272</v>
      </c>
      <c r="Q2396" s="91">
        <v>0</v>
      </c>
      <c r="R2396" s="91">
        <v>0</v>
      </c>
      <c r="S2396" s="91">
        <v>0</v>
      </c>
      <c r="T2396" s="91"/>
      <c r="U2396" s="91"/>
      <c r="V2396" s="91"/>
      <c r="W2396" s="91"/>
      <c r="X2396" s="91"/>
      <c r="Y2396" s="91"/>
      <c r="Z2396" s="91"/>
      <c r="AA2396" s="91"/>
      <c r="AB2396" s="91"/>
      <c r="AC2396" s="91"/>
      <c r="AD2396" s="91"/>
      <c r="AE2396" s="91"/>
      <c r="AF2396" s="91"/>
      <c r="AG2396" s="91"/>
      <c r="AH2396" s="91"/>
      <c r="AI2396" s="91"/>
      <c r="AJ2396" s="91"/>
      <c r="AK2396" s="91"/>
      <c r="AL2396" s="91"/>
      <c r="AM2396" s="91"/>
    </row>
    <row r="2397" spans="1:39" ht="20.25" hidden="1" customHeight="1">
      <c r="A2397" s="91"/>
      <c r="B2397" s="93" t="s">
        <v>7603</v>
      </c>
      <c r="C2397" s="91" t="s">
        <v>36</v>
      </c>
      <c r="D2397" s="107" t="s">
        <v>7660</v>
      </c>
      <c r="E2397" s="107" t="s">
        <v>7661</v>
      </c>
      <c r="F2397" s="95" t="s">
        <v>7662</v>
      </c>
      <c r="G2397" s="96">
        <v>41702</v>
      </c>
      <c r="H2397" s="97">
        <v>20189</v>
      </c>
      <c r="I2397" s="94" t="s">
        <v>58</v>
      </c>
      <c r="J2397" s="94" t="s">
        <v>58</v>
      </c>
      <c r="K2397" s="95">
        <v>987201330</v>
      </c>
      <c r="L2397" s="91" t="s">
        <v>60</v>
      </c>
      <c r="M2397" s="98">
        <f ca="1">(TODAY()-H2397)/365</f>
        <v>70.720547945205482</v>
      </c>
      <c r="N2397" s="99">
        <f>(G2397-H2397)/365</f>
        <v>58.939726027397263</v>
      </c>
      <c r="O2397" s="98">
        <f ca="1">(TODAY()-G2397)/365</f>
        <v>11.780821917808218</v>
      </c>
      <c r="P2397" s="91" t="s">
        <v>43</v>
      </c>
      <c r="Q2397" s="91">
        <v>0</v>
      </c>
      <c r="R2397" s="91">
        <v>0</v>
      </c>
      <c r="S2397" s="91">
        <v>0</v>
      </c>
      <c r="T2397" s="91"/>
      <c r="U2397" s="91"/>
      <c r="V2397" s="91"/>
      <c r="W2397" s="91"/>
      <c r="X2397" s="91"/>
      <c r="Y2397" s="91"/>
      <c r="Z2397" s="91"/>
      <c r="AA2397" s="91"/>
      <c r="AB2397" s="91"/>
      <c r="AC2397" s="91"/>
      <c r="AD2397" s="91"/>
      <c r="AE2397" s="91"/>
      <c r="AF2397" s="91"/>
      <c r="AG2397" s="91"/>
      <c r="AH2397" s="91"/>
      <c r="AI2397" s="91"/>
      <c r="AJ2397" s="91"/>
      <c r="AK2397" s="91"/>
      <c r="AL2397" s="91"/>
      <c r="AM2397" s="91"/>
    </row>
    <row r="2398" spans="1:39" ht="20.25" hidden="1" customHeight="1">
      <c r="A2398" s="91"/>
      <c r="B2398" s="93" t="s">
        <v>7603</v>
      </c>
      <c r="C2398" s="91" t="s">
        <v>36</v>
      </c>
      <c r="D2398" s="107" t="s">
        <v>7663</v>
      </c>
      <c r="E2398" s="107" t="s">
        <v>7610</v>
      </c>
      <c r="F2398" s="95" t="s">
        <v>7664</v>
      </c>
      <c r="G2398" s="96">
        <v>39539</v>
      </c>
      <c r="H2398" s="97">
        <v>16665</v>
      </c>
      <c r="I2398" s="94" t="s">
        <v>58</v>
      </c>
      <c r="J2398" s="94" t="s">
        <v>7665</v>
      </c>
      <c r="K2398" s="95">
        <v>965486495</v>
      </c>
      <c r="L2398" s="91" t="s">
        <v>60</v>
      </c>
      <c r="M2398" s="98">
        <f ca="1">(TODAY()-H2398)/365</f>
        <v>80.37534246575342</v>
      </c>
      <c r="N2398" s="99">
        <f>(G2398-H2398)/365</f>
        <v>62.668493150684931</v>
      </c>
      <c r="O2398" s="98">
        <f ca="1">(TODAY()-G2398)/365</f>
        <v>17.706849315068492</v>
      </c>
      <c r="P2398" s="91" t="s">
        <v>43</v>
      </c>
      <c r="Q2398" s="91">
        <v>0</v>
      </c>
      <c r="R2398" s="91">
        <v>0</v>
      </c>
      <c r="S2398" s="91">
        <v>0</v>
      </c>
      <c r="T2398" s="91"/>
      <c r="U2398" s="91"/>
      <c r="V2398" s="91"/>
      <c r="W2398" s="91"/>
      <c r="X2398" s="91"/>
      <c r="Y2398" s="91"/>
      <c r="Z2398" s="91"/>
      <c r="AA2398" s="91"/>
      <c r="AB2398" s="91"/>
      <c r="AC2398" s="91"/>
      <c r="AD2398" s="91"/>
      <c r="AE2398" s="91"/>
      <c r="AF2398" s="91"/>
      <c r="AG2398" s="91"/>
      <c r="AH2398" s="91"/>
      <c r="AI2398" s="91"/>
      <c r="AJ2398" s="91"/>
      <c r="AK2398" s="91"/>
      <c r="AL2398" s="91"/>
      <c r="AM2398" s="91"/>
    </row>
    <row r="2399" spans="1:39" ht="20.25" hidden="1" customHeight="1">
      <c r="A2399" s="91"/>
      <c r="B2399" s="93" t="s">
        <v>7603</v>
      </c>
      <c r="C2399" s="91" t="s">
        <v>36</v>
      </c>
      <c r="D2399" s="107" t="s">
        <v>3692</v>
      </c>
      <c r="E2399" s="107" t="s">
        <v>7666</v>
      </c>
      <c r="F2399" s="95" t="s">
        <v>7667</v>
      </c>
      <c r="G2399" s="96">
        <v>41778</v>
      </c>
      <c r="H2399" s="97">
        <v>17720</v>
      </c>
      <c r="I2399" s="94" t="s">
        <v>58</v>
      </c>
      <c r="J2399" s="94" t="s">
        <v>7668</v>
      </c>
      <c r="K2399" s="95">
        <v>971534420</v>
      </c>
      <c r="L2399" s="91" t="s">
        <v>60</v>
      </c>
      <c r="M2399" s="98">
        <f ca="1">(TODAY()-H2399)/365</f>
        <v>77.484931506849321</v>
      </c>
      <c r="N2399" s="99">
        <f>(G2399-H2399)/365</f>
        <v>65.912328767123284</v>
      </c>
      <c r="O2399" s="98">
        <f ca="1">(TODAY()-G2399)/365</f>
        <v>11.572602739726028</v>
      </c>
      <c r="P2399" s="91" t="s">
        <v>43</v>
      </c>
      <c r="Q2399" s="91">
        <v>0</v>
      </c>
      <c r="R2399" s="91">
        <v>0</v>
      </c>
      <c r="S2399" s="91">
        <v>0</v>
      </c>
      <c r="T2399" s="91"/>
      <c r="U2399" s="91"/>
      <c r="V2399" s="91"/>
      <c r="W2399" s="91"/>
      <c r="X2399" s="91"/>
      <c r="Y2399" s="91"/>
      <c r="Z2399" s="91"/>
      <c r="AA2399" s="91"/>
      <c r="AB2399" s="91"/>
      <c r="AC2399" s="91"/>
      <c r="AD2399" s="91"/>
      <c r="AE2399" s="91"/>
      <c r="AF2399" s="91"/>
      <c r="AG2399" s="91"/>
      <c r="AH2399" s="91"/>
      <c r="AI2399" s="91"/>
      <c r="AJ2399" s="91"/>
      <c r="AK2399" s="91"/>
      <c r="AL2399" s="91"/>
      <c r="AM2399" s="91"/>
    </row>
    <row r="2400" spans="1:39" ht="20.25" hidden="1" customHeight="1">
      <c r="A2400" s="91"/>
      <c r="B2400" s="93" t="s">
        <v>7603</v>
      </c>
      <c r="C2400" s="91" t="s">
        <v>36</v>
      </c>
      <c r="D2400" s="107" t="s">
        <v>7669</v>
      </c>
      <c r="E2400" s="107" t="s">
        <v>7670</v>
      </c>
      <c r="F2400" s="95" t="s">
        <v>7671</v>
      </c>
      <c r="G2400" s="96">
        <v>42067</v>
      </c>
      <c r="H2400" s="97">
        <v>17616</v>
      </c>
      <c r="I2400" s="94" t="s">
        <v>58</v>
      </c>
      <c r="J2400" s="94" t="s">
        <v>7672</v>
      </c>
      <c r="K2400" s="95">
        <v>990338557</v>
      </c>
      <c r="L2400" s="91" t="s">
        <v>54</v>
      </c>
      <c r="M2400" s="98">
        <f ca="1">(TODAY()-H2400)/365</f>
        <v>77.769863013698625</v>
      </c>
      <c r="N2400" s="99">
        <f>(G2400-H2400)/365</f>
        <v>66.989041095890414</v>
      </c>
      <c r="O2400" s="98">
        <f ca="1">(TODAY()-G2400)/365</f>
        <v>10.780821917808218</v>
      </c>
      <c r="P2400" s="91" t="s">
        <v>43</v>
      </c>
      <c r="Q2400" s="91">
        <v>0</v>
      </c>
      <c r="R2400" s="91">
        <v>0</v>
      </c>
      <c r="S2400" s="91">
        <v>0</v>
      </c>
      <c r="T2400" s="91"/>
      <c r="U2400" s="91"/>
      <c r="V2400" s="91"/>
      <c r="W2400" s="91"/>
      <c r="X2400" s="91"/>
      <c r="Y2400" s="91"/>
      <c r="Z2400" s="91"/>
      <c r="AA2400" s="91"/>
      <c r="AB2400" s="91"/>
      <c r="AC2400" s="91"/>
      <c r="AD2400" s="91"/>
      <c r="AE2400" s="91"/>
      <c r="AF2400" s="91"/>
      <c r="AG2400" s="91"/>
      <c r="AH2400" s="91"/>
      <c r="AI2400" s="91"/>
      <c r="AJ2400" s="91"/>
      <c r="AK2400" s="91"/>
      <c r="AL2400" s="91"/>
      <c r="AM2400" s="91"/>
    </row>
    <row r="2401" spans="1:39" ht="20.25" hidden="1" customHeight="1">
      <c r="A2401" s="91"/>
      <c r="B2401" s="93" t="s">
        <v>7603</v>
      </c>
      <c r="C2401" s="91" t="s">
        <v>36</v>
      </c>
      <c r="D2401" s="107" t="s">
        <v>3187</v>
      </c>
      <c r="E2401" s="107" t="s">
        <v>7673</v>
      </c>
      <c r="F2401" s="95" t="s">
        <v>7674</v>
      </c>
      <c r="G2401" s="96">
        <v>43056</v>
      </c>
      <c r="H2401" s="97">
        <v>18282</v>
      </c>
      <c r="I2401" s="94" t="s">
        <v>58</v>
      </c>
      <c r="J2401" s="94" t="s">
        <v>7613</v>
      </c>
      <c r="K2401" s="95">
        <v>994451463</v>
      </c>
      <c r="L2401" s="91" t="s">
        <v>60</v>
      </c>
      <c r="M2401" s="98">
        <f ca="1">(TODAY()-H2401)/365</f>
        <v>75.945205479452056</v>
      </c>
      <c r="N2401" s="99">
        <f>(G2401-H2401)/365</f>
        <v>67.873972602739727</v>
      </c>
      <c r="O2401" s="98">
        <f ca="1">(TODAY()-G2401)/365</f>
        <v>8.0712328767123296</v>
      </c>
      <c r="P2401" s="91" t="s">
        <v>272</v>
      </c>
      <c r="Q2401" s="91">
        <v>0</v>
      </c>
      <c r="R2401" s="91">
        <v>0</v>
      </c>
      <c r="S2401" s="91">
        <v>0</v>
      </c>
      <c r="T2401" s="91"/>
      <c r="U2401" s="91"/>
      <c r="V2401" s="91"/>
      <c r="W2401" s="91"/>
      <c r="X2401" s="91"/>
      <c r="Y2401" s="91"/>
      <c r="Z2401" s="91"/>
      <c r="AA2401" s="91"/>
      <c r="AB2401" s="91"/>
      <c r="AC2401" s="91"/>
      <c r="AD2401" s="91"/>
      <c r="AE2401" s="91"/>
      <c r="AF2401" s="91"/>
      <c r="AG2401" s="91"/>
      <c r="AH2401" s="91"/>
      <c r="AI2401" s="91"/>
      <c r="AJ2401" s="91"/>
      <c r="AK2401" s="91"/>
      <c r="AL2401" s="91"/>
      <c r="AM2401" s="91"/>
    </row>
    <row r="2402" spans="1:39" ht="20.25" hidden="1" customHeight="1">
      <c r="A2402" s="91"/>
      <c r="B2402" s="93" t="s">
        <v>7603</v>
      </c>
      <c r="C2402" s="91" t="s">
        <v>36</v>
      </c>
      <c r="D2402" s="107" t="s">
        <v>7675</v>
      </c>
      <c r="E2402" s="107" t="s">
        <v>7676</v>
      </c>
      <c r="F2402" s="95" t="s">
        <v>7677</v>
      </c>
      <c r="G2402" s="96">
        <v>44655</v>
      </c>
      <c r="H2402" s="97">
        <v>19381</v>
      </c>
      <c r="I2402" s="94" t="s">
        <v>7678</v>
      </c>
      <c r="J2402" s="94" t="s">
        <v>7679</v>
      </c>
      <c r="K2402" s="95">
        <v>940015746</v>
      </c>
      <c r="L2402" s="91" t="s">
        <v>72</v>
      </c>
      <c r="M2402" s="98">
        <f ca="1">(TODAY()-H2402)/365</f>
        <v>72.93424657534247</v>
      </c>
      <c r="N2402" s="99">
        <f>(G2402-H2402)/365</f>
        <v>69.243835616438361</v>
      </c>
      <c r="O2402" s="98">
        <f ca="1">(TODAY()-G2402)/365</f>
        <v>3.6904109589041094</v>
      </c>
      <c r="P2402" s="91" t="s">
        <v>43</v>
      </c>
      <c r="Q2402" s="91">
        <v>0</v>
      </c>
      <c r="R2402" s="91">
        <v>0</v>
      </c>
      <c r="S2402" s="91">
        <v>0</v>
      </c>
      <c r="T2402" s="91"/>
      <c r="U2402" s="91"/>
      <c r="V2402" s="91"/>
      <c r="W2402" s="91"/>
      <c r="X2402" s="91"/>
      <c r="Y2402" s="91"/>
      <c r="Z2402" s="91"/>
      <c r="AA2402" s="91"/>
      <c r="AB2402" s="91"/>
      <c r="AC2402" s="91"/>
      <c r="AD2402" s="91"/>
      <c r="AE2402" s="91"/>
      <c r="AF2402" s="91"/>
      <c r="AG2402" s="91"/>
      <c r="AH2402" s="91"/>
      <c r="AI2402" s="91"/>
      <c r="AJ2402" s="91"/>
      <c r="AK2402" s="91"/>
      <c r="AL2402" s="91"/>
      <c r="AM2402" s="91"/>
    </row>
    <row r="2403" spans="1:39" ht="20.25" hidden="1" customHeight="1">
      <c r="A2403" s="128"/>
      <c r="B2403" s="93" t="s">
        <v>11482</v>
      </c>
      <c r="C2403" s="91" t="s">
        <v>36</v>
      </c>
      <c r="D2403" s="106" t="s">
        <v>4879</v>
      </c>
      <c r="E2403" s="106" t="s">
        <v>11483</v>
      </c>
      <c r="F2403" s="92" t="s">
        <v>11484</v>
      </c>
      <c r="G2403" s="103">
        <v>37002</v>
      </c>
      <c r="H2403" s="103">
        <v>17438</v>
      </c>
      <c r="I2403" s="94" t="s">
        <v>11485</v>
      </c>
      <c r="J2403" s="94" t="s">
        <v>11486</v>
      </c>
      <c r="K2403" s="92">
        <v>992684292</v>
      </c>
      <c r="L2403" s="91" t="s">
        <v>42</v>
      </c>
      <c r="M2403" s="98">
        <f ca="1">(TODAY()-H2403)/365</f>
        <v>78.257534246575347</v>
      </c>
      <c r="N2403" s="99">
        <f>(G2403-H2403)/365</f>
        <v>53.6</v>
      </c>
      <c r="O2403" s="98">
        <f ca="1">(TODAY()-G2403)/365</f>
        <v>24.657534246575342</v>
      </c>
      <c r="P2403" s="91" t="s">
        <v>43</v>
      </c>
      <c r="Q2403" s="91" t="s">
        <v>8374</v>
      </c>
      <c r="R2403" s="91"/>
      <c r="S2403" s="91"/>
      <c r="T2403" s="91"/>
      <c r="U2403" s="91"/>
      <c r="V2403" s="91" t="s">
        <v>8374</v>
      </c>
      <c r="W2403" s="91"/>
      <c r="X2403" s="91"/>
      <c r="Y2403" s="91"/>
      <c r="Z2403" s="91"/>
      <c r="AA2403" s="91"/>
      <c r="AB2403" s="91"/>
      <c r="AC2403" s="91"/>
      <c r="AD2403" s="91"/>
      <c r="AE2403" s="91"/>
      <c r="AF2403" s="91"/>
      <c r="AG2403" s="91"/>
      <c r="AH2403" s="91"/>
      <c r="AI2403" s="91"/>
      <c r="AJ2403" s="91"/>
      <c r="AK2403" s="91"/>
      <c r="AL2403" s="91"/>
      <c r="AM2403" s="91"/>
    </row>
    <row r="2404" spans="1:39" ht="20.25" hidden="1" customHeight="1">
      <c r="A2404" s="128"/>
      <c r="B2404" s="93" t="s">
        <v>11482</v>
      </c>
      <c r="C2404" s="91" t="s">
        <v>36</v>
      </c>
      <c r="D2404" s="106" t="s">
        <v>1187</v>
      </c>
      <c r="E2404" s="106" t="s">
        <v>11487</v>
      </c>
      <c r="F2404" s="92" t="s">
        <v>11488</v>
      </c>
      <c r="G2404" s="103">
        <v>41847</v>
      </c>
      <c r="H2404" s="103" t="s">
        <v>58</v>
      </c>
      <c r="I2404" s="94" t="s">
        <v>11489</v>
      </c>
      <c r="J2404" s="94" t="s">
        <v>11490</v>
      </c>
      <c r="K2404" s="92">
        <v>981489479</v>
      </c>
      <c r="L2404" s="91"/>
      <c r="M2404" s="98" t="e">
        <f ca="1">(TODAY()-H2404)/365</f>
        <v>#VALUE!</v>
      </c>
      <c r="N2404" s="99" t="e">
        <f>(G2404-H2404)/365</f>
        <v>#VALUE!</v>
      </c>
      <c r="O2404" s="98">
        <f ca="1">(TODAY()-G2404)/365</f>
        <v>11.383561643835616</v>
      </c>
      <c r="P2404" s="91" t="s">
        <v>43</v>
      </c>
      <c r="Q2404" s="91"/>
      <c r="R2404" s="91"/>
      <c r="S2404" s="91"/>
      <c r="T2404" s="91"/>
      <c r="U2404" s="91"/>
      <c r="V2404" s="91"/>
      <c r="W2404" s="91"/>
      <c r="X2404" s="91"/>
      <c r="Y2404" s="91"/>
      <c r="Z2404" s="91"/>
      <c r="AA2404" s="91"/>
      <c r="AB2404" s="91"/>
      <c r="AC2404" s="91"/>
      <c r="AD2404" s="91"/>
      <c r="AE2404" s="91"/>
      <c r="AF2404" s="91"/>
      <c r="AG2404" s="91"/>
      <c r="AH2404" s="91"/>
      <c r="AI2404" s="91"/>
      <c r="AJ2404" s="91"/>
      <c r="AK2404" s="91"/>
      <c r="AL2404" s="91"/>
      <c r="AM2404" s="91"/>
    </row>
    <row r="2405" spans="1:39" ht="20.25" hidden="1" customHeight="1">
      <c r="A2405" s="128"/>
      <c r="B2405" s="93" t="s">
        <v>11482</v>
      </c>
      <c r="C2405" s="91" t="s">
        <v>36</v>
      </c>
      <c r="D2405" s="106" t="s">
        <v>4649</v>
      </c>
      <c r="E2405" s="106" t="s">
        <v>11491</v>
      </c>
      <c r="F2405" s="92" t="s">
        <v>11492</v>
      </c>
      <c r="G2405" s="103">
        <v>31197</v>
      </c>
      <c r="H2405" s="103">
        <v>19566</v>
      </c>
      <c r="I2405" s="94" t="s">
        <v>11493</v>
      </c>
      <c r="J2405" s="94" t="s">
        <v>11494</v>
      </c>
      <c r="K2405" s="92">
        <v>998701815</v>
      </c>
      <c r="L2405" s="91"/>
      <c r="M2405" s="98">
        <f ca="1">(TODAY()-H2405)/365</f>
        <v>72.427397260273978</v>
      </c>
      <c r="N2405" s="99">
        <f>(G2405-H2405)/365</f>
        <v>31.865753424657534</v>
      </c>
      <c r="O2405" s="98">
        <f ca="1">(TODAY()-G2405)/365</f>
        <v>40.561643835616437</v>
      </c>
      <c r="P2405" s="91" t="s">
        <v>43</v>
      </c>
      <c r="Q2405" s="91"/>
      <c r="R2405" s="91"/>
      <c r="S2405" s="91"/>
      <c r="T2405" s="91"/>
      <c r="U2405" s="91"/>
      <c r="V2405" s="91"/>
      <c r="W2405" s="91"/>
      <c r="X2405" s="91"/>
      <c r="Y2405" s="91"/>
      <c r="Z2405" s="91"/>
      <c r="AA2405" s="91"/>
      <c r="AB2405" s="91"/>
      <c r="AC2405" s="91"/>
      <c r="AD2405" s="91"/>
      <c r="AE2405" s="91"/>
      <c r="AF2405" s="91"/>
      <c r="AG2405" s="91"/>
      <c r="AH2405" s="91"/>
      <c r="AI2405" s="91"/>
      <c r="AJ2405" s="91"/>
      <c r="AK2405" s="91"/>
      <c r="AL2405" s="91"/>
      <c r="AM2405" s="91"/>
    </row>
    <row r="2406" spans="1:39" ht="20.25" hidden="1" customHeight="1">
      <c r="A2406" s="128"/>
      <c r="B2406" s="93" t="s">
        <v>11482</v>
      </c>
      <c r="C2406" s="91" t="s">
        <v>36</v>
      </c>
      <c r="D2406" s="106" t="s">
        <v>1395</v>
      </c>
      <c r="E2406" s="106" t="s">
        <v>11495</v>
      </c>
      <c r="F2406" s="92" t="s">
        <v>11496</v>
      </c>
      <c r="G2406" s="103">
        <v>40637</v>
      </c>
      <c r="H2406" s="103">
        <v>20359</v>
      </c>
      <c r="I2406" s="94" t="s">
        <v>11497</v>
      </c>
      <c r="J2406" s="94" t="s">
        <v>11498</v>
      </c>
      <c r="K2406" s="92">
        <v>992991442</v>
      </c>
      <c r="L2406" s="91"/>
      <c r="M2406" s="98">
        <f ca="1">(TODAY()-H2406)/365</f>
        <v>70.254794520547946</v>
      </c>
      <c r="N2406" s="99">
        <f>(G2406-H2406)/365</f>
        <v>55.556164383561644</v>
      </c>
      <c r="O2406" s="98">
        <f ca="1">(TODAY()-G2406)/365</f>
        <v>14.698630136986301</v>
      </c>
      <c r="P2406" s="91" t="s">
        <v>43</v>
      </c>
      <c r="Q2406" s="91"/>
      <c r="R2406" s="91"/>
      <c r="S2406" s="91"/>
      <c r="T2406" s="91"/>
      <c r="U2406" s="91"/>
      <c r="V2406" s="91"/>
      <c r="W2406" s="91"/>
      <c r="X2406" s="91"/>
      <c r="Y2406" s="91"/>
      <c r="Z2406" s="91"/>
      <c r="AA2406" s="91"/>
      <c r="AB2406" s="91"/>
      <c r="AC2406" s="91"/>
      <c r="AD2406" s="91"/>
      <c r="AE2406" s="91"/>
      <c r="AF2406" s="91"/>
      <c r="AG2406" s="91"/>
      <c r="AH2406" s="91"/>
      <c r="AI2406" s="91"/>
      <c r="AJ2406" s="91"/>
      <c r="AK2406" s="91"/>
      <c r="AL2406" s="91"/>
      <c r="AM2406" s="91"/>
    </row>
    <row r="2407" spans="1:39" ht="20.25" hidden="1" customHeight="1">
      <c r="A2407" s="128"/>
      <c r="B2407" s="93" t="s">
        <v>11482</v>
      </c>
      <c r="C2407" s="91" t="s">
        <v>36</v>
      </c>
      <c r="D2407" s="106" t="s">
        <v>805</v>
      </c>
      <c r="E2407" s="106" t="s">
        <v>11499</v>
      </c>
      <c r="F2407" s="92" t="s">
        <v>11500</v>
      </c>
      <c r="G2407" s="103">
        <v>37869</v>
      </c>
      <c r="H2407" s="103">
        <v>19490</v>
      </c>
      <c r="I2407" s="94" t="s">
        <v>4486</v>
      </c>
      <c r="J2407" s="94" t="s">
        <v>11501</v>
      </c>
      <c r="K2407" s="92">
        <v>977483348</v>
      </c>
      <c r="L2407" s="91"/>
      <c r="M2407" s="98">
        <f ca="1">(TODAY()-H2407)/365</f>
        <v>72.635616438356166</v>
      </c>
      <c r="N2407" s="99">
        <f>(G2407-H2407)/365</f>
        <v>50.353424657534248</v>
      </c>
      <c r="O2407" s="98">
        <f ca="1">(TODAY()-G2407)/365</f>
        <v>22.282191780821918</v>
      </c>
      <c r="P2407" s="91" t="s">
        <v>43</v>
      </c>
      <c r="Q2407" s="91"/>
      <c r="R2407" s="91"/>
      <c r="S2407" s="91"/>
      <c r="T2407" s="91"/>
      <c r="U2407" s="91"/>
      <c r="V2407" s="91"/>
      <c r="W2407" s="91"/>
      <c r="X2407" s="91"/>
      <c r="Y2407" s="91"/>
      <c r="Z2407" s="91"/>
      <c r="AA2407" s="91"/>
      <c r="AB2407" s="91"/>
      <c r="AC2407" s="91"/>
      <c r="AD2407" s="91"/>
      <c r="AE2407" s="91"/>
      <c r="AF2407" s="91"/>
      <c r="AG2407" s="91"/>
      <c r="AH2407" s="91"/>
      <c r="AI2407" s="91"/>
      <c r="AJ2407" s="91"/>
      <c r="AK2407" s="91"/>
      <c r="AL2407" s="91"/>
      <c r="AM2407" s="91"/>
    </row>
    <row r="2408" spans="1:39" ht="20.25" hidden="1" customHeight="1">
      <c r="A2408" s="128"/>
      <c r="B2408" s="93" t="s">
        <v>11482</v>
      </c>
      <c r="C2408" s="91" t="s">
        <v>36</v>
      </c>
      <c r="D2408" s="106" t="s">
        <v>2683</v>
      </c>
      <c r="E2408" s="106" t="s">
        <v>11502</v>
      </c>
      <c r="G2408" s="103">
        <v>19839</v>
      </c>
      <c r="H2408" s="103">
        <v>13915</v>
      </c>
      <c r="I2408" s="94" t="s">
        <v>4486</v>
      </c>
      <c r="J2408" s="94" t="s">
        <v>11503</v>
      </c>
      <c r="K2408" s="92">
        <v>942754041</v>
      </c>
      <c r="L2408" s="91"/>
      <c r="M2408" s="98">
        <f ca="1">(TODAY()-H2408)/365</f>
        <v>87.909589041095884</v>
      </c>
      <c r="N2408" s="99">
        <f>(G2408-H2408)/365</f>
        <v>16.230136986301371</v>
      </c>
      <c r="O2408" s="98">
        <f ca="1">(TODAY()-G2408)/365</f>
        <v>71.679452054794524</v>
      </c>
      <c r="P2408" s="91" t="s">
        <v>43</v>
      </c>
      <c r="Q2408" s="91"/>
      <c r="R2408" s="91"/>
      <c r="S2408" s="91"/>
      <c r="T2408" s="91"/>
      <c r="U2408" s="91"/>
      <c r="V2408" s="91"/>
      <c r="W2408" s="91"/>
      <c r="X2408" s="91"/>
      <c r="Y2408" s="91"/>
      <c r="Z2408" s="91"/>
      <c r="AA2408" s="91"/>
      <c r="AB2408" s="91"/>
      <c r="AC2408" s="91"/>
      <c r="AD2408" s="91"/>
      <c r="AE2408" s="91"/>
      <c r="AF2408" s="91"/>
      <c r="AG2408" s="91"/>
      <c r="AH2408" s="91"/>
      <c r="AI2408" s="91"/>
      <c r="AJ2408" s="91"/>
      <c r="AK2408" s="91"/>
      <c r="AL2408" s="91"/>
      <c r="AM2408" s="91"/>
    </row>
    <row r="2409" spans="1:39" ht="20.25" hidden="1" customHeight="1">
      <c r="A2409" s="128"/>
      <c r="B2409" s="93" t="s">
        <v>11482</v>
      </c>
      <c r="C2409" s="91" t="s">
        <v>36</v>
      </c>
      <c r="D2409" s="106" t="s">
        <v>455</v>
      </c>
      <c r="E2409" s="106" t="s">
        <v>11504</v>
      </c>
      <c r="F2409" s="92" t="s">
        <v>11505</v>
      </c>
      <c r="G2409" s="103">
        <v>41783</v>
      </c>
      <c r="H2409" s="103">
        <v>41925</v>
      </c>
      <c r="I2409" s="94" t="s">
        <v>11506</v>
      </c>
      <c r="J2409" s="94" t="s">
        <v>11490</v>
      </c>
      <c r="K2409" s="95" t="s">
        <v>58</v>
      </c>
      <c r="L2409" s="91"/>
      <c r="M2409" s="98">
        <f ca="1">(TODAY()-H2409)/365</f>
        <v>11.169863013698631</v>
      </c>
      <c r="N2409" s="99">
        <f>(G2409-H2409)/365</f>
        <v>-0.38904109589041097</v>
      </c>
      <c r="O2409" s="98">
        <f ca="1">(TODAY()-G2409)/365</f>
        <v>11.558904109589042</v>
      </c>
      <c r="P2409" s="91" t="s">
        <v>43</v>
      </c>
      <c r="Q2409" s="91"/>
      <c r="R2409" s="91"/>
      <c r="S2409" s="91"/>
      <c r="T2409" s="91"/>
      <c r="U2409" s="91"/>
      <c r="V2409" s="91"/>
      <c r="W2409" s="91"/>
      <c r="X2409" s="91"/>
      <c r="Y2409" s="91"/>
      <c r="Z2409" s="91"/>
      <c r="AA2409" s="91"/>
      <c r="AB2409" s="91"/>
      <c r="AC2409" s="91"/>
      <c r="AD2409" s="91"/>
      <c r="AE2409" s="91"/>
      <c r="AF2409" s="91"/>
      <c r="AG2409" s="91"/>
      <c r="AH2409" s="91"/>
      <c r="AI2409" s="91"/>
      <c r="AJ2409" s="91"/>
      <c r="AK2409" s="91"/>
      <c r="AL2409" s="91"/>
      <c r="AM2409" s="91"/>
    </row>
    <row r="2410" spans="1:39" ht="20.25" hidden="1" customHeight="1">
      <c r="A2410" s="128"/>
      <c r="B2410" s="93" t="s">
        <v>11482</v>
      </c>
      <c r="C2410" s="91" t="s">
        <v>36</v>
      </c>
      <c r="D2410" s="106" t="s">
        <v>11507</v>
      </c>
      <c r="E2410" s="106" t="s">
        <v>11508</v>
      </c>
      <c r="F2410" s="92" t="s">
        <v>11509</v>
      </c>
      <c r="G2410" s="103">
        <v>42461</v>
      </c>
      <c r="H2410" s="103">
        <v>36830</v>
      </c>
      <c r="I2410" s="94" t="s">
        <v>11510</v>
      </c>
      <c r="J2410" s="125" t="s">
        <v>11511</v>
      </c>
      <c r="K2410" s="92">
        <v>940412531</v>
      </c>
      <c r="L2410" s="91"/>
      <c r="M2410" s="98">
        <f ca="1">(TODAY()-H2410)/365</f>
        <v>25.12876712328767</v>
      </c>
      <c r="N2410" s="99">
        <f>(G2410-H2410)/365</f>
        <v>15.427397260273972</v>
      </c>
      <c r="O2410" s="98">
        <f ca="1">(TODAY()-G2410)/365</f>
        <v>9.7013698630136993</v>
      </c>
      <c r="P2410" s="91" t="s">
        <v>272</v>
      </c>
      <c r="Q2410" s="91"/>
      <c r="R2410" s="91" t="s">
        <v>8374</v>
      </c>
      <c r="S2410" s="91" t="s">
        <v>8374</v>
      </c>
      <c r="T2410" s="91"/>
      <c r="U2410" s="91"/>
      <c r="V2410" s="91"/>
      <c r="W2410" s="91"/>
      <c r="X2410" s="91"/>
      <c r="Y2410" s="91"/>
      <c r="Z2410" s="91"/>
      <c r="AA2410" s="91"/>
      <c r="AB2410" s="91"/>
      <c r="AC2410" s="91"/>
      <c r="AD2410" s="91"/>
      <c r="AE2410" s="91"/>
      <c r="AF2410" s="91"/>
      <c r="AG2410" s="91"/>
      <c r="AH2410" s="91"/>
      <c r="AI2410" s="91"/>
      <c r="AJ2410" s="91"/>
      <c r="AK2410" s="91"/>
      <c r="AL2410" s="91"/>
      <c r="AM2410" s="91"/>
    </row>
    <row r="2411" spans="1:39" ht="20.25" hidden="1" customHeight="1">
      <c r="A2411" s="128"/>
      <c r="B2411" s="93" t="s">
        <v>11482</v>
      </c>
      <c r="C2411" s="91" t="s">
        <v>36</v>
      </c>
      <c r="D2411" s="106" t="s">
        <v>11512</v>
      </c>
      <c r="E2411" s="106" t="s">
        <v>11513</v>
      </c>
      <c r="F2411" s="92" t="s">
        <v>11514</v>
      </c>
      <c r="G2411" s="103">
        <v>43556</v>
      </c>
      <c r="H2411" s="103">
        <v>38054</v>
      </c>
      <c r="I2411" s="94" t="s">
        <v>11515</v>
      </c>
      <c r="J2411" s="94" t="s">
        <v>11516</v>
      </c>
      <c r="K2411" s="92">
        <v>967462826</v>
      </c>
      <c r="L2411" s="91"/>
      <c r="M2411" s="98">
        <f ca="1">(TODAY()-H2411)/365</f>
        <v>21.775342465753425</v>
      </c>
      <c r="N2411" s="99">
        <f>(G2411-H2411)/365</f>
        <v>15.073972602739726</v>
      </c>
      <c r="O2411" s="98">
        <f ca="1">(TODAY()-G2411)/365</f>
        <v>6.7013698630136984</v>
      </c>
      <c r="P2411" s="91" t="s">
        <v>43</v>
      </c>
      <c r="Q2411" s="91"/>
      <c r="R2411" s="91"/>
      <c r="S2411" s="91"/>
      <c r="T2411" s="91"/>
      <c r="U2411" s="91"/>
      <c r="V2411" s="91"/>
      <c r="W2411" s="91"/>
      <c r="X2411" s="91"/>
      <c r="Y2411" s="91"/>
      <c r="Z2411" s="91"/>
      <c r="AA2411" s="91"/>
      <c r="AB2411" s="91"/>
      <c r="AC2411" s="91"/>
      <c r="AD2411" s="91"/>
      <c r="AE2411" s="91"/>
      <c r="AF2411" s="91"/>
      <c r="AG2411" s="91"/>
      <c r="AH2411" s="91"/>
      <c r="AI2411" s="91"/>
      <c r="AJ2411" s="91"/>
      <c r="AK2411" s="91"/>
      <c r="AL2411" s="91"/>
      <c r="AM2411" s="91"/>
    </row>
    <row r="2412" spans="1:39" ht="20.25" hidden="1" customHeight="1">
      <c r="A2412" s="128"/>
      <c r="B2412" s="93" t="s">
        <v>11482</v>
      </c>
      <c r="C2412" s="91" t="s">
        <v>36</v>
      </c>
      <c r="D2412" s="106" t="s">
        <v>1344</v>
      </c>
      <c r="E2412" s="106" t="s">
        <v>11517</v>
      </c>
      <c r="F2412" s="131" t="s">
        <v>11518</v>
      </c>
      <c r="G2412" s="103">
        <v>44032</v>
      </c>
      <c r="H2412" s="103" t="s">
        <v>58</v>
      </c>
      <c r="I2412" s="104" t="s">
        <v>11519</v>
      </c>
      <c r="J2412" s="94" t="s">
        <v>11520</v>
      </c>
      <c r="K2412" s="92">
        <v>964970268</v>
      </c>
      <c r="L2412" s="91"/>
      <c r="M2412" s="98" t="e">
        <f ca="1">(TODAY()-H2412)/365</f>
        <v>#VALUE!</v>
      </c>
      <c r="N2412" s="99" t="e">
        <f>(G2412-H2412)/365</f>
        <v>#VALUE!</v>
      </c>
      <c r="O2412" s="98">
        <f ca="1">(TODAY()-G2412)/365</f>
        <v>5.397260273972603</v>
      </c>
      <c r="P2412" s="91" t="s">
        <v>43</v>
      </c>
      <c r="Q2412" s="91"/>
      <c r="R2412" s="91"/>
      <c r="S2412" s="91"/>
      <c r="T2412" s="91"/>
      <c r="U2412" s="91"/>
      <c r="V2412" s="91"/>
      <c r="W2412" s="91"/>
      <c r="X2412" s="91"/>
      <c r="Y2412" s="91"/>
      <c r="Z2412" s="91"/>
      <c r="AA2412" s="91"/>
      <c r="AB2412" s="91"/>
      <c r="AC2412" s="91"/>
      <c r="AD2412" s="91"/>
      <c r="AE2412" s="91"/>
      <c r="AF2412" s="91"/>
      <c r="AG2412" s="91"/>
      <c r="AH2412" s="91"/>
      <c r="AI2412" s="91"/>
      <c r="AJ2412" s="91"/>
      <c r="AK2412" s="91"/>
      <c r="AL2412" s="91"/>
      <c r="AM2412" s="91"/>
    </row>
    <row r="2413" spans="1:39" ht="20.25" hidden="1" customHeight="1">
      <c r="A2413" s="128"/>
      <c r="B2413" s="93" t="s">
        <v>11482</v>
      </c>
      <c r="C2413" s="91" t="s">
        <v>36</v>
      </c>
      <c r="D2413" s="106" t="s">
        <v>346</v>
      </c>
      <c r="E2413" s="106" t="s">
        <v>11521</v>
      </c>
      <c r="F2413" s="131" t="s">
        <v>11522</v>
      </c>
      <c r="G2413" s="103">
        <v>45399</v>
      </c>
      <c r="H2413" s="103">
        <v>20892</v>
      </c>
      <c r="I2413" s="94" t="s">
        <v>11523</v>
      </c>
      <c r="J2413" s="94" t="s">
        <v>11524</v>
      </c>
      <c r="K2413" s="92">
        <v>992169665</v>
      </c>
      <c r="L2413" s="91"/>
      <c r="M2413" s="98">
        <f ca="1">(TODAY()-H2413)/365</f>
        <v>68.794520547945211</v>
      </c>
      <c r="N2413" s="99">
        <f>(G2413-H2413)/365</f>
        <v>67.142465753424659</v>
      </c>
      <c r="O2413" s="98">
        <f ca="1">(TODAY()-G2413)/365</f>
        <v>1.6520547945205479</v>
      </c>
      <c r="P2413" s="91" t="s">
        <v>43</v>
      </c>
      <c r="Q2413" s="91"/>
      <c r="R2413" s="91"/>
      <c r="S2413" s="91"/>
      <c r="T2413" s="91"/>
      <c r="U2413" s="91"/>
      <c r="V2413" s="91"/>
      <c r="W2413" s="91"/>
      <c r="X2413" s="91"/>
      <c r="Y2413" s="91"/>
      <c r="Z2413" s="91"/>
      <c r="AA2413" s="91"/>
      <c r="AB2413" s="91"/>
      <c r="AC2413" s="91"/>
      <c r="AD2413" s="91"/>
      <c r="AE2413" s="91"/>
      <c r="AF2413" s="91"/>
      <c r="AG2413" s="91"/>
      <c r="AH2413" s="91"/>
      <c r="AI2413" s="91"/>
      <c r="AJ2413" s="91"/>
      <c r="AK2413" s="91"/>
      <c r="AL2413" s="91"/>
      <c r="AM2413" s="91"/>
    </row>
    <row r="2414" spans="1:39" ht="20.25" hidden="1" customHeight="1">
      <c r="A2414" s="128"/>
      <c r="B2414" s="93" t="s">
        <v>11482</v>
      </c>
      <c r="C2414" s="91" t="s">
        <v>36</v>
      </c>
      <c r="D2414" s="106" t="s">
        <v>11525</v>
      </c>
      <c r="E2414" s="106" t="s">
        <v>11526</v>
      </c>
      <c r="F2414" s="92" t="s">
        <v>11527</v>
      </c>
      <c r="G2414" s="103">
        <v>45427</v>
      </c>
      <c r="H2414" s="103">
        <v>15985</v>
      </c>
      <c r="I2414" s="94" t="s">
        <v>4486</v>
      </c>
      <c r="J2414" s="94" t="s">
        <v>11528</v>
      </c>
      <c r="K2414" s="92">
        <v>983686183</v>
      </c>
      <c r="L2414" s="91"/>
      <c r="M2414" s="98">
        <f ca="1">(TODAY()-H2414)/365</f>
        <v>82.238356164383561</v>
      </c>
      <c r="N2414" s="99">
        <f>(G2414-H2414)/365</f>
        <v>80.663013698630138</v>
      </c>
      <c r="O2414" s="98">
        <f ca="1">(TODAY()-G2414)/365</f>
        <v>1.5753424657534247</v>
      </c>
      <c r="P2414" s="91" t="s">
        <v>43</v>
      </c>
      <c r="Q2414" s="91"/>
      <c r="R2414" s="91"/>
      <c r="S2414" s="91"/>
      <c r="T2414" s="91"/>
      <c r="U2414" s="91"/>
      <c r="V2414" s="91"/>
      <c r="W2414" s="91"/>
      <c r="X2414" s="91"/>
      <c r="Y2414" s="91"/>
      <c r="Z2414" s="91"/>
      <c r="AA2414" s="91"/>
      <c r="AB2414" s="91"/>
      <c r="AC2414" s="91"/>
      <c r="AD2414" s="91"/>
      <c r="AE2414" s="91"/>
      <c r="AF2414" s="91"/>
      <c r="AG2414" s="91"/>
      <c r="AH2414" s="91"/>
      <c r="AI2414" s="91"/>
      <c r="AJ2414" s="91"/>
      <c r="AK2414" s="91"/>
      <c r="AL2414" s="91"/>
      <c r="AM2414" s="91"/>
    </row>
    <row r="2415" spans="1:39" ht="20.25" hidden="1" customHeight="1">
      <c r="A2415" s="128"/>
      <c r="B2415" s="93" t="s">
        <v>11482</v>
      </c>
      <c r="C2415" s="91" t="s">
        <v>36</v>
      </c>
      <c r="D2415" s="106" t="s">
        <v>771</v>
      </c>
      <c r="E2415" s="106" t="s">
        <v>11529</v>
      </c>
      <c r="F2415" s="92" t="s">
        <v>11530</v>
      </c>
      <c r="G2415" s="103">
        <v>45499</v>
      </c>
      <c r="H2415" s="103" t="s">
        <v>58</v>
      </c>
      <c r="I2415" s="108" t="s">
        <v>12659</v>
      </c>
      <c r="J2415" s="94" t="s">
        <v>11531</v>
      </c>
      <c r="K2415" s="92">
        <v>987430068</v>
      </c>
      <c r="L2415" s="91"/>
      <c r="M2415" s="98" t="e">
        <f ca="1">(TODAY()-H2415)/365</f>
        <v>#VALUE!</v>
      </c>
      <c r="N2415" s="99" t="e">
        <f>(G2415-H2415)/365</f>
        <v>#VALUE!</v>
      </c>
      <c r="O2415" s="98">
        <f ca="1">(TODAY()-G2415)/365</f>
        <v>1.3780821917808219</v>
      </c>
      <c r="P2415" s="91" t="s">
        <v>43</v>
      </c>
      <c r="Q2415" s="91"/>
      <c r="R2415" s="91"/>
      <c r="S2415" s="91"/>
      <c r="T2415" s="91"/>
      <c r="U2415" s="91"/>
      <c r="V2415" s="91"/>
      <c r="W2415" s="91"/>
      <c r="X2415" s="91"/>
      <c r="Y2415" s="91"/>
      <c r="Z2415" s="91"/>
      <c r="AA2415" s="91"/>
      <c r="AB2415" s="91"/>
      <c r="AC2415" s="91"/>
      <c r="AD2415" s="91"/>
      <c r="AE2415" s="91"/>
      <c r="AF2415" s="91"/>
      <c r="AG2415" s="91"/>
      <c r="AH2415" s="91"/>
      <c r="AI2415" s="91"/>
      <c r="AJ2415" s="91"/>
      <c r="AK2415" s="91"/>
      <c r="AL2415" s="91"/>
      <c r="AM2415" s="91"/>
    </row>
    <row r="2416" spans="1:39" ht="20.25" hidden="1" customHeight="1">
      <c r="A2416" s="128"/>
      <c r="B2416" s="93" t="s">
        <v>11482</v>
      </c>
      <c r="C2416" s="91" t="s">
        <v>36</v>
      </c>
      <c r="D2416" s="106" t="s">
        <v>392</v>
      </c>
      <c r="E2416" s="106" t="s">
        <v>11532</v>
      </c>
      <c r="F2416" s="92" t="s">
        <v>11533</v>
      </c>
      <c r="G2416" s="103">
        <v>45628</v>
      </c>
      <c r="H2416" s="103">
        <v>39924</v>
      </c>
      <c r="I2416" s="94" t="s">
        <v>4486</v>
      </c>
      <c r="J2416" s="94" t="s">
        <v>11520</v>
      </c>
      <c r="K2416" s="92">
        <v>993116312</v>
      </c>
      <c r="L2416" s="91"/>
      <c r="M2416" s="98">
        <f ca="1">(TODAY()-H2416)/365</f>
        <v>16.652054794520549</v>
      </c>
      <c r="N2416" s="99">
        <f>(G2416-H2416)/365</f>
        <v>15.627397260273973</v>
      </c>
      <c r="O2416" s="98">
        <f ca="1">(TODAY()-G2416)/365</f>
        <v>1.0246575342465754</v>
      </c>
      <c r="P2416" s="91" t="s">
        <v>43</v>
      </c>
      <c r="Q2416" s="91"/>
      <c r="R2416" s="91"/>
      <c r="S2416" s="91"/>
      <c r="T2416" s="91"/>
      <c r="U2416" s="91"/>
      <c r="V2416" s="91"/>
      <c r="W2416" s="91"/>
      <c r="X2416" s="91"/>
      <c r="Y2416" s="91"/>
      <c r="Z2416" s="91"/>
      <c r="AA2416" s="91"/>
      <c r="AB2416" s="91"/>
      <c r="AC2416" s="91"/>
      <c r="AD2416" s="91"/>
      <c r="AE2416" s="91"/>
      <c r="AF2416" s="91"/>
      <c r="AG2416" s="91"/>
      <c r="AH2416" s="91"/>
      <c r="AI2416" s="91"/>
      <c r="AJ2416" s="91"/>
      <c r="AK2416" s="91"/>
      <c r="AL2416" s="91"/>
      <c r="AM2416" s="91"/>
    </row>
    <row r="2417" spans="1:39" ht="20.25" hidden="1" customHeight="1">
      <c r="A2417" s="128"/>
      <c r="B2417" s="93" t="s">
        <v>11482</v>
      </c>
      <c r="C2417" s="91" t="s">
        <v>36</v>
      </c>
      <c r="D2417" s="106" t="s">
        <v>11534</v>
      </c>
      <c r="E2417" s="106" t="s">
        <v>11535</v>
      </c>
      <c r="F2417" s="92" t="s">
        <v>11536</v>
      </c>
      <c r="G2417" s="103">
        <v>45628</v>
      </c>
      <c r="H2417" s="103">
        <v>37891</v>
      </c>
      <c r="I2417" s="94" t="s">
        <v>11537</v>
      </c>
      <c r="J2417" s="94" t="s">
        <v>11538</v>
      </c>
      <c r="K2417" s="92">
        <v>920443836</v>
      </c>
      <c r="L2417" s="91"/>
      <c r="M2417" s="98">
        <f ca="1">(TODAY()-H2417)/365</f>
        <v>22.221917808219178</v>
      </c>
      <c r="N2417" s="99">
        <f>(G2417-H2417)/365</f>
        <v>21.197260273972603</v>
      </c>
      <c r="O2417" s="98">
        <f ca="1">(TODAY()-G2417)/365</f>
        <v>1.0246575342465754</v>
      </c>
      <c r="P2417" s="91" t="s">
        <v>43</v>
      </c>
      <c r="Q2417" s="91"/>
      <c r="R2417" s="91"/>
      <c r="S2417" s="91"/>
      <c r="T2417" s="91"/>
      <c r="U2417" s="91"/>
      <c r="V2417" s="91"/>
      <c r="W2417" s="91"/>
      <c r="X2417" s="91"/>
      <c r="Y2417" s="91"/>
      <c r="Z2417" s="91"/>
      <c r="AA2417" s="91"/>
      <c r="AB2417" s="91"/>
      <c r="AC2417" s="91"/>
      <c r="AD2417" s="91"/>
      <c r="AE2417" s="91"/>
      <c r="AF2417" s="91"/>
      <c r="AG2417" s="91"/>
      <c r="AH2417" s="91"/>
      <c r="AI2417" s="91"/>
      <c r="AJ2417" s="91"/>
      <c r="AK2417" s="91"/>
      <c r="AL2417" s="91"/>
      <c r="AM2417" s="91"/>
    </row>
    <row r="2418" spans="1:39" ht="20.25" hidden="1" customHeight="1">
      <c r="A2418" s="128"/>
      <c r="B2418" s="93" t="s">
        <v>11482</v>
      </c>
      <c r="C2418" s="91" t="s">
        <v>36</v>
      </c>
      <c r="D2418" s="106" t="s">
        <v>455</v>
      </c>
      <c r="E2418" s="106" t="s">
        <v>11539</v>
      </c>
      <c r="F2418" s="92" t="s">
        <v>11540</v>
      </c>
      <c r="G2418" s="103">
        <v>45649</v>
      </c>
      <c r="H2418" s="103">
        <v>39158</v>
      </c>
      <c r="I2418" s="108" t="s">
        <v>12660</v>
      </c>
      <c r="J2418" s="94" t="s">
        <v>11541</v>
      </c>
      <c r="K2418" s="92">
        <v>983357795</v>
      </c>
      <c r="L2418" s="91"/>
      <c r="M2418" s="98">
        <f ca="1">(TODAY()-H2418)/365</f>
        <v>18.75068493150685</v>
      </c>
      <c r="N2418" s="99">
        <f>(G2418-H2418)/365</f>
        <v>17.783561643835615</v>
      </c>
      <c r="O2418" s="98">
        <f ca="1">(TODAY()-G2418)/365</f>
        <v>0.9671232876712329</v>
      </c>
      <c r="P2418" s="91" t="s">
        <v>43</v>
      </c>
      <c r="Q2418" s="91"/>
      <c r="R2418" s="91"/>
      <c r="S2418" s="91"/>
      <c r="T2418" s="91"/>
      <c r="U2418" s="91"/>
      <c r="V2418" s="91"/>
      <c r="W2418" s="91"/>
      <c r="X2418" s="91"/>
      <c r="Y2418" s="91"/>
      <c r="Z2418" s="91"/>
      <c r="AA2418" s="91"/>
      <c r="AB2418" s="91"/>
      <c r="AC2418" s="91"/>
      <c r="AD2418" s="91"/>
      <c r="AE2418" s="91"/>
      <c r="AF2418" s="91"/>
      <c r="AG2418" s="91"/>
      <c r="AH2418" s="91"/>
      <c r="AI2418" s="91"/>
      <c r="AJ2418" s="91"/>
      <c r="AK2418" s="91"/>
      <c r="AL2418" s="91"/>
      <c r="AM2418" s="91"/>
    </row>
    <row r="2419" spans="1:39" ht="20.25" hidden="1" customHeight="1">
      <c r="A2419" s="128"/>
      <c r="B2419" s="93" t="s">
        <v>11482</v>
      </c>
      <c r="C2419" s="91" t="s">
        <v>36</v>
      </c>
      <c r="D2419" s="106" t="s">
        <v>2750</v>
      </c>
      <c r="E2419" s="106" t="s">
        <v>11542</v>
      </c>
      <c r="F2419" s="92" t="s">
        <v>12692</v>
      </c>
      <c r="G2419" s="103">
        <v>45649</v>
      </c>
      <c r="H2419" s="103">
        <v>36904</v>
      </c>
      <c r="I2419" s="94" t="s">
        <v>11543</v>
      </c>
      <c r="J2419" s="94" t="s">
        <v>11544</v>
      </c>
      <c r="K2419" s="92">
        <v>926150776</v>
      </c>
      <c r="L2419" s="91"/>
      <c r="M2419" s="98">
        <f ca="1">(TODAY()-H2419)/365</f>
        <v>24.926027397260274</v>
      </c>
      <c r="N2419" s="99">
        <f>(G2419-H2419)/365</f>
        <v>23.958904109589042</v>
      </c>
      <c r="O2419" s="98">
        <f ca="1">(TODAY()-G2419)/365</f>
        <v>0.9671232876712329</v>
      </c>
      <c r="P2419" s="91" t="s">
        <v>43</v>
      </c>
      <c r="Q2419" s="91"/>
      <c r="R2419" s="91"/>
      <c r="S2419" s="91"/>
      <c r="T2419" s="91"/>
      <c r="U2419" s="91"/>
      <c r="V2419" s="91"/>
      <c r="W2419" s="91"/>
      <c r="X2419" s="91"/>
      <c r="Y2419" s="91"/>
      <c r="Z2419" s="91"/>
      <c r="AA2419" s="91"/>
      <c r="AB2419" s="91"/>
      <c r="AC2419" s="91"/>
      <c r="AD2419" s="91"/>
      <c r="AE2419" s="91"/>
      <c r="AF2419" s="91"/>
      <c r="AG2419" s="91"/>
      <c r="AH2419" s="91"/>
      <c r="AI2419" s="91"/>
      <c r="AJ2419" s="91"/>
      <c r="AK2419" s="91"/>
      <c r="AL2419" s="91"/>
      <c r="AM2419" s="91"/>
    </row>
    <row r="2420" spans="1:39" ht="20.25" hidden="1" customHeight="1">
      <c r="A2420" s="128"/>
      <c r="B2420" s="93" t="s">
        <v>11482</v>
      </c>
      <c r="C2420" s="91" t="s">
        <v>36</v>
      </c>
      <c r="D2420" s="106" t="s">
        <v>11545</v>
      </c>
      <c r="E2420" s="106" t="s">
        <v>11546</v>
      </c>
      <c r="F2420" s="92" t="s">
        <v>11547</v>
      </c>
      <c r="G2420" s="103">
        <v>45649</v>
      </c>
      <c r="H2420" s="103">
        <v>38081</v>
      </c>
      <c r="I2420" s="94" t="s">
        <v>11548</v>
      </c>
      <c r="J2420" s="94" t="s">
        <v>11549</v>
      </c>
      <c r="K2420" s="92">
        <v>942577982</v>
      </c>
      <c r="L2420" s="91"/>
      <c r="M2420" s="98">
        <f ca="1">(TODAY()-H2420)/365</f>
        <v>21.701369863013699</v>
      </c>
      <c r="N2420" s="99">
        <f>(G2420-H2420)/365</f>
        <v>20.734246575342464</v>
      </c>
      <c r="O2420" s="98">
        <f ca="1">(TODAY()-G2420)/365</f>
        <v>0.9671232876712329</v>
      </c>
      <c r="P2420" s="91" t="s">
        <v>272</v>
      </c>
      <c r="Q2420" s="91"/>
      <c r="R2420" s="91"/>
      <c r="S2420" s="91"/>
      <c r="T2420" s="91"/>
      <c r="U2420" s="91"/>
      <c r="V2420" s="91"/>
      <c r="W2420" s="91"/>
      <c r="X2420" s="91"/>
      <c r="Y2420" s="91"/>
      <c r="Z2420" s="91"/>
      <c r="AA2420" s="91"/>
      <c r="AB2420" s="91"/>
      <c r="AC2420" s="91"/>
      <c r="AD2420" s="91"/>
      <c r="AE2420" s="91"/>
      <c r="AF2420" s="91"/>
      <c r="AG2420" s="91"/>
      <c r="AH2420" s="91"/>
      <c r="AI2420" s="91"/>
      <c r="AJ2420" s="91"/>
      <c r="AK2420" s="91"/>
      <c r="AL2420" s="91"/>
      <c r="AM2420" s="91"/>
    </row>
    <row r="2421" spans="1:39" ht="20.25" hidden="1" customHeight="1">
      <c r="A2421" s="128"/>
      <c r="B2421" s="93" t="s">
        <v>11482</v>
      </c>
      <c r="C2421" s="91" t="s">
        <v>36</v>
      </c>
      <c r="D2421" s="106" t="s">
        <v>11448</v>
      </c>
      <c r="E2421" s="106" t="s">
        <v>11550</v>
      </c>
      <c r="F2421" s="92" t="s">
        <v>11551</v>
      </c>
      <c r="G2421" s="103">
        <v>45656</v>
      </c>
      <c r="H2421" s="103">
        <v>37120</v>
      </c>
      <c r="I2421" s="94" t="s">
        <v>11552</v>
      </c>
      <c r="J2421" s="94" t="s">
        <v>11553</v>
      </c>
      <c r="K2421" s="92">
        <v>957110227</v>
      </c>
      <c r="L2421" s="91"/>
      <c r="M2421" s="98">
        <f ca="1">(TODAY()-H2421)/365</f>
        <v>24.334246575342465</v>
      </c>
      <c r="N2421" s="99">
        <f>(G2421-H2421)/365</f>
        <v>23.386301369863013</v>
      </c>
      <c r="O2421" s="98">
        <f ca="1">(TODAY()-G2421)/365</f>
        <v>0.94794520547945205</v>
      </c>
      <c r="P2421" s="91" t="s">
        <v>43</v>
      </c>
      <c r="Q2421" s="91"/>
      <c r="R2421" s="91"/>
      <c r="S2421" s="91"/>
      <c r="T2421" s="91"/>
      <c r="U2421" s="91"/>
      <c r="V2421" s="91"/>
      <c r="W2421" s="91"/>
      <c r="X2421" s="91"/>
      <c r="Y2421" s="91"/>
      <c r="Z2421" s="91"/>
      <c r="AA2421" s="91"/>
      <c r="AB2421" s="91"/>
      <c r="AC2421" s="91"/>
      <c r="AD2421" s="91"/>
      <c r="AE2421" s="91"/>
      <c r="AF2421" s="91"/>
      <c r="AG2421" s="91"/>
      <c r="AH2421" s="91"/>
      <c r="AI2421" s="91"/>
      <c r="AJ2421" s="91"/>
      <c r="AK2421" s="91"/>
      <c r="AL2421" s="91"/>
      <c r="AM2421" s="91"/>
    </row>
    <row r="2422" spans="1:39" ht="20.25" hidden="1" customHeight="1">
      <c r="A2422" s="128"/>
      <c r="B2422" s="93" t="s">
        <v>11482</v>
      </c>
      <c r="C2422" s="91" t="s">
        <v>36</v>
      </c>
      <c r="D2422" s="106" t="s">
        <v>11554</v>
      </c>
      <c r="E2422" s="106" t="s">
        <v>11555</v>
      </c>
      <c r="F2422" s="92" t="s">
        <v>11556</v>
      </c>
      <c r="G2422" s="103">
        <v>45005</v>
      </c>
      <c r="H2422" s="103">
        <v>22717</v>
      </c>
      <c r="I2422" s="108" t="s">
        <v>12661</v>
      </c>
      <c r="J2422" s="94" t="s">
        <v>11557</v>
      </c>
      <c r="K2422" s="92">
        <v>996996997</v>
      </c>
      <c r="L2422" s="91"/>
      <c r="M2422" s="98">
        <f ca="1">(TODAY()-H2422)/365</f>
        <v>63.794520547945204</v>
      </c>
      <c r="N2422" s="99">
        <f>(G2422-H2422)/365</f>
        <v>61.063013698630137</v>
      </c>
      <c r="O2422" s="98">
        <f ca="1">(TODAY()-G2422)/365</f>
        <v>2.7315068493150685</v>
      </c>
      <c r="P2422" s="91" t="s">
        <v>43</v>
      </c>
      <c r="Q2422" s="91"/>
      <c r="R2422" s="91"/>
      <c r="S2422" s="91"/>
      <c r="T2422" s="91"/>
      <c r="U2422" s="91"/>
      <c r="V2422" s="91"/>
      <c r="W2422" s="91"/>
      <c r="X2422" s="91"/>
      <c r="Y2422" s="91"/>
      <c r="Z2422" s="91"/>
      <c r="AA2422" s="91"/>
      <c r="AB2422" s="91"/>
      <c r="AC2422" s="91"/>
      <c r="AD2422" s="91"/>
      <c r="AE2422" s="91"/>
      <c r="AF2422" s="91"/>
      <c r="AG2422" s="91"/>
      <c r="AH2422" s="91"/>
      <c r="AI2422" s="91"/>
      <c r="AJ2422" s="91"/>
      <c r="AK2422" s="91"/>
      <c r="AL2422" s="91"/>
      <c r="AM2422" s="91"/>
    </row>
    <row r="2423" spans="1:39" ht="20.25" hidden="1" customHeight="1">
      <c r="A2423" s="91"/>
      <c r="B2423" s="93" t="s">
        <v>7680</v>
      </c>
      <c r="C2423" s="91" t="s">
        <v>36</v>
      </c>
      <c r="D2423" s="107" t="s">
        <v>7681</v>
      </c>
      <c r="E2423" s="107" t="s">
        <v>7682</v>
      </c>
      <c r="F2423" s="91" t="s">
        <v>7683</v>
      </c>
      <c r="G2423" s="96">
        <v>40252</v>
      </c>
      <c r="H2423" s="96">
        <v>27858</v>
      </c>
      <c r="I2423" s="108" t="s">
        <v>12414</v>
      </c>
      <c r="J2423" s="94" t="s">
        <v>7684</v>
      </c>
      <c r="K2423" s="95">
        <v>963708955</v>
      </c>
      <c r="L2423" s="91" t="s">
        <v>60</v>
      </c>
      <c r="M2423" s="98">
        <f ca="1">(TODAY()-H2423)/365</f>
        <v>49.709589041095889</v>
      </c>
      <c r="N2423" s="99">
        <f>(G2423-H2423)/365</f>
        <v>33.956164383561642</v>
      </c>
      <c r="O2423" s="98">
        <f ca="1">(TODAY()-G2423)/365</f>
        <v>15.753424657534246</v>
      </c>
      <c r="P2423" s="91" t="s">
        <v>43</v>
      </c>
      <c r="Q2423" s="91">
        <v>0</v>
      </c>
      <c r="R2423" s="91">
        <v>0</v>
      </c>
      <c r="S2423" s="91">
        <v>0</v>
      </c>
      <c r="T2423" s="91"/>
      <c r="U2423" s="91"/>
      <c r="V2423" s="91"/>
      <c r="W2423" s="91"/>
      <c r="X2423" s="91"/>
      <c r="Y2423" s="91"/>
      <c r="Z2423" s="91"/>
      <c r="AA2423" s="91"/>
      <c r="AB2423" s="91"/>
      <c r="AC2423" s="91"/>
      <c r="AD2423" s="91"/>
      <c r="AE2423" s="91"/>
      <c r="AF2423" s="91"/>
      <c r="AG2423" s="91"/>
      <c r="AH2423" s="91"/>
      <c r="AI2423" s="91"/>
      <c r="AJ2423" s="91"/>
      <c r="AK2423" s="91"/>
      <c r="AL2423" s="91"/>
      <c r="AM2423" s="91"/>
    </row>
    <row r="2424" spans="1:39" ht="20.25" hidden="1" customHeight="1">
      <c r="A2424" s="91"/>
      <c r="B2424" s="93" t="s">
        <v>7680</v>
      </c>
      <c r="C2424" s="91" t="s">
        <v>36</v>
      </c>
      <c r="D2424" s="107" t="s">
        <v>7685</v>
      </c>
      <c r="E2424" s="107" t="s">
        <v>7686</v>
      </c>
      <c r="F2424" s="91" t="s">
        <v>7687</v>
      </c>
      <c r="G2424" s="96">
        <v>34465</v>
      </c>
      <c r="H2424" s="96">
        <v>29797</v>
      </c>
      <c r="I2424" s="108" t="s">
        <v>12415</v>
      </c>
      <c r="J2424" s="94" t="s">
        <v>7688</v>
      </c>
      <c r="K2424" s="95">
        <v>976255404</v>
      </c>
      <c r="L2424" s="91" t="s">
        <v>66</v>
      </c>
      <c r="M2424" s="98">
        <f ca="1">(TODAY()-H2424)/365</f>
        <v>44.397260273972606</v>
      </c>
      <c r="N2424" s="99">
        <f>(G2424-H2424)/365</f>
        <v>12.789041095890411</v>
      </c>
      <c r="O2424" s="98">
        <f ca="1">(TODAY()-G2424)/365</f>
        <v>31.608219178082191</v>
      </c>
      <c r="P2424" s="91" t="s">
        <v>43</v>
      </c>
      <c r="Q2424" s="91">
        <v>0</v>
      </c>
      <c r="R2424" s="91">
        <v>0</v>
      </c>
      <c r="S2424" s="91">
        <v>0</v>
      </c>
      <c r="T2424" s="91"/>
      <c r="U2424" s="91"/>
      <c r="V2424" s="91"/>
      <c r="W2424" s="91"/>
      <c r="X2424" s="91"/>
      <c r="Y2424" s="91"/>
      <c r="Z2424" s="91"/>
      <c r="AA2424" s="91"/>
      <c r="AB2424" s="91"/>
      <c r="AC2424" s="91"/>
      <c r="AD2424" s="91"/>
      <c r="AE2424" s="91"/>
      <c r="AF2424" s="91"/>
      <c r="AG2424" s="91"/>
      <c r="AH2424" s="91"/>
      <c r="AI2424" s="91"/>
      <c r="AJ2424" s="91"/>
      <c r="AK2424" s="91"/>
      <c r="AL2424" s="91"/>
      <c r="AM2424" s="91"/>
    </row>
    <row r="2425" spans="1:39" ht="20.25" hidden="1" customHeight="1">
      <c r="A2425" s="91"/>
      <c r="B2425" s="93" t="s">
        <v>7680</v>
      </c>
      <c r="C2425" s="91" t="s">
        <v>36</v>
      </c>
      <c r="D2425" s="107" t="s">
        <v>7689</v>
      </c>
      <c r="E2425" s="107" t="s">
        <v>7690</v>
      </c>
      <c r="F2425" s="91" t="s">
        <v>7691</v>
      </c>
      <c r="G2425" s="96" t="s">
        <v>58</v>
      </c>
      <c r="H2425" s="97">
        <v>39714</v>
      </c>
      <c r="I2425" s="100" t="s">
        <v>58</v>
      </c>
      <c r="J2425" s="94" t="s">
        <v>7692</v>
      </c>
      <c r="K2425" s="95">
        <v>964095839</v>
      </c>
      <c r="L2425" s="91" t="s">
        <v>60</v>
      </c>
      <c r="M2425" s="98">
        <f ca="1">(TODAY()-H2425)/365</f>
        <v>17.227397260273971</v>
      </c>
      <c r="N2425" s="95" t="s">
        <v>58</v>
      </c>
      <c r="O2425" s="98" t="e">
        <f ca="1">(TODAY()-G2425)/365</f>
        <v>#VALUE!</v>
      </c>
      <c r="P2425" s="91" t="s">
        <v>43</v>
      </c>
      <c r="Q2425" s="91">
        <v>0</v>
      </c>
      <c r="R2425" s="91">
        <v>0</v>
      </c>
      <c r="S2425" s="91">
        <v>0</v>
      </c>
      <c r="T2425" s="91"/>
      <c r="U2425" s="91"/>
      <c r="V2425" s="91"/>
      <c r="W2425" s="91"/>
      <c r="X2425" s="91"/>
      <c r="Y2425" s="91"/>
      <c r="Z2425" s="91"/>
      <c r="AA2425" s="91"/>
      <c r="AB2425" s="91"/>
      <c r="AC2425" s="91"/>
      <c r="AD2425" s="91"/>
      <c r="AE2425" s="91"/>
      <c r="AF2425" s="91"/>
      <c r="AG2425" s="91"/>
      <c r="AH2425" s="91"/>
      <c r="AI2425" s="91"/>
      <c r="AJ2425" s="91"/>
      <c r="AK2425" s="91"/>
      <c r="AL2425" s="91"/>
      <c r="AM2425" s="91"/>
    </row>
    <row r="2426" spans="1:39" ht="20.25" hidden="1" customHeight="1">
      <c r="A2426" s="91"/>
      <c r="B2426" s="93" t="s">
        <v>7680</v>
      </c>
      <c r="C2426" s="91" t="s">
        <v>36</v>
      </c>
      <c r="D2426" s="107" t="s">
        <v>7693</v>
      </c>
      <c r="E2426" s="107" t="s">
        <v>7694</v>
      </c>
      <c r="F2426" s="91" t="s">
        <v>7695</v>
      </c>
      <c r="G2426" s="96">
        <v>41384</v>
      </c>
      <c r="H2426" s="97">
        <v>36521</v>
      </c>
      <c r="I2426" s="108" t="s">
        <v>12416</v>
      </c>
      <c r="J2426" s="94" t="s">
        <v>7696</v>
      </c>
      <c r="K2426" s="95">
        <v>944068616</v>
      </c>
      <c r="L2426" s="91" t="s">
        <v>121</v>
      </c>
      <c r="M2426" s="98">
        <f ca="1">(TODAY()-H2426)/365</f>
        <v>25.975342465753425</v>
      </c>
      <c r="N2426" s="99">
        <f>(G2426-H2426)/365</f>
        <v>13.323287671232876</v>
      </c>
      <c r="O2426" s="98">
        <f ca="1">(TODAY()-G2426)/365</f>
        <v>12.652054794520549</v>
      </c>
      <c r="P2426" s="91" t="s">
        <v>43</v>
      </c>
      <c r="Q2426" s="91">
        <v>0</v>
      </c>
      <c r="R2426" s="91">
        <v>0</v>
      </c>
      <c r="S2426" s="91">
        <v>0</v>
      </c>
      <c r="T2426" s="91"/>
      <c r="U2426" s="91"/>
      <c r="V2426" s="91"/>
      <c r="W2426" s="91"/>
      <c r="X2426" s="91"/>
      <c r="Y2426" s="91"/>
      <c r="Z2426" s="91"/>
      <c r="AA2426" s="91"/>
      <c r="AB2426" s="91"/>
      <c r="AC2426" s="91"/>
      <c r="AD2426" s="91"/>
      <c r="AE2426" s="91"/>
      <c r="AF2426" s="91"/>
      <c r="AG2426" s="91"/>
      <c r="AH2426" s="91"/>
      <c r="AI2426" s="91"/>
      <c r="AJ2426" s="91"/>
      <c r="AK2426" s="91"/>
      <c r="AL2426" s="91"/>
      <c r="AM2426" s="91"/>
    </row>
    <row r="2427" spans="1:39" ht="20.25" hidden="1" customHeight="1">
      <c r="A2427" s="91"/>
      <c r="B2427" s="93" t="s">
        <v>7680</v>
      </c>
      <c r="C2427" s="91" t="s">
        <v>36</v>
      </c>
      <c r="D2427" s="107" t="s">
        <v>7697</v>
      </c>
      <c r="E2427" s="107" t="s">
        <v>7698</v>
      </c>
      <c r="F2427" s="91" t="s">
        <v>7699</v>
      </c>
      <c r="G2427" s="96">
        <v>39016</v>
      </c>
      <c r="H2427" s="97">
        <v>34153</v>
      </c>
      <c r="I2427" s="108" t="s">
        <v>12417</v>
      </c>
      <c r="J2427" s="94" t="s">
        <v>7700</v>
      </c>
      <c r="K2427" s="95">
        <v>950691740</v>
      </c>
      <c r="L2427" s="91" t="s">
        <v>60</v>
      </c>
      <c r="M2427" s="98">
        <f ca="1">(TODAY()-H2427)/365</f>
        <v>32.463013698630135</v>
      </c>
      <c r="N2427" s="99">
        <f>(G2427-H2427)/365</f>
        <v>13.323287671232876</v>
      </c>
      <c r="O2427" s="98">
        <f ca="1">(TODAY()-G2427)/365</f>
        <v>19.139726027397259</v>
      </c>
      <c r="P2427" s="91" t="s">
        <v>272</v>
      </c>
      <c r="Q2427" s="91">
        <v>0</v>
      </c>
      <c r="R2427" s="91">
        <v>0</v>
      </c>
      <c r="S2427" s="91">
        <v>0</v>
      </c>
      <c r="T2427" s="91"/>
      <c r="U2427" s="91"/>
      <c r="V2427" s="91"/>
      <c r="W2427" s="91"/>
      <c r="X2427" s="91"/>
      <c r="Y2427" s="91"/>
      <c r="Z2427" s="91"/>
      <c r="AA2427" s="91"/>
      <c r="AB2427" s="91"/>
      <c r="AC2427" s="91"/>
      <c r="AD2427" s="91"/>
      <c r="AE2427" s="91"/>
      <c r="AF2427" s="91"/>
      <c r="AG2427" s="91"/>
      <c r="AH2427" s="91"/>
      <c r="AI2427" s="91"/>
      <c r="AJ2427" s="91"/>
      <c r="AK2427" s="91"/>
      <c r="AL2427" s="91"/>
      <c r="AM2427" s="91"/>
    </row>
    <row r="2428" spans="1:39" ht="20.25" hidden="1" customHeight="1">
      <c r="A2428" s="91"/>
      <c r="B2428" s="93" t="s">
        <v>7680</v>
      </c>
      <c r="C2428" s="91" t="s">
        <v>36</v>
      </c>
      <c r="D2428" s="107" t="s">
        <v>7701</v>
      </c>
      <c r="E2428" s="107" t="s">
        <v>7702</v>
      </c>
      <c r="F2428" s="91" t="s">
        <v>7703</v>
      </c>
      <c r="G2428" s="96">
        <v>42968</v>
      </c>
      <c r="H2428" s="97">
        <v>37929</v>
      </c>
      <c r="I2428" s="108" t="s">
        <v>12418</v>
      </c>
      <c r="J2428" s="94" t="s">
        <v>7696</v>
      </c>
      <c r="K2428" s="95">
        <v>972072205</v>
      </c>
      <c r="L2428" s="91" t="s">
        <v>60</v>
      </c>
      <c r="M2428" s="98">
        <f ca="1">(TODAY()-H2428)/365</f>
        <v>22.117808219178084</v>
      </c>
      <c r="N2428" s="99">
        <f>(G2428-H2428)/365</f>
        <v>13.805479452054794</v>
      </c>
      <c r="O2428" s="98">
        <f ca="1">(TODAY()-G2428)/365</f>
        <v>8.3123287671232884</v>
      </c>
      <c r="P2428" s="91" t="s">
        <v>43</v>
      </c>
      <c r="Q2428" s="91">
        <v>0</v>
      </c>
      <c r="R2428" s="91">
        <v>0</v>
      </c>
      <c r="S2428" s="91">
        <v>0</v>
      </c>
      <c r="T2428" s="91"/>
      <c r="U2428" s="91"/>
      <c r="V2428" s="91"/>
      <c r="W2428" s="91"/>
      <c r="X2428" s="91"/>
      <c r="Y2428" s="91"/>
      <c r="Z2428" s="91"/>
      <c r="AA2428" s="91"/>
      <c r="AB2428" s="91"/>
      <c r="AC2428" s="91"/>
      <c r="AD2428" s="91"/>
      <c r="AE2428" s="91"/>
      <c r="AF2428" s="91"/>
      <c r="AG2428" s="91"/>
      <c r="AH2428" s="91"/>
      <c r="AI2428" s="91"/>
      <c r="AJ2428" s="91"/>
      <c r="AK2428" s="91"/>
      <c r="AL2428" s="91"/>
      <c r="AM2428" s="91"/>
    </row>
    <row r="2429" spans="1:39" ht="20.25" hidden="1" customHeight="1">
      <c r="A2429" s="91"/>
      <c r="B2429" s="93" t="s">
        <v>7680</v>
      </c>
      <c r="C2429" s="91" t="s">
        <v>36</v>
      </c>
      <c r="D2429" s="107" t="s">
        <v>7704</v>
      </c>
      <c r="E2429" s="107" t="s">
        <v>7705</v>
      </c>
      <c r="F2429" s="91" t="s">
        <v>7706</v>
      </c>
      <c r="G2429" s="96">
        <v>39066</v>
      </c>
      <c r="H2429" s="97">
        <v>34018</v>
      </c>
      <c r="I2429" s="108" t="s">
        <v>12419</v>
      </c>
      <c r="J2429" s="94" t="s">
        <v>7707</v>
      </c>
      <c r="K2429" s="95">
        <v>965328174</v>
      </c>
      <c r="L2429" s="91" t="s">
        <v>60</v>
      </c>
      <c r="M2429" s="98">
        <f ca="1">(TODAY()-H2429)/365</f>
        <v>32.832876712328769</v>
      </c>
      <c r="N2429" s="99">
        <f>(G2429-H2429)/365</f>
        <v>13.830136986301369</v>
      </c>
      <c r="O2429" s="98">
        <f ca="1">(TODAY()-G2429)/365</f>
        <v>19.002739726027396</v>
      </c>
      <c r="P2429" s="91" t="s">
        <v>43</v>
      </c>
      <c r="Q2429" s="91">
        <v>0</v>
      </c>
      <c r="R2429" s="91">
        <v>0</v>
      </c>
      <c r="S2429" s="91">
        <v>0</v>
      </c>
      <c r="T2429" s="91"/>
      <c r="U2429" s="91"/>
      <c r="V2429" s="91"/>
      <c r="W2429" s="91"/>
      <c r="X2429" s="91"/>
      <c r="Y2429" s="91"/>
      <c r="Z2429" s="91"/>
      <c r="AA2429" s="91"/>
      <c r="AB2429" s="91"/>
      <c r="AC2429" s="91"/>
      <c r="AD2429" s="91"/>
      <c r="AE2429" s="91"/>
      <c r="AF2429" s="91"/>
      <c r="AG2429" s="91"/>
      <c r="AH2429" s="91"/>
      <c r="AI2429" s="91"/>
      <c r="AJ2429" s="91"/>
      <c r="AK2429" s="91"/>
      <c r="AL2429" s="91"/>
      <c r="AM2429" s="91"/>
    </row>
    <row r="2430" spans="1:39" ht="20.25" hidden="1" customHeight="1">
      <c r="A2430" s="91"/>
      <c r="B2430" s="93" t="s">
        <v>7680</v>
      </c>
      <c r="C2430" s="91" t="s">
        <v>36</v>
      </c>
      <c r="D2430" s="107" t="s">
        <v>7708</v>
      </c>
      <c r="E2430" s="107" t="s">
        <v>7698</v>
      </c>
      <c r="F2430" s="91" t="s">
        <v>7709</v>
      </c>
      <c r="G2430" s="96">
        <v>39006</v>
      </c>
      <c r="H2430" s="97">
        <v>33770</v>
      </c>
      <c r="I2430" s="108" t="s">
        <v>12420</v>
      </c>
      <c r="J2430" s="94" t="s">
        <v>7700</v>
      </c>
      <c r="K2430" s="95">
        <v>962219956</v>
      </c>
      <c r="L2430" s="91" t="s">
        <v>60</v>
      </c>
      <c r="M2430" s="98">
        <f ca="1">(TODAY()-H2430)/365</f>
        <v>33.512328767123286</v>
      </c>
      <c r="N2430" s="99">
        <f>(G2430-H2430)/365</f>
        <v>14.345205479452055</v>
      </c>
      <c r="O2430" s="98">
        <f ca="1">(TODAY()-G2430)/365</f>
        <v>19.167123287671235</v>
      </c>
      <c r="P2430" s="91" t="s">
        <v>43</v>
      </c>
      <c r="Q2430" s="91">
        <v>1</v>
      </c>
      <c r="R2430" s="91">
        <v>0</v>
      </c>
      <c r="S2430" s="91">
        <v>0</v>
      </c>
      <c r="T2430" s="91"/>
      <c r="U2430" s="91"/>
      <c r="V2430" s="91"/>
      <c r="W2430" s="91"/>
      <c r="X2430" s="91"/>
      <c r="Y2430" s="91"/>
      <c r="Z2430" s="91"/>
      <c r="AA2430" s="91"/>
      <c r="AB2430" s="91"/>
      <c r="AC2430" s="91"/>
      <c r="AD2430" s="91"/>
      <c r="AE2430" s="91"/>
      <c r="AF2430" s="91"/>
      <c r="AG2430" s="91"/>
      <c r="AH2430" s="91"/>
      <c r="AI2430" s="91"/>
      <c r="AJ2430" s="91"/>
      <c r="AK2430" s="91"/>
      <c r="AL2430" s="91"/>
      <c r="AM2430" s="91"/>
    </row>
    <row r="2431" spans="1:39" ht="20.25" hidden="1" customHeight="1">
      <c r="A2431" s="91"/>
      <c r="B2431" s="93" t="s">
        <v>7680</v>
      </c>
      <c r="C2431" s="91" t="s">
        <v>36</v>
      </c>
      <c r="D2431" s="107" t="s">
        <v>7710</v>
      </c>
      <c r="E2431" s="107" t="s">
        <v>7711</v>
      </c>
      <c r="F2431" s="91" t="s">
        <v>7712</v>
      </c>
      <c r="G2431" s="96">
        <v>43577</v>
      </c>
      <c r="H2431" s="97">
        <v>37863</v>
      </c>
      <c r="I2431" s="108" t="s">
        <v>12421</v>
      </c>
      <c r="J2431" s="94" t="s">
        <v>7713</v>
      </c>
      <c r="K2431" s="95">
        <v>931789302</v>
      </c>
      <c r="L2431" s="91" t="s">
        <v>60</v>
      </c>
      <c r="M2431" s="98">
        <f ca="1">(TODAY()-H2431)/365</f>
        <v>22.298630136986301</v>
      </c>
      <c r="N2431" s="99">
        <f>(G2431-H2431)/365</f>
        <v>15.654794520547945</v>
      </c>
      <c r="O2431" s="98">
        <f ca="1">(TODAY()-G2431)/365</f>
        <v>6.6438356164383565</v>
      </c>
      <c r="P2431" s="91" t="s">
        <v>272</v>
      </c>
      <c r="Q2431" s="91">
        <v>0</v>
      </c>
      <c r="R2431" s="91">
        <v>0</v>
      </c>
      <c r="S2431" s="91">
        <v>0</v>
      </c>
      <c r="T2431" s="91"/>
      <c r="U2431" s="91"/>
      <c r="V2431" s="91"/>
      <c r="W2431" s="91"/>
      <c r="X2431" s="91"/>
      <c r="Y2431" s="91"/>
      <c r="Z2431" s="91"/>
      <c r="AA2431" s="91"/>
      <c r="AB2431" s="91"/>
      <c r="AC2431" s="91"/>
      <c r="AD2431" s="91"/>
      <c r="AE2431" s="91"/>
      <c r="AF2431" s="91"/>
      <c r="AG2431" s="91"/>
      <c r="AH2431" s="91"/>
      <c r="AI2431" s="91"/>
      <c r="AJ2431" s="91"/>
      <c r="AK2431" s="91"/>
      <c r="AL2431" s="91"/>
      <c r="AM2431" s="91"/>
    </row>
    <row r="2432" spans="1:39" ht="20.25" hidden="1" customHeight="1">
      <c r="A2432" s="91"/>
      <c r="B2432" s="93" t="s">
        <v>7680</v>
      </c>
      <c r="C2432" s="91" t="s">
        <v>36</v>
      </c>
      <c r="D2432" s="107" t="s">
        <v>7714</v>
      </c>
      <c r="E2432" s="107" t="s">
        <v>7715</v>
      </c>
      <c r="F2432" s="91" t="s">
        <v>7716</v>
      </c>
      <c r="G2432" s="96">
        <v>41072</v>
      </c>
      <c r="H2432" s="97">
        <v>33937</v>
      </c>
      <c r="I2432" s="108" t="s">
        <v>12422</v>
      </c>
      <c r="J2432" s="94" t="s">
        <v>7717</v>
      </c>
      <c r="K2432" s="95">
        <v>932963728</v>
      </c>
      <c r="L2432" s="91" t="s">
        <v>197</v>
      </c>
      <c r="M2432" s="98">
        <f ca="1">(TODAY()-H2432)/365</f>
        <v>33.054794520547944</v>
      </c>
      <c r="N2432" s="99">
        <f>(G2432-H2432)/365</f>
        <v>19.547945205479451</v>
      </c>
      <c r="O2432" s="98">
        <f ca="1">(TODAY()-G2432)/365</f>
        <v>13.506849315068493</v>
      </c>
      <c r="P2432" s="91" t="s">
        <v>272</v>
      </c>
      <c r="Q2432" s="91">
        <v>0</v>
      </c>
      <c r="R2432" s="91">
        <v>0</v>
      </c>
      <c r="S2432" s="91">
        <v>0</v>
      </c>
      <c r="T2432" s="91"/>
      <c r="U2432" s="91"/>
      <c r="V2432" s="91"/>
      <c r="W2432" s="91"/>
      <c r="X2432" s="91"/>
      <c r="Y2432" s="91"/>
      <c r="Z2432" s="91"/>
      <c r="AA2432" s="91"/>
      <c r="AB2432" s="91"/>
      <c r="AC2432" s="91"/>
      <c r="AD2432" s="91"/>
      <c r="AE2432" s="91"/>
      <c r="AF2432" s="91"/>
      <c r="AG2432" s="91"/>
      <c r="AH2432" s="91"/>
      <c r="AI2432" s="91"/>
      <c r="AJ2432" s="91"/>
      <c r="AK2432" s="91"/>
      <c r="AL2432" s="91"/>
      <c r="AM2432" s="91"/>
    </row>
    <row r="2433" spans="1:39" ht="20.25" hidden="1" customHeight="1">
      <c r="A2433" s="91"/>
      <c r="B2433" s="93" t="s">
        <v>7680</v>
      </c>
      <c r="C2433" s="91" t="s">
        <v>36</v>
      </c>
      <c r="D2433" s="107" t="s">
        <v>1961</v>
      </c>
      <c r="E2433" s="107" t="s">
        <v>7718</v>
      </c>
      <c r="F2433" s="91" t="s">
        <v>7719</v>
      </c>
      <c r="G2433" s="96">
        <v>43815</v>
      </c>
      <c r="H2433" s="97">
        <v>36672</v>
      </c>
      <c r="I2433" s="108" t="s">
        <v>12423</v>
      </c>
      <c r="J2433" s="94" t="s">
        <v>7720</v>
      </c>
      <c r="K2433" s="95">
        <v>926048880</v>
      </c>
      <c r="L2433" s="91" t="s">
        <v>60</v>
      </c>
      <c r="M2433" s="98">
        <f ca="1">(TODAY()-H2433)/365</f>
        <v>25.561643835616437</v>
      </c>
      <c r="N2433" s="99">
        <f>(G2433-H2433)/365</f>
        <v>19.56986301369863</v>
      </c>
      <c r="O2433" s="98">
        <f ca="1">(TODAY()-G2433)/365</f>
        <v>5.9917808219178079</v>
      </c>
      <c r="P2433" s="91" t="s">
        <v>272</v>
      </c>
      <c r="Q2433" s="91">
        <v>0</v>
      </c>
      <c r="R2433" s="91">
        <v>0</v>
      </c>
      <c r="S2433" s="91">
        <v>0</v>
      </c>
      <c r="T2433" s="91"/>
      <c r="U2433" s="91"/>
      <c r="V2433" s="91"/>
      <c r="W2433" s="91"/>
      <c r="X2433" s="91"/>
      <c r="Y2433" s="91"/>
      <c r="Z2433" s="91"/>
      <c r="AA2433" s="91"/>
      <c r="AB2433" s="91"/>
      <c r="AC2433" s="91"/>
      <c r="AD2433" s="91"/>
      <c r="AE2433" s="91"/>
      <c r="AF2433" s="91"/>
      <c r="AG2433" s="91"/>
      <c r="AH2433" s="91"/>
      <c r="AI2433" s="91"/>
      <c r="AJ2433" s="91"/>
      <c r="AK2433" s="91"/>
      <c r="AL2433" s="91"/>
      <c r="AM2433" s="91"/>
    </row>
    <row r="2434" spans="1:39" ht="20.25" hidden="1" customHeight="1">
      <c r="A2434" s="91"/>
      <c r="B2434" s="93" t="s">
        <v>7680</v>
      </c>
      <c r="C2434" s="91" t="s">
        <v>36</v>
      </c>
      <c r="D2434" s="107" t="s">
        <v>7721</v>
      </c>
      <c r="E2434" s="107" t="s">
        <v>7722</v>
      </c>
      <c r="F2434" s="91" t="s">
        <v>7723</v>
      </c>
      <c r="G2434" s="96">
        <v>36275</v>
      </c>
      <c r="H2434" s="97">
        <v>28757</v>
      </c>
      <c r="I2434" s="108" t="s">
        <v>12424</v>
      </c>
      <c r="J2434" s="94" t="s">
        <v>7724</v>
      </c>
      <c r="K2434" s="95">
        <v>973989271</v>
      </c>
      <c r="L2434" s="91" t="s">
        <v>49</v>
      </c>
      <c r="M2434" s="98">
        <f ca="1">(TODAY()-H2434)/365</f>
        <v>47.246575342465754</v>
      </c>
      <c r="N2434" s="99">
        <f>(G2434-H2434)/365</f>
        <v>20.597260273972601</v>
      </c>
      <c r="O2434" s="98">
        <f ca="1">(TODAY()-G2434)/365</f>
        <v>26.649315068493152</v>
      </c>
      <c r="P2434" s="91" t="s">
        <v>43</v>
      </c>
      <c r="Q2434" s="91">
        <v>0</v>
      </c>
      <c r="R2434" s="91">
        <v>0</v>
      </c>
      <c r="S2434" s="91">
        <v>0</v>
      </c>
      <c r="T2434" s="91"/>
      <c r="U2434" s="91"/>
      <c r="V2434" s="91"/>
      <c r="W2434" s="91"/>
      <c r="X2434" s="91"/>
      <c r="Y2434" s="91"/>
      <c r="Z2434" s="91"/>
      <c r="AA2434" s="91"/>
      <c r="AB2434" s="91"/>
      <c r="AC2434" s="91"/>
      <c r="AD2434" s="91"/>
      <c r="AE2434" s="91"/>
      <c r="AF2434" s="91"/>
      <c r="AG2434" s="91"/>
      <c r="AH2434" s="91"/>
      <c r="AI2434" s="91"/>
      <c r="AJ2434" s="91"/>
      <c r="AK2434" s="91"/>
      <c r="AL2434" s="91"/>
      <c r="AM2434" s="91"/>
    </row>
    <row r="2435" spans="1:39" ht="20.25" hidden="1" customHeight="1">
      <c r="A2435" s="91"/>
      <c r="B2435" s="93" t="s">
        <v>7680</v>
      </c>
      <c r="C2435" s="91" t="s">
        <v>36</v>
      </c>
      <c r="D2435" s="107" t="s">
        <v>7725</v>
      </c>
      <c r="E2435" s="107" t="s">
        <v>7726</v>
      </c>
      <c r="F2435" s="91" t="s">
        <v>7727</v>
      </c>
      <c r="G2435" s="96">
        <v>44680</v>
      </c>
      <c r="H2435" s="97">
        <v>36879</v>
      </c>
      <c r="I2435" s="108" t="s">
        <v>12425</v>
      </c>
      <c r="J2435" s="94" t="s">
        <v>7728</v>
      </c>
      <c r="K2435" s="95">
        <v>931795621</v>
      </c>
      <c r="L2435" s="91" t="s">
        <v>60</v>
      </c>
      <c r="M2435" s="98">
        <f ca="1">(TODAY()-H2435)/365</f>
        <v>24.994520547945207</v>
      </c>
      <c r="N2435" s="99">
        <f>(G2435-H2435)/365</f>
        <v>21.372602739726027</v>
      </c>
      <c r="O2435" s="98">
        <f ca="1">(TODAY()-G2435)/365</f>
        <v>3.6219178082191781</v>
      </c>
      <c r="P2435" s="91" t="s">
        <v>43</v>
      </c>
      <c r="Q2435" s="91">
        <v>0</v>
      </c>
      <c r="R2435" s="91">
        <v>0</v>
      </c>
      <c r="S2435" s="91">
        <v>0</v>
      </c>
      <c r="T2435" s="91"/>
      <c r="U2435" s="91"/>
      <c r="V2435" s="91"/>
      <c r="W2435" s="91"/>
      <c r="X2435" s="91"/>
      <c r="Y2435" s="91"/>
      <c r="Z2435" s="91"/>
      <c r="AA2435" s="91"/>
      <c r="AB2435" s="91"/>
      <c r="AC2435" s="91"/>
      <c r="AD2435" s="91"/>
      <c r="AE2435" s="91"/>
      <c r="AF2435" s="91"/>
      <c r="AG2435" s="91"/>
      <c r="AH2435" s="91"/>
      <c r="AI2435" s="91"/>
      <c r="AJ2435" s="91"/>
      <c r="AK2435" s="91"/>
      <c r="AL2435" s="91"/>
      <c r="AM2435" s="91"/>
    </row>
    <row r="2436" spans="1:39" ht="20.25" hidden="1" customHeight="1">
      <c r="A2436" s="91"/>
      <c r="B2436" s="93" t="s">
        <v>7680</v>
      </c>
      <c r="C2436" s="91" t="s">
        <v>36</v>
      </c>
      <c r="D2436" s="107" t="s">
        <v>7729</v>
      </c>
      <c r="E2436" s="107" t="s">
        <v>7730</v>
      </c>
      <c r="F2436" s="91" t="s">
        <v>7731</v>
      </c>
      <c r="G2436" s="96">
        <v>45565</v>
      </c>
      <c r="H2436" s="97">
        <v>37669</v>
      </c>
      <c r="I2436" s="108" t="s">
        <v>12426</v>
      </c>
      <c r="J2436" s="94" t="s">
        <v>7732</v>
      </c>
      <c r="K2436" s="95">
        <v>966176011</v>
      </c>
      <c r="L2436" s="91" t="s">
        <v>60</v>
      </c>
      <c r="M2436" s="98">
        <f ca="1">(TODAY()-H2436)/365</f>
        <v>22.830136986301369</v>
      </c>
      <c r="N2436" s="99">
        <f>(G2436-H2436)/365</f>
        <v>21.632876712328766</v>
      </c>
      <c r="O2436" s="98">
        <f ca="1">(TODAY()-G2436)/365</f>
        <v>1.1972602739726028</v>
      </c>
      <c r="P2436" s="91" t="s">
        <v>272</v>
      </c>
      <c r="Q2436" s="91">
        <v>0</v>
      </c>
      <c r="R2436" s="91">
        <v>0</v>
      </c>
      <c r="S2436" s="91">
        <v>0</v>
      </c>
      <c r="T2436" s="91"/>
      <c r="U2436" s="91"/>
      <c r="V2436" s="91"/>
      <c r="W2436" s="91"/>
      <c r="X2436" s="91"/>
      <c r="Y2436" s="91"/>
      <c r="Z2436" s="91"/>
      <c r="AA2436" s="91"/>
      <c r="AB2436" s="91"/>
      <c r="AC2436" s="91"/>
      <c r="AD2436" s="91"/>
      <c r="AE2436" s="91"/>
      <c r="AF2436" s="91"/>
      <c r="AG2436" s="91"/>
      <c r="AH2436" s="91"/>
      <c r="AI2436" s="91"/>
      <c r="AJ2436" s="91"/>
      <c r="AK2436" s="91"/>
      <c r="AL2436" s="91"/>
      <c r="AM2436" s="91"/>
    </row>
    <row r="2437" spans="1:39" ht="20.25" hidden="1" customHeight="1">
      <c r="A2437" s="91"/>
      <c r="B2437" s="93" t="s">
        <v>7680</v>
      </c>
      <c r="C2437" s="91" t="s">
        <v>36</v>
      </c>
      <c r="D2437" s="107" t="s">
        <v>7733</v>
      </c>
      <c r="E2437" s="107" t="s">
        <v>7734</v>
      </c>
      <c r="F2437" s="91" t="s">
        <v>7735</v>
      </c>
      <c r="G2437" s="96">
        <v>33563</v>
      </c>
      <c r="H2437" s="97">
        <v>25163</v>
      </c>
      <c r="I2437" s="108" t="s">
        <v>12427</v>
      </c>
      <c r="J2437" s="94" t="s">
        <v>7736</v>
      </c>
      <c r="K2437" s="95">
        <v>939194211</v>
      </c>
      <c r="L2437" s="91" t="s">
        <v>60</v>
      </c>
      <c r="M2437" s="98">
        <f ca="1">(TODAY()-H2437)/365</f>
        <v>57.093150684931508</v>
      </c>
      <c r="N2437" s="99">
        <f>(G2437-H2437)/365</f>
        <v>23.013698630136986</v>
      </c>
      <c r="O2437" s="98">
        <f ca="1">(TODAY()-G2437)/365</f>
        <v>34.079452054794523</v>
      </c>
      <c r="P2437" s="91" t="s">
        <v>43</v>
      </c>
      <c r="Q2437" s="91">
        <v>0</v>
      </c>
      <c r="R2437" s="91">
        <v>0</v>
      </c>
      <c r="S2437" s="91">
        <v>0</v>
      </c>
      <c r="T2437" s="91"/>
      <c r="U2437" s="91"/>
      <c r="V2437" s="91"/>
      <c r="W2437" s="91"/>
      <c r="X2437" s="91"/>
      <c r="Y2437" s="91"/>
      <c r="Z2437" s="91"/>
      <c r="AA2437" s="91"/>
      <c r="AB2437" s="91"/>
      <c r="AC2437" s="91"/>
      <c r="AD2437" s="91"/>
      <c r="AE2437" s="91"/>
      <c r="AF2437" s="91"/>
      <c r="AG2437" s="91"/>
      <c r="AH2437" s="91"/>
      <c r="AI2437" s="91"/>
      <c r="AJ2437" s="91"/>
      <c r="AK2437" s="91"/>
      <c r="AL2437" s="91"/>
      <c r="AM2437" s="91"/>
    </row>
    <row r="2438" spans="1:39" ht="20.25" hidden="1" customHeight="1">
      <c r="A2438" s="91"/>
      <c r="B2438" s="93" t="s">
        <v>7680</v>
      </c>
      <c r="C2438" s="91" t="s">
        <v>36</v>
      </c>
      <c r="D2438" s="107" t="s">
        <v>7737</v>
      </c>
      <c r="E2438" s="107" t="s">
        <v>7738</v>
      </c>
      <c r="F2438" s="91" t="s">
        <v>7739</v>
      </c>
      <c r="G2438" s="96">
        <v>45562</v>
      </c>
      <c r="H2438" s="96" t="s">
        <v>58</v>
      </c>
      <c r="I2438" s="108" t="s">
        <v>12428</v>
      </c>
      <c r="J2438" s="94" t="s">
        <v>7740</v>
      </c>
      <c r="K2438" s="95">
        <v>996264861</v>
      </c>
      <c r="L2438" s="91" t="s">
        <v>60</v>
      </c>
      <c r="M2438" s="98"/>
      <c r="N2438" s="91"/>
      <c r="O2438" s="98">
        <f ca="1">(TODAY()-G2438)/365</f>
        <v>1.2054794520547945</v>
      </c>
      <c r="P2438" s="91" t="s">
        <v>43</v>
      </c>
      <c r="Q2438" s="91">
        <v>0</v>
      </c>
      <c r="R2438" s="91">
        <v>0</v>
      </c>
      <c r="S2438" s="91">
        <v>0</v>
      </c>
      <c r="T2438" s="91"/>
      <c r="U2438" s="91"/>
      <c r="V2438" s="91"/>
      <c r="W2438" s="91"/>
      <c r="X2438" s="91"/>
      <c r="Y2438" s="91"/>
      <c r="Z2438" s="91"/>
      <c r="AA2438" s="91"/>
      <c r="AB2438" s="91"/>
      <c r="AC2438" s="91"/>
      <c r="AD2438" s="91"/>
      <c r="AE2438" s="91"/>
      <c r="AF2438" s="91"/>
      <c r="AG2438" s="91"/>
      <c r="AH2438" s="91"/>
      <c r="AI2438" s="91"/>
      <c r="AJ2438" s="91"/>
      <c r="AK2438" s="91"/>
      <c r="AL2438" s="91"/>
      <c r="AM2438" s="91"/>
    </row>
    <row r="2439" spans="1:39" ht="20.25" hidden="1" customHeight="1">
      <c r="A2439" s="91"/>
      <c r="B2439" s="93" t="s">
        <v>7680</v>
      </c>
      <c r="C2439" s="91" t="s">
        <v>36</v>
      </c>
      <c r="D2439" s="107" t="s">
        <v>7741</v>
      </c>
      <c r="E2439" s="107" t="s">
        <v>7742</v>
      </c>
      <c r="F2439" s="91" t="s">
        <v>7727</v>
      </c>
      <c r="G2439" s="96">
        <v>44680</v>
      </c>
      <c r="H2439" s="97">
        <v>35594</v>
      </c>
      <c r="I2439" s="108" t="s">
        <v>12429</v>
      </c>
      <c r="J2439" s="94" t="s">
        <v>7743</v>
      </c>
      <c r="K2439" s="95">
        <v>944663410</v>
      </c>
      <c r="L2439" s="91" t="s">
        <v>60</v>
      </c>
      <c r="M2439" s="98">
        <f ca="1">(TODAY()-H2439)/365</f>
        <v>28.515068493150686</v>
      </c>
      <c r="N2439" s="99">
        <f>(G2439-H2439)/365</f>
        <v>24.893150684931506</v>
      </c>
      <c r="O2439" s="98">
        <f ca="1">(TODAY()-G2439)/365</f>
        <v>3.6219178082191781</v>
      </c>
      <c r="P2439" s="91" t="s">
        <v>272</v>
      </c>
      <c r="Q2439" s="91">
        <v>0</v>
      </c>
      <c r="R2439" s="91">
        <v>0</v>
      </c>
      <c r="S2439" s="91">
        <v>0</v>
      </c>
      <c r="T2439" s="91"/>
      <c r="U2439" s="91"/>
      <c r="V2439" s="91"/>
      <c r="W2439" s="91"/>
      <c r="X2439" s="91"/>
      <c r="Y2439" s="91"/>
      <c r="Z2439" s="91"/>
      <c r="AA2439" s="91"/>
      <c r="AB2439" s="91"/>
      <c r="AC2439" s="91"/>
      <c r="AD2439" s="91"/>
      <c r="AE2439" s="91"/>
      <c r="AF2439" s="91"/>
      <c r="AG2439" s="91"/>
      <c r="AH2439" s="91"/>
      <c r="AI2439" s="91"/>
      <c r="AJ2439" s="91"/>
      <c r="AK2439" s="91"/>
      <c r="AL2439" s="91"/>
      <c r="AM2439" s="91"/>
    </row>
    <row r="2440" spans="1:39" ht="20.25" hidden="1" customHeight="1">
      <c r="A2440" s="91"/>
      <c r="B2440" s="93" t="s">
        <v>7680</v>
      </c>
      <c r="C2440" s="91" t="s">
        <v>36</v>
      </c>
      <c r="D2440" s="107" t="s">
        <v>7744</v>
      </c>
      <c r="E2440" s="107" t="s">
        <v>7745</v>
      </c>
      <c r="F2440" s="91" t="s">
        <v>7746</v>
      </c>
      <c r="G2440" s="96">
        <v>29486</v>
      </c>
      <c r="H2440" s="97">
        <v>18522</v>
      </c>
      <c r="I2440" s="100" t="s">
        <v>58</v>
      </c>
      <c r="J2440" s="94" t="s">
        <v>7747</v>
      </c>
      <c r="K2440" s="95">
        <v>443075139</v>
      </c>
      <c r="L2440" s="91" t="s">
        <v>60</v>
      </c>
      <c r="M2440" s="98">
        <f ca="1">(TODAY()-H2440)/365</f>
        <v>75.287671232876718</v>
      </c>
      <c r="N2440" s="99">
        <f>(G2440-H2440)/365</f>
        <v>30.038356164383561</v>
      </c>
      <c r="O2440" s="98">
        <f ca="1">(TODAY()-G2440)/365</f>
        <v>45.249315068493154</v>
      </c>
      <c r="P2440" s="91" t="s">
        <v>43</v>
      </c>
      <c r="Q2440" s="91">
        <v>0</v>
      </c>
      <c r="R2440" s="91">
        <v>0</v>
      </c>
      <c r="S2440" s="91">
        <v>0</v>
      </c>
      <c r="T2440" s="91"/>
      <c r="U2440" s="91"/>
      <c r="V2440" s="91"/>
      <c r="W2440" s="91"/>
      <c r="X2440" s="91"/>
      <c r="Y2440" s="91"/>
      <c r="Z2440" s="91"/>
      <c r="AA2440" s="91"/>
      <c r="AB2440" s="91"/>
      <c r="AC2440" s="91"/>
      <c r="AD2440" s="91"/>
      <c r="AE2440" s="91"/>
      <c r="AF2440" s="91"/>
      <c r="AG2440" s="91"/>
      <c r="AH2440" s="91"/>
      <c r="AI2440" s="91"/>
      <c r="AJ2440" s="91"/>
      <c r="AK2440" s="91"/>
      <c r="AL2440" s="91"/>
      <c r="AM2440" s="91"/>
    </row>
    <row r="2441" spans="1:39" ht="20.25" hidden="1" customHeight="1">
      <c r="A2441" s="91"/>
      <c r="B2441" s="93" t="s">
        <v>7680</v>
      </c>
      <c r="C2441" s="91" t="s">
        <v>36</v>
      </c>
      <c r="D2441" s="107" t="s">
        <v>7748</v>
      </c>
      <c r="E2441" s="107" t="s">
        <v>7749</v>
      </c>
      <c r="F2441" s="91" t="s">
        <v>7750</v>
      </c>
      <c r="G2441" s="96">
        <v>33453</v>
      </c>
      <c r="H2441" s="97">
        <v>22427</v>
      </c>
      <c r="I2441" s="108" t="s">
        <v>12430</v>
      </c>
      <c r="J2441" s="94" t="s">
        <v>7751</v>
      </c>
      <c r="K2441" s="95">
        <v>954232575</v>
      </c>
      <c r="L2441" s="91" t="s">
        <v>151</v>
      </c>
      <c r="M2441" s="98">
        <f ca="1">(TODAY()-H2441)/365</f>
        <v>64.589041095890408</v>
      </c>
      <c r="N2441" s="99">
        <f>(G2441-H2441)/365</f>
        <v>30.208219178082192</v>
      </c>
      <c r="O2441" s="98">
        <f ca="1">(TODAY()-G2441)/365</f>
        <v>34.38082191780822</v>
      </c>
      <c r="P2441" s="91" t="s">
        <v>43</v>
      </c>
      <c r="Q2441" s="91">
        <v>0</v>
      </c>
      <c r="R2441" s="91">
        <v>0</v>
      </c>
      <c r="S2441" s="91">
        <v>0</v>
      </c>
      <c r="T2441" s="91"/>
      <c r="U2441" s="91"/>
      <c r="V2441" s="91"/>
      <c r="W2441" s="91"/>
      <c r="X2441" s="91"/>
      <c r="Y2441" s="91"/>
      <c r="Z2441" s="91"/>
      <c r="AA2441" s="91"/>
      <c r="AB2441" s="91"/>
      <c r="AC2441" s="91"/>
      <c r="AD2441" s="91"/>
      <c r="AE2441" s="91"/>
      <c r="AF2441" s="91"/>
      <c r="AG2441" s="91"/>
      <c r="AH2441" s="91"/>
      <c r="AI2441" s="91"/>
      <c r="AJ2441" s="91"/>
      <c r="AK2441" s="91"/>
      <c r="AL2441" s="91"/>
      <c r="AM2441" s="91"/>
    </row>
    <row r="2442" spans="1:39" ht="20.25" hidden="1" customHeight="1">
      <c r="A2442" s="91"/>
      <c r="B2442" s="93" t="s">
        <v>7680</v>
      </c>
      <c r="C2442" s="91" t="s">
        <v>36</v>
      </c>
      <c r="D2442" s="107" t="s">
        <v>7752</v>
      </c>
      <c r="E2442" s="107" t="s">
        <v>7753</v>
      </c>
      <c r="F2442" s="91" t="s">
        <v>7754</v>
      </c>
      <c r="G2442" s="96">
        <v>33479</v>
      </c>
      <c r="H2442" s="97">
        <v>21046</v>
      </c>
      <c r="I2442" s="108" t="s">
        <v>12431</v>
      </c>
      <c r="J2442" s="94" t="s">
        <v>7755</v>
      </c>
      <c r="K2442" s="95">
        <v>992596979</v>
      </c>
      <c r="L2442" s="91" t="s">
        <v>72</v>
      </c>
      <c r="M2442" s="98">
        <f ca="1">(TODAY()-H2442)/365</f>
        <v>68.372602739726034</v>
      </c>
      <c r="N2442" s="99">
        <f>(G2442-H2442)/365</f>
        <v>34.063013698630137</v>
      </c>
      <c r="O2442" s="98">
        <f ca="1">(TODAY()-G2442)/365</f>
        <v>34.30958904109589</v>
      </c>
      <c r="P2442" s="91" t="s">
        <v>43</v>
      </c>
      <c r="Q2442" s="91">
        <v>0</v>
      </c>
      <c r="R2442" s="91">
        <v>0</v>
      </c>
      <c r="S2442" s="91">
        <v>0</v>
      </c>
      <c r="T2442" s="91"/>
      <c r="U2442" s="91"/>
      <c r="V2442" s="91"/>
      <c r="W2442" s="91"/>
      <c r="X2442" s="91"/>
      <c r="Y2442" s="91"/>
      <c r="Z2442" s="91"/>
      <c r="AA2442" s="91"/>
      <c r="AB2442" s="91"/>
      <c r="AC2442" s="91"/>
      <c r="AD2442" s="91"/>
      <c r="AE2442" s="91"/>
      <c r="AF2442" s="91"/>
      <c r="AG2442" s="91"/>
      <c r="AH2442" s="91"/>
      <c r="AI2442" s="91"/>
      <c r="AJ2442" s="91"/>
      <c r="AK2442" s="91"/>
      <c r="AL2442" s="91"/>
      <c r="AM2442" s="91"/>
    </row>
    <row r="2443" spans="1:39" ht="20.25" hidden="1" customHeight="1">
      <c r="A2443" s="91"/>
      <c r="B2443" s="93" t="s">
        <v>7680</v>
      </c>
      <c r="C2443" s="91" t="s">
        <v>36</v>
      </c>
      <c r="D2443" s="107" t="s">
        <v>7756</v>
      </c>
      <c r="E2443" s="107" t="s">
        <v>7757</v>
      </c>
      <c r="F2443" s="91" t="s">
        <v>7758</v>
      </c>
      <c r="G2443" s="96">
        <v>43398</v>
      </c>
      <c r="H2443" s="97">
        <v>34297</v>
      </c>
      <c r="I2443" s="108" t="s">
        <v>12432</v>
      </c>
      <c r="J2443" s="94" t="s">
        <v>7759</v>
      </c>
      <c r="K2443" s="95">
        <v>971880131</v>
      </c>
      <c r="L2443" s="91" t="s">
        <v>60</v>
      </c>
      <c r="M2443" s="98">
        <f ca="1">(TODAY()-H2443)/365</f>
        <v>32.06849315068493</v>
      </c>
      <c r="N2443" s="99">
        <f>(G2443-H2443)/365</f>
        <v>24.934246575342467</v>
      </c>
      <c r="O2443" s="98">
        <f ca="1">(TODAY()-G2443)/365</f>
        <v>7.1342465753424653</v>
      </c>
      <c r="P2443" s="91" t="s">
        <v>43</v>
      </c>
      <c r="Q2443" s="91">
        <v>1</v>
      </c>
      <c r="R2443" s="91">
        <v>0</v>
      </c>
      <c r="S2443" s="91">
        <v>0</v>
      </c>
      <c r="T2443" s="91"/>
      <c r="U2443" s="91"/>
      <c r="V2443" s="91"/>
      <c r="W2443" s="91"/>
      <c r="X2443" s="91"/>
      <c r="Y2443" s="91"/>
      <c r="Z2443" s="91"/>
      <c r="AA2443" s="91"/>
      <c r="AB2443" s="91"/>
      <c r="AC2443" s="91"/>
      <c r="AD2443" s="91"/>
      <c r="AE2443" s="91"/>
      <c r="AF2443" s="91"/>
      <c r="AG2443" s="91"/>
      <c r="AH2443" s="91"/>
      <c r="AI2443" s="91"/>
      <c r="AJ2443" s="91"/>
      <c r="AK2443" s="91"/>
      <c r="AL2443" s="91"/>
      <c r="AM2443" s="91"/>
    </row>
    <row r="2444" spans="1:39" ht="20.25" hidden="1" customHeight="1">
      <c r="A2444" s="91"/>
      <c r="B2444" s="93" t="s">
        <v>7680</v>
      </c>
      <c r="C2444" s="91" t="s">
        <v>36</v>
      </c>
      <c r="D2444" s="107" t="s">
        <v>7760</v>
      </c>
      <c r="E2444" s="107" t="s">
        <v>7761</v>
      </c>
      <c r="F2444" s="91" t="s">
        <v>7727</v>
      </c>
      <c r="G2444" s="96">
        <v>28075</v>
      </c>
      <c r="H2444" s="97">
        <v>14781</v>
      </c>
      <c r="I2444" s="108" t="s">
        <v>12433</v>
      </c>
      <c r="J2444" s="94" t="s">
        <v>7762</v>
      </c>
      <c r="K2444" s="95">
        <v>934080091</v>
      </c>
      <c r="L2444" s="91" t="s">
        <v>60</v>
      </c>
      <c r="M2444" s="98">
        <f ca="1">(TODAY()-H2444)/365</f>
        <v>85.536986301369865</v>
      </c>
      <c r="N2444" s="99">
        <f>(G2444-H2444)/365</f>
        <v>36.421917808219177</v>
      </c>
      <c r="O2444" s="98">
        <f ca="1">(TODAY()-G2444)/365</f>
        <v>49.115068493150687</v>
      </c>
      <c r="P2444" s="91" t="s">
        <v>43</v>
      </c>
      <c r="Q2444" s="91">
        <v>0</v>
      </c>
      <c r="R2444" s="91">
        <v>0</v>
      </c>
      <c r="S2444" s="91">
        <v>0</v>
      </c>
      <c r="T2444" s="91"/>
      <c r="U2444" s="91"/>
      <c r="V2444" s="91"/>
      <c r="W2444" s="91"/>
      <c r="X2444" s="91"/>
      <c r="Y2444" s="91"/>
      <c r="Z2444" s="91"/>
      <c r="AA2444" s="91"/>
      <c r="AB2444" s="91"/>
      <c r="AC2444" s="91"/>
      <c r="AD2444" s="91"/>
      <c r="AE2444" s="91"/>
      <c r="AF2444" s="91"/>
      <c r="AG2444" s="91"/>
      <c r="AH2444" s="91"/>
      <c r="AI2444" s="91"/>
      <c r="AJ2444" s="91"/>
      <c r="AK2444" s="91"/>
      <c r="AL2444" s="91"/>
      <c r="AM2444" s="91"/>
    </row>
    <row r="2445" spans="1:39" ht="20.25" hidden="1" customHeight="1">
      <c r="A2445" s="91"/>
      <c r="B2445" s="93" t="s">
        <v>7680</v>
      </c>
      <c r="C2445" s="91" t="s">
        <v>36</v>
      </c>
      <c r="D2445" s="107" t="s">
        <v>7763</v>
      </c>
      <c r="E2445" s="107" t="s">
        <v>7764</v>
      </c>
      <c r="F2445" s="91" t="s">
        <v>7765</v>
      </c>
      <c r="G2445" s="96">
        <v>31883</v>
      </c>
      <c r="H2445" s="97">
        <v>18443</v>
      </c>
      <c r="I2445" s="100" t="s">
        <v>58</v>
      </c>
      <c r="J2445" s="94" t="s">
        <v>7766</v>
      </c>
      <c r="K2445" s="95">
        <v>942076824</v>
      </c>
      <c r="L2445" s="91" t="s">
        <v>60</v>
      </c>
      <c r="M2445" s="98">
        <f ca="1">(TODAY()-H2445)/365</f>
        <v>75.504109589041093</v>
      </c>
      <c r="N2445" s="99">
        <f>(G2445-H2445)/365</f>
        <v>36.821917808219176</v>
      </c>
      <c r="O2445" s="98">
        <f ca="1">(TODAY()-G2445)/365</f>
        <v>38.682191780821917</v>
      </c>
      <c r="P2445" s="91" t="s">
        <v>43</v>
      </c>
      <c r="Q2445" s="91">
        <v>0</v>
      </c>
      <c r="R2445" s="91">
        <v>0</v>
      </c>
      <c r="S2445" s="91">
        <v>0</v>
      </c>
      <c r="T2445" s="91"/>
      <c r="U2445" s="91"/>
      <c r="V2445" s="91"/>
      <c r="W2445" s="91"/>
      <c r="X2445" s="91"/>
      <c r="Y2445" s="91"/>
      <c r="Z2445" s="91"/>
      <c r="AA2445" s="91"/>
      <c r="AB2445" s="91"/>
      <c r="AC2445" s="91"/>
      <c r="AD2445" s="91"/>
      <c r="AE2445" s="91"/>
      <c r="AF2445" s="91"/>
      <c r="AG2445" s="91"/>
      <c r="AH2445" s="91"/>
      <c r="AI2445" s="91"/>
      <c r="AJ2445" s="91"/>
      <c r="AK2445" s="91"/>
      <c r="AL2445" s="91"/>
      <c r="AM2445" s="91"/>
    </row>
    <row r="2446" spans="1:39" ht="20.25" hidden="1" customHeight="1">
      <c r="A2446" s="91"/>
      <c r="B2446" s="93" t="s">
        <v>7680</v>
      </c>
      <c r="C2446" s="91" t="s">
        <v>36</v>
      </c>
      <c r="D2446" s="107" t="s">
        <v>7767</v>
      </c>
      <c r="E2446" s="107" t="s">
        <v>7768</v>
      </c>
      <c r="F2446" s="91" t="s">
        <v>7769</v>
      </c>
      <c r="G2446" s="96">
        <v>33857</v>
      </c>
      <c r="H2446" s="97">
        <v>18809</v>
      </c>
      <c r="I2446" s="100" t="s">
        <v>58</v>
      </c>
      <c r="J2446" s="94" t="s">
        <v>7770</v>
      </c>
      <c r="K2446" s="95">
        <v>997904296</v>
      </c>
      <c r="L2446" s="91" t="s">
        <v>60</v>
      </c>
      <c r="M2446" s="98">
        <f ca="1">(TODAY()-H2446)/365</f>
        <v>74.501369863013693</v>
      </c>
      <c r="N2446" s="99">
        <f>(G2446-H2446)/365</f>
        <v>41.227397260273975</v>
      </c>
      <c r="O2446" s="98">
        <f ca="1">(TODAY()-G2446)/365</f>
        <v>33.273972602739725</v>
      </c>
      <c r="P2446" s="91" t="s">
        <v>43</v>
      </c>
      <c r="Q2446" s="91">
        <v>0</v>
      </c>
      <c r="R2446" s="91">
        <v>0</v>
      </c>
      <c r="S2446" s="91">
        <v>0</v>
      </c>
      <c r="T2446" s="91"/>
      <c r="U2446" s="91"/>
      <c r="V2446" s="91"/>
      <c r="W2446" s="91"/>
      <c r="X2446" s="91"/>
      <c r="Y2446" s="91"/>
      <c r="Z2446" s="91"/>
      <c r="AA2446" s="91"/>
      <c r="AB2446" s="91"/>
      <c r="AC2446" s="91"/>
      <c r="AD2446" s="91"/>
      <c r="AE2446" s="91"/>
      <c r="AF2446" s="91"/>
      <c r="AG2446" s="91"/>
      <c r="AH2446" s="91"/>
      <c r="AI2446" s="91"/>
      <c r="AJ2446" s="91"/>
      <c r="AK2446" s="91"/>
      <c r="AL2446" s="91"/>
      <c r="AM2446" s="91"/>
    </row>
    <row r="2447" spans="1:39" ht="20.25" hidden="1" customHeight="1">
      <c r="A2447" s="91"/>
      <c r="B2447" s="93" t="s">
        <v>7680</v>
      </c>
      <c r="C2447" s="91" t="s">
        <v>36</v>
      </c>
      <c r="D2447" s="107" t="s">
        <v>7771</v>
      </c>
      <c r="E2447" s="107" t="s">
        <v>7772</v>
      </c>
      <c r="F2447" s="91" t="s">
        <v>7773</v>
      </c>
      <c r="G2447" s="96">
        <v>39522</v>
      </c>
      <c r="H2447" s="97">
        <v>24218</v>
      </c>
      <c r="I2447" s="100" t="s">
        <v>58</v>
      </c>
      <c r="J2447" s="94" t="s">
        <v>7774</v>
      </c>
      <c r="K2447" s="95">
        <v>971014561</v>
      </c>
      <c r="L2447" s="91" t="s">
        <v>60</v>
      </c>
      <c r="M2447" s="98">
        <f ca="1">(TODAY()-H2447)/365</f>
        <v>59.682191780821917</v>
      </c>
      <c r="N2447" s="99">
        <f>(G2447-H2447)/365</f>
        <v>41.92876712328767</v>
      </c>
      <c r="O2447" s="98">
        <f ca="1">(TODAY()-G2447)/365</f>
        <v>17.753424657534246</v>
      </c>
      <c r="P2447" s="91" t="s">
        <v>272</v>
      </c>
      <c r="Q2447" s="91">
        <v>0</v>
      </c>
      <c r="R2447" s="91">
        <v>0</v>
      </c>
      <c r="S2447" s="91">
        <v>0</v>
      </c>
      <c r="T2447" s="91"/>
      <c r="U2447" s="91"/>
      <c r="V2447" s="91"/>
      <c r="W2447" s="91"/>
      <c r="X2447" s="91"/>
      <c r="Y2447" s="91"/>
      <c r="Z2447" s="91"/>
      <c r="AA2447" s="91"/>
      <c r="AB2447" s="91"/>
      <c r="AC2447" s="91"/>
      <c r="AD2447" s="91"/>
      <c r="AE2447" s="91"/>
      <c r="AF2447" s="91"/>
      <c r="AG2447" s="91"/>
      <c r="AH2447" s="91"/>
      <c r="AI2447" s="91"/>
      <c r="AJ2447" s="91"/>
      <c r="AK2447" s="91"/>
      <c r="AL2447" s="91"/>
      <c r="AM2447" s="91"/>
    </row>
    <row r="2448" spans="1:39" ht="20.25" hidden="1" customHeight="1">
      <c r="A2448" s="91"/>
      <c r="B2448" s="93" t="s">
        <v>7680</v>
      </c>
      <c r="C2448" s="91" t="s">
        <v>36</v>
      </c>
      <c r="D2448" s="107" t="s">
        <v>3335</v>
      </c>
      <c r="E2448" s="107" t="s">
        <v>7775</v>
      </c>
      <c r="F2448" s="91" t="s">
        <v>7776</v>
      </c>
      <c r="G2448" s="96">
        <v>31148</v>
      </c>
      <c r="H2448" s="97">
        <v>15761</v>
      </c>
      <c r="I2448" s="100" t="s">
        <v>58</v>
      </c>
      <c r="J2448" s="94" t="s">
        <v>7777</v>
      </c>
      <c r="K2448" s="95">
        <v>989279301</v>
      </c>
      <c r="L2448" s="91" t="s">
        <v>60</v>
      </c>
      <c r="M2448" s="98">
        <f ca="1">(TODAY()-H2448)/365</f>
        <v>82.852054794520555</v>
      </c>
      <c r="N2448" s="99">
        <f>(G2448-H2448)/365</f>
        <v>42.156164383561645</v>
      </c>
      <c r="O2448" s="98">
        <f ca="1">(TODAY()-G2448)/365</f>
        <v>40.695890410958903</v>
      </c>
      <c r="P2448" s="91" t="s">
        <v>43</v>
      </c>
      <c r="Q2448" s="91">
        <v>0</v>
      </c>
      <c r="R2448" s="91">
        <v>0</v>
      </c>
      <c r="S2448" s="91">
        <v>0</v>
      </c>
      <c r="T2448" s="91"/>
      <c r="U2448" s="91"/>
      <c r="V2448" s="91"/>
      <c r="W2448" s="91"/>
      <c r="X2448" s="91"/>
      <c r="Y2448" s="91"/>
      <c r="Z2448" s="91"/>
      <c r="AA2448" s="91"/>
      <c r="AB2448" s="91"/>
      <c r="AC2448" s="91"/>
      <c r="AD2448" s="91"/>
      <c r="AE2448" s="91"/>
      <c r="AF2448" s="91"/>
      <c r="AG2448" s="91"/>
      <c r="AH2448" s="91"/>
      <c r="AI2448" s="91"/>
      <c r="AJ2448" s="91"/>
      <c r="AK2448" s="91"/>
      <c r="AL2448" s="91"/>
      <c r="AM2448" s="91"/>
    </row>
    <row r="2449" spans="1:39" ht="20.25" hidden="1" customHeight="1">
      <c r="A2449" s="91"/>
      <c r="B2449" s="93" t="s">
        <v>7680</v>
      </c>
      <c r="C2449" s="91" t="s">
        <v>36</v>
      </c>
      <c r="D2449" s="107" t="s">
        <v>7778</v>
      </c>
      <c r="E2449" s="107" t="s">
        <v>7779</v>
      </c>
      <c r="F2449" s="91" t="s">
        <v>7780</v>
      </c>
      <c r="G2449" s="96">
        <v>33491</v>
      </c>
      <c r="H2449" s="97">
        <v>17887</v>
      </c>
      <c r="I2449" s="108" t="s">
        <v>12434</v>
      </c>
      <c r="J2449" s="94" t="s">
        <v>7781</v>
      </c>
      <c r="K2449" s="95">
        <v>988374972</v>
      </c>
      <c r="L2449" s="91" t="s">
        <v>167</v>
      </c>
      <c r="M2449" s="98">
        <f ca="1">(TODAY()-H2449)/365</f>
        <v>77.027397260273972</v>
      </c>
      <c r="N2449" s="99">
        <f>(G2449-H2449)/365</f>
        <v>42.750684931506846</v>
      </c>
      <c r="O2449" s="98">
        <f ca="1">(TODAY()-G2449)/365</f>
        <v>34.276712328767125</v>
      </c>
      <c r="P2449" s="91" t="s">
        <v>43</v>
      </c>
      <c r="Q2449" s="91">
        <v>0</v>
      </c>
      <c r="R2449" s="91">
        <v>0</v>
      </c>
      <c r="S2449" s="91">
        <v>0</v>
      </c>
      <c r="T2449" s="91"/>
      <c r="U2449" s="91"/>
      <c r="V2449" s="91"/>
      <c r="W2449" s="91"/>
      <c r="X2449" s="91"/>
      <c r="Y2449" s="91"/>
      <c r="Z2449" s="91"/>
      <c r="AA2449" s="91"/>
      <c r="AB2449" s="91"/>
      <c r="AC2449" s="91"/>
      <c r="AD2449" s="91"/>
      <c r="AE2449" s="91"/>
      <c r="AF2449" s="91"/>
      <c r="AG2449" s="91"/>
      <c r="AH2449" s="91"/>
      <c r="AI2449" s="91"/>
      <c r="AJ2449" s="91"/>
      <c r="AK2449" s="91"/>
      <c r="AL2449" s="91"/>
      <c r="AM2449" s="91"/>
    </row>
    <row r="2450" spans="1:39" ht="20.25" hidden="1" customHeight="1">
      <c r="A2450" s="91"/>
      <c r="B2450" s="93" t="s">
        <v>7680</v>
      </c>
      <c r="C2450" s="91" t="s">
        <v>36</v>
      </c>
      <c r="D2450" s="107" t="s">
        <v>217</v>
      </c>
      <c r="E2450" s="107" t="s">
        <v>7782</v>
      </c>
      <c r="F2450" s="91" t="s">
        <v>7783</v>
      </c>
      <c r="G2450" s="96">
        <v>37577</v>
      </c>
      <c r="H2450" s="97">
        <v>21956</v>
      </c>
      <c r="I2450" s="108" t="s">
        <v>12435</v>
      </c>
      <c r="J2450" s="94" t="s">
        <v>7784</v>
      </c>
      <c r="K2450" s="95">
        <v>989566474</v>
      </c>
      <c r="L2450" s="91" t="s">
        <v>60</v>
      </c>
      <c r="M2450" s="98">
        <f ca="1">(TODAY()-H2450)/365</f>
        <v>65.879452054794527</v>
      </c>
      <c r="N2450" s="99">
        <f>(G2450-H2450)/365</f>
        <v>42.797260273972604</v>
      </c>
      <c r="O2450" s="98">
        <f ca="1">(TODAY()-G2450)/365</f>
        <v>23.082191780821919</v>
      </c>
      <c r="P2450" s="91" t="s">
        <v>43</v>
      </c>
      <c r="Q2450" s="91">
        <v>0</v>
      </c>
      <c r="R2450" s="91">
        <v>0</v>
      </c>
      <c r="S2450" s="91">
        <v>0</v>
      </c>
      <c r="T2450" s="91"/>
      <c r="U2450" s="91"/>
      <c r="V2450" s="91"/>
      <c r="W2450" s="91"/>
      <c r="X2450" s="91"/>
      <c r="Y2450" s="91"/>
      <c r="Z2450" s="91"/>
      <c r="AA2450" s="91"/>
      <c r="AB2450" s="91"/>
      <c r="AC2450" s="91"/>
      <c r="AD2450" s="91"/>
      <c r="AE2450" s="91"/>
      <c r="AF2450" s="91"/>
      <c r="AG2450" s="91"/>
      <c r="AH2450" s="91"/>
      <c r="AI2450" s="91"/>
      <c r="AJ2450" s="91"/>
      <c r="AK2450" s="91"/>
      <c r="AL2450" s="91"/>
      <c r="AM2450" s="91"/>
    </row>
    <row r="2451" spans="1:39" ht="20.25" hidden="1" customHeight="1">
      <c r="A2451" s="91"/>
      <c r="B2451" s="93" t="s">
        <v>7680</v>
      </c>
      <c r="C2451" s="91" t="s">
        <v>36</v>
      </c>
      <c r="D2451" s="107" t="s">
        <v>7785</v>
      </c>
      <c r="E2451" s="107" t="s">
        <v>7786</v>
      </c>
      <c r="F2451" s="91" t="s">
        <v>7787</v>
      </c>
      <c r="G2451" s="96">
        <v>36433</v>
      </c>
      <c r="H2451" s="97">
        <v>20169</v>
      </c>
      <c r="I2451" s="108" t="s">
        <v>12436</v>
      </c>
      <c r="J2451" s="94" t="s">
        <v>7743</v>
      </c>
      <c r="K2451" s="95">
        <v>984302888</v>
      </c>
      <c r="L2451" s="91" t="s">
        <v>42</v>
      </c>
      <c r="M2451" s="98">
        <f ca="1">(TODAY()-H2451)/365</f>
        <v>70.775342465753425</v>
      </c>
      <c r="N2451" s="99">
        <f>(G2451-H2451)/365</f>
        <v>44.558904109589044</v>
      </c>
      <c r="O2451" s="98">
        <f ca="1">(TODAY()-G2451)/365</f>
        <v>26.216438356164385</v>
      </c>
      <c r="P2451" s="91" t="s">
        <v>43</v>
      </c>
      <c r="Q2451" s="91">
        <v>0</v>
      </c>
      <c r="R2451" s="91">
        <v>0</v>
      </c>
      <c r="S2451" s="91">
        <v>1</v>
      </c>
      <c r="T2451" s="91"/>
      <c r="U2451" s="91"/>
      <c r="V2451" s="91"/>
      <c r="W2451" s="91"/>
      <c r="X2451" s="91"/>
      <c r="Y2451" s="91"/>
      <c r="Z2451" s="91"/>
      <c r="AA2451" s="91"/>
      <c r="AB2451" s="91"/>
      <c r="AC2451" s="91"/>
      <c r="AD2451" s="91"/>
      <c r="AE2451" s="91"/>
      <c r="AF2451" s="91"/>
      <c r="AG2451" s="91"/>
      <c r="AH2451" s="91"/>
      <c r="AI2451" s="91"/>
      <c r="AJ2451" s="91"/>
      <c r="AK2451" s="91"/>
      <c r="AL2451" s="91"/>
      <c r="AM2451" s="91"/>
    </row>
    <row r="2452" spans="1:39" ht="20.25" hidden="1" customHeight="1">
      <c r="A2452" s="91"/>
      <c r="B2452" s="93" t="s">
        <v>7680</v>
      </c>
      <c r="C2452" s="91" t="s">
        <v>36</v>
      </c>
      <c r="D2452" s="107" t="s">
        <v>7788</v>
      </c>
      <c r="E2452" s="107" t="s">
        <v>7789</v>
      </c>
      <c r="F2452" s="91" t="s">
        <v>7790</v>
      </c>
      <c r="G2452" s="96">
        <v>41220</v>
      </c>
      <c r="H2452" s="97">
        <v>23981</v>
      </c>
      <c r="I2452" s="100" t="s">
        <v>58</v>
      </c>
      <c r="J2452" s="94" t="s">
        <v>7791</v>
      </c>
      <c r="K2452" s="95">
        <v>998939860</v>
      </c>
      <c r="L2452" s="91" t="s">
        <v>60</v>
      </c>
      <c r="M2452" s="98">
        <f ca="1">(TODAY()-H2452)/365</f>
        <v>60.331506849315069</v>
      </c>
      <c r="N2452" s="99">
        <f>(G2452-H2452)/365</f>
        <v>47.230136986301368</v>
      </c>
      <c r="O2452" s="98">
        <f ca="1">(TODAY()-G2452)/365</f>
        <v>13.101369863013698</v>
      </c>
      <c r="P2452" s="91" t="s">
        <v>43</v>
      </c>
      <c r="Q2452" s="91">
        <v>0</v>
      </c>
      <c r="R2452" s="91">
        <v>0</v>
      </c>
      <c r="S2452" s="91">
        <v>0</v>
      </c>
      <c r="T2452" s="91"/>
      <c r="U2452" s="91"/>
      <c r="V2452" s="91"/>
      <c r="W2452" s="91"/>
      <c r="X2452" s="91"/>
      <c r="Y2452" s="91"/>
      <c r="Z2452" s="91"/>
      <c r="AA2452" s="91"/>
      <c r="AB2452" s="91"/>
      <c r="AC2452" s="91"/>
      <c r="AD2452" s="91"/>
      <c r="AE2452" s="91"/>
      <c r="AF2452" s="91"/>
      <c r="AG2452" s="91"/>
      <c r="AH2452" s="91"/>
      <c r="AI2452" s="91"/>
      <c r="AJ2452" s="91"/>
      <c r="AK2452" s="91"/>
      <c r="AL2452" s="91"/>
      <c r="AM2452" s="91"/>
    </row>
    <row r="2453" spans="1:39" ht="20.25" hidden="1" customHeight="1">
      <c r="A2453" s="91"/>
      <c r="B2453" s="93" t="s">
        <v>7680</v>
      </c>
      <c r="C2453" s="91" t="s">
        <v>36</v>
      </c>
      <c r="D2453" s="107" t="s">
        <v>7792</v>
      </c>
      <c r="E2453" s="107" t="s">
        <v>7793</v>
      </c>
      <c r="F2453" s="91" t="s">
        <v>7794</v>
      </c>
      <c r="G2453" s="96">
        <v>39360</v>
      </c>
      <c r="H2453" s="97">
        <v>21978</v>
      </c>
      <c r="I2453" s="108" t="s">
        <v>12437</v>
      </c>
      <c r="J2453" s="94" t="s">
        <v>7795</v>
      </c>
      <c r="K2453" s="95">
        <v>985739924</v>
      </c>
      <c r="L2453" s="91" t="s">
        <v>60</v>
      </c>
      <c r="M2453" s="98">
        <f ca="1">(TODAY()-H2453)/365</f>
        <v>65.819178082191783</v>
      </c>
      <c r="N2453" s="99">
        <f>(G2453-H2453)/365</f>
        <v>47.62191780821918</v>
      </c>
      <c r="O2453" s="98">
        <f ca="1">(TODAY()-G2453)/365</f>
        <v>18.197260273972603</v>
      </c>
      <c r="P2453" s="91" t="s">
        <v>43</v>
      </c>
      <c r="Q2453" s="91">
        <v>0</v>
      </c>
      <c r="R2453" s="91">
        <v>0</v>
      </c>
      <c r="S2453" s="91">
        <v>0</v>
      </c>
      <c r="T2453" s="91"/>
      <c r="U2453" s="91"/>
      <c r="V2453" s="91"/>
      <c r="W2453" s="91"/>
      <c r="X2453" s="91"/>
      <c r="Y2453" s="91"/>
      <c r="Z2453" s="91"/>
      <c r="AA2453" s="91"/>
      <c r="AB2453" s="91"/>
      <c r="AC2453" s="91"/>
      <c r="AD2453" s="91"/>
      <c r="AE2453" s="91"/>
      <c r="AF2453" s="91"/>
      <c r="AG2453" s="91"/>
      <c r="AH2453" s="91"/>
      <c r="AI2453" s="91"/>
      <c r="AJ2453" s="91"/>
      <c r="AK2453" s="91"/>
      <c r="AL2453" s="91"/>
      <c r="AM2453" s="91"/>
    </row>
    <row r="2454" spans="1:39" ht="20.25" hidden="1" customHeight="1">
      <c r="A2454" s="91"/>
      <c r="B2454" s="93" t="s">
        <v>7680</v>
      </c>
      <c r="C2454" s="91" t="s">
        <v>36</v>
      </c>
      <c r="D2454" s="107" t="s">
        <v>7796</v>
      </c>
      <c r="E2454" s="107" t="s">
        <v>7797</v>
      </c>
      <c r="F2454" s="91" t="s">
        <v>7716</v>
      </c>
      <c r="G2454" s="96">
        <v>36643</v>
      </c>
      <c r="H2454" s="97">
        <v>18176</v>
      </c>
      <c r="I2454" s="108" t="s">
        <v>12438</v>
      </c>
      <c r="J2454" s="94" t="s">
        <v>7798</v>
      </c>
      <c r="K2454" s="95">
        <v>934100654</v>
      </c>
      <c r="L2454" s="91" t="s">
        <v>60</v>
      </c>
      <c r="M2454" s="98">
        <f ca="1">(TODAY()-H2454)/365</f>
        <v>76.235616438356161</v>
      </c>
      <c r="N2454" s="99">
        <f>(G2454-H2454)/365</f>
        <v>50.594520547945208</v>
      </c>
      <c r="O2454" s="98">
        <f ca="1">(TODAY()-G2454)/365</f>
        <v>25.641095890410959</v>
      </c>
      <c r="P2454" s="91" t="s">
        <v>43</v>
      </c>
      <c r="Q2454" s="91">
        <v>0</v>
      </c>
      <c r="R2454" s="91">
        <v>0</v>
      </c>
      <c r="S2454" s="91">
        <v>0</v>
      </c>
      <c r="T2454" s="91"/>
      <c r="U2454" s="91"/>
      <c r="V2454" s="91"/>
      <c r="W2454" s="91"/>
      <c r="X2454" s="91"/>
      <c r="Y2454" s="91"/>
      <c r="Z2454" s="91"/>
      <c r="AA2454" s="91"/>
      <c r="AB2454" s="91"/>
      <c r="AC2454" s="91"/>
      <c r="AD2454" s="91"/>
      <c r="AE2454" s="91"/>
      <c r="AF2454" s="91"/>
      <c r="AG2454" s="91"/>
      <c r="AH2454" s="91"/>
      <c r="AI2454" s="91"/>
      <c r="AJ2454" s="91"/>
      <c r="AK2454" s="91"/>
      <c r="AL2454" s="91"/>
      <c r="AM2454" s="91"/>
    </row>
    <row r="2455" spans="1:39" ht="20.25" hidden="1" customHeight="1">
      <c r="A2455" s="91"/>
      <c r="B2455" s="93" t="s">
        <v>7680</v>
      </c>
      <c r="C2455" s="91" t="s">
        <v>36</v>
      </c>
      <c r="D2455" s="107" t="s">
        <v>7799</v>
      </c>
      <c r="E2455" s="107" t="s">
        <v>7800</v>
      </c>
      <c r="F2455" s="91" t="s">
        <v>7801</v>
      </c>
      <c r="G2455" s="96">
        <v>39761</v>
      </c>
      <c r="H2455" s="97">
        <v>20488</v>
      </c>
      <c r="I2455" s="108" t="s">
        <v>12439</v>
      </c>
      <c r="J2455" s="94" t="s">
        <v>7802</v>
      </c>
      <c r="K2455" s="95">
        <v>993437244</v>
      </c>
      <c r="L2455" s="91" t="s">
        <v>60</v>
      </c>
      <c r="M2455" s="98">
        <f ca="1">(TODAY()-H2455)/365</f>
        <v>69.901369863013699</v>
      </c>
      <c r="N2455" s="99">
        <f>(G2455-H2455)/365</f>
        <v>52.802739726027397</v>
      </c>
      <c r="O2455" s="98">
        <f ca="1">(TODAY()-G2455)/365</f>
        <v>17.098630136986301</v>
      </c>
      <c r="P2455" s="91" t="s">
        <v>43</v>
      </c>
      <c r="Q2455" s="91">
        <v>0</v>
      </c>
      <c r="R2455" s="91">
        <v>0</v>
      </c>
      <c r="S2455" s="91">
        <v>0</v>
      </c>
      <c r="T2455" s="91"/>
      <c r="U2455" s="91"/>
      <c r="V2455" s="91"/>
      <c r="W2455" s="91"/>
      <c r="X2455" s="91"/>
      <c r="Y2455" s="91"/>
      <c r="Z2455" s="91"/>
      <c r="AA2455" s="91"/>
      <c r="AB2455" s="91"/>
      <c r="AC2455" s="91"/>
      <c r="AD2455" s="91"/>
      <c r="AE2455" s="91"/>
      <c r="AF2455" s="91"/>
      <c r="AG2455" s="91"/>
      <c r="AH2455" s="91"/>
      <c r="AI2455" s="91"/>
      <c r="AJ2455" s="91"/>
      <c r="AK2455" s="91"/>
      <c r="AL2455" s="91"/>
      <c r="AM2455" s="91"/>
    </row>
    <row r="2456" spans="1:39" ht="20.25" hidden="1" customHeight="1">
      <c r="A2456" s="91"/>
      <c r="B2456" s="93" t="s">
        <v>7680</v>
      </c>
      <c r="C2456" s="91" t="s">
        <v>36</v>
      </c>
      <c r="D2456" s="107" t="s">
        <v>7803</v>
      </c>
      <c r="E2456" s="107" t="s">
        <v>7804</v>
      </c>
      <c r="F2456" s="91" t="s">
        <v>7727</v>
      </c>
      <c r="G2456" s="96">
        <v>38288</v>
      </c>
      <c r="H2456" s="97">
        <v>18660</v>
      </c>
      <c r="I2456" s="108" t="s">
        <v>12440</v>
      </c>
      <c r="J2456" s="94" t="s">
        <v>7805</v>
      </c>
      <c r="K2456" s="95">
        <v>984889077</v>
      </c>
      <c r="L2456" s="91" t="s">
        <v>60</v>
      </c>
      <c r="M2456" s="98">
        <f ca="1">(TODAY()-H2456)/365</f>
        <v>74.909589041095884</v>
      </c>
      <c r="N2456" s="99">
        <f>(G2456-H2456)/365</f>
        <v>53.775342465753425</v>
      </c>
      <c r="O2456" s="98">
        <f ca="1">(TODAY()-G2456)/365</f>
        <v>21.134246575342466</v>
      </c>
      <c r="P2456" s="91" t="s">
        <v>43</v>
      </c>
      <c r="Q2456" s="91">
        <v>0</v>
      </c>
      <c r="R2456" s="91">
        <v>0</v>
      </c>
      <c r="S2456" s="91">
        <v>0</v>
      </c>
      <c r="T2456" s="91"/>
      <c r="U2456" s="91"/>
      <c r="V2456" s="91"/>
      <c r="W2456" s="91"/>
      <c r="X2456" s="91"/>
      <c r="Y2456" s="91"/>
      <c r="Z2456" s="91"/>
      <c r="AA2456" s="91"/>
      <c r="AB2456" s="91"/>
      <c r="AC2456" s="91"/>
      <c r="AD2456" s="91"/>
      <c r="AE2456" s="91"/>
      <c r="AF2456" s="91"/>
      <c r="AG2456" s="91"/>
      <c r="AH2456" s="91"/>
      <c r="AI2456" s="91"/>
      <c r="AJ2456" s="91"/>
      <c r="AK2456" s="91"/>
      <c r="AL2456" s="91"/>
      <c r="AM2456" s="91"/>
    </row>
    <row r="2457" spans="1:39" ht="20.25" hidden="1" customHeight="1">
      <c r="A2457" s="91"/>
      <c r="B2457" s="93" t="s">
        <v>7680</v>
      </c>
      <c r="C2457" s="91" t="s">
        <v>36</v>
      </c>
      <c r="D2457" s="107" t="s">
        <v>7806</v>
      </c>
      <c r="E2457" s="107" t="s">
        <v>7807</v>
      </c>
      <c r="F2457" s="91" t="s">
        <v>7808</v>
      </c>
      <c r="G2457" s="96">
        <v>36461</v>
      </c>
      <c r="H2457" s="97">
        <v>16022</v>
      </c>
      <c r="I2457" s="100" t="s">
        <v>58</v>
      </c>
      <c r="J2457" s="94" t="s">
        <v>7809</v>
      </c>
      <c r="K2457" s="95">
        <v>994904066</v>
      </c>
      <c r="L2457" s="91" t="s">
        <v>60</v>
      </c>
      <c r="M2457" s="98">
        <f ca="1">(TODAY()-H2457)/365</f>
        <v>82.136986301369859</v>
      </c>
      <c r="N2457" s="99">
        <f>(G2457-H2457)/365</f>
        <v>55.9972602739726</v>
      </c>
      <c r="O2457" s="98">
        <f ca="1">(TODAY()-G2457)/365</f>
        <v>26.139726027397259</v>
      </c>
      <c r="P2457" s="91" t="s">
        <v>43</v>
      </c>
      <c r="Q2457" s="91">
        <v>0</v>
      </c>
      <c r="R2457" s="91">
        <v>0</v>
      </c>
      <c r="S2457" s="91">
        <v>0</v>
      </c>
      <c r="T2457" s="91"/>
      <c r="U2457" s="91"/>
      <c r="V2457" s="91"/>
      <c r="W2457" s="91"/>
      <c r="X2457" s="91"/>
      <c r="Y2457" s="91"/>
      <c r="Z2457" s="91"/>
      <c r="AA2457" s="91"/>
      <c r="AB2457" s="91"/>
      <c r="AC2457" s="91"/>
      <c r="AD2457" s="91"/>
      <c r="AE2457" s="91"/>
      <c r="AF2457" s="91"/>
      <c r="AG2457" s="91"/>
      <c r="AH2457" s="91"/>
      <c r="AI2457" s="91"/>
      <c r="AJ2457" s="91"/>
      <c r="AK2457" s="91"/>
      <c r="AL2457" s="91"/>
      <c r="AM2457" s="91"/>
    </row>
    <row r="2458" spans="1:39" ht="20.25" hidden="1" customHeight="1">
      <c r="A2458" s="91"/>
      <c r="B2458" s="93" t="s">
        <v>7680</v>
      </c>
      <c r="C2458" s="91" t="s">
        <v>36</v>
      </c>
      <c r="D2458" s="107" t="s">
        <v>7810</v>
      </c>
      <c r="E2458" s="107" t="s">
        <v>7811</v>
      </c>
      <c r="F2458" s="91" t="s">
        <v>7716</v>
      </c>
      <c r="G2458" s="96">
        <v>39639</v>
      </c>
      <c r="H2458" s="97">
        <v>18583</v>
      </c>
      <c r="I2458" s="108" t="s">
        <v>12441</v>
      </c>
      <c r="J2458" s="94" t="s">
        <v>7812</v>
      </c>
      <c r="K2458" s="95">
        <v>997470903</v>
      </c>
      <c r="L2458" s="91" t="s">
        <v>60</v>
      </c>
      <c r="M2458" s="98">
        <f ca="1">(TODAY()-H2458)/365</f>
        <v>75.120547945205473</v>
      </c>
      <c r="N2458" s="99">
        <f>(G2458-H2458)/365</f>
        <v>57.68767123287671</v>
      </c>
      <c r="O2458" s="98">
        <f ca="1">(TODAY()-G2458)/365</f>
        <v>17.432876712328767</v>
      </c>
      <c r="P2458" s="91" t="s">
        <v>43</v>
      </c>
      <c r="Q2458" s="91">
        <v>0</v>
      </c>
      <c r="R2458" s="91">
        <v>0</v>
      </c>
      <c r="S2458" s="91">
        <v>0</v>
      </c>
      <c r="T2458" s="91"/>
      <c r="U2458" s="91"/>
      <c r="V2458" s="91"/>
      <c r="W2458" s="91"/>
      <c r="X2458" s="91"/>
      <c r="Y2458" s="91"/>
      <c r="Z2458" s="91"/>
      <c r="AA2458" s="91"/>
      <c r="AB2458" s="91"/>
      <c r="AC2458" s="91"/>
      <c r="AD2458" s="91"/>
      <c r="AE2458" s="91"/>
      <c r="AF2458" s="91"/>
      <c r="AG2458" s="91"/>
      <c r="AH2458" s="91"/>
      <c r="AI2458" s="91"/>
      <c r="AJ2458" s="91"/>
      <c r="AK2458" s="91"/>
      <c r="AL2458" s="91"/>
      <c r="AM2458" s="91"/>
    </row>
    <row r="2459" spans="1:39" ht="20.25" hidden="1" customHeight="1">
      <c r="A2459" s="91"/>
      <c r="B2459" s="93" t="s">
        <v>7680</v>
      </c>
      <c r="C2459" s="91" t="s">
        <v>36</v>
      </c>
      <c r="D2459" s="107" t="s">
        <v>3811</v>
      </c>
      <c r="E2459" s="107" t="s">
        <v>7813</v>
      </c>
      <c r="F2459" s="91" t="s">
        <v>7814</v>
      </c>
      <c r="G2459" s="96">
        <v>41729</v>
      </c>
      <c r="H2459" s="97">
        <v>19464</v>
      </c>
      <c r="I2459" s="108" t="s">
        <v>12442</v>
      </c>
      <c r="J2459" s="94" t="s">
        <v>7815</v>
      </c>
      <c r="K2459" s="95">
        <v>953157212</v>
      </c>
      <c r="L2459" s="91" t="s">
        <v>60</v>
      </c>
      <c r="M2459" s="98">
        <f ca="1">(TODAY()-H2459)/365</f>
        <v>72.706849315068496</v>
      </c>
      <c r="N2459" s="99">
        <f>(G2459-H2459)/365</f>
        <v>61</v>
      </c>
      <c r="O2459" s="98">
        <f ca="1">(TODAY()-G2459)/365</f>
        <v>11.706849315068494</v>
      </c>
      <c r="P2459" s="91" t="s">
        <v>43</v>
      </c>
      <c r="Q2459" s="91">
        <v>0</v>
      </c>
      <c r="R2459" s="91">
        <v>0</v>
      </c>
      <c r="S2459" s="91">
        <v>0</v>
      </c>
      <c r="T2459" s="91"/>
      <c r="U2459" s="91"/>
      <c r="V2459" s="91"/>
      <c r="W2459" s="91"/>
      <c r="X2459" s="91"/>
      <c r="Y2459" s="91"/>
      <c r="Z2459" s="91"/>
      <c r="AA2459" s="91"/>
      <c r="AB2459" s="91"/>
      <c r="AC2459" s="91"/>
      <c r="AD2459" s="91"/>
      <c r="AE2459" s="91"/>
      <c r="AF2459" s="91"/>
      <c r="AG2459" s="91"/>
      <c r="AH2459" s="91"/>
      <c r="AI2459" s="91"/>
      <c r="AJ2459" s="91"/>
      <c r="AK2459" s="91"/>
      <c r="AL2459" s="91"/>
      <c r="AM2459" s="91"/>
    </row>
    <row r="2460" spans="1:39" ht="20.25" hidden="1" customHeight="1">
      <c r="A2460" s="91"/>
      <c r="B2460" s="93" t="s">
        <v>7680</v>
      </c>
      <c r="C2460" s="91" t="s">
        <v>36</v>
      </c>
      <c r="D2460" s="107" t="s">
        <v>7816</v>
      </c>
      <c r="E2460" s="107" t="s">
        <v>7817</v>
      </c>
      <c r="F2460" s="91" t="s">
        <v>7818</v>
      </c>
      <c r="G2460" s="96">
        <v>36008</v>
      </c>
      <c r="H2460" s="97">
        <v>13633</v>
      </c>
      <c r="I2460" s="100" t="s">
        <v>58</v>
      </c>
      <c r="J2460" s="94" t="s">
        <v>7819</v>
      </c>
      <c r="K2460" s="95">
        <v>990555834</v>
      </c>
      <c r="L2460" s="91" t="s">
        <v>60</v>
      </c>
      <c r="M2460" s="98">
        <f ca="1">(TODAY()-H2460)/365</f>
        <v>88.682191780821924</v>
      </c>
      <c r="N2460" s="99">
        <f>(G2460-H2460)/365</f>
        <v>61.301369863013697</v>
      </c>
      <c r="O2460" s="98">
        <f ca="1">(TODAY()-G2460)/365</f>
        <v>27.38082191780822</v>
      </c>
      <c r="P2460" s="91" t="s">
        <v>43</v>
      </c>
      <c r="Q2460" s="91">
        <v>0</v>
      </c>
      <c r="R2460" s="91">
        <v>0</v>
      </c>
      <c r="S2460" s="91">
        <v>0</v>
      </c>
      <c r="T2460" s="91"/>
      <c r="U2460" s="91"/>
      <c r="V2460" s="91"/>
      <c r="W2460" s="91"/>
      <c r="X2460" s="91"/>
      <c r="Y2460" s="91"/>
      <c r="Z2460" s="91"/>
      <c r="AA2460" s="91"/>
      <c r="AB2460" s="91"/>
      <c r="AC2460" s="91"/>
      <c r="AD2460" s="91"/>
      <c r="AE2460" s="91"/>
      <c r="AF2460" s="91"/>
      <c r="AG2460" s="91"/>
      <c r="AH2460" s="91"/>
      <c r="AI2460" s="91"/>
      <c r="AJ2460" s="91"/>
      <c r="AK2460" s="91"/>
      <c r="AL2460" s="91"/>
      <c r="AM2460" s="91"/>
    </row>
    <row r="2461" spans="1:39" ht="20.25" hidden="1" customHeight="1">
      <c r="A2461" s="91"/>
      <c r="B2461" s="93" t="s">
        <v>7680</v>
      </c>
      <c r="C2461" s="91" t="s">
        <v>36</v>
      </c>
      <c r="D2461" s="107" t="s">
        <v>217</v>
      </c>
      <c r="E2461" s="107" t="s">
        <v>7820</v>
      </c>
      <c r="F2461" s="91" t="s">
        <v>7821</v>
      </c>
      <c r="G2461" s="96">
        <v>39750</v>
      </c>
      <c r="H2461" s="97">
        <v>16043</v>
      </c>
      <c r="I2461" s="100" t="s">
        <v>58</v>
      </c>
      <c r="J2461" s="94" t="s">
        <v>7822</v>
      </c>
      <c r="K2461" s="95">
        <v>971684270</v>
      </c>
      <c r="L2461" s="91" t="s">
        <v>60</v>
      </c>
      <c r="M2461" s="98">
        <f ca="1">(TODAY()-H2461)/365</f>
        <v>82.079452054794515</v>
      </c>
      <c r="N2461" s="99">
        <f>(G2461-H2461)/365</f>
        <v>64.950684931506856</v>
      </c>
      <c r="O2461" s="98">
        <f ca="1">(TODAY()-G2461)/365</f>
        <v>17.12876712328767</v>
      </c>
      <c r="P2461" s="91" t="s">
        <v>43</v>
      </c>
      <c r="Q2461" s="91">
        <v>0</v>
      </c>
      <c r="R2461" s="91">
        <v>0</v>
      </c>
      <c r="S2461" s="91">
        <v>0</v>
      </c>
      <c r="T2461" s="91"/>
      <c r="U2461" s="91"/>
      <c r="V2461" s="91"/>
      <c r="W2461" s="91"/>
      <c r="X2461" s="91"/>
      <c r="Y2461" s="91"/>
      <c r="Z2461" s="91"/>
      <c r="AA2461" s="91"/>
      <c r="AB2461" s="91"/>
      <c r="AC2461" s="91"/>
      <c r="AD2461" s="91"/>
      <c r="AE2461" s="91"/>
      <c r="AF2461" s="91"/>
      <c r="AG2461" s="91"/>
      <c r="AH2461" s="91"/>
      <c r="AI2461" s="91"/>
      <c r="AJ2461" s="91"/>
      <c r="AK2461" s="91"/>
      <c r="AL2461" s="91"/>
      <c r="AM2461" s="91"/>
    </row>
    <row r="2462" spans="1:39" ht="20.25" hidden="1" customHeight="1">
      <c r="A2462" s="91"/>
      <c r="B2462" s="93" t="s">
        <v>7680</v>
      </c>
      <c r="C2462" s="91" t="s">
        <v>36</v>
      </c>
      <c r="D2462" s="107" t="s">
        <v>7823</v>
      </c>
      <c r="E2462" s="107" t="s">
        <v>7824</v>
      </c>
      <c r="F2462" s="91" t="s">
        <v>7825</v>
      </c>
      <c r="G2462" s="96">
        <v>45145</v>
      </c>
      <c r="H2462" s="97">
        <v>20449</v>
      </c>
      <c r="I2462" s="108" t="s">
        <v>12443</v>
      </c>
      <c r="J2462" s="94" t="s">
        <v>7826</v>
      </c>
      <c r="K2462" s="95">
        <v>954161515</v>
      </c>
      <c r="L2462" s="91" t="s">
        <v>60</v>
      </c>
      <c r="M2462" s="98">
        <f ca="1">(TODAY()-H2462)/365</f>
        <v>70.008219178082186</v>
      </c>
      <c r="N2462" s="99">
        <f>(G2462-H2462)/365</f>
        <v>67.660273972602738</v>
      </c>
      <c r="O2462" s="98">
        <f ca="1">(TODAY()-G2462)/365</f>
        <v>2.3479452054794518</v>
      </c>
      <c r="P2462" s="91" t="s">
        <v>43</v>
      </c>
      <c r="Q2462" s="91">
        <v>0</v>
      </c>
      <c r="R2462" s="91">
        <v>0</v>
      </c>
      <c r="S2462" s="91">
        <v>0</v>
      </c>
      <c r="T2462" s="91"/>
      <c r="U2462" s="91"/>
      <c r="V2462" s="91"/>
      <c r="W2462" s="91"/>
      <c r="X2462" s="91"/>
      <c r="Y2462" s="91"/>
      <c r="Z2462" s="91"/>
      <c r="AA2462" s="91"/>
      <c r="AB2462" s="91"/>
      <c r="AC2462" s="91"/>
      <c r="AD2462" s="91"/>
      <c r="AE2462" s="91"/>
      <c r="AF2462" s="91"/>
      <c r="AG2462" s="91"/>
      <c r="AH2462" s="91"/>
      <c r="AI2462" s="91"/>
      <c r="AJ2462" s="91"/>
      <c r="AK2462" s="91"/>
      <c r="AL2462" s="91"/>
      <c r="AM2462" s="91"/>
    </row>
    <row r="2463" spans="1:39" ht="20.25" hidden="1" customHeight="1">
      <c r="A2463" s="91"/>
      <c r="B2463" s="93" t="s">
        <v>7680</v>
      </c>
      <c r="C2463" s="91" t="s">
        <v>36</v>
      </c>
      <c r="D2463" s="107" t="s">
        <v>7827</v>
      </c>
      <c r="E2463" s="107" t="s">
        <v>7828</v>
      </c>
      <c r="F2463" s="91" t="s">
        <v>7829</v>
      </c>
      <c r="G2463" s="96">
        <v>45145</v>
      </c>
      <c r="H2463" s="97">
        <v>20181</v>
      </c>
      <c r="I2463" s="108" t="s">
        <v>12444</v>
      </c>
      <c r="J2463" s="94" t="s">
        <v>7795</v>
      </c>
      <c r="K2463" s="95">
        <v>987876492</v>
      </c>
      <c r="L2463" s="91" t="s">
        <v>216</v>
      </c>
      <c r="M2463" s="98">
        <f ca="1">(TODAY()-H2463)/365</f>
        <v>70.742465753424653</v>
      </c>
      <c r="N2463" s="99">
        <f>(G2463-H2463)/365</f>
        <v>68.394520547945206</v>
      </c>
      <c r="O2463" s="98">
        <f ca="1">(TODAY()-G2463)/365</f>
        <v>2.3479452054794518</v>
      </c>
      <c r="P2463" s="91" t="s">
        <v>43</v>
      </c>
      <c r="Q2463" s="91">
        <v>0</v>
      </c>
      <c r="R2463" s="91">
        <v>0</v>
      </c>
      <c r="S2463" s="91">
        <v>0</v>
      </c>
      <c r="T2463" s="91"/>
      <c r="U2463" s="91"/>
      <c r="V2463" s="91"/>
      <c r="W2463" s="91"/>
      <c r="X2463" s="91"/>
      <c r="Y2463" s="91"/>
      <c r="Z2463" s="91"/>
      <c r="AA2463" s="91"/>
      <c r="AB2463" s="91"/>
      <c r="AC2463" s="91"/>
      <c r="AD2463" s="91"/>
      <c r="AE2463" s="91"/>
      <c r="AF2463" s="91"/>
      <c r="AG2463" s="91"/>
      <c r="AH2463" s="91"/>
      <c r="AI2463" s="91"/>
      <c r="AJ2463" s="91"/>
      <c r="AK2463" s="91"/>
      <c r="AL2463" s="91"/>
      <c r="AM2463" s="91"/>
    </row>
    <row r="2464" spans="1:39" ht="20.25" hidden="1" customHeight="1">
      <c r="A2464" s="91"/>
      <c r="B2464" s="93" t="s">
        <v>7680</v>
      </c>
      <c r="C2464" s="91" t="s">
        <v>36</v>
      </c>
      <c r="D2464" s="107" t="s">
        <v>217</v>
      </c>
      <c r="E2464" s="107" t="s">
        <v>7830</v>
      </c>
      <c r="F2464" s="91" t="s">
        <v>7831</v>
      </c>
      <c r="G2464" s="96">
        <v>44651</v>
      </c>
      <c r="H2464" s="97">
        <v>18770</v>
      </c>
      <c r="I2464" s="108" t="s">
        <v>12445</v>
      </c>
      <c r="J2464" s="94" t="s">
        <v>7832</v>
      </c>
      <c r="K2464" s="95">
        <v>983083554</v>
      </c>
      <c r="L2464" s="91" t="s">
        <v>60</v>
      </c>
      <c r="M2464" s="98">
        <f ca="1">(TODAY()-H2464)/365</f>
        <v>74.608219178082194</v>
      </c>
      <c r="N2464" s="99">
        <f>(G2464-H2464)/365</f>
        <v>70.906849315068499</v>
      </c>
      <c r="O2464" s="98">
        <f ca="1">(TODAY()-G2464)/365</f>
        <v>3.7013698630136984</v>
      </c>
      <c r="P2464" s="91" t="s">
        <v>43</v>
      </c>
      <c r="Q2464" s="91">
        <v>0</v>
      </c>
      <c r="R2464" s="91">
        <v>0</v>
      </c>
      <c r="S2464" s="91">
        <v>0</v>
      </c>
      <c r="T2464" s="91"/>
      <c r="U2464" s="91"/>
      <c r="V2464" s="91"/>
      <c r="W2464" s="91"/>
      <c r="X2464" s="91"/>
      <c r="Y2464" s="91"/>
      <c r="Z2464" s="91"/>
      <c r="AA2464" s="91"/>
      <c r="AB2464" s="91"/>
      <c r="AC2464" s="91"/>
      <c r="AD2464" s="91"/>
      <c r="AE2464" s="91"/>
      <c r="AF2464" s="91"/>
      <c r="AG2464" s="91"/>
      <c r="AH2464" s="91"/>
      <c r="AI2464" s="91"/>
      <c r="AJ2464" s="91"/>
      <c r="AK2464" s="91"/>
      <c r="AL2464" s="91"/>
      <c r="AM2464" s="91"/>
    </row>
    <row r="2465" spans="1:39" ht="20.25" hidden="1" customHeight="1">
      <c r="A2465" s="91"/>
      <c r="B2465" s="93" t="s">
        <v>7680</v>
      </c>
      <c r="C2465" s="91" t="s">
        <v>36</v>
      </c>
      <c r="D2465" s="107" t="s">
        <v>7833</v>
      </c>
      <c r="E2465" s="107" t="s">
        <v>7834</v>
      </c>
      <c r="F2465" s="91" t="s">
        <v>7835</v>
      </c>
      <c r="G2465" s="96">
        <v>43034</v>
      </c>
      <c r="H2465" s="97">
        <v>14499</v>
      </c>
      <c r="I2465" s="100" t="s">
        <v>58</v>
      </c>
      <c r="J2465" s="94" t="s">
        <v>7836</v>
      </c>
      <c r="K2465" s="95">
        <v>984446964</v>
      </c>
      <c r="L2465" s="91" t="s">
        <v>60</v>
      </c>
      <c r="M2465" s="98">
        <f ca="1">(TODAY()-H2465)/365</f>
        <v>86.30958904109589</v>
      </c>
      <c r="N2465" s="99">
        <f>(G2465-H2465)/365</f>
        <v>78.178082191780817</v>
      </c>
      <c r="O2465" s="98">
        <f ca="1">(TODAY()-G2465)/365</f>
        <v>8.131506849315068</v>
      </c>
      <c r="P2465" s="91" t="s">
        <v>43</v>
      </c>
      <c r="Q2465" s="91">
        <v>0</v>
      </c>
      <c r="R2465" s="91">
        <v>0</v>
      </c>
      <c r="S2465" s="91">
        <v>0</v>
      </c>
      <c r="T2465" s="91"/>
      <c r="U2465" s="91"/>
      <c r="V2465" s="91"/>
      <c r="W2465" s="91"/>
      <c r="X2465" s="91"/>
      <c r="Y2465" s="91"/>
      <c r="Z2465" s="91"/>
      <c r="AA2465" s="91"/>
      <c r="AB2465" s="91"/>
      <c r="AC2465" s="91"/>
      <c r="AD2465" s="91"/>
      <c r="AE2465" s="91"/>
      <c r="AF2465" s="91"/>
      <c r="AG2465" s="91"/>
      <c r="AH2465" s="91"/>
      <c r="AI2465" s="91"/>
      <c r="AJ2465" s="91"/>
      <c r="AK2465" s="91"/>
      <c r="AL2465" s="91"/>
      <c r="AM2465" s="91"/>
    </row>
    <row r="2466" spans="1:39" ht="20.25" hidden="1" customHeight="1">
      <c r="A2466" s="91"/>
      <c r="B2466" s="93" t="s">
        <v>7680</v>
      </c>
      <c r="C2466" s="91" t="s">
        <v>36</v>
      </c>
      <c r="D2466" s="107" t="s">
        <v>7837</v>
      </c>
      <c r="E2466" s="107" t="s">
        <v>7838</v>
      </c>
      <c r="F2466" s="91" t="s">
        <v>7839</v>
      </c>
      <c r="G2466" s="96">
        <v>44917</v>
      </c>
      <c r="H2466" s="97">
        <v>16302</v>
      </c>
      <c r="I2466" s="108" t="s">
        <v>12446</v>
      </c>
      <c r="J2466" s="94" t="s">
        <v>7840</v>
      </c>
      <c r="K2466" s="95">
        <v>961216189</v>
      </c>
      <c r="L2466" s="91" t="s">
        <v>60</v>
      </c>
      <c r="M2466" s="98">
        <f ca="1">(TODAY()-H2466)/365</f>
        <v>81.369863013698634</v>
      </c>
      <c r="N2466" s="99">
        <f>(G2466-H2466)/365</f>
        <v>78.397260273972606</v>
      </c>
      <c r="O2466" s="98">
        <f ca="1">(TODAY()-G2466)/365</f>
        <v>2.9726027397260273</v>
      </c>
      <c r="P2466" s="91" t="s">
        <v>43</v>
      </c>
      <c r="Q2466" s="91">
        <v>0</v>
      </c>
      <c r="R2466" s="91">
        <v>0</v>
      </c>
      <c r="S2466" s="91">
        <v>0</v>
      </c>
      <c r="T2466" s="91"/>
      <c r="U2466" s="91"/>
      <c r="V2466" s="91"/>
      <c r="W2466" s="91"/>
      <c r="X2466" s="91"/>
      <c r="Y2466" s="91"/>
      <c r="Z2466" s="91"/>
      <c r="AA2466" s="91"/>
      <c r="AB2466" s="91"/>
      <c r="AC2466" s="91"/>
      <c r="AD2466" s="91"/>
      <c r="AE2466" s="91"/>
      <c r="AF2466" s="91"/>
      <c r="AG2466" s="91"/>
      <c r="AH2466" s="91"/>
      <c r="AI2466" s="91"/>
      <c r="AJ2466" s="91"/>
      <c r="AK2466" s="91"/>
      <c r="AL2466" s="91"/>
      <c r="AM2466" s="91"/>
    </row>
    <row r="2467" spans="1:39" ht="20.25" hidden="1" customHeight="1">
      <c r="A2467" s="91"/>
      <c r="B2467" s="93" t="s">
        <v>7680</v>
      </c>
      <c r="C2467" s="91" t="s">
        <v>36</v>
      </c>
      <c r="D2467" s="107" t="s">
        <v>7841</v>
      </c>
      <c r="E2467" s="107" t="s">
        <v>7842</v>
      </c>
      <c r="F2467" s="91" t="s">
        <v>7843</v>
      </c>
      <c r="G2467" s="103" t="s">
        <v>58</v>
      </c>
      <c r="H2467" s="97">
        <v>15473</v>
      </c>
      <c r="I2467" s="100" t="s">
        <v>58</v>
      </c>
      <c r="J2467" s="94" t="s">
        <v>7844</v>
      </c>
      <c r="K2467" s="95">
        <v>973347690</v>
      </c>
      <c r="L2467" s="91" t="s">
        <v>60</v>
      </c>
      <c r="M2467" s="98">
        <f ca="1">(TODAY()-H2467)/365</f>
        <v>83.641095890410952</v>
      </c>
      <c r="N2467" s="95" t="s">
        <v>58</v>
      </c>
      <c r="O2467" s="98" t="e">
        <f ca="1">(TODAY()-G2467)/365</f>
        <v>#VALUE!</v>
      </c>
      <c r="P2467" s="91" t="s">
        <v>43</v>
      </c>
      <c r="Q2467" s="91">
        <v>0</v>
      </c>
      <c r="R2467" s="91">
        <v>0</v>
      </c>
      <c r="S2467" s="91">
        <v>0</v>
      </c>
      <c r="T2467" s="91"/>
      <c r="U2467" s="91"/>
      <c r="V2467" s="91"/>
      <c r="W2467" s="91"/>
      <c r="X2467" s="91"/>
      <c r="Y2467" s="91"/>
      <c r="Z2467" s="91"/>
      <c r="AA2467" s="91"/>
      <c r="AB2467" s="91"/>
      <c r="AC2467" s="91"/>
      <c r="AD2467" s="91"/>
      <c r="AE2467" s="91"/>
      <c r="AF2467" s="91"/>
      <c r="AG2467" s="91"/>
      <c r="AH2467" s="91"/>
      <c r="AI2467" s="91"/>
      <c r="AJ2467" s="91"/>
      <c r="AK2467" s="91"/>
      <c r="AL2467" s="91"/>
      <c r="AM2467" s="91"/>
    </row>
    <row r="2468" spans="1:39" ht="20.25" hidden="1" customHeight="1">
      <c r="A2468" s="91"/>
      <c r="B2468" s="93" t="s">
        <v>7680</v>
      </c>
      <c r="C2468" s="91" t="s">
        <v>36</v>
      </c>
      <c r="D2468" s="107" t="s">
        <v>7845</v>
      </c>
      <c r="E2468" s="107" t="s">
        <v>7846</v>
      </c>
      <c r="F2468" s="91" t="s">
        <v>7847</v>
      </c>
      <c r="G2468" s="103" t="s">
        <v>58</v>
      </c>
      <c r="H2468" s="97">
        <v>13288</v>
      </c>
      <c r="I2468" s="100" t="s">
        <v>58</v>
      </c>
      <c r="J2468" s="94" t="s">
        <v>7844</v>
      </c>
      <c r="K2468" s="95">
        <v>994289081</v>
      </c>
      <c r="L2468" s="91" t="s">
        <v>60</v>
      </c>
      <c r="M2468" s="98">
        <f ca="1">(TODAY()-H2468)/365</f>
        <v>89.627397260273966</v>
      </c>
      <c r="N2468" s="95" t="s">
        <v>58</v>
      </c>
      <c r="O2468" s="98" t="e">
        <f ca="1">(TODAY()-G2468)/365</f>
        <v>#VALUE!</v>
      </c>
      <c r="P2468" s="91" t="s">
        <v>43</v>
      </c>
      <c r="Q2468" s="91">
        <v>0</v>
      </c>
      <c r="R2468" s="91">
        <v>0</v>
      </c>
      <c r="S2468" s="91">
        <v>0</v>
      </c>
      <c r="T2468" s="91"/>
      <c r="U2468" s="91"/>
      <c r="V2468" s="91"/>
      <c r="W2468" s="91"/>
      <c r="X2468" s="91"/>
      <c r="Y2468" s="91"/>
      <c r="Z2468" s="91"/>
      <c r="AA2468" s="91"/>
      <c r="AB2468" s="91"/>
      <c r="AC2468" s="91"/>
      <c r="AD2468" s="91"/>
      <c r="AE2468" s="91"/>
      <c r="AF2468" s="91"/>
      <c r="AG2468" s="91"/>
      <c r="AH2468" s="91"/>
      <c r="AI2468" s="91"/>
      <c r="AJ2468" s="91"/>
      <c r="AK2468" s="91"/>
      <c r="AL2468" s="91"/>
      <c r="AM2468" s="91"/>
    </row>
    <row r="2469" spans="1:39" ht="20.25" hidden="1" customHeight="1">
      <c r="A2469" s="91"/>
      <c r="B2469" s="93" t="s">
        <v>7680</v>
      </c>
      <c r="C2469" s="91" t="s">
        <v>36</v>
      </c>
      <c r="D2469" s="107" t="s">
        <v>623</v>
      </c>
      <c r="E2469" s="107" t="s">
        <v>7848</v>
      </c>
      <c r="F2469" s="91" t="s">
        <v>7849</v>
      </c>
      <c r="G2469" s="103" t="s">
        <v>58</v>
      </c>
      <c r="H2469" s="97">
        <v>20893</v>
      </c>
      <c r="I2469" s="108" t="s">
        <v>12447</v>
      </c>
      <c r="J2469" s="94" t="s">
        <v>7850</v>
      </c>
      <c r="K2469" s="95">
        <v>986791222</v>
      </c>
      <c r="L2469" s="91" t="s">
        <v>60</v>
      </c>
      <c r="M2469" s="98">
        <f ca="1">(TODAY()-H2469)/365</f>
        <v>68.791780821917811</v>
      </c>
      <c r="N2469" s="95" t="s">
        <v>58</v>
      </c>
      <c r="O2469" s="98" t="e">
        <f ca="1">(TODAY()-G2469)/365</f>
        <v>#VALUE!</v>
      </c>
      <c r="P2469" s="91" t="s">
        <v>43</v>
      </c>
      <c r="Q2469" s="91">
        <v>0</v>
      </c>
      <c r="R2469" s="91">
        <v>0</v>
      </c>
      <c r="S2469" s="91">
        <v>0</v>
      </c>
      <c r="T2469" s="91"/>
      <c r="U2469" s="91"/>
      <c r="V2469" s="91"/>
      <c r="W2469" s="91"/>
      <c r="X2469" s="91"/>
      <c r="Y2469" s="91"/>
      <c r="Z2469" s="91"/>
      <c r="AA2469" s="91"/>
      <c r="AB2469" s="91"/>
      <c r="AC2469" s="91"/>
      <c r="AD2469" s="91"/>
      <c r="AE2469" s="91"/>
      <c r="AF2469" s="91"/>
      <c r="AG2469" s="91"/>
      <c r="AH2469" s="91"/>
      <c r="AI2469" s="91"/>
      <c r="AJ2469" s="91"/>
      <c r="AK2469" s="91"/>
      <c r="AL2469" s="91"/>
      <c r="AM2469" s="91"/>
    </row>
    <row r="2470" spans="1:39" ht="20.25" hidden="1" customHeight="1">
      <c r="A2470" s="91"/>
      <c r="B2470" s="93" t="s">
        <v>7680</v>
      </c>
      <c r="C2470" s="91" t="s">
        <v>36</v>
      </c>
      <c r="D2470" s="107" t="s">
        <v>7851</v>
      </c>
      <c r="E2470" s="107" t="s">
        <v>7852</v>
      </c>
      <c r="F2470" s="91" t="s">
        <v>7853</v>
      </c>
      <c r="G2470" s="103" t="s">
        <v>58</v>
      </c>
      <c r="H2470" s="97">
        <v>15831</v>
      </c>
      <c r="I2470" s="108" t="s">
        <v>12448</v>
      </c>
      <c r="J2470" s="94" t="s">
        <v>7854</v>
      </c>
      <c r="K2470" s="95">
        <v>993594423</v>
      </c>
      <c r="L2470" s="91" t="s">
        <v>54</v>
      </c>
      <c r="M2470" s="98">
        <f ca="1">(TODAY()-H2470)/365</f>
        <v>82.660273972602738</v>
      </c>
      <c r="N2470" s="95" t="s">
        <v>58</v>
      </c>
      <c r="O2470" s="98" t="e">
        <f ca="1">(TODAY()-G2470)/365</f>
        <v>#VALUE!</v>
      </c>
      <c r="P2470" s="91" t="s">
        <v>43</v>
      </c>
      <c r="Q2470" s="91">
        <v>0</v>
      </c>
      <c r="R2470" s="91">
        <v>0</v>
      </c>
      <c r="S2470" s="91">
        <v>0</v>
      </c>
      <c r="T2470" s="91"/>
      <c r="U2470" s="91"/>
      <c r="V2470" s="91"/>
      <c r="W2470" s="91"/>
      <c r="X2470" s="91"/>
      <c r="Y2470" s="91"/>
      <c r="Z2470" s="91"/>
      <c r="AA2470" s="91"/>
      <c r="AB2470" s="91"/>
      <c r="AC2470" s="91"/>
      <c r="AD2470" s="91"/>
      <c r="AE2470" s="91"/>
      <c r="AF2470" s="91"/>
      <c r="AG2470" s="91"/>
      <c r="AH2470" s="91"/>
      <c r="AI2470" s="91"/>
      <c r="AJ2470" s="91"/>
      <c r="AK2470" s="91"/>
      <c r="AL2470" s="91"/>
      <c r="AM2470" s="91"/>
    </row>
    <row r="2471" spans="1:39" ht="20.25" hidden="1" customHeight="1">
      <c r="A2471" s="91"/>
      <c r="B2471" s="93" t="s">
        <v>7680</v>
      </c>
      <c r="C2471" s="91" t="s">
        <v>36</v>
      </c>
      <c r="D2471" s="107" t="s">
        <v>5024</v>
      </c>
      <c r="E2471" s="107" t="s">
        <v>7855</v>
      </c>
      <c r="F2471" s="91" t="s">
        <v>7856</v>
      </c>
      <c r="G2471" s="103" t="s">
        <v>58</v>
      </c>
      <c r="H2471" s="97">
        <v>15872</v>
      </c>
      <c r="I2471" s="100" t="s">
        <v>58</v>
      </c>
      <c r="J2471" s="94" t="s">
        <v>7857</v>
      </c>
      <c r="K2471" s="95">
        <v>942730292</v>
      </c>
      <c r="L2471" s="91" t="s">
        <v>60</v>
      </c>
      <c r="M2471" s="98">
        <f ca="1">(TODAY()-H2471)/365</f>
        <v>82.547945205479451</v>
      </c>
      <c r="N2471" s="95" t="s">
        <v>58</v>
      </c>
      <c r="O2471" s="98" t="e">
        <f ca="1">(TODAY()-G2471)/365</f>
        <v>#VALUE!</v>
      </c>
      <c r="P2471" s="91" t="s">
        <v>43</v>
      </c>
      <c r="Q2471" s="91">
        <v>0</v>
      </c>
      <c r="R2471" s="91">
        <v>0</v>
      </c>
      <c r="S2471" s="91">
        <v>0</v>
      </c>
      <c r="T2471" s="91"/>
      <c r="U2471" s="91"/>
      <c r="V2471" s="91"/>
      <c r="W2471" s="91"/>
      <c r="X2471" s="91"/>
      <c r="Y2471" s="91"/>
      <c r="Z2471" s="91"/>
      <c r="AA2471" s="91"/>
      <c r="AB2471" s="91"/>
      <c r="AC2471" s="91"/>
      <c r="AD2471" s="91"/>
      <c r="AE2471" s="91"/>
      <c r="AF2471" s="91"/>
      <c r="AG2471" s="91"/>
      <c r="AH2471" s="91"/>
      <c r="AI2471" s="91"/>
      <c r="AJ2471" s="91"/>
      <c r="AK2471" s="91"/>
      <c r="AL2471" s="91"/>
      <c r="AM2471" s="91"/>
    </row>
    <row r="2472" spans="1:39" ht="20.25" hidden="1" customHeight="1">
      <c r="A2472" s="91"/>
      <c r="B2472" s="93" t="s">
        <v>7680</v>
      </c>
      <c r="C2472" s="91" t="s">
        <v>36</v>
      </c>
      <c r="D2472" s="107" t="s">
        <v>7858</v>
      </c>
      <c r="E2472" s="107" t="s">
        <v>7859</v>
      </c>
      <c r="F2472" s="91" t="s">
        <v>7860</v>
      </c>
      <c r="G2472" s="103" t="s">
        <v>58</v>
      </c>
      <c r="H2472" s="97">
        <v>21840</v>
      </c>
      <c r="I2472" s="108" t="s">
        <v>12449</v>
      </c>
      <c r="J2472" s="94" t="s">
        <v>7861</v>
      </c>
      <c r="K2472" s="95">
        <v>989227325</v>
      </c>
      <c r="L2472" s="91" t="s">
        <v>60</v>
      </c>
      <c r="M2472" s="98">
        <f ca="1">(TODAY()-H2472)/365</f>
        <v>66.197260273972603</v>
      </c>
      <c r="N2472" s="95" t="s">
        <v>58</v>
      </c>
      <c r="O2472" s="98" t="e">
        <f ca="1">(TODAY()-G2472)/365</f>
        <v>#VALUE!</v>
      </c>
      <c r="P2472" s="91" t="s">
        <v>43</v>
      </c>
      <c r="Q2472" s="91">
        <v>0</v>
      </c>
      <c r="R2472" s="91">
        <v>0</v>
      </c>
      <c r="S2472" s="91">
        <v>0</v>
      </c>
      <c r="T2472" s="91"/>
      <c r="U2472" s="91"/>
      <c r="V2472" s="91"/>
      <c r="W2472" s="91"/>
      <c r="X2472" s="91"/>
      <c r="Y2472" s="91"/>
      <c r="Z2472" s="91"/>
      <c r="AA2472" s="91"/>
      <c r="AB2472" s="91"/>
      <c r="AC2472" s="91"/>
      <c r="AD2472" s="91"/>
      <c r="AE2472" s="91"/>
      <c r="AF2472" s="91"/>
      <c r="AG2472" s="91"/>
      <c r="AH2472" s="91"/>
      <c r="AI2472" s="91"/>
      <c r="AJ2472" s="91"/>
      <c r="AK2472" s="91"/>
      <c r="AL2472" s="91"/>
      <c r="AM2472" s="91"/>
    </row>
    <row r="2473" spans="1:39" ht="20.25" hidden="1" customHeight="1">
      <c r="A2473" s="91"/>
      <c r="B2473" s="93" t="s">
        <v>10436</v>
      </c>
      <c r="C2473" s="91" t="s">
        <v>36</v>
      </c>
      <c r="D2473" s="106" t="s">
        <v>10437</v>
      </c>
      <c r="E2473" s="106" t="s">
        <v>10438</v>
      </c>
      <c r="F2473" s="92" t="s">
        <v>10439</v>
      </c>
      <c r="G2473" s="103">
        <v>22636</v>
      </c>
      <c r="H2473" s="103">
        <v>15600</v>
      </c>
      <c r="I2473" s="94" t="s">
        <v>58</v>
      </c>
      <c r="J2473" s="94" t="s">
        <v>10440</v>
      </c>
      <c r="K2473" s="92">
        <v>984938930</v>
      </c>
      <c r="L2473" s="91"/>
      <c r="M2473" s="98">
        <f ca="1">(TODAY()-H2473)/365</f>
        <v>83.293150684931504</v>
      </c>
      <c r="N2473" s="99">
        <f>(G2473-H2473)/365</f>
        <v>19.276712328767122</v>
      </c>
      <c r="O2473" s="98">
        <f ca="1">(TODAY()-G2473)/365</f>
        <v>64.016438356164386</v>
      </c>
      <c r="P2473" s="91" t="s">
        <v>43</v>
      </c>
      <c r="Q2473" s="91"/>
      <c r="R2473" s="91"/>
      <c r="S2473" s="91"/>
      <c r="T2473" s="91"/>
      <c r="U2473" s="91"/>
      <c r="V2473" s="91"/>
      <c r="W2473" s="91"/>
      <c r="X2473" s="91"/>
      <c r="Y2473" s="91"/>
      <c r="Z2473" s="91"/>
      <c r="AA2473" s="91"/>
      <c r="AB2473" s="91"/>
      <c r="AC2473" s="91"/>
      <c r="AD2473" s="91"/>
      <c r="AE2473" s="91"/>
      <c r="AF2473" s="91"/>
      <c r="AG2473" s="91"/>
      <c r="AH2473" s="91"/>
      <c r="AI2473" s="91"/>
      <c r="AJ2473" s="91"/>
      <c r="AK2473" s="91"/>
      <c r="AL2473" s="91"/>
      <c r="AM2473" s="91"/>
    </row>
    <row r="2474" spans="1:39" ht="20.25" hidden="1" customHeight="1">
      <c r="A2474" s="91"/>
      <c r="B2474" s="93" t="s">
        <v>10441</v>
      </c>
      <c r="C2474" s="91" t="s">
        <v>36</v>
      </c>
      <c r="D2474" s="106" t="s">
        <v>10442</v>
      </c>
      <c r="E2474" s="106" t="s">
        <v>10443</v>
      </c>
      <c r="F2474" s="92" t="s">
        <v>10444</v>
      </c>
      <c r="G2474" s="103">
        <v>28948</v>
      </c>
      <c r="H2474" s="103">
        <v>19696</v>
      </c>
      <c r="I2474" s="94" t="s">
        <v>58</v>
      </c>
      <c r="J2474" s="94" t="s">
        <v>10445</v>
      </c>
      <c r="K2474" s="92">
        <v>942010438</v>
      </c>
      <c r="L2474" s="91"/>
      <c r="M2474" s="98">
        <f ca="1">(TODAY()-H2474)/365</f>
        <v>72.07123287671233</v>
      </c>
      <c r="N2474" s="99">
        <f>(G2474-H2474)/365</f>
        <v>25.347945205479451</v>
      </c>
      <c r="O2474" s="98">
        <f ca="1">(TODAY()-G2474)/365</f>
        <v>46.723287671232875</v>
      </c>
      <c r="P2474" s="91" t="s">
        <v>43</v>
      </c>
      <c r="Q2474" s="91"/>
      <c r="R2474" s="91"/>
      <c r="S2474" s="91"/>
      <c r="T2474" s="91"/>
      <c r="U2474" s="91"/>
      <c r="V2474" s="91"/>
      <c r="W2474" s="91"/>
      <c r="X2474" s="91"/>
      <c r="Y2474" s="91"/>
      <c r="Z2474" s="91"/>
      <c r="AA2474" s="91"/>
      <c r="AB2474" s="91"/>
      <c r="AC2474" s="91"/>
      <c r="AD2474" s="91"/>
      <c r="AE2474" s="91"/>
      <c r="AF2474" s="91"/>
      <c r="AG2474" s="91"/>
      <c r="AH2474" s="91"/>
      <c r="AI2474" s="91"/>
      <c r="AJ2474" s="91"/>
      <c r="AK2474" s="91"/>
      <c r="AL2474" s="91"/>
      <c r="AM2474" s="91"/>
    </row>
    <row r="2475" spans="1:39" ht="20.25" hidden="1" customHeight="1">
      <c r="A2475" s="91"/>
      <c r="B2475" s="93" t="s">
        <v>10441</v>
      </c>
      <c r="C2475" s="91" t="s">
        <v>36</v>
      </c>
      <c r="D2475" s="106" t="s">
        <v>6274</v>
      </c>
      <c r="E2475" s="106" t="s">
        <v>10446</v>
      </c>
      <c r="F2475" s="92" t="s">
        <v>10447</v>
      </c>
      <c r="G2475" s="103">
        <v>24962</v>
      </c>
      <c r="H2475" s="103">
        <v>16698</v>
      </c>
      <c r="I2475" s="94" t="s">
        <v>58</v>
      </c>
      <c r="J2475" s="94" t="s">
        <v>10448</v>
      </c>
      <c r="K2475" s="92">
        <v>975615750</v>
      </c>
      <c r="L2475" s="91"/>
      <c r="M2475" s="98">
        <f ca="1">(TODAY()-H2475)/365</f>
        <v>80.284931506849318</v>
      </c>
      <c r="N2475" s="99">
        <f>(G2475-H2475)/365</f>
        <v>22.641095890410959</v>
      </c>
      <c r="O2475" s="98">
        <f ca="1">(TODAY()-G2475)/365</f>
        <v>57.643835616438359</v>
      </c>
      <c r="P2475" s="91" t="s">
        <v>43</v>
      </c>
      <c r="Q2475" s="91"/>
      <c r="R2475" s="91"/>
      <c r="S2475" s="91"/>
      <c r="T2475" s="91"/>
      <c r="U2475" s="91"/>
      <c r="V2475" s="91"/>
      <c r="W2475" s="91"/>
      <c r="X2475" s="91"/>
      <c r="Y2475" s="91"/>
      <c r="Z2475" s="91"/>
      <c r="AA2475" s="91"/>
      <c r="AB2475" s="91"/>
      <c r="AC2475" s="91"/>
      <c r="AD2475" s="91"/>
      <c r="AE2475" s="91"/>
      <c r="AF2475" s="91"/>
      <c r="AG2475" s="91"/>
      <c r="AH2475" s="91"/>
      <c r="AI2475" s="91"/>
      <c r="AJ2475" s="91"/>
      <c r="AK2475" s="91"/>
      <c r="AL2475" s="91"/>
      <c r="AM2475" s="91"/>
    </row>
    <row r="2476" spans="1:39" ht="20.25" hidden="1" customHeight="1">
      <c r="A2476" s="91"/>
      <c r="B2476" s="93" t="s">
        <v>10441</v>
      </c>
      <c r="C2476" s="91" t="s">
        <v>36</v>
      </c>
      <c r="D2476" s="106" t="s">
        <v>10449</v>
      </c>
      <c r="E2476" s="106" t="s">
        <v>10450</v>
      </c>
      <c r="F2476" s="92" t="s">
        <v>10451</v>
      </c>
      <c r="G2476" s="103">
        <v>35969</v>
      </c>
      <c r="H2476" s="103">
        <v>20781</v>
      </c>
      <c r="I2476" s="94" t="s">
        <v>58</v>
      </c>
      <c r="J2476" s="94" t="s">
        <v>10452</v>
      </c>
      <c r="K2476" s="92">
        <v>994861198</v>
      </c>
      <c r="L2476" s="91"/>
      <c r="M2476" s="98">
        <f ca="1">(TODAY()-H2476)/365</f>
        <v>69.098630136986301</v>
      </c>
      <c r="N2476" s="99">
        <f>(G2476-H2476)/365</f>
        <v>41.610958904109587</v>
      </c>
      <c r="O2476" s="98">
        <f ca="1">(TODAY()-G2476)/365</f>
        <v>27.487671232876714</v>
      </c>
      <c r="P2476" s="91" t="s">
        <v>43</v>
      </c>
      <c r="Q2476" s="91"/>
      <c r="R2476" s="91"/>
      <c r="S2476" s="91"/>
      <c r="T2476" s="91"/>
      <c r="U2476" s="91"/>
      <c r="V2476" s="91"/>
      <c r="W2476" s="91"/>
      <c r="X2476" s="91"/>
      <c r="Y2476" s="91"/>
      <c r="Z2476" s="91"/>
      <c r="AA2476" s="91"/>
      <c r="AB2476" s="91"/>
      <c r="AC2476" s="91"/>
      <c r="AD2476" s="91"/>
      <c r="AE2476" s="91"/>
      <c r="AF2476" s="91"/>
      <c r="AG2476" s="91"/>
      <c r="AH2476" s="91"/>
      <c r="AI2476" s="91"/>
      <c r="AJ2476" s="91"/>
      <c r="AK2476" s="91"/>
      <c r="AL2476" s="91"/>
      <c r="AM2476" s="91"/>
    </row>
    <row r="2477" spans="1:39" ht="20.25" hidden="1" customHeight="1">
      <c r="A2477" s="91"/>
      <c r="B2477" s="93" t="s">
        <v>10441</v>
      </c>
      <c r="C2477" s="91" t="s">
        <v>36</v>
      </c>
      <c r="D2477" s="106" t="s">
        <v>10453</v>
      </c>
      <c r="E2477" s="106" t="s">
        <v>10454</v>
      </c>
      <c r="F2477" s="92" t="s">
        <v>10455</v>
      </c>
      <c r="G2477" s="103">
        <v>25713</v>
      </c>
      <c r="H2477" s="103">
        <v>11998</v>
      </c>
      <c r="I2477" s="94" t="s">
        <v>58</v>
      </c>
      <c r="J2477" s="94" t="s">
        <v>10456</v>
      </c>
      <c r="K2477" s="92">
        <v>939424986</v>
      </c>
      <c r="L2477" s="91"/>
      <c r="M2477" s="98">
        <f ca="1">(TODAY()-H2477)/365</f>
        <v>93.161643835616445</v>
      </c>
      <c r="N2477" s="99">
        <f>(G2477-H2477)/365</f>
        <v>37.575342465753423</v>
      </c>
      <c r="O2477" s="98">
        <f ca="1">(TODAY()-G2477)/365</f>
        <v>55.586301369863016</v>
      </c>
      <c r="P2477" s="91" t="s">
        <v>43</v>
      </c>
      <c r="Q2477" s="91"/>
      <c r="R2477" s="91"/>
      <c r="S2477" s="91"/>
      <c r="T2477" s="91"/>
      <c r="U2477" s="91"/>
      <c r="V2477" s="91"/>
      <c r="W2477" s="91"/>
      <c r="X2477" s="91"/>
      <c r="Y2477" s="91"/>
      <c r="Z2477" s="91"/>
      <c r="AA2477" s="91"/>
      <c r="AB2477" s="91"/>
      <c r="AC2477" s="91"/>
      <c r="AD2477" s="91"/>
      <c r="AE2477" s="91"/>
      <c r="AF2477" s="91"/>
      <c r="AG2477" s="91"/>
      <c r="AH2477" s="91"/>
      <c r="AI2477" s="91"/>
      <c r="AJ2477" s="91"/>
      <c r="AK2477" s="91"/>
      <c r="AL2477" s="91"/>
      <c r="AM2477" s="91"/>
    </row>
    <row r="2478" spans="1:39" ht="20.25" hidden="1" customHeight="1">
      <c r="A2478" s="91"/>
      <c r="B2478" s="93" t="s">
        <v>10441</v>
      </c>
      <c r="C2478" s="91" t="s">
        <v>36</v>
      </c>
      <c r="D2478" s="106" t="s">
        <v>10457</v>
      </c>
      <c r="E2478" s="106" t="s">
        <v>10458</v>
      </c>
      <c r="F2478" s="92" t="s">
        <v>10459</v>
      </c>
      <c r="G2478" s="103">
        <v>29684</v>
      </c>
      <c r="H2478" s="103">
        <v>21936</v>
      </c>
      <c r="I2478" s="108" t="s">
        <v>12606</v>
      </c>
      <c r="J2478" s="94" t="s">
        <v>10460</v>
      </c>
      <c r="K2478" s="92">
        <v>993060674</v>
      </c>
      <c r="L2478" s="91"/>
      <c r="M2478" s="98">
        <f ca="1">(TODAY()-H2478)/365</f>
        <v>65.93424657534247</v>
      </c>
      <c r="N2478" s="99">
        <f>(G2478-H2478)/365</f>
        <v>21.227397260273971</v>
      </c>
      <c r="O2478" s="98">
        <f ca="1">(TODAY()-G2478)/365</f>
        <v>44.706849315068496</v>
      </c>
      <c r="P2478" s="91" t="s">
        <v>43</v>
      </c>
      <c r="Q2478" s="91"/>
      <c r="R2478" s="91"/>
      <c r="S2478" s="91"/>
      <c r="T2478" s="91"/>
      <c r="U2478" s="91"/>
      <c r="V2478" s="91"/>
      <c r="W2478" s="91"/>
      <c r="X2478" s="91"/>
      <c r="Y2478" s="91"/>
      <c r="Z2478" s="91"/>
      <c r="AA2478" s="91"/>
      <c r="AB2478" s="91"/>
      <c r="AC2478" s="91"/>
      <c r="AD2478" s="91"/>
      <c r="AE2478" s="91"/>
      <c r="AF2478" s="91"/>
      <c r="AG2478" s="91"/>
      <c r="AH2478" s="91"/>
      <c r="AI2478" s="91"/>
      <c r="AJ2478" s="91"/>
      <c r="AK2478" s="91"/>
      <c r="AL2478" s="91"/>
      <c r="AM2478" s="91"/>
    </row>
    <row r="2479" spans="1:39" ht="20.25" hidden="1" customHeight="1">
      <c r="A2479" s="91"/>
      <c r="B2479" s="93" t="s">
        <v>10441</v>
      </c>
      <c r="C2479" s="91" t="s">
        <v>36</v>
      </c>
      <c r="D2479" s="106" t="s">
        <v>10461</v>
      </c>
      <c r="E2479" s="106" t="s">
        <v>10462</v>
      </c>
      <c r="F2479" s="92" t="s">
        <v>10463</v>
      </c>
      <c r="G2479" s="103">
        <v>41355</v>
      </c>
      <c r="H2479" s="103">
        <v>37760</v>
      </c>
      <c r="I2479" s="94" t="s">
        <v>58</v>
      </c>
      <c r="J2479" s="94" t="s">
        <v>10464</v>
      </c>
      <c r="K2479" s="92">
        <v>997242804</v>
      </c>
      <c r="L2479" s="91"/>
      <c r="M2479" s="98">
        <f ca="1">(TODAY()-H2479)/365</f>
        <v>22.580821917808219</v>
      </c>
      <c r="N2479" s="99">
        <f>(G2479-H2479)/365</f>
        <v>9.8493150684931514</v>
      </c>
      <c r="O2479" s="98">
        <f ca="1">(TODAY()-G2479)/365</f>
        <v>12.731506849315069</v>
      </c>
      <c r="P2479" s="91" t="s">
        <v>43</v>
      </c>
      <c r="Q2479" s="91"/>
      <c r="R2479" s="91"/>
      <c r="S2479" s="91"/>
      <c r="T2479" s="91"/>
      <c r="U2479" s="91"/>
      <c r="V2479" s="91"/>
      <c r="W2479" s="91"/>
      <c r="X2479" s="91"/>
      <c r="Y2479" s="91"/>
      <c r="Z2479" s="91"/>
      <c r="AA2479" s="91"/>
      <c r="AB2479" s="91"/>
      <c r="AC2479" s="91"/>
      <c r="AD2479" s="91"/>
      <c r="AE2479" s="91"/>
      <c r="AF2479" s="91"/>
      <c r="AG2479" s="91"/>
      <c r="AH2479" s="91"/>
      <c r="AI2479" s="91"/>
      <c r="AJ2479" s="91"/>
      <c r="AK2479" s="91"/>
      <c r="AL2479" s="91"/>
      <c r="AM2479" s="91"/>
    </row>
    <row r="2480" spans="1:39" ht="20.25" hidden="1" customHeight="1">
      <c r="A2480" s="91"/>
      <c r="B2480" s="93" t="s">
        <v>10441</v>
      </c>
      <c r="C2480" s="91" t="s">
        <v>36</v>
      </c>
      <c r="D2480" s="106" t="s">
        <v>10465</v>
      </c>
      <c r="E2480" s="106" t="s">
        <v>10466</v>
      </c>
      <c r="F2480" s="92" t="s">
        <v>10467</v>
      </c>
      <c r="G2480" s="103">
        <v>44261</v>
      </c>
      <c r="H2480" s="103">
        <v>37913</v>
      </c>
      <c r="I2480" s="94" t="s">
        <v>58</v>
      </c>
      <c r="J2480" s="94" t="s">
        <v>10468</v>
      </c>
      <c r="K2480" s="92">
        <v>964839255</v>
      </c>
      <c r="L2480" s="91"/>
      <c r="M2480" s="98">
        <f ca="1">(TODAY()-H2480)/365</f>
        <v>22.161643835616438</v>
      </c>
      <c r="N2480" s="99">
        <f>(G2480-H2480)/365</f>
        <v>17.391780821917809</v>
      </c>
      <c r="O2480" s="98">
        <f ca="1">(TODAY()-G2480)/365</f>
        <v>4.7698630136986298</v>
      </c>
      <c r="P2480" s="91" t="s">
        <v>43</v>
      </c>
      <c r="Q2480" s="91"/>
      <c r="R2480" s="91"/>
      <c r="S2480" s="91"/>
      <c r="T2480" s="91"/>
      <c r="U2480" s="91"/>
      <c r="V2480" s="91"/>
      <c r="W2480" s="91"/>
      <c r="X2480" s="91"/>
      <c r="Y2480" s="91"/>
      <c r="Z2480" s="91"/>
      <c r="AA2480" s="91"/>
      <c r="AB2480" s="91"/>
      <c r="AC2480" s="91"/>
      <c r="AD2480" s="91"/>
      <c r="AE2480" s="91"/>
      <c r="AF2480" s="91"/>
      <c r="AG2480" s="91"/>
      <c r="AH2480" s="91"/>
      <c r="AI2480" s="91"/>
      <c r="AJ2480" s="91"/>
      <c r="AK2480" s="91"/>
      <c r="AL2480" s="91"/>
      <c r="AM2480" s="91"/>
    </row>
    <row r="2481" spans="1:39" ht="20.25" hidden="1" customHeight="1">
      <c r="A2481" s="91"/>
      <c r="B2481" s="93" t="s">
        <v>10441</v>
      </c>
      <c r="C2481" s="91" t="s">
        <v>36</v>
      </c>
      <c r="D2481" s="106" t="s">
        <v>10469</v>
      </c>
      <c r="E2481" s="106" t="s">
        <v>10470</v>
      </c>
      <c r="F2481" s="92" t="s">
        <v>10471</v>
      </c>
      <c r="G2481" s="103">
        <v>44261</v>
      </c>
      <c r="H2481" s="103">
        <v>38190</v>
      </c>
      <c r="I2481" s="94" t="s">
        <v>58</v>
      </c>
      <c r="J2481" s="94" t="s">
        <v>10472</v>
      </c>
      <c r="K2481" s="92">
        <v>987083216</v>
      </c>
      <c r="L2481" s="91"/>
      <c r="M2481" s="98">
        <f ca="1">(TODAY()-H2481)/365</f>
        <v>21.402739726027399</v>
      </c>
      <c r="N2481" s="99">
        <f>(G2481-H2481)/365</f>
        <v>16.632876712328766</v>
      </c>
      <c r="O2481" s="98">
        <f ca="1">(TODAY()-G2481)/365</f>
        <v>4.7698630136986298</v>
      </c>
      <c r="P2481" s="91" t="s">
        <v>43</v>
      </c>
      <c r="Q2481" s="91"/>
      <c r="R2481" s="91"/>
      <c r="S2481" s="91"/>
      <c r="T2481" s="91"/>
      <c r="U2481" s="91"/>
      <c r="V2481" s="91"/>
      <c r="W2481" s="91"/>
      <c r="X2481" s="91"/>
      <c r="Y2481" s="91"/>
      <c r="Z2481" s="91"/>
      <c r="AA2481" s="91"/>
      <c r="AB2481" s="91"/>
      <c r="AC2481" s="91"/>
      <c r="AD2481" s="91"/>
      <c r="AE2481" s="91"/>
      <c r="AF2481" s="91"/>
      <c r="AG2481" s="91"/>
      <c r="AH2481" s="91"/>
      <c r="AI2481" s="91"/>
      <c r="AJ2481" s="91"/>
      <c r="AK2481" s="91"/>
      <c r="AL2481" s="91"/>
      <c r="AM2481" s="91"/>
    </row>
    <row r="2482" spans="1:39" ht="20.25" hidden="1" customHeight="1">
      <c r="A2482" s="91"/>
      <c r="B2482" s="93" t="s">
        <v>10441</v>
      </c>
      <c r="C2482" s="91" t="s">
        <v>36</v>
      </c>
      <c r="D2482" s="106" t="s">
        <v>10473</v>
      </c>
      <c r="E2482" s="106" t="s">
        <v>10474</v>
      </c>
      <c r="F2482" s="92" t="s">
        <v>10475</v>
      </c>
      <c r="G2482" s="103">
        <v>44261</v>
      </c>
      <c r="H2482" s="103">
        <v>37460</v>
      </c>
      <c r="I2482" s="94" t="s">
        <v>58</v>
      </c>
      <c r="J2482" s="94" t="s">
        <v>10468</v>
      </c>
      <c r="K2482" s="92">
        <v>953058324</v>
      </c>
      <c r="L2482" s="91"/>
      <c r="M2482" s="98">
        <f ca="1">(TODAY()-H2482)/365</f>
        <v>23.402739726027399</v>
      </c>
      <c r="N2482" s="99">
        <f>(G2482-H2482)/365</f>
        <v>18.632876712328766</v>
      </c>
      <c r="O2482" s="98">
        <f ca="1">(TODAY()-G2482)/365</f>
        <v>4.7698630136986298</v>
      </c>
      <c r="P2482" s="91" t="s">
        <v>272</v>
      </c>
      <c r="Q2482" s="91"/>
      <c r="R2482" s="91"/>
      <c r="S2482" s="91"/>
      <c r="T2482" s="91"/>
      <c r="U2482" s="91"/>
      <c r="V2482" s="91"/>
      <c r="W2482" s="91"/>
      <c r="X2482" s="91"/>
      <c r="Y2482" s="91"/>
      <c r="Z2482" s="91"/>
      <c r="AA2482" s="91"/>
      <c r="AB2482" s="91"/>
      <c r="AC2482" s="91"/>
      <c r="AD2482" s="91"/>
      <c r="AE2482" s="91"/>
      <c r="AF2482" s="91"/>
      <c r="AG2482" s="91"/>
      <c r="AH2482" s="91"/>
      <c r="AI2482" s="91"/>
      <c r="AJ2482" s="91"/>
      <c r="AK2482" s="91"/>
      <c r="AL2482" s="91"/>
      <c r="AM2482" s="91"/>
    </row>
    <row r="2483" spans="1:39" ht="20.25" hidden="1" customHeight="1">
      <c r="A2483" s="91"/>
      <c r="B2483" s="93" t="s">
        <v>10441</v>
      </c>
      <c r="C2483" s="91" t="s">
        <v>36</v>
      </c>
      <c r="D2483" s="106" t="s">
        <v>10476</v>
      </c>
      <c r="E2483" s="106" t="s">
        <v>10477</v>
      </c>
      <c r="F2483" s="92" t="s">
        <v>10478</v>
      </c>
      <c r="G2483" s="103">
        <v>44112</v>
      </c>
      <c r="H2483" s="103">
        <v>33354</v>
      </c>
      <c r="I2483" s="94" t="s">
        <v>58</v>
      </c>
      <c r="J2483" s="94" t="s">
        <v>10468</v>
      </c>
      <c r="K2483" s="92">
        <v>936754804</v>
      </c>
      <c r="L2483" s="91"/>
      <c r="M2483" s="98">
        <f ca="1">(TODAY()-H2483)/365</f>
        <v>34.652054794520545</v>
      </c>
      <c r="N2483" s="99">
        <f>(G2483-H2483)/365</f>
        <v>29.473972602739725</v>
      </c>
      <c r="O2483" s="98">
        <f ca="1">(TODAY()-G2483)/365</f>
        <v>5.1780821917808222</v>
      </c>
      <c r="P2483" s="91" t="s">
        <v>272</v>
      </c>
      <c r="Q2483" s="91"/>
      <c r="R2483" s="91"/>
      <c r="S2483" s="91"/>
      <c r="T2483" s="91"/>
      <c r="U2483" s="91"/>
      <c r="V2483" s="91"/>
      <c r="W2483" s="91"/>
      <c r="X2483" s="91"/>
      <c r="Y2483" s="91"/>
      <c r="Z2483" s="91"/>
      <c r="AA2483" s="91"/>
      <c r="AB2483" s="91"/>
      <c r="AC2483" s="91"/>
      <c r="AD2483" s="91"/>
      <c r="AE2483" s="91"/>
      <c r="AF2483" s="91"/>
      <c r="AG2483" s="91"/>
      <c r="AH2483" s="91"/>
      <c r="AI2483" s="91"/>
      <c r="AJ2483" s="91"/>
      <c r="AK2483" s="91"/>
      <c r="AL2483" s="91"/>
      <c r="AM2483" s="91"/>
    </row>
    <row r="2484" spans="1:39" ht="20.25" hidden="1" customHeight="1">
      <c r="A2484" s="91"/>
      <c r="B2484" s="93" t="s">
        <v>10441</v>
      </c>
      <c r="C2484" s="91" t="s">
        <v>36</v>
      </c>
      <c r="D2484" s="106" t="s">
        <v>10479</v>
      </c>
      <c r="E2484" s="106" t="s">
        <v>10480</v>
      </c>
      <c r="F2484" s="92" t="s">
        <v>10481</v>
      </c>
      <c r="G2484" s="103">
        <v>44261</v>
      </c>
      <c r="H2484" s="103">
        <v>38197</v>
      </c>
      <c r="I2484" s="94" t="s">
        <v>58</v>
      </c>
      <c r="J2484" s="94" t="s">
        <v>10472</v>
      </c>
      <c r="K2484" s="92">
        <v>95326091</v>
      </c>
      <c r="L2484" s="91"/>
      <c r="M2484" s="98">
        <f ca="1">(TODAY()-H2484)/365</f>
        <v>21.383561643835616</v>
      </c>
      <c r="N2484" s="99">
        <f>(G2484-H2484)/365</f>
        <v>16.613698630136987</v>
      </c>
      <c r="O2484" s="98">
        <f ca="1">(TODAY()-G2484)/365</f>
        <v>4.7698630136986298</v>
      </c>
      <c r="P2484" s="91" t="s">
        <v>272</v>
      </c>
      <c r="Q2484" s="91"/>
      <c r="R2484" s="91"/>
      <c r="S2484" s="91"/>
      <c r="T2484" s="91"/>
      <c r="U2484" s="91"/>
      <c r="V2484" s="91"/>
      <c r="W2484" s="91"/>
      <c r="X2484" s="91"/>
      <c r="Y2484" s="91"/>
      <c r="Z2484" s="91"/>
      <c r="AA2484" s="91"/>
      <c r="AB2484" s="91"/>
      <c r="AC2484" s="91"/>
      <c r="AD2484" s="91"/>
      <c r="AE2484" s="91"/>
      <c r="AF2484" s="91"/>
      <c r="AG2484" s="91"/>
      <c r="AH2484" s="91"/>
      <c r="AI2484" s="91"/>
      <c r="AJ2484" s="91"/>
      <c r="AK2484" s="91"/>
      <c r="AL2484" s="91"/>
      <c r="AM2484" s="91"/>
    </row>
    <row r="2485" spans="1:39" ht="20.25" hidden="1" customHeight="1">
      <c r="A2485" s="91"/>
      <c r="B2485" s="93" t="s">
        <v>10441</v>
      </c>
      <c r="C2485" s="91" t="s">
        <v>36</v>
      </c>
      <c r="D2485" s="106" t="s">
        <v>10482</v>
      </c>
      <c r="E2485" s="106" t="s">
        <v>10483</v>
      </c>
      <c r="F2485" s="92" t="s">
        <v>10484</v>
      </c>
      <c r="G2485" s="103">
        <v>44262</v>
      </c>
      <c r="H2485" s="103">
        <v>23294</v>
      </c>
      <c r="I2485" s="94" t="s">
        <v>58</v>
      </c>
      <c r="J2485" s="94" t="s">
        <v>10468</v>
      </c>
      <c r="K2485" s="92">
        <v>979325499</v>
      </c>
      <c r="L2485" s="91"/>
      <c r="M2485" s="98">
        <f ca="1">(TODAY()-H2485)/365</f>
        <v>62.213698630136989</v>
      </c>
      <c r="N2485" s="99">
        <f>(G2485-H2485)/365</f>
        <v>57.446575342465756</v>
      </c>
      <c r="O2485" s="98">
        <f ca="1">(TODAY()-G2485)/365</f>
        <v>4.7671232876712333</v>
      </c>
      <c r="P2485" s="91" t="s">
        <v>43</v>
      </c>
      <c r="Q2485" s="91"/>
      <c r="R2485" s="91"/>
      <c r="S2485" s="91"/>
      <c r="T2485" s="91"/>
      <c r="U2485" s="91"/>
      <c r="V2485" s="91"/>
      <c r="W2485" s="91"/>
      <c r="X2485" s="91"/>
      <c r="Y2485" s="91"/>
      <c r="Z2485" s="91"/>
      <c r="AA2485" s="91"/>
      <c r="AB2485" s="91"/>
      <c r="AC2485" s="91"/>
      <c r="AD2485" s="91"/>
      <c r="AE2485" s="91"/>
      <c r="AF2485" s="91"/>
      <c r="AG2485" s="91"/>
      <c r="AH2485" s="91"/>
      <c r="AI2485" s="91"/>
      <c r="AJ2485" s="91"/>
      <c r="AK2485" s="91"/>
      <c r="AL2485" s="91"/>
      <c r="AM2485" s="91"/>
    </row>
    <row r="2486" spans="1:39" ht="20.25" hidden="1" customHeight="1">
      <c r="A2486" s="91"/>
      <c r="B2486" s="93" t="s">
        <v>10441</v>
      </c>
      <c r="C2486" s="91" t="s">
        <v>36</v>
      </c>
      <c r="D2486" s="106" t="s">
        <v>10485</v>
      </c>
      <c r="E2486" s="106" t="s">
        <v>10486</v>
      </c>
      <c r="F2486" s="92" t="s">
        <v>10487</v>
      </c>
      <c r="G2486" s="103">
        <v>44261</v>
      </c>
      <c r="H2486" s="103">
        <v>38129</v>
      </c>
      <c r="I2486" s="94" t="s">
        <v>58</v>
      </c>
      <c r="J2486" s="94" t="s">
        <v>10468</v>
      </c>
      <c r="K2486" s="92">
        <v>941985085</v>
      </c>
      <c r="L2486" s="91"/>
      <c r="M2486" s="98">
        <f ca="1">(TODAY()-H2486)/365</f>
        <v>21.56986301369863</v>
      </c>
      <c r="N2486" s="99">
        <f>(G2486-H2486)/365</f>
        <v>16.8</v>
      </c>
      <c r="O2486" s="98">
        <f ca="1">(TODAY()-G2486)/365</f>
        <v>4.7698630136986298</v>
      </c>
      <c r="P2486" s="91" t="s">
        <v>272</v>
      </c>
      <c r="Q2486" s="91"/>
      <c r="R2486" s="91"/>
      <c r="S2486" s="91"/>
      <c r="T2486" s="91"/>
      <c r="U2486" s="91"/>
      <c r="V2486" s="91"/>
      <c r="W2486" s="91"/>
      <c r="X2486" s="91"/>
      <c r="Y2486" s="91"/>
      <c r="Z2486" s="91"/>
      <c r="AA2486" s="91"/>
      <c r="AB2486" s="91"/>
      <c r="AC2486" s="91"/>
      <c r="AD2486" s="91"/>
      <c r="AE2486" s="91"/>
      <c r="AF2486" s="91"/>
      <c r="AG2486" s="91"/>
      <c r="AH2486" s="91"/>
      <c r="AI2486" s="91"/>
      <c r="AJ2486" s="91"/>
      <c r="AK2486" s="91"/>
      <c r="AL2486" s="91"/>
      <c r="AM2486" s="91"/>
    </row>
    <row r="2487" spans="1:39" ht="20.25" hidden="1" customHeight="1">
      <c r="A2487" s="91"/>
      <c r="B2487" s="93" t="s">
        <v>10441</v>
      </c>
      <c r="C2487" s="91" t="s">
        <v>36</v>
      </c>
      <c r="D2487" s="106" t="s">
        <v>10488</v>
      </c>
      <c r="E2487" s="106" t="s">
        <v>10489</v>
      </c>
      <c r="F2487" s="92" t="s">
        <v>10490</v>
      </c>
      <c r="G2487" s="103">
        <v>41355</v>
      </c>
      <c r="H2487" s="103">
        <v>38012</v>
      </c>
      <c r="I2487" s="94" t="s">
        <v>58</v>
      </c>
      <c r="J2487" s="94" t="s">
        <v>10468</v>
      </c>
      <c r="K2487" s="95" t="s">
        <v>58</v>
      </c>
      <c r="L2487" s="91"/>
      <c r="M2487" s="98">
        <f ca="1">(TODAY()-H2487)/365</f>
        <v>21.890410958904109</v>
      </c>
      <c r="N2487" s="99">
        <f>(G2487-H2487)/365</f>
        <v>9.1589041095890416</v>
      </c>
      <c r="O2487" s="98">
        <f ca="1">(TODAY()-G2487)/365</f>
        <v>12.731506849315069</v>
      </c>
      <c r="P2487" s="91" t="s">
        <v>272</v>
      </c>
      <c r="Q2487" s="91"/>
      <c r="R2487" s="91"/>
      <c r="S2487" s="91"/>
      <c r="T2487" s="91"/>
      <c r="U2487" s="91"/>
      <c r="V2487" s="91"/>
      <c r="W2487" s="91"/>
      <c r="X2487" s="91"/>
      <c r="Y2487" s="91"/>
      <c r="Z2487" s="91"/>
      <c r="AA2487" s="91"/>
      <c r="AB2487" s="91"/>
      <c r="AC2487" s="91"/>
      <c r="AD2487" s="91"/>
      <c r="AE2487" s="91"/>
      <c r="AF2487" s="91"/>
      <c r="AG2487" s="91"/>
      <c r="AH2487" s="91"/>
      <c r="AI2487" s="91"/>
      <c r="AJ2487" s="91"/>
      <c r="AK2487" s="91"/>
      <c r="AL2487" s="91"/>
      <c r="AM2487" s="91"/>
    </row>
    <row r="2488" spans="1:39" ht="20.25" hidden="1" customHeight="1">
      <c r="A2488" s="91"/>
      <c r="B2488" s="93" t="s">
        <v>10441</v>
      </c>
      <c r="C2488" s="91" t="s">
        <v>36</v>
      </c>
      <c r="D2488" s="106" t="s">
        <v>10491</v>
      </c>
      <c r="E2488" s="106" t="s">
        <v>10492</v>
      </c>
      <c r="F2488" s="92" t="s">
        <v>10493</v>
      </c>
      <c r="G2488" s="103">
        <v>45209</v>
      </c>
      <c r="H2488" s="103">
        <v>38101</v>
      </c>
      <c r="I2488" s="94" t="s">
        <v>10494</v>
      </c>
      <c r="J2488" s="94" t="s">
        <v>10495</v>
      </c>
      <c r="K2488" s="92">
        <v>990910321</v>
      </c>
      <c r="L2488" s="91"/>
      <c r="M2488" s="98">
        <f ca="1">(TODAY()-H2488)/365</f>
        <v>21.646575342465752</v>
      </c>
      <c r="N2488" s="99">
        <f>(G2488-H2488)/365</f>
        <v>19.473972602739725</v>
      </c>
      <c r="O2488" s="98">
        <f ca="1">(TODAY()-G2488)/365</f>
        <v>2.1726027397260275</v>
      </c>
      <c r="P2488" s="91" t="s">
        <v>43</v>
      </c>
      <c r="Q2488" s="91"/>
      <c r="R2488" s="91"/>
      <c r="S2488" s="91"/>
      <c r="T2488" s="91"/>
      <c r="U2488" s="91"/>
      <c r="V2488" s="91"/>
      <c r="W2488" s="91"/>
      <c r="X2488" s="91"/>
      <c r="Y2488" s="91"/>
      <c r="Z2488" s="91"/>
      <c r="AA2488" s="91"/>
      <c r="AB2488" s="91"/>
      <c r="AC2488" s="91"/>
      <c r="AD2488" s="91"/>
      <c r="AE2488" s="91"/>
      <c r="AF2488" s="91"/>
      <c r="AG2488" s="91"/>
      <c r="AH2488" s="91"/>
      <c r="AI2488" s="91"/>
      <c r="AJ2488" s="91"/>
      <c r="AK2488" s="91"/>
      <c r="AL2488" s="91"/>
      <c r="AM2488" s="91"/>
    </row>
    <row r="2489" spans="1:39" ht="20.25" hidden="1" customHeight="1">
      <c r="A2489" s="91"/>
      <c r="B2489" s="93" t="s">
        <v>10441</v>
      </c>
      <c r="C2489" s="91" t="s">
        <v>36</v>
      </c>
      <c r="D2489" s="106" t="s">
        <v>10496</v>
      </c>
      <c r="E2489" s="106" t="s">
        <v>10497</v>
      </c>
      <c r="F2489" s="92" t="s">
        <v>10498</v>
      </c>
      <c r="G2489" s="103">
        <v>45549</v>
      </c>
      <c r="H2489" s="103">
        <v>38245</v>
      </c>
      <c r="I2489" s="108" t="s">
        <v>12607</v>
      </c>
      <c r="J2489" s="94" t="s">
        <v>10440</v>
      </c>
      <c r="K2489" s="92">
        <v>966928617</v>
      </c>
      <c r="L2489" s="91"/>
      <c r="M2489" s="98">
        <f ca="1">(TODAY()-H2489)/365</f>
        <v>21.252054794520546</v>
      </c>
      <c r="N2489" s="99">
        <f>(G2489-H2489)/365</f>
        <v>20.010958904109589</v>
      </c>
      <c r="O2489" s="98">
        <f ca="1">(TODAY()-G2489)/365</f>
        <v>1.2410958904109588</v>
      </c>
      <c r="P2489" s="91" t="s">
        <v>43</v>
      </c>
      <c r="Q2489" s="91"/>
      <c r="R2489" s="91"/>
      <c r="S2489" s="91"/>
      <c r="T2489" s="91"/>
      <c r="U2489" s="91"/>
      <c r="V2489" s="91"/>
      <c r="W2489" s="91"/>
      <c r="X2489" s="91"/>
      <c r="Y2489" s="91"/>
      <c r="Z2489" s="91"/>
      <c r="AA2489" s="91"/>
      <c r="AB2489" s="91"/>
      <c r="AC2489" s="91"/>
      <c r="AD2489" s="91"/>
      <c r="AE2489" s="91"/>
      <c r="AF2489" s="91"/>
      <c r="AG2489" s="91"/>
      <c r="AH2489" s="91"/>
      <c r="AI2489" s="91"/>
      <c r="AJ2489" s="91"/>
      <c r="AK2489" s="91"/>
      <c r="AL2489" s="91"/>
      <c r="AM2489" s="91"/>
    </row>
    <row r="2490" spans="1:39" ht="20.25" hidden="1" customHeight="1">
      <c r="A2490" s="91"/>
      <c r="B2490" s="93" t="s">
        <v>10441</v>
      </c>
      <c r="C2490" s="91" t="s">
        <v>36</v>
      </c>
      <c r="D2490" s="106" t="s">
        <v>10499</v>
      </c>
      <c r="E2490" s="106" t="s">
        <v>10500</v>
      </c>
      <c r="F2490" s="92" t="s">
        <v>10501</v>
      </c>
      <c r="G2490" s="103">
        <v>45148</v>
      </c>
      <c r="H2490" s="103">
        <v>20043</v>
      </c>
      <c r="I2490" s="94" t="s">
        <v>58</v>
      </c>
      <c r="J2490" s="94" t="s">
        <v>10440</v>
      </c>
      <c r="K2490" s="92">
        <v>962046419</v>
      </c>
      <c r="L2490" s="91"/>
      <c r="M2490" s="98">
        <f ca="1">(TODAY()-H2490)/365</f>
        <v>71.120547945205473</v>
      </c>
      <c r="N2490" s="99">
        <f>(G2490-H2490)/365</f>
        <v>68.780821917808225</v>
      </c>
      <c r="O2490" s="98">
        <f ca="1">(TODAY()-G2490)/365</f>
        <v>2.3397260273972602</v>
      </c>
      <c r="P2490" s="91" t="s">
        <v>43</v>
      </c>
      <c r="Q2490" s="91"/>
      <c r="R2490" s="91"/>
      <c r="S2490" s="91"/>
      <c r="T2490" s="91"/>
      <c r="U2490" s="91"/>
      <c r="V2490" s="91"/>
      <c r="W2490" s="91"/>
      <c r="X2490" s="91"/>
      <c r="Y2490" s="91"/>
      <c r="Z2490" s="91"/>
      <c r="AA2490" s="91"/>
      <c r="AB2490" s="91"/>
      <c r="AC2490" s="91"/>
      <c r="AD2490" s="91"/>
      <c r="AE2490" s="91"/>
      <c r="AF2490" s="91"/>
      <c r="AG2490" s="91"/>
      <c r="AH2490" s="91"/>
      <c r="AI2490" s="91"/>
      <c r="AJ2490" s="91"/>
      <c r="AK2490" s="91"/>
      <c r="AL2490" s="91"/>
      <c r="AM2490" s="91"/>
    </row>
    <row r="2491" spans="1:39" ht="20.25" hidden="1" customHeight="1">
      <c r="A2491" s="91"/>
      <c r="B2491" s="93" t="s">
        <v>10441</v>
      </c>
      <c r="C2491" s="91" t="s">
        <v>36</v>
      </c>
      <c r="D2491" s="106" t="s">
        <v>10502</v>
      </c>
      <c r="E2491" s="106" t="s">
        <v>10503</v>
      </c>
      <c r="F2491" s="92" t="s">
        <v>10504</v>
      </c>
      <c r="G2491" s="103">
        <v>45549</v>
      </c>
      <c r="H2491" s="103">
        <v>28876</v>
      </c>
      <c r="I2491" s="108" t="s">
        <v>12608</v>
      </c>
      <c r="J2491" s="94" t="s">
        <v>10440</v>
      </c>
      <c r="K2491" s="92">
        <v>988965547</v>
      </c>
      <c r="L2491" s="91"/>
      <c r="M2491" s="98">
        <f ca="1">(TODAY()-H2491)/365</f>
        <v>46.920547945205477</v>
      </c>
      <c r="N2491" s="99">
        <f>(G2491-H2491)/365</f>
        <v>45.679452054794524</v>
      </c>
      <c r="O2491" s="98">
        <f ca="1">(TODAY()-G2491)/365</f>
        <v>1.2410958904109588</v>
      </c>
      <c r="P2491" s="91" t="s">
        <v>43</v>
      </c>
      <c r="Q2491" s="91"/>
      <c r="R2491" s="91"/>
      <c r="S2491" s="91"/>
      <c r="T2491" s="91"/>
      <c r="U2491" s="91"/>
      <c r="V2491" s="91"/>
      <c r="W2491" s="91"/>
      <c r="X2491" s="91"/>
      <c r="Y2491" s="91"/>
      <c r="Z2491" s="91"/>
      <c r="AA2491" s="91"/>
      <c r="AB2491" s="91"/>
      <c r="AC2491" s="91"/>
      <c r="AD2491" s="91"/>
      <c r="AE2491" s="91"/>
      <c r="AF2491" s="91"/>
      <c r="AG2491" s="91"/>
      <c r="AH2491" s="91"/>
      <c r="AI2491" s="91"/>
      <c r="AJ2491" s="91"/>
      <c r="AK2491" s="91"/>
      <c r="AL2491" s="91"/>
      <c r="AM2491" s="91"/>
    </row>
    <row r="2492" spans="1:39" ht="20.25" hidden="1" customHeight="1">
      <c r="A2492" s="91"/>
      <c r="B2492" s="93" t="s">
        <v>10441</v>
      </c>
      <c r="C2492" s="91" t="s">
        <v>36</v>
      </c>
      <c r="D2492" s="106" t="s">
        <v>10505</v>
      </c>
      <c r="E2492" s="106" t="s">
        <v>10506</v>
      </c>
      <c r="F2492" s="92" t="s">
        <v>10507</v>
      </c>
      <c r="G2492" s="103">
        <v>45262</v>
      </c>
      <c r="H2492" s="103">
        <v>22788</v>
      </c>
      <c r="I2492" s="94" t="s">
        <v>58</v>
      </c>
      <c r="J2492" s="94" t="s">
        <v>10472</v>
      </c>
      <c r="K2492" s="92">
        <v>962586315</v>
      </c>
      <c r="L2492" s="91"/>
      <c r="M2492" s="98">
        <f ca="1">(TODAY()-H2492)/365</f>
        <v>63.6</v>
      </c>
      <c r="N2492" s="99">
        <f>(G2492-H2492)/365</f>
        <v>61.57260273972603</v>
      </c>
      <c r="O2492" s="98">
        <f ca="1">(TODAY()-G2492)/365</f>
        <v>2.0273972602739727</v>
      </c>
      <c r="P2492" s="91" t="s">
        <v>43</v>
      </c>
      <c r="Q2492" s="91"/>
      <c r="R2492" s="91"/>
      <c r="S2492" s="91"/>
      <c r="T2492" s="91"/>
      <c r="U2492" s="91"/>
      <c r="V2492" s="91"/>
      <c r="W2492" s="91"/>
      <c r="X2492" s="91"/>
      <c r="Y2492" s="91"/>
      <c r="Z2492" s="91"/>
      <c r="AA2492" s="91"/>
      <c r="AB2492" s="91"/>
      <c r="AC2492" s="91"/>
      <c r="AD2492" s="91"/>
      <c r="AE2492" s="91"/>
      <c r="AF2492" s="91"/>
      <c r="AG2492" s="91"/>
      <c r="AH2492" s="91"/>
      <c r="AI2492" s="91"/>
      <c r="AJ2492" s="91"/>
      <c r="AK2492" s="91"/>
      <c r="AL2492" s="91"/>
      <c r="AM2492" s="91"/>
    </row>
    <row r="2493" spans="1:39" ht="20.25" hidden="1" customHeight="1">
      <c r="A2493" s="91"/>
      <c r="B2493" s="93" t="s">
        <v>10441</v>
      </c>
      <c r="C2493" s="91" t="s">
        <v>36</v>
      </c>
      <c r="D2493" s="106" t="s">
        <v>10508</v>
      </c>
      <c r="E2493" s="106" t="s">
        <v>10509</v>
      </c>
      <c r="F2493" s="92" t="s">
        <v>10510</v>
      </c>
      <c r="G2493" s="103">
        <v>45277</v>
      </c>
      <c r="H2493" s="103">
        <v>27463</v>
      </c>
      <c r="I2493" s="94" t="s">
        <v>58</v>
      </c>
      <c r="J2493" s="94" t="s">
        <v>10511</v>
      </c>
      <c r="K2493" s="92">
        <v>977723263</v>
      </c>
      <c r="L2493" s="91"/>
      <c r="M2493" s="98">
        <f ca="1">(TODAY()-H2493)/365</f>
        <v>50.791780821917811</v>
      </c>
      <c r="N2493" s="99">
        <f>(G2493-H2493)/365</f>
        <v>48.805479452054797</v>
      </c>
      <c r="O2493" s="98">
        <f ca="1">(TODAY()-G2493)/365</f>
        <v>1.9863013698630136</v>
      </c>
      <c r="P2493" s="91" t="s">
        <v>43</v>
      </c>
      <c r="Q2493" s="91"/>
      <c r="R2493" s="91"/>
      <c r="S2493" s="91"/>
      <c r="T2493" s="91"/>
      <c r="U2493" s="91"/>
      <c r="V2493" s="91"/>
      <c r="W2493" s="91"/>
      <c r="X2493" s="91"/>
      <c r="Y2493" s="91"/>
      <c r="Z2493" s="91"/>
      <c r="AA2493" s="91"/>
      <c r="AB2493" s="91"/>
      <c r="AC2493" s="91"/>
      <c r="AD2493" s="91"/>
      <c r="AE2493" s="91"/>
      <c r="AF2493" s="91"/>
      <c r="AG2493" s="91"/>
      <c r="AH2493" s="91"/>
      <c r="AI2493" s="91"/>
      <c r="AJ2493" s="91"/>
      <c r="AK2493" s="91"/>
      <c r="AL2493" s="91"/>
      <c r="AM2493" s="91"/>
    </row>
    <row r="2494" spans="1:39" ht="20.25" hidden="1" customHeight="1">
      <c r="A2494" s="91"/>
      <c r="B2494" s="93" t="s">
        <v>10441</v>
      </c>
      <c r="C2494" s="91" t="s">
        <v>36</v>
      </c>
      <c r="D2494" s="106" t="s">
        <v>10442</v>
      </c>
      <c r="E2494" s="106" t="s">
        <v>10512</v>
      </c>
      <c r="F2494" s="92" t="s">
        <v>10513</v>
      </c>
      <c r="G2494" s="103">
        <v>45355</v>
      </c>
      <c r="H2494" s="103">
        <v>22471</v>
      </c>
      <c r="I2494" s="94" t="s">
        <v>58</v>
      </c>
      <c r="J2494" s="94" t="s">
        <v>10468</v>
      </c>
      <c r="K2494" s="92">
        <v>966960984</v>
      </c>
      <c r="L2494" s="91"/>
      <c r="M2494" s="98">
        <f ca="1">(TODAY()-H2494)/365</f>
        <v>64.468493150684935</v>
      </c>
      <c r="N2494" s="99">
        <f>(G2494-H2494)/365</f>
        <v>62.695890410958903</v>
      </c>
      <c r="O2494" s="98">
        <f ca="1">(TODAY()-G2494)/365</f>
        <v>1.7726027397260273</v>
      </c>
      <c r="P2494" s="91" t="s">
        <v>43</v>
      </c>
      <c r="Q2494" s="91"/>
      <c r="R2494" s="91"/>
      <c r="S2494" s="91"/>
      <c r="T2494" s="91"/>
      <c r="U2494" s="91"/>
      <c r="V2494" s="91"/>
      <c r="W2494" s="91"/>
      <c r="X2494" s="91"/>
      <c r="Y2494" s="91"/>
      <c r="Z2494" s="91"/>
      <c r="AA2494" s="91"/>
      <c r="AB2494" s="91"/>
      <c r="AC2494" s="91"/>
      <c r="AD2494" s="91"/>
      <c r="AE2494" s="91"/>
      <c r="AF2494" s="91"/>
      <c r="AG2494" s="91"/>
      <c r="AH2494" s="91"/>
      <c r="AI2494" s="91"/>
      <c r="AJ2494" s="91"/>
      <c r="AK2494" s="91"/>
      <c r="AL2494" s="91"/>
      <c r="AM2494" s="91"/>
    </row>
    <row r="2495" spans="1:39" ht="20.25" hidden="1" customHeight="1">
      <c r="A2495" s="91"/>
      <c r="B2495" s="93" t="s">
        <v>10441</v>
      </c>
      <c r="C2495" s="91" t="s">
        <v>36</v>
      </c>
      <c r="D2495" s="106" t="s">
        <v>10514</v>
      </c>
      <c r="E2495" s="106" t="s">
        <v>10515</v>
      </c>
      <c r="F2495" s="92" t="s">
        <v>10516</v>
      </c>
      <c r="G2495" s="103">
        <v>44261</v>
      </c>
      <c r="H2495" s="103">
        <v>37779</v>
      </c>
      <c r="I2495" s="94" t="s">
        <v>58</v>
      </c>
      <c r="J2495" s="94" t="s">
        <v>10517</v>
      </c>
      <c r="K2495" s="92">
        <v>942196054</v>
      </c>
      <c r="L2495" s="91"/>
      <c r="M2495" s="98">
        <f ca="1">(TODAY()-H2495)/365</f>
        <v>22.528767123287672</v>
      </c>
      <c r="N2495" s="99">
        <f>(G2495-H2495)/365</f>
        <v>17.758904109589039</v>
      </c>
      <c r="O2495" s="98">
        <f ca="1">(TODAY()-G2495)/365</f>
        <v>4.7698630136986298</v>
      </c>
      <c r="P2495" s="91" t="s">
        <v>43</v>
      </c>
      <c r="Q2495" s="91"/>
      <c r="R2495" s="91"/>
      <c r="S2495" s="91"/>
      <c r="T2495" s="91"/>
      <c r="U2495" s="91"/>
      <c r="V2495" s="91"/>
      <c r="W2495" s="91"/>
      <c r="X2495" s="91"/>
      <c r="Y2495" s="91"/>
      <c r="Z2495" s="91"/>
      <c r="AA2495" s="91"/>
      <c r="AB2495" s="91"/>
      <c r="AC2495" s="91"/>
      <c r="AD2495" s="91"/>
      <c r="AE2495" s="91"/>
      <c r="AF2495" s="91"/>
      <c r="AG2495" s="91"/>
      <c r="AH2495" s="91"/>
      <c r="AI2495" s="91"/>
      <c r="AJ2495" s="91"/>
      <c r="AK2495" s="91"/>
      <c r="AL2495" s="91"/>
      <c r="AM2495" s="91"/>
    </row>
    <row r="2496" spans="1:39" ht="20.25" hidden="1" customHeight="1">
      <c r="A2496" s="91"/>
      <c r="B2496" s="93" t="s">
        <v>10441</v>
      </c>
      <c r="C2496" s="91" t="s">
        <v>36</v>
      </c>
      <c r="D2496" s="106" t="s">
        <v>10518</v>
      </c>
      <c r="E2496" s="106" t="s">
        <v>10458</v>
      </c>
      <c r="F2496" s="92" t="s">
        <v>10519</v>
      </c>
      <c r="G2496" s="103">
        <v>44418</v>
      </c>
      <c r="H2496" s="103">
        <v>23909</v>
      </c>
      <c r="I2496" s="94" t="s">
        <v>58</v>
      </c>
      <c r="J2496" s="94" t="s">
        <v>10520</v>
      </c>
      <c r="K2496" s="92">
        <v>956373541</v>
      </c>
      <c r="L2496" s="91"/>
      <c r="M2496" s="98">
        <f ca="1">(TODAY()-H2496)/365</f>
        <v>60.528767123287672</v>
      </c>
      <c r="N2496" s="99">
        <f>(G2496-H2496)/365</f>
        <v>56.18904109589041</v>
      </c>
      <c r="O2496" s="98">
        <f ca="1">(TODAY()-G2496)/365</f>
        <v>4.3397260273972602</v>
      </c>
      <c r="P2496" s="91" t="s">
        <v>43</v>
      </c>
      <c r="Q2496" s="91"/>
      <c r="R2496" s="91"/>
      <c r="S2496" s="91"/>
      <c r="T2496" s="91"/>
      <c r="U2496" s="91"/>
      <c r="V2496" s="91"/>
      <c r="W2496" s="91"/>
      <c r="X2496" s="91"/>
      <c r="Y2496" s="91"/>
      <c r="Z2496" s="91"/>
      <c r="AA2496" s="91"/>
      <c r="AB2496" s="91"/>
      <c r="AC2496" s="91"/>
      <c r="AD2496" s="91"/>
      <c r="AE2496" s="91"/>
      <c r="AF2496" s="91"/>
      <c r="AG2496" s="91"/>
      <c r="AH2496" s="91"/>
      <c r="AI2496" s="91"/>
      <c r="AJ2496" s="91"/>
      <c r="AK2496" s="91"/>
      <c r="AL2496" s="91"/>
      <c r="AM2496" s="91"/>
    </row>
    <row r="2497" spans="1:39" ht="20.25" hidden="1" customHeight="1">
      <c r="A2497" s="91"/>
      <c r="B2497" s="93" t="s">
        <v>7862</v>
      </c>
      <c r="C2497" s="91" t="s">
        <v>36</v>
      </c>
      <c r="D2497" s="107" t="s">
        <v>4425</v>
      </c>
      <c r="E2497" s="107" t="s">
        <v>7863</v>
      </c>
      <c r="F2497" s="91" t="s">
        <v>7864</v>
      </c>
      <c r="G2497" s="96">
        <v>44258</v>
      </c>
      <c r="H2497" s="97">
        <v>37248</v>
      </c>
      <c r="I2497" s="108" t="s">
        <v>12450</v>
      </c>
      <c r="J2497" s="100" t="s">
        <v>7865</v>
      </c>
      <c r="K2497" s="91">
        <v>999823894</v>
      </c>
      <c r="L2497" s="91" t="s">
        <v>60</v>
      </c>
      <c r="M2497" s="98">
        <f ca="1">(TODAY()-H2497)/365</f>
        <v>23.983561643835618</v>
      </c>
      <c r="N2497" s="99">
        <f>(G2497-H2497)/365</f>
        <v>19.205479452054796</v>
      </c>
      <c r="O2497" s="98">
        <f ca="1">(TODAY()-G2497)/365</f>
        <v>4.7780821917808218</v>
      </c>
      <c r="P2497" s="91" t="s">
        <v>272</v>
      </c>
      <c r="Q2497" s="91">
        <v>0</v>
      </c>
      <c r="R2497" s="91">
        <v>0</v>
      </c>
      <c r="S2497" s="91">
        <v>0</v>
      </c>
      <c r="T2497" s="91"/>
      <c r="U2497" s="91"/>
      <c r="V2497" s="91"/>
      <c r="W2497" s="91"/>
      <c r="X2497" s="91"/>
      <c r="Y2497" s="91"/>
      <c r="Z2497" s="91"/>
      <c r="AA2497" s="91"/>
      <c r="AB2497" s="91"/>
      <c r="AC2497" s="91"/>
      <c r="AD2497" s="91"/>
      <c r="AE2497" s="91"/>
      <c r="AF2497" s="91"/>
      <c r="AG2497" s="91"/>
      <c r="AH2497" s="91"/>
      <c r="AI2497" s="91"/>
      <c r="AJ2497" s="91"/>
      <c r="AK2497" s="91"/>
      <c r="AL2497" s="91"/>
      <c r="AM2497" s="91"/>
    </row>
    <row r="2498" spans="1:39" ht="20.25" hidden="1" customHeight="1">
      <c r="A2498" s="91"/>
      <c r="B2498" s="93" t="s">
        <v>7862</v>
      </c>
      <c r="C2498" s="91" t="s">
        <v>36</v>
      </c>
      <c r="D2498" s="107" t="s">
        <v>7866</v>
      </c>
      <c r="E2498" s="107" t="s">
        <v>7867</v>
      </c>
      <c r="F2498" s="91" t="s">
        <v>7868</v>
      </c>
      <c r="G2498" s="96">
        <v>30441</v>
      </c>
      <c r="H2498" s="97">
        <v>18345</v>
      </c>
      <c r="I2498" s="108" t="s">
        <v>12451</v>
      </c>
      <c r="J2498" s="100" t="s">
        <v>7869</v>
      </c>
      <c r="K2498" s="91">
        <v>932553975</v>
      </c>
      <c r="L2498" s="91" t="s">
        <v>151</v>
      </c>
      <c r="M2498" s="98">
        <f ca="1">(TODAY()-H2498)/365</f>
        <v>75.772602739726025</v>
      </c>
      <c r="N2498" s="99">
        <f>(G2498-H2498)/365</f>
        <v>33.139726027397259</v>
      </c>
      <c r="O2498" s="98">
        <f ca="1">(TODAY()-G2498)/365</f>
        <v>42.632876712328766</v>
      </c>
      <c r="P2498" s="91" t="s">
        <v>43</v>
      </c>
      <c r="Q2498" s="91">
        <v>0</v>
      </c>
      <c r="R2498" s="91">
        <v>0</v>
      </c>
      <c r="S2498" s="91">
        <v>0</v>
      </c>
      <c r="T2498" s="91"/>
      <c r="U2498" s="91"/>
      <c r="V2498" s="91"/>
      <c r="W2498" s="91"/>
      <c r="X2498" s="91"/>
      <c r="Y2498" s="91"/>
      <c r="Z2498" s="91"/>
      <c r="AA2498" s="91"/>
      <c r="AB2498" s="91"/>
      <c r="AC2498" s="91"/>
      <c r="AD2498" s="91"/>
      <c r="AE2498" s="91"/>
      <c r="AF2498" s="91"/>
      <c r="AG2498" s="91"/>
      <c r="AH2498" s="91"/>
      <c r="AI2498" s="91"/>
      <c r="AJ2498" s="91"/>
      <c r="AK2498" s="91"/>
      <c r="AL2498" s="91"/>
      <c r="AM2498" s="91"/>
    </row>
    <row r="2499" spans="1:39" ht="20.25" hidden="1" customHeight="1">
      <c r="A2499" s="91"/>
      <c r="B2499" s="93" t="s">
        <v>7862</v>
      </c>
      <c r="C2499" s="91" t="s">
        <v>36</v>
      </c>
      <c r="D2499" s="107" t="s">
        <v>1412</v>
      </c>
      <c r="E2499" s="107" t="s">
        <v>7870</v>
      </c>
      <c r="F2499" s="91" t="s">
        <v>7871</v>
      </c>
      <c r="G2499" s="96">
        <v>42737</v>
      </c>
      <c r="H2499" s="97">
        <v>29399</v>
      </c>
      <c r="I2499" s="108" t="s">
        <v>12452</v>
      </c>
      <c r="J2499" s="100" t="s">
        <v>7872</v>
      </c>
      <c r="K2499" s="91">
        <v>957555583</v>
      </c>
      <c r="L2499" s="91" t="s">
        <v>60</v>
      </c>
      <c r="M2499" s="98">
        <f ca="1">(TODAY()-H2499)/365</f>
        <v>45.487671232876714</v>
      </c>
      <c r="N2499" s="99">
        <f>(G2499-H2499)/365</f>
        <v>36.542465753424658</v>
      </c>
      <c r="O2499" s="98">
        <f ca="1">(TODAY()-G2499)/365</f>
        <v>8.9452054794520546</v>
      </c>
      <c r="P2499" s="91" t="s">
        <v>272</v>
      </c>
      <c r="Q2499" s="91">
        <v>0</v>
      </c>
      <c r="R2499" s="91">
        <v>1</v>
      </c>
      <c r="S2499" s="91">
        <v>1</v>
      </c>
      <c r="T2499" s="91">
        <v>2023</v>
      </c>
      <c r="U2499" s="91"/>
      <c r="V2499" s="91"/>
      <c r="W2499" s="91"/>
      <c r="X2499" s="91"/>
      <c r="Y2499" s="91">
        <v>2023</v>
      </c>
      <c r="Z2499" s="91"/>
      <c r="AA2499" s="91"/>
      <c r="AB2499" s="91"/>
      <c r="AC2499" s="91"/>
      <c r="AD2499" s="91"/>
      <c r="AE2499" s="91"/>
      <c r="AF2499" s="91"/>
      <c r="AG2499" s="91"/>
      <c r="AH2499" s="91"/>
      <c r="AI2499" s="91"/>
      <c r="AJ2499" s="91"/>
      <c r="AK2499" s="91"/>
      <c r="AL2499" s="91"/>
      <c r="AM2499" s="91"/>
    </row>
    <row r="2500" spans="1:39" ht="20.25" hidden="1" customHeight="1">
      <c r="A2500" s="91"/>
      <c r="B2500" s="93" t="s">
        <v>7862</v>
      </c>
      <c r="C2500" s="91" t="s">
        <v>36</v>
      </c>
      <c r="D2500" s="107" t="s">
        <v>7873</v>
      </c>
      <c r="E2500" s="107" t="s">
        <v>7874</v>
      </c>
      <c r="F2500" s="91" t="s">
        <v>7875</v>
      </c>
      <c r="G2500" s="96">
        <v>30382</v>
      </c>
      <c r="H2500" s="97">
        <v>16967</v>
      </c>
      <c r="I2500" s="94" t="s">
        <v>58</v>
      </c>
      <c r="J2500" s="100" t="s">
        <v>7876</v>
      </c>
      <c r="K2500" s="91">
        <v>984603408</v>
      </c>
      <c r="L2500" s="91" t="s">
        <v>60</v>
      </c>
      <c r="M2500" s="98">
        <f ca="1">(TODAY()-H2500)/365</f>
        <v>79.547945205479451</v>
      </c>
      <c r="N2500" s="99">
        <f>(G2500-H2500)/365</f>
        <v>36.753424657534246</v>
      </c>
      <c r="O2500" s="98">
        <f ca="1">(TODAY()-G2500)/365</f>
        <v>42.794520547945204</v>
      </c>
      <c r="P2500" s="91" t="s">
        <v>43</v>
      </c>
      <c r="Q2500" s="91">
        <v>0</v>
      </c>
      <c r="R2500" s="91">
        <v>0</v>
      </c>
      <c r="S2500" s="91">
        <v>0</v>
      </c>
      <c r="T2500" s="91"/>
      <c r="U2500" s="91"/>
      <c r="V2500" s="91"/>
      <c r="W2500" s="91"/>
      <c r="X2500" s="91"/>
      <c r="Y2500" s="91"/>
      <c r="Z2500" s="91"/>
      <c r="AA2500" s="91"/>
      <c r="AB2500" s="91"/>
      <c r="AC2500" s="91"/>
      <c r="AD2500" s="91"/>
      <c r="AE2500" s="91"/>
      <c r="AF2500" s="91"/>
      <c r="AG2500" s="91"/>
      <c r="AH2500" s="91"/>
      <c r="AI2500" s="91"/>
      <c r="AJ2500" s="91"/>
      <c r="AK2500" s="91"/>
      <c r="AL2500" s="91"/>
      <c r="AM2500" s="91"/>
    </row>
    <row r="2501" spans="1:39" ht="20.25" hidden="1" customHeight="1">
      <c r="A2501" s="91"/>
      <c r="B2501" s="93" t="s">
        <v>7862</v>
      </c>
      <c r="C2501" s="91" t="s">
        <v>36</v>
      </c>
      <c r="D2501" s="107" t="s">
        <v>5663</v>
      </c>
      <c r="E2501" s="107" t="s">
        <v>7877</v>
      </c>
      <c r="F2501" s="91" t="s">
        <v>7878</v>
      </c>
      <c r="G2501" s="96">
        <v>29530</v>
      </c>
      <c r="H2501" s="97">
        <v>15754</v>
      </c>
      <c r="I2501" s="108" t="s">
        <v>12453</v>
      </c>
      <c r="J2501" s="100" t="s">
        <v>7879</v>
      </c>
      <c r="K2501" s="91">
        <v>981803978</v>
      </c>
      <c r="L2501" s="91" t="s">
        <v>60</v>
      </c>
      <c r="M2501" s="98">
        <f ca="1">(TODAY()-H2501)/365</f>
        <v>82.871232876712327</v>
      </c>
      <c r="N2501" s="99">
        <f>(G2501-H2501)/365</f>
        <v>37.742465753424661</v>
      </c>
      <c r="O2501" s="98">
        <f ca="1">(TODAY()-G2501)/365</f>
        <v>45.128767123287673</v>
      </c>
      <c r="P2501" s="91" t="s">
        <v>43</v>
      </c>
      <c r="Q2501" s="91">
        <v>0</v>
      </c>
      <c r="R2501" s="91">
        <v>0</v>
      </c>
      <c r="S2501" s="91">
        <v>0</v>
      </c>
      <c r="T2501" s="91"/>
      <c r="U2501" s="91"/>
      <c r="V2501" s="91"/>
      <c r="W2501" s="91"/>
      <c r="X2501" s="91"/>
      <c r="Y2501" s="91"/>
      <c r="Z2501" s="91"/>
      <c r="AA2501" s="91"/>
      <c r="AB2501" s="91"/>
      <c r="AC2501" s="91"/>
      <c r="AD2501" s="91"/>
      <c r="AE2501" s="91"/>
      <c r="AF2501" s="91"/>
      <c r="AG2501" s="91"/>
      <c r="AH2501" s="91"/>
      <c r="AI2501" s="91"/>
      <c r="AJ2501" s="91"/>
      <c r="AK2501" s="91"/>
      <c r="AL2501" s="91"/>
      <c r="AM2501" s="91"/>
    </row>
    <row r="2502" spans="1:39" ht="20.25" hidden="1" customHeight="1">
      <c r="A2502" s="91"/>
      <c r="B2502" s="93" t="s">
        <v>7862</v>
      </c>
      <c r="C2502" s="91" t="s">
        <v>36</v>
      </c>
      <c r="D2502" s="107" t="s">
        <v>295</v>
      </c>
      <c r="E2502" s="107" t="s">
        <v>7880</v>
      </c>
      <c r="F2502" s="91" t="s">
        <v>7881</v>
      </c>
      <c r="G2502" s="96">
        <v>40439</v>
      </c>
      <c r="H2502" s="97">
        <v>21932</v>
      </c>
      <c r="I2502" s="108" t="s">
        <v>12454</v>
      </c>
      <c r="J2502" s="100" t="s">
        <v>7882</v>
      </c>
      <c r="K2502" s="91">
        <v>999823894</v>
      </c>
      <c r="L2502" s="91" t="s">
        <v>216</v>
      </c>
      <c r="M2502" s="98">
        <f ca="1">(TODAY()-H2502)/365</f>
        <v>65.945205479452056</v>
      </c>
      <c r="N2502" s="99">
        <f>(G2502-H2502)/365</f>
        <v>50.704109589041096</v>
      </c>
      <c r="O2502" s="98">
        <f ca="1">(TODAY()-G2502)/365</f>
        <v>15.241095890410959</v>
      </c>
      <c r="P2502" s="91" t="s">
        <v>43</v>
      </c>
      <c r="Q2502" s="91">
        <v>0</v>
      </c>
      <c r="R2502" s="91">
        <v>0</v>
      </c>
      <c r="S2502" s="91">
        <v>0</v>
      </c>
      <c r="T2502" s="91"/>
      <c r="U2502" s="91"/>
      <c r="V2502" s="91"/>
      <c r="W2502" s="91"/>
      <c r="X2502" s="91"/>
      <c r="Y2502" s="91"/>
      <c r="Z2502" s="91"/>
      <c r="AA2502" s="91"/>
      <c r="AB2502" s="91"/>
      <c r="AC2502" s="91"/>
      <c r="AD2502" s="91"/>
      <c r="AE2502" s="91"/>
      <c r="AF2502" s="91"/>
      <c r="AG2502" s="91"/>
      <c r="AH2502" s="91"/>
      <c r="AI2502" s="91"/>
      <c r="AJ2502" s="91"/>
      <c r="AK2502" s="91"/>
      <c r="AL2502" s="91"/>
      <c r="AM2502" s="91"/>
    </row>
    <row r="2503" spans="1:39" ht="20.25" hidden="1" customHeight="1">
      <c r="A2503" s="91"/>
      <c r="B2503" s="93" t="s">
        <v>7862</v>
      </c>
      <c r="C2503" s="91" t="s">
        <v>36</v>
      </c>
      <c r="D2503" s="107" t="s">
        <v>7883</v>
      </c>
      <c r="E2503" s="107" t="s">
        <v>7884</v>
      </c>
      <c r="F2503" s="91" t="s">
        <v>7885</v>
      </c>
      <c r="G2503" s="96">
        <v>40971</v>
      </c>
      <c r="H2503" s="97">
        <v>19927</v>
      </c>
      <c r="I2503" s="108" t="s">
        <v>12455</v>
      </c>
      <c r="J2503" s="100" t="s">
        <v>7886</v>
      </c>
      <c r="K2503" s="91">
        <v>991533984</v>
      </c>
      <c r="L2503" s="91" t="s">
        <v>42</v>
      </c>
      <c r="M2503" s="98">
        <f ca="1">(TODAY()-H2503)/365</f>
        <v>71.438356164383563</v>
      </c>
      <c r="N2503" s="99">
        <f>(G2503-H2503)/365</f>
        <v>57.654794520547945</v>
      </c>
      <c r="O2503" s="98">
        <f ca="1">(TODAY()-G2503)/365</f>
        <v>13.783561643835617</v>
      </c>
      <c r="P2503" s="91" t="s">
        <v>43</v>
      </c>
      <c r="Q2503" s="91">
        <v>0</v>
      </c>
      <c r="R2503" s="91">
        <v>0</v>
      </c>
      <c r="S2503" s="91">
        <v>0</v>
      </c>
      <c r="T2503" s="91"/>
      <c r="U2503" s="91"/>
      <c r="V2503" s="91"/>
      <c r="W2503" s="91"/>
      <c r="X2503" s="91"/>
      <c r="Y2503" s="91"/>
      <c r="Z2503" s="91"/>
      <c r="AA2503" s="91"/>
      <c r="AB2503" s="91"/>
      <c r="AC2503" s="91"/>
      <c r="AD2503" s="91"/>
      <c r="AE2503" s="91"/>
      <c r="AF2503" s="91"/>
      <c r="AG2503" s="91"/>
      <c r="AH2503" s="91"/>
      <c r="AI2503" s="91"/>
      <c r="AJ2503" s="91"/>
      <c r="AK2503" s="91"/>
      <c r="AL2503" s="91"/>
      <c r="AM2503" s="91"/>
    </row>
    <row r="2504" spans="1:39" ht="20.25" hidden="1" customHeight="1">
      <c r="A2504" s="91"/>
      <c r="B2504" s="93" t="s">
        <v>7862</v>
      </c>
      <c r="C2504" s="91" t="s">
        <v>36</v>
      </c>
      <c r="D2504" s="107" t="s">
        <v>331</v>
      </c>
      <c r="E2504" s="107" t="s">
        <v>7887</v>
      </c>
      <c r="F2504" s="91" t="s">
        <v>7888</v>
      </c>
      <c r="G2504" s="96">
        <v>43384</v>
      </c>
      <c r="H2504" s="97">
        <v>21714</v>
      </c>
      <c r="I2504" s="94" t="s">
        <v>58</v>
      </c>
      <c r="J2504" s="100" t="s">
        <v>7889</v>
      </c>
      <c r="K2504" s="91">
        <v>940238548</v>
      </c>
      <c r="L2504" s="91" t="s">
        <v>49</v>
      </c>
      <c r="M2504" s="98">
        <f ca="1">(TODAY()-H2504)/365</f>
        <v>66.542465753424651</v>
      </c>
      <c r="N2504" s="99">
        <f>(G2504-H2504)/365</f>
        <v>59.369863013698627</v>
      </c>
      <c r="O2504" s="98">
        <f ca="1">(TODAY()-G2504)/365</f>
        <v>7.1726027397260275</v>
      </c>
      <c r="P2504" s="91" t="s">
        <v>43</v>
      </c>
      <c r="Q2504" s="91">
        <v>0</v>
      </c>
      <c r="R2504" s="91">
        <v>0</v>
      </c>
      <c r="S2504" s="91">
        <v>0</v>
      </c>
      <c r="T2504" s="91"/>
      <c r="U2504" s="91"/>
      <c r="V2504" s="91"/>
      <c r="W2504" s="91"/>
      <c r="X2504" s="91"/>
      <c r="Y2504" s="91"/>
      <c r="Z2504" s="91"/>
      <c r="AA2504" s="91"/>
      <c r="AB2504" s="91"/>
      <c r="AC2504" s="91"/>
      <c r="AD2504" s="91"/>
      <c r="AE2504" s="91"/>
      <c r="AF2504" s="91"/>
      <c r="AG2504" s="91"/>
      <c r="AH2504" s="91"/>
      <c r="AI2504" s="91"/>
      <c r="AJ2504" s="91"/>
      <c r="AK2504" s="91"/>
      <c r="AL2504" s="91"/>
      <c r="AM2504" s="91"/>
    </row>
    <row r="2505" spans="1:39" ht="20.25" hidden="1" customHeight="1">
      <c r="A2505" s="91"/>
      <c r="B2505" s="93" t="s">
        <v>7862</v>
      </c>
      <c r="C2505" s="91" t="s">
        <v>36</v>
      </c>
      <c r="D2505" s="107" t="s">
        <v>2637</v>
      </c>
      <c r="E2505" s="107" t="s">
        <v>7890</v>
      </c>
      <c r="F2505" s="91" t="s">
        <v>7891</v>
      </c>
      <c r="G2505" s="96">
        <v>43325</v>
      </c>
      <c r="H2505" s="97">
        <v>21556</v>
      </c>
      <c r="I2505" s="108" t="s">
        <v>12456</v>
      </c>
      <c r="J2505" s="100" t="s">
        <v>7892</v>
      </c>
      <c r="K2505" s="91">
        <v>951165749</v>
      </c>
      <c r="L2505" s="91" t="s">
        <v>60</v>
      </c>
      <c r="M2505" s="98">
        <f ca="1">(TODAY()-H2505)/365</f>
        <v>66.975342465753428</v>
      </c>
      <c r="N2505" s="99">
        <f>(G2505-H2505)/365</f>
        <v>59.641095890410959</v>
      </c>
      <c r="O2505" s="98">
        <f ca="1">(TODAY()-G2505)/365</f>
        <v>7.3342465753424655</v>
      </c>
      <c r="P2505" s="91" t="s">
        <v>43</v>
      </c>
      <c r="Q2505" s="91">
        <v>0</v>
      </c>
      <c r="R2505" s="91">
        <v>0</v>
      </c>
      <c r="S2505" s="91">
        <v>0</v>
      </c>
      <c r="T2505" s="91"/>
      <c r="U2505" s="91"/>
      <c r="V2505" s="91"/>
      <c r="W2505" s="91"/>
      <c r="X2505" s="91"/>
      <c r="Y2505" s="91"/>
      <c r="Z2505" s="91"/>
      <c r="AA2505" s="91"/>
      <c r="AB2505" s="91"/>
      <c r="AC2505" s="91"/>
      <c r="AD2505" s="91"/>
      <c r="AE2505" s="91"/>
      <c r="AF2505" s="91"/>
      <c r="AG2505" s="91"/>
      <c r="AH2505" s="91"/>
      <c r="AI2505" s="91"/>
      <c r="AJ2505" s="91"/>
      <c r="AK2505" s="91"/>
      <c r="AL2505" s="91"/>
      <c r="AM2505" s="91"/>
    </row>
    <row r="2506" spans="1:39" ht="20.25" hidden="1" customHeight="1">
      <c r="A2506" s="91"/>
      <c r="B2506" s="93" t="s">
        <v>7862</v>
      </c>
      <c r="C2506" s="91" t="s">
        <v>36</v>
      </c>
      <c r="D2506" s="107" t="s">
        <v>1309</v>
      </c>
      <c r="E2506" s="107" t="s">
        <v>7893</v>
      </c>
      <c r="F2506" s="91" t="s">
        <v>7894</v>
      </c>
      <c r="G2506" s="96">
        <v>44352</v>
      </c>
      <c r="H2506" s="97">
        <v>22505</v>
      </c>
      <c r="I2506" s="94" t="s">
        <v>58</v>
      </c>
      <c r="J2506" s="100" t="s">
        <v>7895</v>
      </c>
      <c r="K2506" s="91">
        <v>998484415</v>
      </c>
      <c r="L2506" s="91" t="s">
        <v>60</v>
      </c>
      <c r="M2506" s="98">
        <f ca="1">(TODAY()-H2506)/365</f>
        <v>64.37534246575342</v>
      </c>
      <c r="N2506" s="99">
        <f>(G2506-H2506)/365</f>
        <v>59.854794520547948</v>
      </c>
      <c r="O2506" s="98">
        <f ca="1">(TODAY()-G2506)/365</f>
        <v>4.5205479452054798</v>
      </c>
      <c r="P2506" s="91" t="s">
        <v>43</v>
      </c>
      <c r="Q2506" s="91">
        <v>0</v>
      </c>
      <c r="R2506" s="91">
        <v>0</v>
      </c>
      <c r="S2506" s="91">
        <v>0</v>
      </c>
      <c r="T2506" s="91"/>
      <c r="U2506" s="91"/>
      <c r="V2506" s="91"/>
      <c r="W2506" s="91"/>
      <c r="X2506" s="91"/>
      <c r="Y2506" s="91"/>
      <c r="Z2506" s="91"/>
      <c r="AA2506" s="91"/>
      <c r="AB2506" s="91"/>
      <c r="AC2506" s="91"/>
      <c r="AD2506" s="91"/>
      <c r="AE2506" s="91"/>
      <c r="AF2506" s="91"/>
      <c r="AG2506" s="91"/>
      <c r="AH2506" s="91"/>
      <c r="AI2506" s="91"/>
      <c r="AJ2506" s="91"/>
      <c r="AK2506" s="91"/>
      <c r="AL2506" s="91"/>
      <c r="AM2506" s="91"/>
    </row>
    <row r="2507" spans="1:39" ht="20.25" hidden="1" customHeight="1">
      <c r="A2507" s="91"/>
      <c r="B2507" s="93" t="s">
        <v>7896</v>
      </c>
      <c r="C2507" s="91" t="s">
        <v>36</v>
      </c>
      <c r="D2507" s="94" t="s">
        <v>588</v>
      </c>
      <c r="E2507" s="94" t="s">
        <v>7897</v>
      </c>
      <c r="F2507" s="95" t="s">
        <v>7898</v>
      </c>
      <c r="G2507" s="96">
        <v>44503</v>
      </c>
      <c r="H2507" s="97">
        <v>37978</v>
      </c>
      <c r="I2507" s="108" t="s">
        <v>12457</v>
      </c>
      <c r="J2507" s="94" t="s">
        <v>7899</v>
      </c>
      <c r="K2507" s="95">
        <v>987233608</v>
      </c>
      <c r="L2507" s="91" t="s">
        <v>60</v>
      </c>
      <c r="M2507" s="98">
        <f ca="1">(TODAY()-H2507)/365</f>
        <v>21.983561643835618</v>
      </c>
      <c r="N2507" s="99">
        <f>(G2507-H2507)/365</f>
        <v>17.876712328767123</v>
      </c>
      <c r="O2507" s="98">
        <f ca="1">(TODAY()-G2507)/365</f>
        <v>4.1068493150684935</v>
      </c>
      <c r="P2507" s="91" t="s">
        <v>43</v>
      </c>
      <c r="Q2507" s="91">
        <v>0</v>
      </c>
      <c r="R2507" s="91">
        <v>0</v>
      </c>
      <c r="S2507" s="91">
        <v>0</v>
      </c>
      <c r="T2507" s="91"/>
      <c r="U2507" s="91"/>
      <c r="V2507" s="91"/>
      <c r="W2507" s="91"/>
      <c r="X2507" s="91"/>
      <c r="Y2507" s="91"/>
      <c r="Z2507" s="91"/>
      <c r="AA2507" s="91"/>
      <c r="AB2507" s="91"/>
      <c r="AC2507" s="91"/>
      <c r="AD2507" s="91"/>
      <c r="AE2507" s="91"/>
      <c r="AF2507" s="91"/>
      <c r="AG2507" s="91"/>
      <c r="AH2507" s="91"/>
      <c r="AI2507" s="91"/>
      <c r="AJ2507" s="91"/>
      <c r="AK2507" s="91"/>
      <c r="AL2507" s="91"/>
      <c r="AM2507" s="91"/>
    </row>
    <row r="2508" spans="1:39" ht="20.25" hidden="1" customHeight="1">
      <c r="A2508" s="91"/>
      <c r="B2508" s="93" t="s">
        <v>7896</v>
      </c>
      <c r="C2508" s="91" t="s">
        <v>36</v>
      </c>
      <c r="D2508" s="94" t="s">
        <v>1286</v>
      </c>
      <c r="E2508" s="94" t="s">
        <v>7900</v>
      </c>
      <c r="F2508" s="95" t="s">
        <v>7901</v>
      </c>
      <c r="G2508" s="96">
        <v>44423</v>
      </c>
      <c r="H2508" s="97">
        <v>36836</v>
      </c>
      <c r="I2508" s="108" t="s">
        <v>12458</v>
      </c>
      <c r="J2508" s="94" t="s">
        <v>7902</v>
      </c>
      <c r="K2508" s="95">
        <v>972109704</v>
      </c>
      <c r="L2508" s="91" t="s">
        <v>60</v>
      </c>
      <c r="M2508" s="98">
        <f ca="1">(TODAY()-H2508)/365</f>
        <v>25.112328767123287</v>
      </c>
      <c r="N2508" s="99">
        <f>(G2508-H2508)/365</f>
        <v>20.786301369863015</v>
      </c>
      <c r="O2508" s="98">
        <f ca="1">(TODAY()-G2508)/365</f>
        <v>4.3260273972602743</v>
      </c>
      <c r="P2508" s="91" t="s">
        <v>43</v>
      </c>
      <c r="Q2508" s="91">
        <v>0</v>
      </c>
      <c r="R2508" s="91">
        <v>0</v>
      </c>
      <c r="S2508" s="91">
        <v>0</v>
      </c>
      <c r="T2508" s="91"/>
      <c r="U2508" s="91"/>
      <c r="V2508" s="91"/>
      <c r="W2508" s="91"/>
      <c r="X2508" s="91"/>
      <c r="Y2508" s="91"/>
      <c r="Z2508" s="91"/>
      <c r="AA2508" s="91"/>
      <c r="AB2508" s="91"/>
      <c r="AC2508" s="91"/>
      <c r="AD2508" s="91"/>
      <c r="AE2508" s="91"/>
      <c r="AF2508" s="91"/>
      <c r="AG2508" s="91"/>
      <c r="AH2508" s="91"/>
      <c r="AI2508" s="91"/>
      <c r="AJ2508" s="91"/>
      <c r="AK2508" s="91"/>
      <c r="AL2508" s="91"/>
      <c r="AM2508" s="91"/>
    </row>
    <row r="2509" spans="1:39" ht="20.25" hidden="1" customHeight="1">
      <c r="A2509" s="91"/>
      <c r="B2509" s="93" t="s">
        <v>7896</v>
      </c>
      <c r="C2509" s="91" t="s">
        <v>36</v>
      </c>
      <c r="D2509" s="94" t="s">
        <v>7903</v>
      </c>
      <c r="E2509" s="94" t="s">
        <v>7904</v>
      </c>
      <c r="F2509" s="95" t="s">
        <v>7905</v>
      </c>
      <c r="G2509" s="96">
        <v>45216</v>
      </c>
      <c r="H2509" s="97">
        <v>36970</v>
      </c>
      <c r="I2509" s="108" t="s">
        <v>12459</v>
      </c>
      <c r="J2509" s="94" t="s">
        <v>7906</v>
      </c>
      <c r="K2509" s="95">
        <v>922337122</v>
      </c>
      <c r="L2509" s="91" t="s">
        <v>60</v>
      </c>
      <c r="M2509" s="98">
        <f ca="1">(TODAY()-H2509)/365</f>
        <v>24.745205479452054</v>
      </c>
      <c r="N2509" s="99">
        <f>(G2509-H2509)/365</f>
        <v>22.591780821917808</v>
      </c>
      <c r="O2509" s="98">
        <f ca="1">(TODAY()-G2509)/365</f>
        <v>2.1534246575342464</v>
      </c>
      <c r="P2509" s="91" t="s">
        <v>43</v>
      </c>
      <c r="Q2509" s="91">
        <v>0</v>
      </c>
      <c r="R2509" s="91">
        <v>0</v>
      </c>
      <c r="S2509" s="91">
        <v>0</v>
      </c>
      <c r="T2509" s="91"/>
      <c r="U2509" s="91"/>
      <c r="V2509" s="91"/>
      <c r="W2509" s="91"/>
      <c r="X2509" s="91"/>
      <c r="Y2509" s="91"/>
      <c r="Z2509" s="91"/>
      <c r="AA2509" s="91"/>
      <c r="AB2509" s="91"/>
      <c r="AC2509" s="91"/>
      <c r="AD2509" s="91"/>
      <c r="AE2509" s="91"/>
      <c r="AF2509" s="91"/>
      <c r="AG2509" s="91"/>
      <c r="AH2509" s="91"/>
      <c r="AI2509" s="91"/>
      <c r="AJ2509" s="91"/>
      <c r="AK2509" s="91"/>
      <c r="AL2509" s="91"/>
      <c r="AM2509" s="91"/>
    </row>
    <row r="2510" spans="1:39" ht="20.25" hidden="1" customHeight="1">
      <c r="A2510" s="91"/>
      <c r="B2510" s="93" t="s">
        <v>7896</v>
      </c>
      <c r="C2510" s="91" t="s">
        <v>36</v>
      </c>
      <c r="D2510" s="94" t="s">
        <v>3944</v>
      </c>
      <c r="E2510" s="94" t="s">
        <v>7907</v>
      </c>
      <c r="F2510" s="95" t="s">
        <v>7908</v>
      </c>
      <c r="G2510" s="96">
        <v>45309</v>
      </c>
      <c r="H2510" s="97">
        <v>36661</v>
      </c>
      <c r="I2510" s="108" t="s">
        <v>12460</v>
      </c>
      <c r="J2510" s="94" t="s">
        <v>7909</v>
      </c>
      <c r="K2510" s="95">
        <v>998610607</v>
      </c>
      <c r="L2510" s="91" t="s">
        <v>60</v>
      </c>
      <c r="M2510" s="98">
        <f ca="1">(TODAY()-H2510)/365</f>
        <v>25.591780821917808</v>
      </c>
      <c r="N2510" s="99">
        <f>(G2510-H2510)/365</f>
        <v>23.693150684931506</v>
      </c>
      <c r="O2510" s="98">
        <f ca="1">(TODAY()-G2510)/365</f>
        <v>1.8986301369863015</v>
      </c>
      <c r="P2510" s="91" t="s">
        <v>43</v>
      </c>
      <c r="Q2510" s="91">
        <v>0</v>
      </c>
      <c r="R2510" s="91">
        <v>0</v>
      </c>
      <c r="S2510" s="91">
        <v>0</v>
      </c>
      <c r="T2510" s="91"/>
      <c r="U2510" s="91"/>
      <c r="V2510" s="91"/>
      <c r="W2510" s="91"/>
      <c r="X2510" s="91"/>
      <c r="Y2510" s="91"/>
      <c r="Z2510" s="91"/>
      <c r="AA2510" s="91"/>
      <c r="AB2510" s="91"/>
      <c r="AC2510" s="91"/>
      <c r="AD2510" s="91"/>
      <c r="AE2510" s="91"/>
      <c r="AF2510" s="91"/>
      <c r="AG2510" s="91"/>
      <c r="AH2510" s="91"/>
      <c r="AI2510" s="91"/>
      <c r="AJ2510" s="91"/>
      <c r="AK2510" s="91"/>
      <c r="AL2510" s="91"/>
      <c r="AM2510" s="91"/>
    </row>
    <row r="2511" spans="1:39" ht="20.25" hidden="1" customHeight="1">
      <c r="A2511" s="91"/>
      <c r="B2511" s="93" t="s">
        <v>7896</v>
      </c>
      <c r="C2511" s="91" t="s">
        <v>36</v>
      </c>
      <c r="D2511" s="94" t="s">
        <v>3971</v>
      </c>
      <c r="E2511" s="94" t="s">
        <v>7910</v>
      </c>
      <c r="F2511" s="95" t="s">
        <v>7911</v>
      </c>
      <c r="G2511" s="96">
        <v>40245</v>
      </c>
      <c r="H2511" s="97">
        <v>29904</v>
      </c>
      <c r="I2511" s="115" t="s">
        <v>7912</v>
      </c>
      <c r="J2511" s="94" t="s">
        <v>7913</v>
      </c>
      <c r="K2511" s="95">
        <v>966425091</v>
      </c>
      <c r="L2511" s="91" t="s">
        <v>42</v>
      </c>
      <c r="M2511" s="98">
        <f ca="1">(TODAY()-H2511)/365</f>
        <v>44.104109589041094</v>
      </c>
      <c r="N2511" s="99">
        <f>(G2511-H2511)/365</f>
        <v>28.331506849315069</v>
      </c>
      <c r="O2511" s="98">
        <f ca="1">(TODAY()-G2511)/365</f>
        <v>15.772602739726027</v>
      </c>
      <c r="P2511" s="91" t="s">
        <v>272</v>
      </c>
      <c r="Q2511" s="91">
        <v>0</v>
      </c>
      <c r="R2511" s="91">
        <v>0</v>
      </c>
      <c r="S2511" s="91">
        <v>0</v>
      </c>
      <c r="T2511" s="91"/>
      <c r="U2511" s="91"/>
      <c r="V2511" s="91"/>
      <c r="W2511" s="91"/>
      <c r="X2511" s="91"/>
      <c r="Y2511" s="91"/>
      <c r="Z2511" s="91"/>
      <c r="AA2511" s="91"/>
      <c r="AB2511" s="91"/>
      <c r="AC2511" s="91"/>
      <c r="AD2511" s="91"/>
      <c r="AE2511" s="91"/>
      <c r="AF2511" s="91"/>
      <c r="AG2511" s="91"/>
      <c r="AH2511" s="91"/>
      <c r="AI2511" s="91"/>
      <c r="AJ2511" s="91"/>
      <c r="AK2511" s="91"/>
      <c r="AL2511" s="91"/>
      <c r="AM2511" s="91"/>
    </row>
    <row r="2512" spans="1:39" ht="20.25" hidden="1" customHeight="1">
      <c r="A2512" s="91"/>
      <c r="B2512" s="93" t="s">
        <v>7896</v>
      </c>
      <c r="C2512" s="91" t="s">
        <v>36</v>
      </c>
      <c r="D2512" s="94" t="s">
        <v>7914</v>
      </c>
      <c r="E2512" s="94" t="s">
        <v>693</v>
      </c>
      <c r="F2512" s="95" t="s">
        <v>7915</v>
      </c>
      <c r="G2512" s="96">
        <v>43356</v>
      </c>
      <c r="H2512" s="97">
        <v>32851</v>
      </c>
      <c r="I2512" s="115" t="s">
        <v>7916</v>
      </c>
      <c r="J2512" s="94" t="s">
        <v>7917</v>
      </c>
      <c r="K2512" s="95">
        <v>958210245</v>
      </c>
      <c r="L2512" s="91" t="s">
        <v>49</v>
      </c>
      <c r="M2512" s="98">
        <f ca="1">(TODAY()-H2512)/365</f>
        <v>36.030136986301372</v>
      </c>
      <c r="N2512" s="99">
        <f>(G2512-H2512)/365</f>
        <v>28.780821917808218</v>
      </c>
      <c r="O2512" s="98">
        <f ca="1">(TODAY()-G2512)/365</f>
        <v>7.2493150684931509</v>
      </c>
      <c r="P2512" s="91" t="s">
        <v>272</v>
      </c>
      <c r="Q2512" s="91">
        <v>0</v>
      </c>
      <c r="R2512" s="91">
        <v>0</v>
      </c>
      <c r="S2512" s="91">
        <v>0</v>
      </c>
      <c r="T2512" s="91"/>
      <c r="U2512" s="91"/>
      <c r="V2512" s="91"/>
      <c r="W2512" s="91"/>
      <c r="X2512" s="91"/>
      <c r="Y2512" s="91"/>
      <c r="Z2512" s="91"/>
      <c r="AA2512" s="91"/>
      <c r="AB2512" s="91"/>
      <c r="AC2512" s="91"/>
      <c r="AD2512" s="91"/>
      <c r="AE2512" s="91"/>
      <c r="AF2512" s="91"/>
      <c r="AG2512" s="91"/>
      <c r="AH2512" s="91"/>
      <c r="AI2512" s="91"/>
      <c r="AJ2512" s="91"/>
      <c r="AK2512" s="91"/>
      <c r="AL2512" s="91"/>
      <c r="AM2512" s="91"/>
    </row>
    <row r="2513" spans="1:39" ht="20.25" hidden="1" customHeight="1">
      <c r="A2513" s="91"/>
      <c r="B2513" s="93" t="s">
        <v>7896</v>
      </c>
      <c r="C2513" s="91" t="s">
        <v>36</v>
      </c>
      <c r="D2513" s="94" t="s">
        <v>2812</v>
      </c>
      <c r="E2513" s="94" t="s">
        <v>3247</v>
      </c>
      <c r="F2513" s="95" t="s">
        <v>7918</v>
      </c>
      <c r="G2513" s="96">
        <v>40126</v>
      </c>
      <c r="H2513" s="97">
        <v>29609</v>
      </c>
      <c r="I2513" s="108" t="s">
        <v>12461</v>
      </c>
      <c r="J2513" s="94" t="s">
        <v>7902</v>
      </c>
      <c r="K2513" s="95">
        <v>987793609</v>
      </c>
      <c r="L2513" s="91" t="s">
        <v>121</v>
      </c>
      <c r="M2513" s="98">
        <f ca="1">(TODAY()-H2513)/365</f>
        <v>44.912328767123284</v>
      </c>
      <c r="N2513" s="99">
        <f>(G2513-H2513)/365</f>
        <v>28.813698630136987</v>
      </c>
      <c r="O2513" s="98">
        <f ca="1">(TODAY()-G2513)/365</f>
        <v>16.098630136986301</v>
      </c>
      <c r="P2513" s="91" t="s">
        <v>43</v>
      </c>
      <c r="Q2513" s="91">
        <v>0</v>
      </c>
      <c r="R2513" s="91">
        <v>0</v>
      </c>
      <c r="S2513" s="91">
        <v>0</v>
      </c>
      <c r="T2513" s="91"/>
      <c r="U2513" s="91"/>
      <c r="V2513" s="91"/>
      <c r="W2513" s="91"/>
      <c r="X2513" s="91"/>
      <c r="Y2513" s="91"/>
      <c r="Z2513" s="91"/>
      <c r="AA2513" s="91"/>
      <c r="AB2513" s="91"/>
      <c r="AC2513" s="91"/>
      <c r="AD2513" s="91"/>
      <c r="AE2513" s="91"/>
      <c r="AF2513" s="91"/>
      <c r="AG2513" s="91"/>
      <c r="AH2513" s="91"/>
      <c r="AI2513" s="91"/>
      <c r="AJ2513" s="91"/>
      <c r="AK2513" s="91"/>
      <c r="AL2513" s="91"/>
      <c r="AM2513" s="91"/>
    </row>
    <row r="2514" spans="1:39" ht="20.25" hidden="1" customHeight="1">
      <c r="A2514" s="91"/>
      <c r="B2514" s="93" t="s">
        <v>7896</v>
      </c>
      <c r="C2514" s="91" t="s">
        <v>36</v>
      </c>
      <c r="D2514" s="94" t="s">
        <v>7919</v>
      </c>
      <c r="E2514" s="94" t="s">
        <v>7920</v>
      </c>
      <c r="F2514" s="95" t="s">
        <v>7921</v>
      </c>
      <c r="G2514" s="96">
        <v>42795</v>
      </c>
      <c r="H2514" s="97">
        <v>30809</v>
      </c>
      <c r="I2514" s="102" t="s">
        <v>7922</v>
      </c>
      <c r="J2514" s="94" t="s">
        <v>7923</v>
      </c>
      <c r="K2514" s="95">
        <v>966054319</v>
      </c>
      <c r="L2514" s="91" t="s">
        <v>60</v>
      </c>
      <c r="M2514" s="98">
        <f ca="1">(TODAY()-H2514)/365</f>
        <v>41.624657534246573</v>
      </c>
      <c r="N2514" s="99">
        <f>(G2514-H2514)/365</f>
        <v>32.838356164383562</v>
      </c>
      <c r="O2514" s="98">
        <f ca="1">(TODAY()-G2514)/365</f>
        <v>8.786301369863013</v>
      </c>
      <c r="P2514" s="91" t="s">
        <v>272</v>
      </c>
      <c r="Q2514" s="91">
        <v>0</v>
      </c>
      <c r="R2514" s="91">
        <v>0</v>
      </c>
      <c r="S2514" s="91">
        <v>0</v>
      </c>
      <c r="T2514" s="91"/>
      <c r="U2514" s="91"/>
      <c r="V2514" s="91"/>
      <c r="W2514" s="91"/>
      <c r="X2514" s="91"/>
      <c r="Y2514" s="91"/>
      <c r="Z2514" s="91"/>
      <c r="AA2514" s="91"/>
      <c r="AB2514" s="91"/>
      <c r="AC2514" s="91"/>
      <c r="AD2514" s="91"/>
      <c r="AE2514" s="91"/>
      <c r="AF2514" s="91"/>
      <c r="AG2514" s="91"/>
      <c r="AH2514" s="91"/>
      <c r="AI2514" s="91"/>
      <c r="AJ2514" s="91"/>
      <c r="AK2514" s="91"/>
      <c r="AL2514" s="91"/>
      <c r="AM2514" s="91"/>
    </row>
    <row r="2515" spans="1:39" ht="20.25" hidden="1" customHeight="1">
      <c r="A2515" s="91"/>
      <c r="B2515" s="93" t="s">
        <v>7896</v>
      </c>
      <c r="C2515" s="91" t="s">
        <v>36</v>
      </c>
      <c r="D2515" s="94" t="s">
        <v>7924</v>
      </c>
      <c r="E2515" s="94" t="s">
        <v>4442</v>
      </c>
      <c r="F2515" s="95" t="s">
        <v>7925</v>
      </c>
      <c r="G2515" s="96">
        <v>43202</v>
      </c>
      <c r="H2515" s="97">
        <v>30530</v>
      </c>
      <c r="I2515" s="108" t="s">
        <v>12462</v>
      </c>
      <c r="J2515" s="94" t="s">
        <v>7926</v>
      </c>
      <c r="K2515" s="95">
        <v>936984501</v>
      </c>
      <c r="L2515" s="91" t="s">
        <v>60</v>
      </c>
      <c r="M2515" s="98">
        <f ca="1">(TODAY()-H2515)/365</f>
        <v>42.389041095890413</v>
      </c>
      <c r="N2515" s="99">
        <f>(G2515-H2515)/365</f>
        <v>34.717808219178082</v>
      </c>
      <c r="O2515" s="98">
        <f ca="1">(TODAY()-G2515)/365</f>
        <v>7.6712328767123283</v>
      </c>
      <c r="P2515" s="91" t="s">
        <v>43</v>
      </c>
      <c r="Q2515" s="91">
        <v>0</v>
      </c>
      <c r="R2515" s="91">
        <v>0</v>
      </c>
      <c r="S2515" s="91">
        <v>0</v>
      </c>
      <c r="T2515" s="91"/>
      <c r="U2515" s="91"/>
      <c r="V2515" s="91"/>
      <c r="W2515" s="91"/>
      <c r="X2515" s="91"/>
      <c r="Y2515" s="91"/>
      <c r="Z2515" s="91"/>
      <c r="AA2515" s="91"/>
      <c r="AB2515" s="91"/>
      <c r="AC2515" s="91"/>
      <c r="AD2515" s="91"/>
      <c r="AE2515" s="91"/>
      <c r="AF2515" s="91"/>
      <c r="AG2515" s="91"/>
      <c r="AH2515" s="91"/>
      <c r="AI2515" s="91"/>
      <c r="AJ2515" s="91"/>
      <c r="AK2515" s="91"/>
      <c r="AL2515" s="91"/>
      <c r="AM2515" s="91"/>
    </row>
    <row r="2516" spans="1:39" ht="20.25" hidden="1" customHeight="1">
      <c r="A2516" s="91"/>
      <c r="B2516" s="93" t="s">
        <v>7896</v>
      </c>
      <c r="C2516" s="91" t="s">
        <v>36</v>
      </c>
      <c r="D2516" s="94" t="s">
        <v>7927</v>
      </c>
      <c r="E2516" s="94" t="s">
        <v>7928</v>
      </c>
      <c r="F2516" s="95" t="s">
        <v>7929</v>
      </c>
      <c r="G2516" s="96">
        <v>42259</v>
      </c>
      <c r="H2516" s="97">
        <v>26652</v>
      </c>
      <c r="I2516" s="94" t="s">
        <v>7930</v>
      </c>
      <c r="J2516" s="94" t="s">
        <v>7931</v>
      </c>
      <c r="K2516" s="95">
        <v>993907586</v>
      </c>
      <c r="L2516" s="91" t="s">
        <v>66</v>
      </c>
      <c r="M2516" s="98">
        <f ca="1">(TODAY()-H2516)/365</f>
        <v>53.013698630136986</v>
      </c>
      <c r="N2516" s="99">
        <f>(G2516-H2516)/365</f>
        <v>42.758904109589039</v>
      </c>
      <c r="O2516" s="98">
        <f ca="1">(TODAY()-G2516)/365</f>
        <v>10.254794520547945</v>
      </c>
      <c r="P2516" s="91" t="s">
        <v>43</v>
      </c>
      <c r="Q2516" s="91">
        <v>0</v>
      </c>
      <c r="R2516" s="91">
        <v>0</v>
      </c>
      <c r="S2516" s="91">
        <v>0</v>
      </c>
      <c r="T2516" s="91"/>
      <c r="U2516" s="91"/>
      <c r="V2516" s="91"/>
      <c r="W2516" s="91"/>
      <c r="X2516" s="91"/>
      <c r="Y2516" s="91"/>
      <c r="Z2516" s="91"/>
      <c r="AA2516" s="91"/>
      <c r="AB2516" s="91"/>
      <c r="AC2516" s="91"/>
      <c r="AD2516" s="91"/>
      <c r="AE2516" s="91"/>
      <c r="AF2516" s="91"/>
      <c r="AG2516" s="91"/>
      <c r="AH2516" s="91"/>
      <c r="AI2516" s="91"/>
      <c r="AJ2516" s="91"/>
      <c r="AK2516" s="91"/>
      <c r="AL2516" s="91"/>
      <c r="AM2516" s="91"/>
    </row>
    <row r="2517" spans="1:39" ht="20.25" hidden="1" customHeight="1">
      <c r="A2517" s="91"/>
      <c r="B2517" s="93" t="s">
        <v>7896</v>
      </c>
      <c r="C2517" s="91" t="s">
        <v>36</v>
      </c>
      <c r="D2517" s="94" t="s">
        <v>249</v>
      </c>
      <c r="E2517" s="94" t="s">
        <v>7932</v>
      </c>
      <c r="F2517" s="95" t="s">
        <v>7933</v>
      </c>
      <c r="G2517" s="96">
        <v>43020</v>
      </c>
      <c r="H2517" s="97">
        <v>27166</v>
      </c>
      <c r="I2517" s="108" t="s">
        <v>12463</v>
      </c>
      <c r="J2517" s="94" t="s">
        <v>7934</v>
      </c>
      <c r="K2517" s="95">
        <v>987788283</v>
      </c>
      <c r="L2517" s="91" t="s">
        <v>216</v>
      </c>
      <c r="M2517" s="98">
        <f ca="1">(TODAY()-H2517)/365</f>
        <v>51.605479452054794</v>
      </c>
      <c r="N2517" s="99">
        <f>(G2517-H2517)/365</f>
        <v>43.435616438356163</v>
      </c>
      <c r="O2517" s="98">
        <f ca="1">(TODAY()-G2517)/365</f>
        <v>8.169863013698631</v>
      </c>
      <c r="P2517" s="91" t="s">
        <v>272</v>
      </c>
      <c r="Q2517" s="91">
        <v>0</v>
      </c>
      <c r="R2517" s="91">
        <v>0</v>
      </c>
      <c r="S2517" s="91">
        <v>0</v>
      </c>
      <c r="T2517" s="91"/>
      <c r="U2517" s="91"/>
      <c r="V2517" s="91"/>
      <c r="W2517" s="91"/>
      <c r="X2517" s="91"/>
      <c r="Y2517" s="91"/>
      <c r="Z2517" s="91"/>
      <c r="AA2517" s="91"/>
      <c r="AB2517" s="91"/>
      <c r="AC2517" s="91"/>
      <c r="AD2517" s="91"/>
      <c r="AE2517" s="91"/>
      <c r="AF2517" s="91"/>
      <c r="AG2517" s="91"/>
      <c r="AH2517" s="91"/>
      <c r="AI2517" s="91"/>
      <c r="AJ2517" s="91"/>
      <c r="AK2517" s="91"/>
      <c r="AL2517" s="91"/>
      <c r="AM2517" s="91"/>
    </row>
    <row r="2518" spans="1:39" ht="20.25" hidden="1" customHeight="1">
      <c r="A2518" s="91"/>
      <c r="B2518" s="93" t="s">
        <v>7896</v>
      </c>
      <c r="C2518" s="91" t="s">
        <v>36</v>
      </c>
      <c r="D2518" s="94" t="s">
        <v>1349</v>
      </c>
      <c r="E2518" s="94" t="s">
        <v>7935</v>
      </c>
      <c r="F2518" s="95" t="s">
        <v>7936</v>
      </c>
      <c r="G2518" s="96">
        <v>41831</v>
      </c>
      <c r="H2518" s="97">
        <v>25817</v>
      </c>
      <c r="I2518" s="102" t="s">
        <v>7937</v>
      </c>
      <c r="J2518" s="94" t="s">
        <v>7938</v>
      </c>
      <c r="K2518" s="95">
        <v>99734432</v>
      </c>
      <c r="L2518" s="91" t="s">
        <v>60</v>
      </c>
      <c r="M2518" s="98">
        <f ca="1">(TODAY()-H2518)/365</f>
        <v>55.301369863013697</v>
      </c>
      <c r="N2518" s="99">
        <f>(G2518-H2518)/365</f>
        <v>43.873972602739727</v>
      </c>
      <c r="O2518" s="98">
        <f ca="1">(TODAY()-G2518)/365</f>
        <v>11.427397260273972</v>
      </c>
      <c r="P2518" s="91" t="s">
        <v>272</v>
      </c>
      <c r="Q2518" s="91">
        <v>0</v>
      </c>
      <c r="R2518" s="91">
        <v>0</v>
      </c>
      <c r="S2518" s="91">
        <v>0</v>
      </c>
      <c r="T2518" s="91"/>
      <c r="U2518" s="91"/>
      <c r="V2518" s="91"/>
      <c r="W2518" s="91"/>
      <c r="X2518" s="91"/>
      <c r="Y2518" s="91"/>
      <c r="Z2518" s="91"/>
      <c r="AA2518" s="91"/>
      <c r="AB2518" s="91"/>
      <c r="AC2518" s="91"/>
      <c r="AD2518" s="91"/>
      <c r="AE2518" s="91"/>
      <c r="AF2518" s="91"/>
      <c r="AG2518" s="91"/>
      <c r="AH2518" s="91"/>
      <c r="AI2518" s="91"/>
      <c r="AJ2518" s="91"/>
      <c r="AK2518" s="91"/>
      <c r="AL2518" s="91"/>
      <c r="AM2518" s="91"/>
    </row>
    <row r="2519" spans="1:39" ht="20.25" hidden="1" customHeight="1">
      <c r="A2519" s="91"/>
      <c r="B2519" s="93" t="s">
        <v>7896</v>
      </c>
      <c r="C2519" s="91" t="s">
        <v>36</v>
      </c>
      <c r="D2519" s="94" t="s">
        <v>7939</v>
      </c>
      <c r="E2519" s="94" t="s">
        <v>7940</v>
      </c>
      <c r="F2519" s="95" t="s">
        <v>7941</v>
      </c>
      <c r="G2519" s="96">
        <v>43431</v>
      </c>
      <c r="H2519" s="97">
        <v>26148</v>
      </c>
      <c r="I2519" s="108" t="s">
        <v>12464</v>
      </c>
      <c r="J2519" s="94" t="s">
        <v>7942</v>
      </c>
      <c r="K2519" s="95">
        <v>982384010</v>
      </c>
      <c r="L2519" s="91" t="s">
        <v>54</v>
      </c>
      <c r="M2519" s="98">
        <f ca="1">(TODAY()-H2519)/365</f>
        <v>54.394520547945206</v>
      </c>
      <c r="N2519" s="99">
        <f>(G2519-H2519)/365</f>
        <v>47.350684931506848</v>
      </c>
      <c r="O2519" s="98">
        <f ca="1">(TODAY()-G2519)/365</f>
        <v>7.043835616438356</v>
      </c>
      <c r="P2519" s="91" t="s">
        <v>43</v>
      </c>
      <c r="Q2519" s="91">
        <v>0</v>
      </c>
      <c r="R2519" s="91">
        <v>0</v>
      </c>
      <c r="S2519" s="91">
        <v>0</v>
      </c>
      <c r="T2519" s="91"/>
      <c r="U2519" s="91"/>
      <c r="V2519" s="91"/>
      <c r="W2519" s="91"/>
      <c r="X2519" s="91"/>
      <c r="Y2519" s="91"/>
      <c r="Z2519" s="91"/>
      <c r="AA2519" s="91"/>
      <c r="AB2519" s="91"/>
      <c r="AC2519" s="91"/>
      <c r="AD2519" s="91"/>
      <c r="AE2519" s="91"/>
      <c r="AF2519" s="91"/>
      <c r="AG2519" s="91"/>
      <c r="AH2519" s="91"/>
      <c r="AI2519" s="91"/>
      <c r="AJ2519" s="91"/>
      <c r="AK2519" s="91"/>
      <c r="AL2519" s="91"/>
      <c r="AM2519" s="91"/>
    </row>
    <row r="2520" spans="1:39" ht="20.25" hidden="1" customHeight="1">
      <c r="A2520" s="91"/>
      <c r="B2520" s="93" t="s">
        <v>7896</v>
      </c>
      <c r="C2520" s="91" t="s">
        <v>36</v>
      </c>
      <c r="D2520" s="94" t="s">
        <v>7943</v>
      </c>
      <c r="E2520" s="94" t="s">
        <v>7944</v>
      </c>
      <c r="F2520" s="95" t="s">
        <v>7945</v>
      </c>
      <c r="G2520" s="96">
        <v>37932</v>
      </c>
      <c r="H2520" s="97">
        <v>17332</v>
      </c>
      <c r="I2520" s="108" t="s">
        <v>12465</v>
      </c>
      <c r="J2520" s="94" t="s">
        <v>7946</v>
      </c>
      <c r="K2520" s="95">
        <v>932176958</v>
      </c>
      <c r="L2520" s="91" t="s">
        <v>151</v>
      </c>
      <c r="M2520" s="98">
        <f ca="1">(TODAY()-H2520)/365</f>
        <v>78.547945205479451</v>
      </c>
      <c r="N2520" s="99">
        <f>(G2520-H2520)/365</f>
        <v>56.438356164383563</v>
      </c>
      <c r="O2520" s="98">
        <f ca="1">(TODAY()-G2520)/365</f>
        <v>22.109589041095891</v>
      </c>
      <c r="P2520" s="91" t="s">
        <v>43</v>
      </c>
      <c r="Q2520" s="91">
        <v>0</v>
      </c>
      <c r="R2520" s="91">
        <v>0</v>
      </c>
      <c r="S2520" s="91">
        <v>0</v>
      </c>
      <c r="T2520" s="91"/>
      <c r="U2520" s="91"/>
      <c r="V2520" s="91"/>
      <c r="W2520" s="91"/>
      <c r="X2520" s="91"/>
      <c r="Y2520" s="91"/>
      <c r="Z2520" s="91"/>
      <c r="AA2520" s="91"/>
      <c r="AB2520" s="91"/>
      <c r="AC2520" s="91"/>
      <c r="AD2520" s="91"/>
      <c r="AE2520" s="91"/>
      <c r="AF2520" s="91"/>
      <c r="AG2520" s="91"/>
      <c r="AH2520" s="91"/>
      <c r="AI2520" s="91"/>
      <c r="AJ2520" s="91"/>
      <c r="AK2520" s="91"/>
      <c r="AL2520" s="91"/>
      <c r="AM2520" s="91"/>
    </row>
    <row r="2521" spans="1:39" ht="20.25" hidden="1" customHeight="1">
      <c r="A2521" s="91"/>
      <c r="B2521" s="93" t="s">
        <v>7896</v>
      </c>
      <c r="C2521" s="91" t="s">
        <v>36</v>
      </c>
      <c r="D2521" s="94" t="s">
        <v>367</v>
      </c>
      <c r="E2521" s="94" t="s">
        <v>7947</v>
      </c>
      <c r="F2521" s="95" t="s">
        <v>7948</v>
      </c>
      <c r="G2521" s="96">
        <v>43363</v>
      </c>
      <c r="H2521" s="97">
        <v>20792</v>
      </c>
      <c r="I2521" s="108" t="s">
        <v>12466</v>
      </c>
      <c r="J2521" s="94" t="s">
        <v>7949</v>
      </c>
      <c r="K2521" s="95">
        <v>981330916</v>
      </c>
      <c r="L2521" s="91" t="s">
        <v>60</v>
      </c>
      <c r="M2521" s="98">
        <f ca="1">(TODAY()-H2521)/365</f>
        <v>69.06849315068493</v>
      </c>
      <c r="N2521" s="99">
        <f>(G2521-H2521)/365</f>
        <v>61.838356164383562</v>
      </c>
      <c r="O2521" s="98">
        <f ca="1">(TODAY()-G2521)/365</f>
        <v>7.2301369863013702</v>
      </c>
      <c r="P2521" s="91" t="s">
        <v>43</v>
      </c>
      <c r="Q2521" s="91">
        <v>0</v>
      </c>
      <c r="R2521" s="91">
        <v>0</v>
      </c>
      <c r="S2521" s="91">
        <v>0</v>
      </c>
      <c r="T2521" s="91"/>
      <c r="U2521" s="91"/>
      <c r="V2521" s="91"/>
      <c r="W2521" s="91"/>
      <c r="X2521" s="91"/>
      <c r="Y2521" s="91"/>
      <c r="Z2521" s="91"/>
      <c r="AA2521" s="91"/>
      <c r="AB2521" s="91"/>
      <c r="AC2521" s="91"/>
      <c r="AD2521" s="91"/>
      <c r="AE2521" s="91"/>
      <c r="AF2521" s="91"/>
      <c r="AG2521" s="91"/>
      <c r="AH2521" s="91"/>
      <c r="AI2521" s="91"/>
      <c r="AJ2521" s="91"/>
      <c r="AK2521" s="91"/>
      <c r="AL2521" s="91"/>
      <c r="AM2521" s="91"/>
    </row>
    <row r="2522" spans="1:39" ht="20.25" hidden="1" customHeight="1">
      <c r="A2522" s="91"/>
      <c r="B2522" s="93" t="s">
        <v>7896</v>
      </c>
      <c r="C2522" s="91" t="s">
        <v>36</v>
      </c>
      <c r="D2522" s="94" t="s">
        <v>5673</v>
      </c>
      <c r="E2522" s="94" t="s">
        <v>4708</v>
      </c>
      <c r="F2522" s="95" t="s">
        <v>7950</v>
      </c>
      <c r="G2522" s="96">
        <v>43421</v>
      </c>
      <c r="H2522" s="97">
        <v>19681</v>
      </c>
      <c r="I2522" s="108" t="s">
        <v>12467</v>
      </c>
      <c r="J2522" s="94" t="s">
        <v>7951</v>
      </c>
      <c r="K2522" s="95">
        <v>972812360</v>
      </c>
      <c r="L2522" s="91" t="s">
        <v>60</v>
      </c>
      <c r="M2522" s="98">
        <f ca="1">(TODAY()-H2522)/365</f>
        <v>72.112328767123287</v>
      </c>
      <c r="N2522" s="99">
        <f>(G2522-H2522)/365</f>
        <v>65.041095890410958</v>
      </c>
      <c r="O2522" s="98">
        <f ca="1">(TODAY()-G2522)/365</f>
        <v>7.0712328767123287</v>
      </c>
      <c r="P2522" s="91" t="s">
        <v>272</v>
      </c>
      <c r="Q2522" s="91">
        <v>0</v>
      </c>
      <c r="R2522" s="91">
        <v>0</v>
      </c>
      <c r="S2522" s="91">
        <v>0</v>
      </c>
      <c r="T2522" s="91"/>
      <c r="U2522" s="91"/>
      <c r="V2522" s="91"/>
      <c r="W2522" s="91"/>
      <c r="X2522" s="91"/>
      <c r="Y2522" s="91"/>
      <c r="Z2522" s="91"/>
      <c r="AA2522" s="91"/>
      <c r="AB2522" s="91"/>
      <c r="AC2522" s="91"/>
      <c r="AD2522" s="91"/>
      <c r="AE2522" s="91"/>
      <c r="AF2522" s="91"/>
      <c r="AG2522" s="91"/>
      <c r="AH2522" s="91"/>
      <c r="AI2522" s="91"/>
      <c r="AJ2522" s="91"/>
      <c r="AK2522" s="91"/>
      <c r="AL2522" s="91"/>
      <c r="AM2522" s="91"/>
    </row>
    <row r="2523" spans="1:39" ht="20.25" hidden="1" customHeight="1">
      <c r="A2523" s="91"/>
      <c r="B2523" s="93" t="s">
        <v>7896</v>
      </c>
      <c r="C2523" s="91" t="s">
        <v>36</v>
      </c>
      <c r="D2523" s="94" t="s">
        <v>7952</v>
      </c>
      <c r="E2523" s="94" t="s">
        <v>7953</v>
      </c>
      <c r="F2523" s="95" t="s">
        <v>7954</v>
      </c>
      <c r="G2523" s="96">
        <v>45390</v>
      </c>
      <c r="H2523" s="97">
        <v>20463</v>
      </c>
      <c r="I2523" s="94" t="s">
        <v>7955</v>
      </c>
      <c r="J2523" s="94" t="s">
        <v>7956</v>
      </c>
      <c r="K2523" s="95">
        <v>950852469</v>
      </c>
      <c r="L2523" s="91" t="s">
        <v>197</v>
      </c>
      <c r="M2523" s="98">
        <f ca="1">(TODAY()-H2523)/365</f>
        <v>69.969863013698628</v>
      </c>
      <c r="N2523" s="99">
        <f>(G2523-H2523)/365</f>
        <v>68.293150684931504</v>
      </c>
      <c r="O2523" s="98">
        <f ca="1">(TODAY()-G2523)/365</f>
        <v>1.6767123287671233</v>
      </c>
      <c r="P2523" s="91" t="s">
        <v>272</v>
      </c>
      <c r="Q2523" s="91">
        <v>0</v>
      </c>
      <c r="R2523" s="91">
        <v>0</v>
      </c>
      <c r="S2523" s="91">
        <v>0</v>
      </c>
      <c r="T2523" s="91"/>
      <c r="U2523" s="91"/>
      <c r="V2523" s="91"/>
      <c r="W2523" s="91"/>
      <c r="X2523" s="91"/>
      <c r="Y2523" s="91"/>
      <c r="Z2523" s="91"/>
      <c r="AA2523" s="91"/>
      <c r="AB2523" s="91"/>
      <c r="AC2523" s="91"/>
      <c r="AD2523" s="91"/>
      <c r="AE2523" s="91"/>
      <c r="AF2523" s="91"/>
      <c r="AG2523" s="91"/>
      <c r="AH2523" s="91"/>
      <c r="AI2523" s="91"/>
      <c r="AJ2523" s="91"/>
      <c r="AK2523" s="91"/>
      <c r="AL2523" s="91"/>
      <c r="AM2523" s="91"/>
    </row>
    <row r="2524" spans="1:39" ht="20.25" hidden="1" customHeight="1">
      <c r="A2524" s="91"/>
      <c r="B2524" s="93" t="s">
        <v>7896</v>
      </c>
      <c r="C2524" s="91" t="s">
        <v>36</v>
      </c>
      <c r="D2524" s="94" t="s">
        <v>7957</v>
      </c>
      <c r="E2524" s="94" t="s">
        <v>5023</v>
      </c>
      <c r="F2524" s="95" t="s">
        <v>7958</v>
      </c>
      <c r="G2524" s="96">
        <v>45293</v>
      </c>
      <c r="H2524" s="97">
        <v>37260</v>
      </c>
      <c r="I2524" s="115" t="s">
        <v>7959</v>
      </c>
      <c r="J2524" s="94" t="s">
        <v>7960</v>
      </c>
      <c r="K2524" s="95">
        <v>962032446</v>
      </c>
      <c r="L2524" s="91" t="s">
        <v>60</v>
      </c>
      <c r="M2524" s="98">
        <f ca="1">(TODAY()-H2524)/365</f>
        <v>23.950684931506849</v>
      </c>
      <c r="N2524" s="99">
        <f>(G2524-H2524)/365</f>
        <v>22.008219178082193</v>
      </c>
      <c r="O2524" s="98">
        <f ca="1">(TODAY()-G2524)/365</f>
        <v>1.9424657534246574</v>
      </c>
      <c r="P2524" s="91" t="s">
        <v>43</v>
      </c>
      <c r="Q2524" s="91">
        <v>0</v>
      </c>
      <c r="R2524" s="91">
        <v>0</v>
      </c>
      <c r="S2524" s="91">
        <v>0</v>
      </c>
      <c r="T2524" s="91"/>
      <c r="U2524" s="91"/>
      <c r="V2524" s="91"/>
      <c r="W2524" s="91"/>
      <c r="X2524" s="91"/>
      <c r="Y2524" s="91"/>
      <c r="Z2524" s="91"/>
      <c r="AA2524" s="91"/>
      <c r="AB2524" s="91"/>
      <c r="AC2524" s="91"/>
      <c r="AD2524" s="91"/>
      <c r="AE2524" s="91"/>
      <c r="AF2524" s="91"/>
      <c r="AG2524" s="91"/>
      <c r="AH2524" s="91"/>
      <c r="AI2524" s="91"/>
      <c r="AJ2524" s="91"/>
      <c r="AK2524" s="91"/>
      <c r="AL2524" s="91"/>
      <c r="AM2524" s="91"/>
    </row>
    <row r="2525" spans="1:39" ht="20.25" hidden="1" customHeight="1">
      <c r="A2525" s="91"/>
      <c r="B2525" s="93" t="s">
        <v>10314</v>
      </c>
      <c r="C2525" s="91" t="s">
        <v>36</v>
      </c>
      <c r="D2525" s="106" t="s">
        <v>840</v>
      </c>
      <c r="E2525" s="106" t="s">
        <v>10315</v>
      </c>
      <c r="F2525" s="92" t="s">
        <v>8509</v>
      </c>
      <c r="G2525" s="103">
        <v>37408</v>
      </c>
      <c r="H2525" s="103">
        <v>23422</v>
      </c>
      <c r="I2525" s="94" t="s">
        <v>10316</v>
      </c>
      <c r="J2525" s="94" t="s">
        <v>10317</v>
      </c>
      <c r="K2525" s="92" t="s">
        <v>10318</v>
      </c>
      <c r="L2525" s="91"/>
      <c r="M2525" s="98">
        <f ca="1">(TODAY()-H2525)/365</f>
        <v>61.863013698630134</v>
      </c>
      <c r="N2525" s="99">
        <f>(G2525-H2525)/365</f>
        <v>38.317808219178083</v>
      </c>
      <c r="O2525" s="98">
        <f ca="1">(TODAY()-G2525)/365</f>
        <v>23.545205479452054</v>
      </c>
      <c r="P2525" s="91" t="s">
        <v>43</v>
      </c>
      <c r="Q2525" s="91"/>
      <c r="R2525" s="91"/>
      <c r="S2525" s="91"/>
      <c r="T2525" s="91"/>
      <c r="U2525" s="91"/>
      <c r="V2525" s="91"/>
      <c r="W2525" s="91"/>
      <c r="X2525" s="91"/>
      <c r="Y2525" s="91"/>
      <c r="Z2525" s="91"/>
      <c r="AA2525" s="91"/>
      <c r="AB2525" s="91"/>
      <c r="AC2525" s="91"/>
      <c r="AD2525" s="91"/>
      <c r="AE2525" s="91"/>
      <c r="AF2525" s="91"/>
      <c r="AG2525" s="91"/>
      <c r="AH2525" s="91"/>
      <c r="AI2525" s="91"/>
      <c r="AJ2525" s="91"/>
      <c r="AK2525" s="91"/>
      <c r="AL2525" s="91"/>
      <c r="AM2525" s="91"/>
    </row>
    <row r="2526" spans="1:39" ht="20.25" hidden="1" customHeight="1">
      <c r="A2526" s="91"/>
      <c r="B2526" s="93" t="s">
        <v>10314</v>
      </c>
      <c r="C2526" s="91" t="s">
        <v>36</v>
      </c>
      <c r="D2526" s="106" t="s">
        <v>10319</v>
      </c>
      <c r="E2526" s="106" t="s">
        <v>10320</v>
      </c>
      <c r="F2526" s="92" t="s">
        <v>10321</v>
      </c>
      <c r="G2526" s="103">
        <v>42795</v>
      </c>
      <c r="H2526" s="103">
        <v>17476</v>
      </c>
      <c r="I2526" s="94" t="s">
        <v>10322</v>
      </c>
      <c r="J2526" s="94" t="s">
        <v>10323</v>
      </c>
      <c r="K2526" s="92" t="s">
        <v>10324</v>
      </c>
      <c r="L2526" s="91"/>
      <c r="M2526" s="98">
        <f ca="1">(TODAY()-H2526)/365</f>
        <v>78.153424657534245</v>
      </c>
      <c r="N2526" s="99">
        <f>(G2526-H2526)/365</f>
        <v>69.367123287671234</v>
      </c>
      <c r="O2526" s="98">
        <f ca="1">(TODAY()-G2526)/365</f>
        <v>8.786301369863013</v>
      </c>
      <c r="P2526" s="91" t="s">
        <v>43</v>
      </c>
      <c r="Q2526" s="91"/>
      <c r="R2526" s="91"/>
      <c r="S2526" s="91"/>
      <c r="T2526" s="91"/>
      <c r="U2526" s="91"/>
      <c r="V2526" s="91"/>
      <c r="W2526" s="91"/>
      <c r="X2526" s="91"/>
      <c r="Y2526" s="91"/>
      <c r="Z2526" s="91"/>
      <c r="AA2526" s="91"/>
      <c r="AB2526" s="91"/>
      <c r="AC2526" s="91"/>
      <c r="AD2526" s="91"/>
      <c r="AE2526" s="91"/>
      <c r="AF2526" s="91"/>
      <c r="AG2526" s="91"/>
      <c r="AH2526" s="91"/>
      <c r="AI2526" s="91"/>
      <c r="AJ2526" s="91"/>
      <c r="AK2526" s="91"/>
      <c r="AL2526" s="91"/>
      <c r="AM2526" s="91"/>
    </row>
    <row r="2527" spans="1:39" ht="20.25" hidden="1" customHeight="1">
      <c r="A2527" s="91"/>
      <c r="B2527" s="93" t="s">
        <v>10314</v>
      </c>
      <c r="C2527" s="91" t="s">
        <v>36</v>
      </c>
      <c r="D2527" s="106" t="s">
        <v>10325</v>
      </c>
      <c r="E2527" s="106" t="s">
        <v>10326</v>
      </c>
      <c r="F2527" s="92" t="s">
        <v>10327</v>
      </c>
      <c r="G2527" s="103">
        <v>42767</v>
      </c>
      <c r="H2527" s="103">
        <v>23307</v>
      </c>
      <c r="I2527" s="94" t="s">
        <v>10328</v>
      </c>
      <c r="J2527" s="94" t="s">
        <v>10329</v>
      </c>
      <c r="K2527" s="92" t="s">
        <v>10330</v>
      </c>
      <c r="L2527" s="91"/>
      <c r="M2527" s="98">
        <f ca="1">(TODAY()-H2527)/365</f>
        <v>62.178082191780824</v>
      </c>
      <c r="N2527" s="99">
        <f>(G2527-H2527)/365</f>
        <v>53.315068493150683</v>
      </c>
      <c r="O2527" s="98">
        <f ca="1">(TODAY()-G2527)/365</f>
        <v>8.8630136986301373</v>
      </c>
      <c r="P2527" s="91" t="s">
        <v>43</v>
      </c>
      <c r="Q2527" s="91"/>
      <c r="R2527" s="91"/>
      <c r="S2527" s="91"/>
      <c r="T2527" s="91"/>
      <c r="U2527" s="91"/>
      <c r="V2527" s="91"/>
      <c r="W2527" s="91"/>
      <c r="X2527" s="91"/>
      <c r="Y2527" s="91"/>
      <c r="Z2527" s="91"/>
      <c r="AA2527" s="91"/>
      <c r="AB2527" s="91"/>
      <c r="AC2527" s="91"/>
      <c r="AD2527" s="91"/>
      <c r="AE2527" s="91"/>
      <c r="AF2527" s="91"/>
      <c r="AG2527" s="91"/>
      <c r="AH2527" s="91"/>
      <c r="AI2527" s="91"/>
      <c r="AJ2527" s="91"/>
      <c r="AK2527" s="91"/>
      <c r="AL2527" s="91"/>
      <c r="AM2527" s="91"/>
    </row>
    <row r="2528" spans="1:39" ht="20.25" hidden="1" customHeight="1">
      <c r="A2528" s="91"/>
      <c r="B2528" s="93" t="s">
        <v>10314</v>
      </c>
      <c r="C2528" s="91" t="s">
        <v>36</v>
      </c>
      <c r="D2528" s="106" t="s">
        <v>10331</v>
      </c>
      <c r="E2528" s="106" t="s">
        <v>10332</v>
      </c>
      <c r="F2528" s="92" t="s">
        <v>10333</v>
      </c>
      <c r="G2528" s="103">
        <v>39661</v>
      </c>
      <c r="H2528" s="103">
        <v>34542</v>
      </c>
      <c r="I2528" s="94" t="s">
        <v>10334</v>
      </c>
      <c r="J2528" s="94" t="s">
        <v>10335</v>
      </c>
      <c r="K2528" s="92" t="s">
        <v>10336</v>
      </c>
      <c r="L2528" s="91"/>
      <c r="M2528" s="98">
        <f ca="1">(TODAY()-H2528)/365</f>
        <v>31.397260273972602</v>
      </c>
      <c r="N2528" s="99">
        <f>(G2528-H2528)/365</f>
        <v>14.024657534246575</v>
      </c>
      <c r="O2528" s="98">
        <f ca="1">(TODAY()-G2528)/365</f>
        <v>17.372602739726027</v>
      </c>
      <c r="P2528" s="91" t="s">
        <v>43</v>
      </c>
      <c r="Q2528" s="91"/>
      <c r="R2528" s="91">
        <v>1</v>
      </c>
      <c r="S2528" s="91"/>
      <c r="T2528" s="91"/>
      <c r="U2528" s="91"/>
      <c r="V2528" s="91"/>
      <c r="W2528" s="91"/>
      <c r="X2528" s="91"/>
      <c r="Y2528" s="91"/>
      <c r="Z2528" s="91"/>
      <c r="AA2528" s="91"/>
      <c r="AB2528" s="91"/>
      <c r="AC2528" s="91"/>
      <c r="AD2528" s="91"/>
      <c r="AE2528" s="91"/>
      <c r="AF2528" s="91"/>
      <c r="AG2528" s="91"/>
      <c r="AH2528" s="91"/>
      <c r="AI2528" s="91"/>
      <c r="AJ2528" s="91"/>
      <c r="AK2528" s="91"/>
      <c r="AL2528" s="91"/>
      <c r="AM2528" s="91"/>
    </row>
    <row r="2529" spans="1:39" ht="20.25" hidden="1" customHeight="1">
      <c r="A2529" s="91"/>
      <c r="B2529" s="93" t="s">
        <v>10314</v>
      </c>
      <c r="C2529" s="91" t="s">
        <v>36</v>
      </c>
      <c r="D2529" s="106" t="s">
        <v>10337</v>
      </c>
      <c r="E2529" s="106" t="s">
        <v>10338</v>
      </c>
      <c r="F2529" s="92" t="s">
        <v>10339</v>
      </c>
      <c r="G2529" s="103">
        <v>42767</v>
      </c>
      <c r="H2529" s="103">
        <v>24043</v>
      </c>
      <c r="I2529" s="94" t="s">
        <v>10340</v>
      </c>
      <c r="J2529" s="94" t="s">
        <v>10341</v>
      </c>
      <c r="K2529" s="92" t="s">
        <v>10342</v>
      </c>
      <c r="L2529" s="91"/>
      <c r="M2529" s="98">
        <f ca="1">(TODAY()-H2529)/365</f>
        <v>60.161643835616438</v>
      </c>
      <c r="N2529" s="99">
        <f>(G2529-H2529)/365</f>
        <v>51.298630136986304</v>
      </c>
      <c r="O2529" s="98">
        <f ca="1">(TODAY()-G2529)/365</f>
        <v>8.8630136986301373</v>
      </c>
      <c r="P2529" s="91" t="s">
        <v>43</v>
      </c>
      <c r="Q2529" s="91"/>
      <c r="R2529" s="91"/>
      <c r="S2529" s="91"/>
      <c r="T2529" s="91"/>
      <c r="U2529" s="91"/>
      <c r="V2529" s="91"/>
      <c r="W2529" s="91"/>
      <c r="X2529" s="91"/>
      <c r="Y2529" s="91"/>
      <c r="Z2529" s="91"/>
      <c r="AA2529" s="91"/>
      <c r="AB2529" s="91"/>
      <c r="AC2529" s="91"/>
      <c r="AD2529" s="91"/>
      <c r="AE2529" s="91"/>
      <c r="AF2529" s="91"/>
      <c r="AG2529" s="91"/>
      <c r="AH2529" s="91"/>
      <c r="AI2529" s="91"/>
      <c r="AJ2529" s="91"/>
      <c r="AK2529" s="91"/>
      <c r="AL2529" s="91"/>
      <c r="AM2529" s="91"/>
    </row>
    <row r="2530" spans="1:39" ht="20.25" hidden="1" customHeight="1">
      <c r="A2530" s="91"/>
      <c r="B2530" s="93" t="s">
        <v>10314</v>
      </c>
      <c r="C2530" s="91" t="s">
        <v>36</v>
      </c>
      <c r="D2530" s="106" t="s">
        <v>2424</v>
      </c>
      <c r="E2530" s="106" t="s">
        <v>10332</v>
      </c>
      <c r="F2530" s="92" t="s">
        <v>10343</v>
      </c>
      <c r="G2530" s="103">
        <v>40391</v>
      </c>
      <c r="H2530" s="103">
        <v>36313</v>
      </c>
      <c r="I2530" s="94" t="s">
        <v>58</v>
      </c>
      <c r="J2530" s="94" t="s">
        <v>10344</v>
      </c>
      <c r="K2530" s="92" t="s">
        <v>10345</v>
      </c>
      <c r="L2530" s="91"/>
      <c r="M2530" s="98">
        <f ca="1">(TODAY()-H2530)/365</f>
        <v>26.545205479452054</v>
      </c>
      <c r="N2530" s="99">
        <f>(G2530-H2530)/365</f>
        <v>11.172602739726027</v>
      </c>
      <c r="O2530" s="98">
        <f ca="1">(TODAY()-G2530)/365</f>
        <v>15.372602739726027</v>
      </c>
      <c r="P2530" s="91" t="s">
        <v>272</v>
      </c>
      <c r="Q2530" s="91"/>
      <c r="R2530" s="91"/>
      <c r="S2530" s="91"/>
      <c r="T2530" s="91"/>
      <c r="U2530" s="91"/>
      <c r="V2530" s="91"/>
      <c r="W2530" s="91"/>
      <c r="X2530" s="91"/>
      <c r="Y2530" s="91"/>
      <c r="Z2530" s="91"/>
      <c r="AA2530" s="91"/>
      <c r="AB2530" s="91"/>
      <c r="AC2530" s="91"/>
      <c r="AD2530" s="91"/>
      <c r="AE2530" s="91"/>
      <c r="AF2530" s="91"/>
      <c r="AG2530" s="91"/>
      <c r="AH2530" s="91"/>
      <c r="AI2530" s="91"/>
      <c r="AJ2530" s="91"/>
      <c r="AK2530" s="91"/>
      <c r="AL2530" s="91"/>
      <c r="AM2530" s="91"/>
    </row>
    <row r="2531" spans="1:39" ht="20.25" hidden="1" customHeight="1">
      <c r="A2531" s="91"/>
      <c r="B2531" s="93" t="s">
        <v>10314</v>
      </c>
      <c r="C2531" s="91" t="s">
        <v>36</v>
      </c>
      <c r="D2531" s="106" t="s">
        <v>3928</v>
      </c>
      <c r="E2531" s="106" t="s">
        <v>10346</v>
      </c>
      <c r="F2531" s="92" t="s">
        <v>10347</v>
      </c>
      <c r="G2531" s="103">
        <v>44986</v>
      </c>
      <c r="H2531" s="103">
        <v>34345</v>
      </c>
      <c r="I2531" s="94" t="s">
        <v>58</v>
      </c>
      <c r="J2531" s="94" t="s">
        <v>10335</v>
      </c>
      <c r="K2531" s="92" t="s">
        <v>10348</v>
      </c>
      <c r="L2531" s="91"/>
      <c r="M2531" s="98">
        <f ca="1">(TODAY()-H2531)/365</f>
        <v>31.936986301369863</v>
      </c>
      <c r="N2531" s="99">
        <f>(G2531-H2531)/365</f>
        <v>29.153424657534245</v>
      </c>
      <c r="O2531" s="98">
        <f ca="1">(TODAY()-G2531)/365</f>
        <v>2.7835616438356166</v>
      </c>
      <c r="P2531" s="91" t="s">
        <v>272</v>
      </c>
      <c r="Q2531" s="91"/>
      <c r="R2531" s="91"/>
      <c r="S2531" s="91"/>
      <c r="T2531" s="91"/>
      <c r="U2531" s="91"/>
      <c r="V2531" s="91"/>
      <c r="W2531" s="91"/>
      <c r="X2531" s="91"/>
      <c r="Y2531" s="91"/>
      <c r="Z2531" s="91"/>
      <c r="AA2531" s="91"/>
      <c r="AB2531" s="91"/>
      <c r="AC2531" s="91"/>
      <c r="AD2531" s="91"/>
      <c r="AE2531" s="91"/>
      <c r="AF2531" s="91"/>
      <c r="AG2531" s="91"/>
      <c r="AH2531" s="91"/>
      <c r="AI2531" s="91"/>
      <c r="AJ2531" s="91"/>
      <c r="AK2531" s="91"/>
      <c r="AL2531" s="91"/>
      <c r="AM2531" s="91"/>
    </row>
    <row r="2532" spans="1:39" ht="20.25" hidden="1" customHeight="1">
      <c r="A2532" s="91"/>
      <c r="B2532" s="93" t="s">
        <v>10314</v>
      </c>
      <c r="C2532" s="91" t="s">
        <v>36</v>
      </c>
      <c r="D2532" s="106" t="s">
        <v>346</v>
      </c>
      <c r="E2532" s="106" t="s">
        <v>10349</v>
      </c>
      <c r="F2532" s="92" t="s">
        <v>10350</v>
      </c>
      <c r="G2532" s="103">
        <v>45261</v>
      </c>
      <c r="H2532" s="103">
        <v>23035</v>
      </c>
      <c r="I2532" s="94" t="s">
        <v>10351</v>
      </c>
      <c r="J2532" s="94" t="s">
        <v>10352</v>
      </c>
      <c r="K2532" s="92" t="s">
        <v>10353</v>
      </c>
      <c r="L2532" s="91"/>
      <c r="M2532" s="98">
        <f ca="1">(TODAY()-H2532)/365</f>
        <v>62.923287671232877</v>
      </c>
      <c r="N2532" s="99">
        <f>(G2532-H2532)/365</f>
        <v>60.893150684931506</v>
      </c>
      <c r="O2532" s="98">
        <f ca="1">(TODAY()-G2532)/365</f>
        <v>2.0301369863013701</v>
      </c>
      <c r="P2532" s="91" t="s">
        <v>43</v>
      </c>
      <c r="Q2532" s="91"/>
      <c r="R2532" s="91"/>
      <c r="S2532" s="91"/>
      <c r="T2532" s="91"/>
      <c r="U2532" s="91"/>
      <c r="V2532" s="91"/>
      <c r="W2532" s="91"/>
      <c r="X2532" s="91"/>
      <c r="Y2532" s="91"/>
      <c r="Z2532" s="91"/>
      <c r="AA2532" s="91"/>
      <c r="AB2532" s="91"/>
      <c r="AC2532" s="91"/>
      <c r="AD2532" s="91"/>
      <c r="AE2532" s="91"/>
      <c r="AF2532" s="91"/>
      <c r="AG2532" s="91"/>
      <c r="AH2532" s="91"/>
      <c r="AI2532" s="91"/>
      <c r="AJ2532" s="91"/>
      <c r="AK2532" s="91"/>
      <c r="AL2532" s="91"/>
      <c r="AM2532" s="91"/>
    </row>
    <row r="2533" spans="1:39" ht="20.25" customHeight="1">
      <c r="A2533" s="91"/>
      <c r="B2533" s="93" t="s">
        <v>8406</v>
      </c>
      <c r="C2533" s="91" t="s">
        <v>73</v>
      </c>
      <c r="D2533" s="94" t="s">
        <v>2157</v>
      </c>
      <c r="E2533" s="94" t="s">
        <v>8439</v>
      </c>
      <c r="F2533" s="95" t="s">
        <v>8440</v>
      </c>
      <c r="G2533" s="96">
        <v>44788</v>
      </c>
      <c r="H2533" s="97">
        <v>16088</v>
      </c>
      <c r="I2533" s="94" t="s">
        <v>8422</v>
      </c>
      <c r="J2533" s="94" t="s">
        <v>58</v>
      </c>
      <c r="K2533" s="95" t="s">
        <v>58</v>
      </c>
      <c r="L2533" s="91" t="s">
        <v>60</v>
      </c>
      <c r="M2533" s="98">
        <f ca="1">(TODAY()-H2533)/365</f>
        <v>81.956164383561642</v>
      </c>
      <c r="N2533" s="99">
        <f>(G2533-H2533)/365</f>
        <v>78.630136986301366</v>
      </c>
      <c r="O2533" s="98">
        <f ca="1">(TODAY()-G2533)/365</f>
        <v>3.3260273972602739</v>
      </c>
      <c r="P2533" s="91" t="s">
        <v>272</v>
      </c>
      <c r="Q2533" s="91">
        <v>0</v>
      </c>
      <c r="R2533" s="91">
        <v>0</v>
      </c>
      <c r="S2533" s="91">
        <v>0</v>
      </c>
      <c r="T2533" s="91"/>
      <c r="U2533" s="91"/>
      <c r="V2533" s="91"/>
      <c r="W2533" s="91"/>
      <c r="X2533" s="91"/>
      <c r="Y2533" s="91"/>
      <c r="Z2533" s="91"/>
      <c r="AA2533" s="91"/>
      <c r="AB2533" s="91"/>
      <c r="AC2533" s="91"/>
      <c r="AD2533" s="91"/>
      <c r="AE2533" s="91"/>
      <c r="AF2533" s="91"/>
      <c r="AG2533" s="91"/>
      <c r="AH2533" s="91"/>
      <c r="AI2533" s="91"/>
      <c r="AJ2533" s="91"/>
      <c r="AK2533" s="91"/>
      <c r="AL2533" s="91"/>
      <c r="AM2533" s="91"/>
    </row>
    <row r="2534" spans="1:39" ht="20.25" customHeight="1">
      <c r="A2534" s="91"/>
      <c r="B2534" s="93" t="s">
        <v>2235</v>
      </c>
      <c r="C2534" s="91" t="s">
        <v>73</v>
      </c>
      <c r="D2534" s="94" t="s">
        <v>2290</v>
      </c>
      <c r="E2534" s="94" t="s">
        <v>2291</v>
      </c>
      <c r="F2534" s="95" t="s">
        <v>2292</v>
      </c>
      <c r="G2534" s="96">
        <v>41918</v>
      </c>
      <c r="H2534" s="97">
        <v>26616</v>
      </c>
      <c r="I2534" s="94" t="s">
        <v>2293</v>
      </c>
      <c r="J2534" s="100" t="s">
        <v>58</v>
      </c>
      <c r="K2534" s="91" t="s">
        <v>58</v>
      </c>
      <c r="L2534" s="91" t="s">
        <v>60</v>
      </c>
      <c r="M2534" s="98">
        <f ca="1">(TODAY()-H2534)/365</f>
        <v>53.112328767123287</v>
      </c>
      <c r="N2534" s="99">
        <f>(G2534-H2534)/365</f>
        <v>41.923287671232877</v>
      </c>
      <c r="O2534" s="98">
        <f ca="1">(TODAY()-G2534)/365</f>
        <v>11.189041095890412</v>
      </c>
      <c r="P2534" s="91" t="s">
        <v>43</v>
      </c>
      <c r="Q2534" s="91">
        <v>0</v>
      </c>
      <c r="R2534" s="91">
        <v>0</v>
      </c>
      <c r="S2534" s="91">
        <v>0</v>
      </c>
      <c r="T2534" s="91"/>
      <c r="U2534" s="91"/>
      <c r="V2534" s="91"/>
      <c r="W2534" s="91"/>
      <c r="X2534" s="91"/>
      <c r="Y2534" s="91"/>
      <c r="Z2534" s="91"/>
      <c r="AA2534" s="91"/>
      <c r="AB2534" s="91"/>
      <c r="AC2534" s="91"/>
      <c r="AD2534" s="91"/>
      <c r="AE2534" s="91"/>
      <c r="AF2534" s="91"/>
      <c r="AG2534" s="91"/>
      <c r="AH2534" s="91"/>
      <c r="AI2534" s="91"/>
      <c r="AJ2534" s="91"/>
      <c r="AK2534" s="91"/>
      <c r="AL2534" s="91"/>
      <c r="AM2534" s="91"/>
    </row>
    <row r="2535" spans="1:39" ht="20.25" hidden="1" customHeight="1">
      <c r="A2535" s="91"/>
      <c r="B2535" s="93" t="s">
        <v>7961</v>
      </c>
      <c r="C2535" s="91" t="s">
        <v>36</v>
      </c>
      <c r="D2535" s="94" t="s">
        <v>7512</v>
      </c>
      <c r="E2535" s="94" t="s">
        <v>7967</v>
      </c>
      <c r="F2535" s="95" t="s">
        <v>7968</v>
      </c>
      <c r="G2535" s="97" t="s">
        <v>58</v>
      </c>
      <c r="H2535" s="97" t="s">
        <v>58</v>
      </c>
      <c r="I2535" s="100" t="s">
        <v>58</v>
      </c>
      <c r="J2535" s="100" t="s">
        <v>58</v>
      </c>
      <c r="K2535" s="91" t="s">
        <v>58</v>
      </c>
      <c r="L2535" s="91" t="s">
        <v>42</v>
      </c>
      <c r="M2535" s="98">
        <v>0</v>
      </c>
      <c r="N2535" s="91"/>
      <c r="O2535" s="98" t="e">
        <f ca="1">(TODAY()-G2535)/365</f>
        <v>#VALUE!</v>
      </c>
      <c r="P2535" s="91" t="s">
        <v>43</v>
      </c>
      <c r="Q2535" s="91">
        <v>0</v>
      </c>
      <c r="R2535" s="91">
        <v>0</v>
      </c>
      <c r="S2535" s="91">
        <v>0</v>
      </c>
      <c r="T2535" s="91"/>
      <c r="U2535" s="91"/>
      <c r="V2535" s="91"/>
      <c r="W2535" s="91"/>
      <c r="X2535" s="91"/>
      <c r="Y2535" s="91"/>
      <c r="Z2535" s="91"/>
      <c r="AA2535" s="91"/>
      <c r="AB2535" s="91"/>
      <c r="AC2535" s="91"/>
      <c r="AD2535" s="91"/>
      <c r="AE2535" s="91"/>
      <c r="AF2535" s="91"/>
      <c r="AG2535" s="91"/>
      <c r="AH2535" s="91"/>
      <c r="AI2535" s="91"/>
      <c r="AJ2535" s="91"/>
      <c r="AK2535" s="91"/>
      <c r="AL2535" s="91"/>
      <c r="AM2535" s="91"/>
    </row>
    <row r="2536" spans="1:39" ht="20.25" hidden="1" customHeight="1">
      <c r="A2536" s="91"/>
      <c r="B2536" s="93" t="s">
        <v>7961</v>
      </c>
      <c r="C2536" s="91" t="s">
        <v>36</v>
      </c>
      <c r="D2536" s="94" t="s">
        <v>346</v>
      </c>
      <c r="E2536" s="94" t="s">
        <v>7969</v>
      </c>
      <c r="F2536" s="95" t="s">
        <v>7970</v>
      </c>
      <c r="G2536" s="97" t="s">
        <v>58</v>
      </c>
      <c r="H2536" s="97" t="s">
        <v>58</v>
      </c>
      <c r="I2536" s="100" t="s">
        <v>58</v>
      </c>
      <c r="J2536" s="100" t="s">
        <v>58</v>
      </c>
      <c r="K2536" s="91" t="s">
        <v>58</v>
      </c>
      <c r="L2536" s="91" t="s">
        <v>151</v>
      </c>
      <c r="M2536" s="98">
        <v>0</v>
      </c>
      <c r="N2536" s="91"/>
      <c r="O2536" s="98" t="e">
        <f ca="1">(TODAY()-G2536)/365</f>
        <v>#VALUE!</v>
      </c>
      <c r="P2536" s="91" t="s">
        <v>43</v>
      </c>
      <c r="Q2536" s="91">
        <v>0</v>
      </c>
      <c r="R2536" s="91">
        <v>0</v>
      </c>
      <c r="S2536" s="91">
        <v>0</v>
      </c>
      <c r="T2536" s="91"/>
      <c r="U2536" s="91"/>
      <c r="V2536" s="91"/>
      <c r="W2536" s="91"/>
      <c r="X2536" s="91"/>
      <c r="Y2536" s="91"/>
      <c r="Z2536" s="91"/>
      <c r="AA2536" s="91"/>
      <c r="AB2536" s="91"/>
      <c r="AC2536" s="91"/>
      <c r="AD2536" s="91"/>
      <c r="AE2536" s="91"/>
      <c r="AF2536" s="91"/>
      <c r="AG2536" s="91"/>
      <c r="AH2536" s="91"/>
      <c r="AI2536" s="91"/>
      <c r="AJ2536" s="91"/>
      <c r="AK2536" s="91"/>
      <c r="AL2536" s="91"/>
      <c r="AM2536" s="91"/>
    </row>
    <row r="2537" spans="1:39" ht="20.25" hidden="1" customHeight="1">
      <c r="A2537" s="91"/>
      <c r="B2537" s="93" t="s">
        <v>7961</v>
      </c>
      <c r="C2537" s="91" t="s">
        <v>36</v>
      </c>
      <c r="D2537" s="94" t="s">
        <v>2455</v>
      </c>
      <c r="E2537" s="94" t="s">
        <v>7971</v>
      </c>
      <c r="F2537" s="95" t="s">
        <v>7972</v>
      </c>
      <c r="G2537" s="97" t="s">
        <v>58</v>
      </c>
      <c r="H2537" s="97" t="s">
        <v>58</v>
      </c>
      <c r="I2537" s="100" t="s">
        <v>58</v>
      </c>
      <c r="J2537" s="100" t="s">
        <v>58</v>
      </c>
      <c r="K2537" s="91" t="s">
        <v>58</v>
      </c>
      <c r="L2537" s="91" t="s">
        <v>66</v>
      </c>
      <c r="M2537" s="98">
        <v>0</v>
      </c>
      <c r="N2537" s="91"/>
      <c r="O2537" s="98" t="e">
        <f ca="1">(TODAY()-G2537)/365</f>
        <v>#VALUE!</v>
      </c>
      <c r="P2537" s="91" t="s">
        <v>43</v>
      </c>
      <c r="Q2537" s="91">
        <v>0</v>
      </c>
      <c r="R2537" s="91">
        <v>0</v>
      </c>
      <c r="S2537" s="91">
        <v>0</v>
      </c>
      <c r="T2537" s="91"/>
      <c r="U2537" s="91"/>
      <c r="V2537" s="91"/>
      <c r="W2537" s="91"/>
      <c r="X2537" s="91"/>
      <c r="Y2537" s="91"/>
      <c r="Z2537" s="91"/>
      <c r="AA2537" s="91"/>
      <c r="AB2537" s="91"/>
      <c r="AC2537" s="91"/>
      <c r="AD2537" s="91"/>
      <c r="AE2537" s="91"/>
      <c r="AF2537" s="91"/>
      <c r="AG2537" s="91"/>
      <c r="AH2537" s="91"/>
      <c r="AI2537" s="91"/>
      <c r="AJ2537" s="91"/>
      <c r="AK2537" s="91"/>
      <c r="AL2537" s="91"/>
      <c r="AM2537" s="91"/>
    </row>
    <row r="2538" spans="1:39" ht="20.25" hidden="1" customHeight="1">
      <c r="A2538" s="91"/>
      <c r="B2538" s="93" t="s">
        <v>7961</v>
      </c>
      <c r="C2538" s="91" t="s">
        <v>36</v>
      </c>
      <c r="D2538" s="94" t="s">
        <v>7973</v>
      </c>
      <c r="E2538" s="94" t="s">
        <v>7974</v>
      </c>
      <c r="F2538" s="95" t="s">
        <v>7975</v>
      </c>
      <c r="G2538" s="97" t="s">
        <v>58</v>
      </c>
      <c r="H2538" s="97" t="s">
        <v>58</v>
      </c>
      <c r="I2538" s="100" t="s">
        <v>58</v>
      </c>
      <c r="J2538" s="100" t="s">
        <v>58</v>
      </c>
      <c r="K2538" s="91" t="s">
        <v>58</v>
      </c>
      <c r="L2538" s="91" t="s">
        <v>60</v>
      </c>
      <c r="M2538" s="98">
        <v>0</v>
      </c>
      <c r="N2538" s="91"/>
      <c r="O2538" s="98" t="e">
        <f ca="1">(TODAY()-G2538)/365</f>
        <v>#VALUE!</v>
      </c>
      <c r="P2538" s="91" t="s">
        <v>43</v>
      </c>
      <c r="Q2538" s="91">
        <v>0</v>
      </c>
      <c r="R2538" s="91">
        <v>0</v>
      </c>
      <c r="S2538" s="91">
        <v>0</v>
      </c>
      <c r="T2538" s="91"/>
      <c r="U2538" s="91"/>
      <c r="V2538" s="91"/>
      <c r="W2538" s="91"/>
      <c r="X2538" s="91"/>
      <c r="Y2538" s="91"/>
      <c r="Z2538" s="91"/>
      <c r="AA2538" s="91"/>
      <c r="AB2538" s="91"/>
      <c r="AC2538" s="91"/>
      <c r="AD2538" s="91"/>
      <c r="AE2538" s="91"/>
      <c r="AF2538" s="91"/>
      <c r="AG2538" s="91"/>
      <c r="AH2538" s="91"/>
      <c r="AI2538" s="91"/>
      <c r="AJ2538" s="91"/>
      <c r="AK2538" s="91"/>
      <c r="AL2538" s="91"/>
      <c r="AM2538" s="91"/>
    </row>
    <row r="2539" spans="1:39" ht="20.25" hidden="1" customHeight="1">
      <c r="A2539" s="91"/>
      <c r="B2539" s="93" t="s">
        <v>7961</v>
      </c>
      <c r="C2539" s="91" t="s">
        <v>36</v>
      </c>
      <c r="D2539" s="94" t="s">
        <v>367</v>
      </c>
      <c r="E2539" s="94" t="s">
        <v>7976</v>
      </c>
      <c r="F2539" s="95" t="s">
        <v>7977</v>
      </c>
      <c r="G2539" s="97" t="s">
        <v>58</v>
      </c>
      <c r="H2539" s="97" t="s">
        <v>58</v>
      </c>
      <c r="I2539" s="100" t="s">
        <v>58</v>
      </c>
      <c r="J2539" s="100" t="s">
        <v>58</v>
      </c>
      <c r="K2539" s="91" t="s">
        <v>58</v>
      </c>
      <c r="L2539" s="91" t="s">
        <v>60</v>
      </c>
      <c r="M2539" s="98">
        <v>0</v>
      </c>
      <c r="N2539" s="91"/>
      <c r="O2539" s="98" t="e">
        <f ca="1">(TODAY()-G2539)/365</f>
        <v>#VALUE!</v>
      </c>
      <c r="P2539" s="91" t="s">
        <v>43</v>
      </c>
      <c r="Q2539" s="91">
        <v>0</v>
      </c>
      <c r="R2539" s="91">
        <v>0</v>
      </c>
      <c r="S2539" s="91">
        <v>0</v>
      </c>
      <c r="T2539" s="91"/>
      <c r="U2539" s="91"/>
      <c r="V2539" s="91"/>
      <c r="W2539" s="91"/>
      <c r="X2539" s="91"/>
      <c r="Y2539" s="91"/>
      <c r="Z2539" s="91"/>
      <c r="AA2539" s="91"/>
      <c r="AB2539" s="91"/>
      <c r="AC2539" s="91"/>
      <c r="AD2539" s="91"/>
      <c r="AE2539" s="91"/>
      <c r="AF2539" s="91"/>
      <c r="AG2539" s="91"/>
      <c r="AH2539" s="91"/>
      <c r="AI2539" s="91"/>
      <c r="AJ2539" s="91"/>
      <c r="AK2539" s="91"/>
      <c r="AL2539" s="91"/>
      <c r="AM2539" s="91"/>
    </row>
    <row r="2540" spans="1:39" ht="20.25" hidden="1" customHeight="1">
      <c r="A2540" s="91"/>
      <c r="B2540" s="93" t="s">
        <v>7961</v>
      </c>
      <c r="C2540" s="91" t="s">
        <v>36</v>
      </c>
      <c r="D2540" s="94" t="s">
        <v>7978</v>
      </c>
      <c r="E2540" s="94" t="s">
        <v>4605</v>
      </c>
      <c r="F2540" s="95" t="s">
        <v>7979</v>
      </c>
      <c r="G2540" s="97" t="s">
        <v>58</v>
      </c>
      <c r="H2540" s="97" t="s">
        <v>58</v>
      </c>
      <c r="I2540" s="100" t="s">
        <v>58</v>
      </c>
      <c r="J2540" s="100" t="s">
        <v>58</v>
      </c>
      <c r="K2540" s="91" t="s">
        <v>58</v>
      </c>
      <c r="L2540" s="91" t="s">
        <v>60</v>
      </c>
      <c r="M2540" s="98">
        <v>0</v>
      </c>
      <c r="N2540" s="91"/>
      <c r="O2540" s="98" t="e">
        <f ca="1">(TODAY()-G2540)/365</f>
        <v>#VALUE!</v>
      </c>
      <c r="P2540" s="91" t="s">
        <v>43</v>
      </c>
      <c r="Q2540" s="91">
        <v>0</v>
      </c>
      <c r="R2540" s="91">
        <v>0</v>
      </c>
      <c r="S2540" s="91">
        <v>0</v>
      </c>
      <c r="T2540" s="91"/>
      <c r="U2540" s="91"/>
      <c r="V2540" s="91"/>
      <c r="W2540" s="91"/>
      <c r="X2540" s="91"/>
      <c r="Y2540" s="91"/>
      <c r="Z2540" s="91"/>
      <c r="AA2540" s="91"/>
      <c r="AB2540" s="91"/>
      <c r="AC2540" s="91"/>
      <c r="AD2540" s="91"/>
      <c r="AE2540" s="91"/>
      <c r="AF2540" s="91"/>
      <c r="AG2540" s="91"/>
      <c r="AH2540" s="91"/>
      <c r="AI2540" s="91"/>
      <c r="AJ2540" s="91"/>
      <c r="AK2540" s="91"/>
      <c r="AL2540" s="91"/>
      <c r="AM2540" s="91"/>
    </row>
    <row r="2541" spans="1:39" ht="20.25" hidden="1" customHeight="1">
      <c r="A2541" s="91"/>
      <c r="B2541" s="93" t="s">
        <v>7961</v>
      </c>
      <c r="C2541" s="91" t="s">
        <v>36</v>
      </c>
      <c r="D2541" s="94" t="s">
        <v>576</v>
      </c>
      <c r="E2541" s="94" t="s">
        <v>7980</v>
      </c>
      <c r="F2541" s="95" t="s">
        <v>7981</v>
      </c>
      <c r="G2541" s="97" t="s">
        <v>58</v>
      </c>
      <c r="H2541" s="97" t="s">
        <v>58</v>
      </c>
      <c r="I2541" s="100" t="s">
        <v>58</v>
      </c>
      <c r="J2541" s="100" t="s">
        <v>58</v>
      </c>
      <c r="K2541" s="91" t="s">
        <v>58</v>
      </c>
      <c r="L2541" s="91" t="s">
        <v>60</v>
      </c>
      <c r="M2541" s="98">
        <v>0</v>
      </c>
      <c r="N2541" s="91"/>
      <c r="O2541" s="98" t="e">
        <f ca="1">(TODAY()-G2541)/365</f>
        <v>#VALUE!</v>
      </c>
      <c r="P2541" s="91" t="s">
        <v>43</v>
      </c>
      <c r="Q2541" s="91">
        <v>0</v>
      </c>
      <c r="R2541" s="91">
        <v>0</v>
      </c>
      <c r="S2541" s="91">
        <v>0</v>
      </c>
      <c r="T2541" s="91"/>
      <c r="U2541" s="91"/>
      <c r="V2541" s="91"/>
      <c r="W2541" s="91"/>
      <c r="X2541" s="91"/>
      <c r="Y2541" s="91"/>
      <c r="Z2541" s="91"/>
      <c r="AA2541" s="91"/>
      <c r="AB2541" s="91"/>
      <c r="AC2541" s="91"/>
      <c r="AD2541" s="91"/>
      <c r="AE2541" s="91"/>
      <c r="AF2541" s="91"/>
      <c r="AG2541" s="91"/>
      <c r="AH2541" s="91"/>
      <c r="AI2541" s="91"/>
      <c r="AJ2541" s="91"/>
      <c r="AK2541" s="91"/>
      <c r="AL2541" s="91"/>
      <c r="AM2541" s="91"/>
    </row>
    <row r="2542" spans="1:39" ht="20.25" hidden="1" customHeight="1">
      <c r="A2542" s="91"/>
      <c r="B2542" s="93" t="s">
        <v>7961</v>
      </c>
      <c r="C2542" s="91" t="s">
        <v>36</v>
      </c>
      <c r="D2542" s="94" t="s">
        <v>7982</v>
      </c>
      <c r="E2542" s="94" t="s">
        <v>6275</v>
      </c>
      <c r="F2542" s="95" t="s">
        <v>7983</v>
      </c>
      <c r="G2542" s="97" t="s">
        <v>58</v>
      </c>
      <c r="H2542" s="97" t="s">
        <v>58</v>
      </c>
      <c r="I2542" s="100" t="s">
        <v>58</v>
      </c>
      <c r="J2542" s="100" t="s">
        <v>58</v>
      </c>
      <c r="K2542" s="91" t="s">
        <v>58</v>
      </c>
      <c r="L2542" s="91" t="s">
        <v>72</v>
      </c>
      <c r="M2542" s="98">
        <v>0</v>
      </c>
      <c r="N2542" s="91"/>
      <c r="O2542" s="98" t="e">
        <f ca="1">(TODAY()-G2542)/365</f>
        <v>#VALUE!</v>
      </c>
      <c r="P2542" s="91" t="s">
        <v>43</v>
      </c>
      <c r="Q2542" s="91">
        <v>0</v>
      </c>
      <c r="R2542" s="91">
        <v>0</v>
      </c>
      <c r="S2542" s="91">
        <v>1</v>
      </c>
      <c r="T2542" s="91"/>
      <c r="U2542" s="91"/>
      <c r="V2542" s="91"/>
      <c r="W2542" s="91"/>
      <c r="X2542" s="91"/>
      <c r="Y2542" s="91"/>
      <c r="Z2542" s="91"/>
      <c r="AA2542" s="91"/>
      <c r="AB2542" s="91"/>
      <c r="AC2542" s="91"/>
      <c r="AD2542" s="91"/>
      <c r="AE2542" s="91"/>
      <c r="AF2542" s="91"/>
      <c r="AG2542" s="91"/>
      <c r="AH2542" s="91"/>
      <c r="AI2542" s="91"/>
      <c r="AJ2542" s="91"/>
      <c r="AK2542" s="91"/>
      <c r="AL2542" s="91"/>
      <c r="AM2542" s="91"/>
    </row>
    <row r="2543" spans="1:39" ht="20.25" hidden="1" customHeight="1">
      <c r="A2543" s="91"/>
      <c r="B2543" s="93" t="s">
        <v>7961</v>
      </c>
      <c r="C2543" s="91" t="s">
        <v>36</v>
      </c>
      <c r="D2543" s="94" t="s">
        <v>875</v>
      </c>
      <c r="E2543" s="94" t="s">
        <v>7984</v>
      </c>
      <c r="F2543" s="95" t="s">
        <v>7985</v>
      </c>
      <c r="G2543" s="97" t="s">
        <v>58</v>
      </c>
      <c r="H2543" s="97" t="s">
        <v>58</v>
      </c>
      <c r="I2543" s="100" t="s">
        <v>58</v>
      </c>
      <c r="J2543" s="100" t="s">
        <v>58</v>
      </c>
      <c r="K2543" s="91" t="s">
        <v>58</v>
      </c>
      <c r="L2543" s="91" t="s">
        <v>60</v>
      </c>
      <c r="M2543" s="98">
        <v>0</v>
      </c>
      <c r="N2543" s="91"/>
      <c r="O2543" s="98" t="e">
        <f ca="1">(TODAY()-G2543)/365</f>
        <v>#VALUE!</v>
      </c>
      <c r="P2543" s="91" t="s">
        <v>43</v>
      </c>
      <c r="Q2543" s="91">
        <v>0</v>
      </c>
      <c r="R2543" s="91">
        <v>0</v>
      </c>
      <c r="S2543" s="91">
        <v>0</v>
      </c>
      <c r="T2543" s="91"/>
      <c r="U2543" s="91"/>
      <c r="V2543" s="91"/>
      <c r="W2543" s="91"/>
      <c r="X2543" s="91"/>
      <c r="Y2543" s="91"/>
      <c r="Z2543" s="91"/>
      <c r="AA2543" s="91"/>
      <c r="AB2543" s="91"/>
      <c r="AC2543" s="91"/>
      <c r="AD2543" s="91"/>
      <c r="AE2543" s="91"/>
      <c r="AF2543" s="91"/>
      <c r="AG2543" s="91"/>
      <c r="AH2543" s="91"/>
      <c r="AI2543" s="91"/>
      <c r="AJ2543" s="91"/>
      <c r="AK2543" s="91"/>
      <c r="AL2543" s="91"/>
      <c r="AM2543" s="91"/>
    </row>
    <row r="2544" spans="1:39" ht="20.25" hidden="1" customHeight="1">
      <c r="A2544" s="91"/>
      <c r="B2544" s="93" t="s">
        <v>7961</v>
      </c>
      <c r="C2544" s="91" t="s">
        <v>36</v>
      </c>
      <c r="D2544" s="94" t="s">
        <v>3554</v>
      </c>
      <c r="E2544" s="94" t="s">
        <v>3230</v>
      </c>
      <c r="F2544" s="95" t="s">
        <v>7986</v>
      </c>
      <c r="G2544" s="97" t="s">
        <v>58</v>
      </c>
      <c r="H2544" s="97" t="s">
        <v>58</v>
      </c>
      <c r="I2544" s="100" t="s">
        <v>58</v>
      </c>
      <c r="J2544" s="100" t="s">
        <v>58</v>
      </c>
      <c r="K2544" s="91" t="s">
        <v>58</v>
      </c>
      <c r="L2544" s="91" t="s">
        <v>60</v>
      </c>
      <c r="M2544" s="98">
        <v>0</v>
      </c>
      <c r="N2544" s="91"/>
      <c r="O2544" s="98" t="e">
        <f ca="1">(TODAY()-G2544)/365</f>
        <v>#VALUE!</v>
      </c>
      <c r="P2544" s="91" t="s">
        <v>43</v>
      </c>
      <c r="Q2544" s="91">
        <v>0</v>
      </c>
      <c r="R2544" s="91">
        <v>0</v>
      </c>
      <c r="S2544" s="91">
        <v>0</v>
      </c>
      <c r="T2544" s="91"/>
      <c r="U2544" s="91"/>
      <c r="V2544" s="91"/>
      <c r="W2544" s="91"/>
      <c r="X2544" s="91"/>
      <c r="Y2544" s="91"/>
      <c r="Z2544" s="91"/>
      <c r="AA2544" s="91"/>
      <c r="AB2544" s="91"/>
      <c r="AC2544" s="91"/>
      <c r="AD2544" s="91"/>
      <c r="AE2544" s="91"/>
      <c r="AF2544" s="91"/>
      <c r="AG2544" s="91"/>
      <c r="AH2544" s="91"/>
      <c r="AI2544" s="91"/>
      <c r="AJ2544" s="91"/>
      <c r="AK2544" s="91"/>
      <c r="AL2544" s="91"/>
      <c r="AM2544" s="91"/>
    </row>
    <row r="2545" spans="1:39" ht="20.25" hidden="1" customHeight="1">
      <c r="A2545" s="91"/>
      <c r="B2545" s="93" t="s">
        <v>7961</v>
      </c>
      <c r="C2545" s="91" t="s">
        <v>36</v>
      </c>
      <c r="D2545" s="106" t="s">
        <v>754</v>
      </c>
      <c r="E2545" s="94" t="s">
        <v>6229</v>
      </c>
      <c r="F2545" s="95" t="s">
        <v>7987</v>
      </c>
      <c r="G2545" s="97" t="s">
        <v>58</v>
      </c>
      <c r="H2545" s="97" t="s">
        <v>58</v>
      </c>
      <c r="I2545" s="100" t="s">
        <v>58</v>
      </c>
      <c r="J2545" s="100" t="s">
        <v>58</v>
      </c>
      <c r="K2545" s="91" t="s">
        <v>58</v>
      </c>
      <c r="L2545" s="91" t="s">
        <v>60</v>
      </c>
      <c r="M2545" s="98">
        <v>0</v>
      </c>
      <c r="N2545" s="91"/>
      <c r="O2545" s="98" t="e">
        <f ca="1">(TODAY()-G2545)/365</f>
        <v>#VALUE!</v>
      </c>
      <c r="P2545" s="91" t="s">
        <v>272</v>
      </c>
      <c r="Q2545" s="91">
        <v>0</v>
      </c>
      <c r="R2545" s="91">
        <v>0</v>
      </c>
      <c r="S2545" s="91">
        <v>0</v>
      </c>
      <c r="T2545" s="91"/>
      <c r="U2545" s="91"/>
      <c r="V2545" s="91"/>
      <c r="W2545" s="91"/>
      <c r="X2545" s="91"/>
      <c r="Y2545" s="91"/>
      <c r="Z2545" s="91"/>
      <c r="AA2545" s="91"/>
      <c r="AB2545" s="91"/>
      <c r="AC2545" s="91"/>
      <c r="AD2545" s="91"/>
      <c r="AE2545" s="91"/>
      <c r="AF2545" s="91"/>
      <c r="AG2545" s="91"/>
      <c r="AH2545" s="91"/>
      <c r="AI2545" s="91"/>
      <c r="AJ2545" s="91"/>
      <c r="AK2545" s="91"/>
      <c r="AL2545" s="91"/>
      <c r="AM2545" s="91"/>
    </row>
    <row r="2546" spans="1:39" ht="20.25" hidden="1" customHeight="1">
      <c r="A2546" s="91"/>
      <c r="B2546" s="93" t="s">
        <v>7961</v>
      </c>
      <c r="C2546" s="91" t="s">
        <v>36</v>
      </c>
      <c r="D2546" s="107" t="s">
        <v>7988</v>
      </c>
      <c r="E2546" s="107" t="s">
        <v>7989</v>
      </c>
      <c r="F2546" s="91" t="s">
        <v>58</v>
      </c>
      <c r="G2546" s="97" t="s">
        <v>58</v>
      </c>
      <c r="H2546" s="97" t="s">
        <v>58</v>
      </c>
      <c r="I2546" s="100" t="s">
        <v>58</v>
      </c>
      <c r="J2546" s="100" t="s">
        <v>58</v>
      </c>
      <c r="K2546" s="91" t="s">
        <v>58</v>
      </c>
      <c r="L2546" s="91" t="s">
        <v>60</v>
      </c>
      <c r="M2546" s="98">
        <v>0</v>
      </c>
      <c r="N2546" s="91"/>
      <c r="O2546" s="98" t="e">
        <f ca="1">(TODAY()-G2546)/365</f>
        <v>#VALUE!</v>
      </c>
      <c r="P2546" s="91" t="s">
        <v>272</v>
      </c>
      <c r="Q2546" s="91">
        <v>1</v>
      </c>
      <c r="R2546" s="91">
        <v>1</v>
      </c>
      <c r="S2546" s="91">
        <v>0</v>
      </c>
      <c r="T2546" s="91"/>
      <c r="U2546" s="91"/>
      <c r="V2546" s="91"/>
      <c r="W2546" s="91"/>
      <c r="X2546" s="91"/>
      <c r="Y2546" s="91"/>
      <c r="Z2546" s="91"/>
      <c r="AA2546" s="91"/>
      <c r="AB2546" s="91"/>
      <c r="AC2546" s="91"/>
      <c r="AD2546" s="91"/>
      <c r="AE2546" s="91"/>
      <c r="AF2546" s="91"/>
      <c r="AG2546" s="91"/>
      <c r="AH2546" s="91"/>
      <c r="AI2546" s="91"/>
      <c r="AJ2546" s="91"/>
      <c r="AK2546" s="91"/>
      <c r="AL2546" s="91"/>
      <c r="AM2546" s="91"/>
    </row>
    <row r="2547" spans="1:39" ht="20.25" hidden="1" customHeight="1">
      <c r="A2547" s="91"/>
      <c r="B2547" s="93" t="s">
        <v>7961</v>
      </c>
      <c r="C2547" s="91" t="s">
        <v>36</v>
      </c>
      <c r="D2547" s="107" t="s">
        <v>7990</v>
      </c>
      <c r="E2547" s="107" t="s">
        <v>4605</v>
      </c>
      <c r="F2547" s="91" t="s">
        <v>58</v>
      </c>
      <c r="G2547" s="97" t="s">
        <v>58</v>
      </c>
      <c r="H2547" s="97" t="s">
        <v>58</v>
      </c>
      <c r="I2547" s="100" t="s">
        <v>58</v>
      </c>
      <c r="J2547" s="100" t="s">
        <v>58</v>
      </c>
      <c r="K2547" s="91" t="s">
        <v>58</v>
      </c>
      <c r="L2547" s="91" t="s">
        <v>121</v>
      </c>
      <c r="M2547" s="98">
        <v>0</v>
      </c>
      <c r="N2547" s="91"/>
      <c r="O2547" s="98" t="e">
        <f ca="1">(TODAY()-G2547)/365</f>
        <v>#VALUE!</v>
      </c>
      <c r="P2547" s="91" t="s">
        <v>272</v>
      </c>
      <c r="Q2547" s="91">
        <v>0</v>
      </c>
      <c r="R2547" s="91">
        <v>0</v>
      </c>
      <c r="S2547" s="91">
        <v>1</v>
      </c>
      <c r="T2547" s="91"/>
      <c r="U2547" s="91"/>
      <c r="V2547" s="91"/>
      <c r="W2547" s="91"/>
      <c r="X2547" s="91"/>
      <c r="Y2547" s="91"/>
      <c r="Z2547" s="91"/>
      <c r="AA2547" s="91"/>
      <c r="AB2547" s="91"/>
      <c r="AC2547" s="91"/>
      <c r="AD2547" s="91"/>
      <c r="AE2547" s="91"/>
      <c r="AF2547" s="91"/>
      <c r="AG2547" s="91"/>
      <c r="AH2547" s="91"/>
      <c r="AI2547" s="91"/>
      <c r="AJ2547" s="91"/>
      <c r="AK2547" s="91"/>
      <c r="AL2547" s="91"/>
      <c r="AM2547" s="91"/>
    </row>
    <row r="2548" spans="1:39" ht="20.25" hidden="1" customHeight="1">
      <c r="A2548" s="91"/>
      <c r="B2548" s="93" t="s">
        <v>7961</v>
      </c>
      <c r="C2548" s="91" t="s">
        <v>36</v>
      </c>
      <c r="D2548" s="107" t="s">
        <v>4392</v>
      </c>
      <c r="E2548" s="107" t="s">
        <v>2825</v>
      </c>
      <c r="F2548" s="91" t="s">
        <v>58</v>
      </c>
      <c r="G2548" s="97" t="s">
        <v>58</v>
      </c>
      <c r="H2548" s="97" t="s">
        <v>58</v>
      </c>
      <c r="I2548" s="100" t="s">
        <v>58</v>
      </c>
      <c r="J2548" s="100" t="s">
        <v>58</v>
      </c>
      <c r="K2548" s="91" t="s">
        <v>58</v>
      </c>
      <c r="L2548" s="91" t="s">
        <v>49</v>
      </c>
      <c r="M2548" s="98">
        <v>0</v>
      </c>
      <c r="N2548" s="91"/>
      <c r="O2548" s="98" t="e">
        <f ca="1">(TODAY()-G2548)/365</f>
        <v>#VALUE!</v>
      </c>
      <c r="P2548" s="91" t="s">
        <v>43</v>
      </c>
      <c r="Q2548" s="91">
        <v>0</v>
      </c>
      <c r="R2548" s="91">
        <v>0</v>
      </c>
      <c r="S2548" s="91">
        <v>1</v>
      </c>
      <c r="T2548" s="91"/>
      <c r="U2548" s="91"/>
      <c r="V2548" s="91"/>
      <c r="W2548" s="91"/>
      <c r="X2548" s="91"/>
      <c r="Y2548" s="91"/>
      <c r="Z2548" s="91"/>
      <c r="AA2548" s="91"/>
      <c r="AB2548" s="91"/>
      <c r="AC2548" s="91"/>
      <c r="AD2548" s="91"/>
      <c r="AE2548" s="91"/>
      <c r="AF2548" s="91"/>
      <c r="AG2548" s="91"/>
      <c r="AH2548" s="91"/>
      <c r="AI2548" s="91"/>
      <c r="AJ2548" s="91"/>
      <c r="AK2548" s="91"/>
      <c r="AL2548" s="91"/>
      <c r="AM2548" s="91"/>
    </row>
    <row r="2549" spans="1:39" ht="20.25" hidden="1" customHeight="1">
      <c r="A2549" s="91"/>
      <c r="B2549" s="93" t="s">
        <v>7961</v>
      </c>
      <c r="C2549" s="91" t="s">
        <v>36</v>
      </c>
      <c r="D2549" s="107" t="s">
        <v>7991</v>
      </c>
      <c r="E2549" s="107" t="s">
        <v>7992</v>
      </c>
      <c r="F2549" s="91" t="s">
        <v>58</v>
      </c>
      <c r="G2549" s="97" t="s">
        <v>58</v>
      </c>
      <c r="H2549" s="97" t="s">
        <v>58</v>
      </c>
      <c r="I2549" s="100" t="s">
        <v>58</v>
      </c>
      <c r="J2549" s="100" t="s">
        <v>58</v>
      </c>
      <c r="K2549" s="91" t="s">
        <v>58</v>
      </c>
      <c r="L2549" s="91" t="s">
        <v>54</v>
      </c>
      <c r="M2549" s="98">
        <v>0</v>
      </c>
      <c r="N2549" s="91"/>
      <c r="O2549" s="98" t="e">
        <f ca="1">(TODAY()-G2549)/365</f>
        <v>#VALUE!</v>
      </c>
      <c r="P2549" s="91" t="s">
        <v>43</v>
      </c>
      <c r="Q2549" s="91">
        <v>0</v>
      </c>
      <c r="R2549" s="91">
        <v>0</v>
      </c>
      <c r="S2549" s="91">
        <v>0</v>
      </c>
      <c r="T2549" s="91"/>
      <c r="U2549" s="91"/>
      <c r="V2549" s="91"/>
      <c r="W2549" s="91"/>
      <c r="X2549" s="91"/>
      <c r="Y2549" s="91"/>
      <c r="Z2549" s="91"/>
      <c r="AA2549" s="91"/>
      <c r="AB2549" s="91"/>
      <c r="AC2549" s="91"/>
      <c r="AD2549" s="91"/>
      <c r="AE2549" s="91"/>
      <c r="AF2549" s="91"/>
      <c r="AG2549" s="91"/>
      <c r="AH2549" s="91"/>
      <c r="AI2549" s="91"/>
      <c r="AJ2549" s="91"/>
      <c r="AK2549" s="91"/>
      <c r="AL2549" s="91"/>
      <c r="AM2549" s="91"/>
    </row>
    <row r="2550" spans="1:39" ht="20.25" hidden="1" customHeight="1">
      <c r="A2550" s="91"/>
      <c r="B2550" s="93" t="s">
        <v>7961</v>
      </c>
      <c r="C2550" s="91" t="s">
        <v>36</v>
      </c>
      <c r="D2550" s="107" t="s">
        <v>2750</v>
      </c>
      <c r="E2550" s="107" t="s">
        <v>7993</v>
      </c>
      <c r="F2550" s="91" t="s">
        <v>58</v>
      </c>
      <c r="G2550" s="97" t="s">
        <v>58</v>
      </c>
      <c r="H2550" s="97" t="s">
        <v>58</v>
      </c>
      <c r="I2550" s="100" t="s">
        <v>58</v>
      </c>
      <c r="J2550" s="100" t="s">
        <v>58</v>
      </c>
      <c r="K2550" s="91" t="s">
        <v>58</v>
      </c>
      <c r="L2550" s="91" t="s">
        <v>167</v>
      </c>
      <c r="M2550" s="98">
        <v>0</v>
      </c>
      <c r="N2550" s="91"/>
      <c r="O2550" s="98" t="e">
        <f ca="1">(TODAY()-G2550)/365</f>
        <v>#VALUE!</v>
      </c>
      <c r="P2550" s="91" t="s">
        <v>43</v>
      </c>
      <c r="Q2550" s="91">
        <v>0</v>
      </c>
      <c r="R2550" s="91">
        <v>0</v>
      </c>
      <c r="S2550" s="91">
        <v>0</v>
      </c>
      <c r="T2550" s="91"/>
      <c r="U2550" s="91"/>
      <c r="V2550" s="91"/>
      <c r="W2550" s="91"/>
      <c r="X2550" s="91"/>
      <c r="Y2550" s="91"/>
      <c r="Z2550" s="91"/>
      <c r="AA2550" s="91"/>
      <c r="AB2550" s="91"/>
      <c r="AC2550" s="91"/>
      <c r="AD2550" s="91"/>
      <c r="AE2550" s="91"/>
      <c r="AF2550" s="91"/>
      <c r="AG2550" s="91"/>
      <c r="AH2550" s="91"/>
      <c r="AI2550" s="91"/>
      <c r="AJ2550" s="91"/>
      <c r="AK2550" s="91"/>
      <c r="AL2550" s="91"/>
      <c r="AM2550" s="91"/>
    </row>
    <row r="2551" spans="1:39" ht="20.25" hidden="1" customHeight="1">
      <c r="A2551" s="91"/>
      <c r="B2551" s="93" t="s">
        <v>7961</v>
      </c>
      <c r="C2551" s="91" t="s">
        <v>36</v>
      </c>
      <c r="D2551" s="107" t="s">
        <v>7957</v>
      </c>
      <c r="E2551" s="107" t="s">
        <v>7994</v>
      </c>
      <c r="F2551" s="91" t="s">
        <v>58</v>
      </c>
      <c r="G2551" s="97" t="s">
        <v>58</v>
      </c>
      <c r="H2551" s="97" t="s">
        <v>58</v>
      </c>
      <c r="I2551" s="100" t="s">
        <v>58</v>
      </c>
      <c r="J2551" s="100" t="s">
        <v>58</v>
      </c>
      <c r="K2551" s="91" t="s">
        <v>58</v>
      </c>
      <c r="L2551" s="91" t="s">
        <v>197</v>
      </c>
      <c r="M2551" s="98">
        <v>0</v>
      </c>
      <c r="N2551" s="91"/>
      <c r="O2551" s="98" t="e">
        <f ca="1">(TODAY()-G2551)/365</f>
        <v>#VALUE!</v>
      </c>
      <c r="P2551" s="91" t="s">
        <v>43</v>
      </c>
      <c r="Q2551" s="91">
        <v>0</v>
      </c>
      <c r="R2551" s="91">
        <v>0</v>
      </c>
      <c r="S2551" s="91">
        <v>0</v>
      </c>
      <c r="T2551" s="91"/>
      <c r="U2551" s="91"/>
      <c r="V2551" s="91"/>
      <c r="W2551" s="91"/>
      <c r="X2551" s="91"/>
      <c r="Y2551" s="91"/>
      <c r="Z2551" s="91"/>
      <c r="AA2551" s="91"/>
      <c r="AB2551" s="91"/>
      <c r="AC2551" s="91"/>
      <c r="AD2551" s="91"/>
      <c r="AE2551" s="91"/>
      <c r="AF2551" s="91"/>
      <c r="AG2551" s="91"/>
      <c r="AH2551" s="91"/>
      <c r="AI2551" s="91"/>
      <c r="AJ2551" s="91"/>
      <c r="AK2551" s="91"/>
      <c r="AL2551" s="91"/>
      <c r="AM2551" s="91"/>
    </row>
    <row r="2552" spans="1:39" ht="20.25" customHeight="1">
      <c r="A2552" s="91"/>
      <c r="B2552" s="93" t="s">
        <v>11748</v>
      </c>
      <c r="C2552" s="91" t="s">
        <v>73</v>
      </c>
      <c r="D2552" s="107" t="s">
        <v>357</v>
      </c>
      <c r="E2552" s="107" t="s">
        <v>2827</v>
      </c>
      <c r="F2552" s="91" t="s">
        <v>2828</v>
      </c>
      <c r="G2552" s="96">
        <v>40612</v>
      </c>
      <c r="H2552" s="97">
        <v>24009</v>
      </c>
      <c r="I2552" s="94" t="s">
        <v>58</v>
      </c>
      <c r="J2552" s="94" t="s">
        <v>58</v>
      </c>
      <c r="K2552" s="95" t="s">
        <v>58</v>
      </c>
      <c r="L2552" s="91" t="s">
        <v>60</v>
      </c>
      <c r="M2552" s="98">
        <f ca="1">(TODAY()-H2552)/365</f>
        <v>60.254794520547946</v>
      </c>
      <c r="N2552" s="99">
        <f>(G2552-H2552)/365</f>
        <v>45.487671232876714</v>
      </c>
      <c r="O2552" s="98">
        <f ca="1">(TODAY()-G2552)/365</f>
        <v>14.767123287671232</v>
      </c>
      <c r="P2552" s="91" t="s">
        <v>43</v>
      </c>
      <c r="Q2552" s="91">
        <v>0</v>
      </c>
      <c r="R2552" s="91">
        <v>0</v>
      </c>
      <c r="S2552" s="91">
        <v>0</v>
      </c>
      <c r="T2552" s="91"/>
      <c r="U2552" s="91"/>
      <c r="V2552" s="91"/>
      <c r="W2552" s="91"/>
      <c r="X2552" s="91"/>
      <c r="Y2552" s="91"/>
      <c r="Z2552" s="91"/>
      <c r="AA2552" s="91"/>
      <c r="AB2552" s="91"/>
      <c r="AC2552" s="91"/>
      <c r="AD2552" s="91"/>
      <c r="AE2552" s="91"/>
      <c r="AF2552" s="91"/>
      <c r="AG2552" s="91"/>
      <c r="AH2552" s="91"/>
      <c r="AI2552" s="91"/>
      <c r="AJ2552" s="91"/>
      <c r="AK2552" s="91"/>
      <c r="AL2552" s="91"/>
      <c r="AM2552" s="91"/>
    </row>
    <row r="2553" spans="1:39" ht="20.25" hidden="1" customHeight="1">
      <c r="A2553" s="91"/>
      <c r="B2553" s="93" t="s">
        <v>7998</v>
      </c>
      <c r="C2553" s="91" t="s">
        <v>36</v>
      </c>
      <c r="D2553" s="94" t="s">
        <v>1221</v>
      </c>
      <c r="E2553" s="94" t="s">
        <v>7999</v>
      </c>
      <c r="F2553" s="95" t="s">
        <v>8000</v>
      </c>
      <c r="G2553" s="96">
        <v>25034</v>
      </c>
      <c r="H2553" s="97">
        <v>17274</v>
      </c>
      <c r="I2553" s="94" t="s">
        <v>58</v>
      </c>
      <c r="J2553" s="94" t="s">
        <v>8001</v>
      </c>
      <c r="K2553" s="95">
        <v>997838151</v>
      </c>
      <c r="L2553" s="91" t="s">
        <v>60</v>
      </c>
      <c r="M2553" s="98">
        <f ca="1">(TODAY()-H2553)/365</f>
        <v>78.706849315068496</v>
      </c>
      <c r="N2553" s="99">
        <f>(G2553-H2553)/365</f>
        <v>21.260273972602739</v>
      </c>
      <c r="O2553" s="98">
        <f ca="1">(TODAY()-G2553)/365</f>
        <v>57.446575342465756</v>
      </c>
      <c r="P2553" s="91" t="s">
        <v>43</v>
      </c>
      <c r="Q2553" s="91">
        <v>0</v>
      </c>
      <c r="R2553" s="91">
        <v>0</v>
      </c>
      <c r="S2553" s="91">
        <v>0</v>
      </c>
      <c r="T2553" s="91"/>
      <c r="U2553" s="91"/>
      <c r="V2553" s="91"/>
      <c r="W2553" s="91"/>
      <c r="X2553" s="91"/>
      <c r="Y2553" s="91"/>
      <c r="Z2553" s="91"/>
      <c r="AA2553" s="91"/>
      <c r="AB2553" s="91"/>
      <c r="AC2553" s="91"/>
      <c r="AD2553" s="91"/>
      <c r="AE2553" s="91"/>
      <c r="AF2553" s="91"/>
      <c r="AG2553" s="91"/>
      <c r="AH2553" s="91"/>
      <c r="AI2553" s="91"/>
      <c r="AJ2553" s="91"/>
      <c r="AK2553" s="91"/>
      <c r="AL2553" s="91"/>
      <c r="AM2553" s="91"/>
    </row>
    <row r="2554" spans="1:39" ht="20.25" hidden="1" customHeight="1">
      <c r="A2554" s="91"/>
      <c r="B2554" s="93" t="s">
        <v>7998</v>
      </c>
      <c r="C2554" s="91" t="s">
        <v>36</v>
      </c>
      <c r="D2554" s="94" t="s">
        <v>8002</v>
      </c>
      <c r="E2554" s="94" t="s">
        <v>8003</v>
      </c>
      <c r="F2554" s="95" t="s">
        <v>8004</v>
      </c>
      <c r="G2554" s="96">
        <v>44159</v>
      </c>
      <c r="H2554" s="97">
        <v>35195</v>
      </c>
      <c r="I2554" s="94" t="s">
        <v>58</v>
      </c>
      <c r="J2554" s="94" t="s">
        <v>8005</v>
      </c>
      <c r="K2554" s="95">
        <v>930796594</v>
      </c>
      <c r="L2554" s="91" t="s">
        <v>60</v>
      </c>
      <c r="M2554" s="98">
        <f ca="1">(TODAY()-H2554)/365</f>
        <v>29.608219178082191</v>
      </c>
      <c r="N2554" s="99">
        <f>(G2554-H2554)/365</f>
        <v>24.55890410958904</v>
      </c>
      <c r="O2554" s="98">
        <f ca="1">(TODAY()-G2554)/365</f>
        <v>5.0493150684931507</v>
      </c>
      <c r="P2554" s="91" t="s">
        <v>43</v>
      </c>
      <c r="Q2554" s="91">
        <v>0</v>
      </c>
      <c r="R2554" s="91">
        <v>0</v>
      </c>
      <c r="S2554" s="91">
        <v>0</v>
      </c>
      <c r="T2554" s="91"/>
      <c r="U2554" s="91"/>
      <c r="V2554" s="91"/>
      <c r="W2554" s="91"/>
      <c r="X2554" s="91"/>
      <c r="Y2554" s="91"/>
      <c r="Z2554" s="91"/>
      <c r="AA2554" s="91"/>
      <c r="AB2554" s="91"/>
      <c r="AC2554" s="91"/>
      <c r="AD2554" s="91"/>
      <c r="AE2554" s="91"/>
      <c r="AF2554" s="91"/>
      <c r="AG2554" s="91"/>
      <c r="AH2554" s="91"/>
      <c r="AI2554" s="91"/>
      <c r="AJ2554" s="91"/>
      <c r="AK2554" s="91"/>
      <c r="AL2554" s="91"/>
      <c r="AM2554" s="91"/>
    </row>
    <row r="2555" spans="1:39" ht="20.25" hidden="1" customHeight="1">
      <c r="A2555" s="91"/>
      <c r="B2555" s="93" t="s">
        <v>7998</v>
      </c>
      <c r="C2555" s="91" t="s">
        <v>36</v>
      </c>
      <c r="D2555" s="94" t="s">
        <v>8006</v>
      </c>
      <c r="E2555" s="94" t="s">
        <v>8007</v>
      </c>
      <c r="F2555" s="95" t="s">
        <v>8008</v>
      </c>
      <c r="G2555" s="96">
        <v>44159</v>
      </c>
      <c r="H2555" s="97">
        <v>34780</v>
      </c>
      <c r="I2555" s="94" t="s">
        <v>58</v>
      </c>
      <c r="J2555" s="94" t="s">
        <v>8005</v>
      </c>
      <c r="K2555" s="95">
        <v>994653755</v>
      </c>
      <c r="L2555" s="91" t="s">
        <v>60</v>
      </c>
      <c r="M2555" s="98">
        <f ca="1">(TODAY()-H2555)/365</f>
        <v>30.745205479452054</v>
      </c>
      <c r="N2555" s="99">
        <f>(G2555-H2555)/365</f>
        <v>25.695890410958903</v>
      </c>
      <c r="O2555" s="98">
        <f ca="1">(TODAY()-G2555)/365</f>
        <v>5.0493150684931507</v>
      </c>
      <c r="P2555" s="91" t="s">
        <v>272</v>
      </c>
      <c r="Q2555" s="91">
        <v>0</v>
      </c>
      <c r="R2555" s="91">
        <v>0</v>
      </c>
      <c r="S2555" s="91">
        <v>0</v>
      </c>
      <c r="T2555" s="91"/>
      <c r="U2555" s="91"/>
      <c r="V2555" s="91"/>
      <c r="W2555" s="91"/>
      <c r="X2555" s="91"/>
      <c r="Y2555" s="91"/>
      <c r="Z2555" s="91"/>
      <c r="AA2555" s="91"/>
      <c r="AB2555" s="91"/>
      <c r="AC2555" s="91"/>
      <c r="AD2555" s="91"/>
      <c r="AE2555" s="91"/>
      <c r="AF2555" s="91"/>
      <c r="AG2555" s="91"/>
      <c r="AH2555" s="91"/>
      <c r="AI2555" s="91"/>
      <c r="AJ2555" s="91"/>
      <c r="AK2555" s="91"/>
      <c r="AL2555" s="91"/>
      <c r="AM2555" s="91"/>
    </row>
    <row r="2556" spans="1:39" ht="18" hidden="1" customHeight="1">
      <c r="A2556" s="91"/>
      <c r="B2556" s="93" t="s">
        <v>7998</v>
      </c>
      <c r="C2556" s="91" t="s">
        <v>36</v>
      </c>
      <c r="D2556" s="94" t="s">
        <v>8009</v>
      </c>
      <c r="E2556" s="94" t="s">
        <v>8010</v>
      </c>
      <c r="F2556" s="95" t="s">
        <v>8011</v>
      </c>
      <c r="G2556" s="96">
        <v>30512</v>
      </c>
      <c r="H2556" s="97">
        <v>17712</v>
      </c>
      <c r="I2556" s="94" t="s">
        <v>58</v>
      </c>
      <c r="J2556" s="94" t="s">
        <v>8012</v>
      </c>
      <c r="K2556" s="95">
        <v>967442698</v>
      </c>
      <c r="L2556" s="91" t="s">
        <v>42</v>
      </c>
      <c r="M2556" s="98">
        <f ca="1">(TODAY()-H2556)/365</f>
        <v>77.506849315068493</v>
      </c>
      <c r="N2556" s="99">
        <f>(G2556-H2556)/365</f>
        <v>35.06849315068493</v>
      </c>
      <c r="O2556" s="98">
        <f ca="1">(TODAY()-G2556)/365</f>
        <v>42.438356164383563</v>
      </c>
      <c r="P2556" s="91" t="s">
        <v>43</v>
      </c>
      <c r="Q2556" s="91">
        <v>0</v>
      </c>
      <c r="R2556" s="91">
        <v>0</v>
      </c>
      <c r="S2556" s="91">
        <v>0</v>
      </c>
      <c r="T2556" s="91"/>
      <c r="U2556" s="91"/>
      <c r="V2556" s="91"/>
      <c r="W2556" s="91"/>
      <c r="X2556" s="91"/>
      <c r="Y2556" s="91"/>
      <c r="Z2556" s="91"/>
      <c r="AA2556" s="91"/>
      <c r="AB2556" s="91"/>
      <c r="AC2556" s="91"/>
      <c r="AD2556" s="91"/>
      <c r="AE2556" s="91"/>
      <c r="AF2556" s="91"/>
      <c r="AG2556" s="91"/>
      <c r="AH2556" s="91"/>
      <c r="AI2556" s="91"/>
      <c r="AJ2556" s="91"/>
      <c r="AK2556" s="91"/>
      <c r="AL2556" s="91"/>
      <c r="AM2556" s="91"/>
    </row>
    <row r="2557" spans="1:39" ht="20.25" hidden="1" customHeight="1">
      <c r="A2557" s="91"/>
      <c r="B2557" s="93" t="s">
        <v>7998</v>
      </c>
      <c r="C2557" s="91" t="s">
        <v>36</v>
      </c>
      <c r="D2557" s="94" t="s">
        <v>8013</v>
      </c>
      <c r="E2557" s="94" t="s">
        <v>8014</v>
      </c>
      <c r="F2557" s="95" t="s">
        <v>8015</v>
      </c>
      <c r="G2557" s="96">
        <v>28707</v>
      </c>
      <c r="H2557" s="97">
        <v>15474</v>
      </c>
      <c r="I2557" s="94" t="s">
        <v>58</v>
      </c>
      <c r="J2557" s="94" t="s">
        <v>8016</v>
      </c>
      <c r="K2557" s="95">
        <v>966770080</v>
      </c>
      <c r="L2557" s="91" t="s">
        <v>60</v>
      </c>
      <c r="M2557" s="98">
        <f ca="1">(TODAY()-H2557)/365</f>
        <v>83.638356164383566</v>
      </c>
      <c r="N2557" s="99">
        <f>(G2557-H2557)/365</f>
        <v>36.254794520547946</v>
      </c>
      <c r="O2557" s="98">
        <f ca="1">(TODAY()-G2557)/365</f>
        <v>47.38356164383562</v>
      </c>
      <c r="P2557" s="91" t="s">
        <v>43</v>
      </c>
      <c r="Q2557" s="91">
        <v>0</v>
      </c>
      <c r="R2557" s="91">
        <v>0</v>
      </c>
      <c r="S2557" s="91">
        <v>0</v>
      </c>
      <c r="T2557" s="91"/>
      <c r="U2557" s="91"/>
      <c r="V2557" s="91"/>
      <c r="W2557" s="91"/>
      <c r="X2557" s="91"/>
      <c r="Y2557" s="91"/>
      <c r="Z2557" s="91"/>
      <c r="AA2557" s="91"/>
      <c r="AB2557" s="91"/>
      <c r="AC2557" s="91"/>
      <c r="AD2557" s="91"/>
      <c r="AE2557" s="91"/>
      <c r="AF2557" s="91"/>
      <c r="AG2557" s="91"/>
      <c r="AH2557" s="91"/>
      <c r="AI2557" s="91"/>
      <c r="AJ2557" s="91"/>
      <c r="AK2557" s="91"/>
      <c r="AL2557" s="91"/>
      <c r="AM2557" s="91"/>
    </row>
    <row r="2558" spans="1:39" ht="20.25" hidden="1" customHeight="1">
      <c r="A2558" s="91"/>
      <c r="B2558" s="93" t="s">
        <v>7998</v>
      </c>
      <c r="C2558" s="91" t="s">
        <v>36</v>
      </c>
      <c r="D2558" s="94" t="s">
        <v>6021</v>
      </c>
      <c r="E2558" s="94" t="s">
        <v>8017</v>
      </c>
      <c r="F2558" s="95" t="s">
        <v>8018</v>
      </c>
      <c r="G2558" s="96">
        <v>32701</v>
      </c>
      <c r="H2558" s="97">
        <v>19171</v>
      </c>
      <c r="I2558" s="94" t="s">
        <v>58</v>
      </c>
      <c r="J2558" s="94" t="s">
        <v>8019</v>
      </c>
      <c r="K2558" s="95">
        <v>959845760</v>
      </c>
      <c r="L2558" s="91" t="s">
        <v>60</v>
      </c>
      <c r="M2558" s="98">
        <f ca="1">(TODAY()-H2558)/365</f>
        <v>73.509589041095893</v>
      </c>
      <c r="N2558" s="99">
        <f>(G2558-H2558)/365</f>
        <v>37.06849315068493</v>
      </c>
      <c r="O2558" s="98">
        <f ca="1">(TODAY()-G2558)/365</f>
        <v>36.441095890410956</v>
      </c>
      <c r="P2558" s="91" t="s">
        <v>43</v>
      </c>
      <c r="Q2558" s="91">
        <v>0</v>
      </c>
      <c r="R2558" s="91">
        <v>0</v>
      </c>
      <c r="S2558" s="91">
        <v>0</v>
      </c>
      <c r="T2558" s="91"/>
      <c r="U2558" s="91"/>
      <c r="V2558" s="91"/>
      <c r="W2558" s="91"/>
      <c r="X2558" s="91"/>
      <c r="Y2558" s="91"/>
      <c r="Z2558" s="91"/>
      <c r="AA2558" s="91"/>
      <c r="AB2558" s="91"/>
      <c r="AC2558" s="91"/>
      <c r="AD2558" s="91"/>
      <c r="AE2558" s="91"/>
      <c r="AF2558" s="91"/>
      <c r="AG2558" s="91"/>
      <c r="AH2558" s="91"/>
      <c r="AI2558" s="91"/>
      <c r="AJ2558" s="91"/>
      <c r="AK2558" s="91"/>
      <c r="AL2558" s="91"/>
      <c r="AM2558" s="91"/>
    </row>
    <row r="2559" spans="1:39" ht="20.25" hidden="1" customHeight="1">
      <c r="A2559" s="91"/>
      <c r="B2559" s="93" t="s">
        <v>7998</v>
      </c>
      <c r="C2559" s="91" t="s">
        <v>36</v>
      </c>
      <c r="D2559" s="94" t="s">
        <v>8020</v>
      </c>
      <c r="E2559" s="94" t="s">
        <v>8021</v>
      </c>
      <c r="F2559" s="95" t="s">
        <v>8022</v>
      </c>
      <c r="G2559" s="96">
        <v>44889</v>
      </c>
      <c r="H2559" s="97">
        <v>30897</v>
      </c>
      <c r="I2559" s="94" t="s">
        <v>58</v>
      </c>
      <c r="J2559" s="94" t="s">
        <v>8023</v>
      </c>
      <c r="K2559" s="95">
        <v>953964704</v>
      </c>
      <c r="L2559" s="91" t="s">
        <v>60</v>
      </c>
      <c r="M2559" s="98">
        <f ca="1">(TODAY()-H2559)/365</f>
        <v>41.38356164383562</v>
      </c>
      <c r="N2559" s="99">
        <f>(G2559-H2559)/365</f>
        <v>38.334246575342469</v>
      </c>
      <c r="O2559" s="98">
        <f ca="1">(TODAY()-G2559)/365</f>
        <v>3.0493150684931507</v>
      </c>
      <c r="P2559" s="91" t="s">
        <v>43</v>
      </c>
      <c r="Q2559" s="91">
        <v>0</v>
      </c>
      <c r="R2559" s="91">
        <v>0</v>
      </c>
      <c r="S2559" s="91">
        <v>0</v>
      </c>
      <c r="T2559" s="91"/>
      <c r="U2559" s="91"/>
      <c r="V2559" s="91"/>
      <c r="W2559" s="91"/>
      <c r="X2559" s="91"/>
      <c r="Y2559" s="91"/>
      <c r="Z2559" s="91"/>
      <c r="AA2559" s="91"/>
      <c r="AB2559" s="91"/>
      <c r="AC2559" s="91"/>
      <c r="AD2559" s="91"/>
      <c r="AE2559" s="91"/>
      <c r="AF2559" s="91"/>
      <c r="AG2559" s="91"/>
      <c r="AH2559" s="91"/>
      <c r="AI2559" s="91"/>
      <c r="AJ2559" s="91"/>
      <c r="AK2559" s="91"/>
      <c r="AL2559" s="91"/>
      <c r="AM2559" s="91"/>
    </row>
    <row r="2560" spans="1:39" ht="20.25" hidden="1" customHeight="1">
      <c r="A2560" s="91"/>
      <c r="B2560" s="93" t="s">
        <v>7998</v>
      </c>
      <c r="C2560" s="91" t="s">
        <v>36</v>
      </c>
      <c r="D2560" s="94" t="s">
        <v>8024</v>
      </c>
      <c r="E2560" s="94" t="s">
        <v>8025</v>
      </c>
      <c r="F2560" s="95" t="s">
        <v>8026</v>
      </c>
      <c r="G2560" s="96">
        <v>39084</v>
      </c>
      <c r="H2560" s="97">
        <v>24552</v>
      </c>
      <c r="I2560" s="94" t="s">
        <v>58</v>
      </c>
      <c r="J2560" s="94" t="s">
        <v>8016</v>
      </c>
      <c r="K2560" s="95">
        <v>999098649</v>
      </c>
      <c r="L2560" s="91" t="s">
        <v>60</v>
      </c>
      <c r="M2560" s="98">
        <f ca="1">(TODAY()-H2560)/365</f>
        <v>58.767123287671232</v>
      </c>
      <c r="N2560" s="99">
        <f>(G2560-H2560)/365</f>
        <v>39.813698630136983</v>
      </c>
      <c r="O2560" s="98">
        <f ca="1">(TODAY()-G2560)/365</f>
        <v>18.953424657534246</v>
      </c>
      <c r="P2560" s="91" t="s">
        <v>43</v>
      </c>
      <c r="Q2560" s="91">
        <v>0</v>
      </c>
      <c r="R2560" s="91">
        <v>0</v>
      </c>
      <c r="S2560" s="91">
        <v>0</v>
      </c>
      <c r="T2560" s="91"/>
      <c r="U2560" s="91"/>
      <c r="V2560" s="91"/>
      <c r="W2560" s="91"/>
      <c r="X2560" s="91"/>
      <c r="Y2560" s="91"/>
      <c r="Z2560" s="91"/>
      <c r="AA2560" s="91"/>
      <c r="AB2560" s="91"/>
      <c r="AC2560" s="91"/>
      <c r="AD2560" s="91"/>
      <c r="AE2560" s="91"/>
      <c r="AF2560" s="91"/>
      <c r="AG2560" s="91"/>
      <c r="AH2560" s="91"/>
      <c r="AI2560" s="91"/>
      <c r="AJ2560" s="91"/>
      <c r="AK2560" s="91"/>
      <c r="AL2560" s="91"/>
      <c r="AM2560" s="91"/>
    </row>
    <row r="2561" spans="1:39" ht="20.25" hidden="1" customHeight="1">
      <c r="A2561" s="91"/>
      <c r="B2561" s="93" t="s">
        <v>7998</v>
      </c>
      <c r="C2561" s="91" t="s">
        <v>36</v>
      </c>
      <c r="D2561" s="94" t="s">
        <v>8027</v>
      </c>
      <c r="E2561" s="94" t="s">
        <v>8028</v>
      </c>
      <c r="F2561" s="95" t="s">
        <v>8029</v>
      </c>
      <c r="G2561" s="96">
        <v>36798</v>
      </c>
      <c r="H2561" s="97">
        <v>22053</v>
      </c>
      <c r="I2561" s="94" t="s">
        <v>58</v>
      </c>
      <c r="J2561" s="94" t="s">
        <v>8030</v>
      </c>
      <c r="K2561" s="95">
        <v>972189998</v>
      </c>
      <c r="L2561" s="91" t="s">
        <v>54</v>
      </c>
      <c r="M2561" s="98">
        <f ca="1">(TODAY()-H2561)/365</f>
        <v>65.61369863013698</v>
      </c>
      <c r="N2561" s="99">
        <f>(G2561-H2561)/365</f>
        <v>40.397260273972606</v>
      </c>
      <c r="O2561" s="98">
        <f ca="1">(TODAY()-G2561)/365</f>
        <v>25.216438356164385</v>
      </c>
      <c r="P2561" s="91" t="s">
        <v>43</v>
      </c>
      <c r="Q2561" s="91">
        <v>0</v>
      </c>
      <c r="R2561" s="91">
        <v>0</v>
      </c>
      <c r="S2561" s="91">
        <v>0</v>
      </c>
      <c r="T2561" s="91"/>
      <c r="U2561" s="91"/>
      <c r="V2561" s="91"/>
      <c r="W2561" s="91"/>
      <c r="X2561" s="91"/>
      <c r="Y2561" s="91"/>
      <c r="Z2561" s="91"/>
      <c r="AA2561" s="91"/>
      <c r="AB2561" s="91"/>
      <c r="AC2561" s="91"/>
      <c r="AD2561" s="91"/>
      <c r="AE2561" s="91"/>
      <c r="AF2561" s="91"/>
      <c r="AG2561" s="91"/>
      <c r="AH2561" s="91"/>
      <c r="AI2561" s="91"/>
      <c r="AJ2561" s="91"/>
      <c r="AK2561" s="91"/>
      <c r="AL2561" s="91"/>
      <c r="AM2561" s="91"/>
    </row>
    <row r="2562" spans="1:39" ht="20.25" hidden="1" customHeight="1">
      <c r="A2562" s="91"/>
      <c r="B2562" s="93" t="s">
        <v>7998</v>
      </c>
      <c r="C2562" s="91" t="s">
        <v>36</v>
      </c>
      <c r="D2562" s="94" t="s">
        <v>8031</v>
      </c>
      <c r="E2562" s="94" t="s">
        <v>8032</v>
      </c>
      <c r="F2562" s="95" t="s">
        <v>8033</v>
      </c>
      <c r="G2562" s="96">
        <v>29292</v>
      </c>
      <c r="H2562" s="97">
        <v>13575</v>
      </c>
      <c r="I2562" s="94" t="s">
        <v>58</v>
      </c>
      <c r="J2562" s="94" t="s">
        <v>8034</v>
      </c>
      <c r="K2562" s="95">
        <v>989145385</v>
      </c>
      <c r="L2562" s="91" t="s">
        <v>60</v>
      </c>
      <c r="M2562" s="98">
        <f ca="1">(TODAY()-H2562)/365</f>
        <v>88.841095890410955</v>
      </c>
      <c r="N2562" s="99">
        <f>(G2562-H2562)/365</f>
        <v>43.060273972602737</v>
      </c>
      <c r="O2562" s="98">
        <f ca="1">(TODAY()-G2562)/365</f>
        <v>45.780821917808218</v>
      </c>
      <c r="P2562" s="91" t="s">
        <v>43</v>
      </c>
      <c r="Q2562" s="91">
        <v>0</v>
      </c>
      <c r="R2562" s="91">
        <v>0</v>
      </c>
      <c r="S2562" s="91">
        <v>0</v>
      </c>
      <c r="T2562" s="91"/>
      <c r="U2562" s="91"/>
      <c r="V2562" s="91"/>
      <c r="W2562" s="91"/>
      <c r="X2562" s="91"/>
      <c r="Y2562" s="91"/>
      <c r="Z2562" s="91"/>
      <c r="AA2562" s="91"/>
      <c r="AB2562" s="91"/>
      <c r="AC2562" s="91"/>
      <c r="AD2562" s="91"/>
      <c r="AE2562" s="91"/>
      <c r="AF2562" s="91"/>
      <c r="AG2562" s="91"/>
      <c r="AH2562" s="91"/>
      <c r="AI2562" s="91"/>
      <c r="AJ2562" s="91"/>
      <c r="AK2562" s="91"/>
      <c r="AL2562" s="91"/>
      <c r="AM2562" s="91"/>
    </row>
    <row r="2563" spans="1:39" ht="20.25" hidden="1" customHeight="1">
      <c r="A2563" s="91"/>
      <c r="B2563" s="93" t="s">
        <v>7998</v>
      </c>
      <c r="C2563" s="91" t="s">
        <v>36</v>
      </c>
      <c r="D2563" s="94" t="s">
        <v>3692</v>
      </c>
      <c r="E2563" s="94" t="s">
        <v>8035</v>
      </c>
      <c r="F2563" s="95" t="s">
        <v>8036</v>
      </c>
      <c r="G2563" s="96">
        <v>37630</v>
      </c>
      <c r="H2563" s="97">
        <v>19190</v>
      </c>
      <c r="I2563" s="94" t="s">
        <v>58</v>
      </c>
      <c r="J2563" s="94" t="s">
        <v>8037</v>
      </c>
      <c r="K2563" s="95">
        <v>967345040</v>
      </c>
      <c r="L2563" s="91" t="s">
        <v>72</v>
      </c>
      <c r="M2563" s="98">
        <f ca="1">(TODAY()-H2563)/365</f>
        <v>73.457534246575349</v>
      </c>
      <c r="N2563" s="99">
        <f>(G2563-H2563)/365</f>
        <v>50.520547945205479</v>
      </c>
      <c r="O2563" s="98">
        <f ca="1">(TODAY()-G2563)/365</f>
        <v>22.936986301369863</v>
      </c>
      <c r="P2563" s="91" t="s">
        <v>43</v>
      </c>
      <c r="Q2563" s="91">
        <v>0</v>
      </c>
      <c r="R2563" s="91">
        <v>0</v>
      </c>
      <c r="S2563" s="91">
        <v>0</v>
      </c>
      <c r="T2563" s="91"/>
      <c r="U2563" s="91"/>
      <c r="V2563" s="91"/>
      <c r="W2563" s="91"/>
      <c r="X2563" s="91"/>
      <c r="Y2563" s="91"/>
      <c r="Z2563" s="91"/>
      <c r="AA2563" s="91"/>
      <c r="AB2563" s="91"/>
      <c r="AC2563" s="91"/>
      <c r="AD2563" s="91"/>
      <c r="AE2563" s="91"/>
      <c r="AF2563" s="91"/>
      <c r="AG2563" s="91"/>
      <c r="AH2563" s="91"/>
      <c r="AI2563" s="91"/>
      <c r="AJ2563" s="91"/>
      <c r="AK2563" s="91"/>
      <c r="AL2563" s="91"/>
      <c r="AM2563" s="91"/>
    </row>
    <row r="2564" spans="1:39" ht="20.25" hidden="1" customHeight="1">
      <c r="A2564" s="91"/>
      <c r="B2564" s="93" t="s">
        <v>7998</v>
      </c>
      <c r="C2564" s="91" t="s">
        <v>36</v>
      </c>
      <c r="D2564" s="94" t="s">
        <v>7293</v>
      </c>
      <c r="E2564" s="94" t="s">
        <v>8038</v>
      </c>
      <c r="F2564" s="95" t="s">
        <v>8039</v>
      </c>
      <c r="G2564" s="96">
        <v>42186</v>
      </c>
      <c r="H2564" s="97">
        <v>21914</v>
      </c>
      <c r="I2564" s="94" t="s">
        <v>58</v>
      </c>
      <c r="J2564" s="94" t="s">
        <v>8040</v>
      </c>
      <c r="K2564" s="95">
        <v>999688896</v>
      </c>
      <c r="L2564" s="91" t="s">
        <v>60</v>
      </c>
      <c r="M2564" s="98">
        <f ca="1">(TODAY()-H2564)/365</f>
        <v>65.9945205479452</v>
      </c>
      <c r="N2564" s="99">
        <f>(G2564-H2564)/365</f>
        <v>55.539726027397258</v>
      </c>
      <c r="O2564" s="98">
        <f ca="1">(TODAY()-G2564)/365</f>
        <v>10.454794520547946</v>
      </c>
      <c r="P2564" s="91" t="s">
        <v>43</v>
      </c>
      <c r="Q2564" s="91">
        <v>0</v>
      </c>
      <c r="R2564" s="91">
        <v>0</v>
      </c>
      <c r="S2564" s="91">
        <v>0</v>
      </c>
      <c r="T2564" s="91"/>
      <c r="U2564" s="91"/>
      <c r="V2564" s="91"/>
      <c r="W2564" s="91"/>
      <c r="X2564" s="91"/>
      <c r="Y2564" s="91"/>
      <c r="Z2564" s="91"/>
      <c r="AA2564" s="91"/>
      <c r="AB2564" s="91"/>
      <c r="AC2564" s="91"/>
      <c r="AD2564" s="91"/>
      <c r="AE2564" s="91"/>
      <c r="AF2564" s="91"/>
      <c r="AG2564" s="91"/>
      <c r="AH2564" s="91"/>
      <c r="AI2564" s="91"/>
      <c r="AJ2564" s="91"/>
      <c r="AK2564" s="91"/>
      <c r="AL2564" s="91"/>
      <c r="AM2564" s="91"/>
    </row>
    <row r="2565" spans="1:39" ht="20.25" hidden="1" customHeight="1">
      <c r="A2565" s="91"/>
      <c r="B2565" s="93" t="s">
        <v>7998</v>
      </c>
      <c r="C2565" s="91" t="s">
        <v>36</v>
      </c>
      <c r="D2565" s="94" t="s">
        <v>8041</v>
      </c>
      <c r="E2565" s="94" t="s">
        <v>8042</v>
      </c>
      <c r="F2565" s="95" t="s">
        <v>8043</v>
      </c>
      <c r="G2565" s="96">
        <v>39084</v>
      </c>
      <c r="H2565" s="97">
        <v>18645</v>
      </c>
      <c r="I2565" s="94" t="s">
        <v>58</v>
      </c>
      <c r="J2565" s="94" t="s">
        <v>8044</v>
      </c>
      <c r="K2565" s="95">
        <v>931257371</v>
      </c>
      <c r="L2565" s="91" t="s">
        <v>49</v>
      </c>
      <c r="M2565" s="98">
        <f ca="1">(TODAY()-H2565)/365</f>
        <v>74.950684931506856</v>
      </c>
      <c r="N2565" s="99">
        <f>(G2565-H2565)/365</f>
        <v>55.9972602739726</v>
      </c>
      <c r="O2565" s="98">
        <f ca="1">(TODAY()-G2565)/365</f>
        <v>18.953424657534246</v>
      </c>
      <c r="P2565" s="91" t="s">
        <v>43</v>
      </c>
      <c r="Q2565" s="91">
        <v>0</v>
      </c>
      <c r="R2565" s="91">
        <v>0</v>
      </c>
      <c r="S2565" s="91">
        <v>0</v>
      </c>
      <c r="T2565" s="91"/>
      <c r="U2565" s="91"/>
      <c r="V2565" s="91"/>
      <c r="W2565" s="91"/>
      <c r="X2565" s="91"/>
      <c r="Y2565" s="91"/>
      <c r="Z2565" s="91"/>
      <c r="AA2565" s="91"/>
      <c r="AB2565" s="91"/>
      <c r="AC2565" s="91"/>
      <c r="AD2565" s="91"/>
      <c r="AE2565" s="91"/>
      <c r="AF2565" s="91"/>
      <c r="AG2565" s="91"/>
      <c r="AH2565" s="91"/>
      <c r="AI2565" s="91"/>
      <c r="AJ2565" s="91"/>
      <c r="AK2565" s="91"/>
      <c r="AL2565" s="91"/>
      <c r="AM2565" s="91"/>
    </row>
    <row r="2566" spans="1:39" ht="20.25" hidden="1" customHeight="1">
      <c r="A2566" s="91"/>
      <c r="B2566" s="93" t="s">
        <v>7998</v>
      </c>
      <c r="C2566" s="91" t="s">
        <v>36</v>
      </c>
      <c r="D2566" s="94" t="s">
        <v>5620</v>
      </c>
      <c r="E2566" s="94" t="s">
        <v>8045</v>
      </c>
      <c r="F2566" s="95" t="s">
        <v>8046</v>
      </c>
      <c r="G2566" s="96">
        <v>40941</v>
      </c>
      <c r="H2566" s="97">
        <v>12915</v>
      </c>
      <c r="I2566" s="94" t="s">
        <v>58</v>
      </c>
      <c r="J2566" s="94" t="s">
        <v>8047</v>
      </c>
      <c r="K2566" s="95">
        <v>961230583</v>
      </c>
      <c r="L2566" s="91" t="s">
        <v>60</v>
      </c>
      <c r="M2566" s="98">
        <f ca="1">(TODAY()-H2566)/365</f>
        <v>90.649315068493152</v>
      </c>
      <c r="N2566" s="99">
        <f>(G2566-H2566)/365</f>
        <v>76.783561643835611</v>
      </c>
      <c r="O2566" s="98">
        <f ca="1">(TODAY()-G2566)/365</f>
        <v>13.865753424657534</v>
      </c>
      <c r="P2566" s="91" t="s">
        <v>43</v>
      </c>
      <c r="Q2566" s="91">
        <v>0</v>
      </c>
      <c r="R2566" s="91">
        <v>0</v>
      </c>
      <c r="S2566" s="91">
        <v>0</v>
      </c>
      <c r="T2566" s="91"/>
      <c r="U2566" s="91"/>
      <c r="V2566" s="91"/>
      <c r="W2566" s="91"/>
      <c r="X2566" s="91"/>
      <c r="Y2566" s="91"/>
      <c r="Z2566" s="91"/>
      <c r="AA2566" s="91"/>
      <c r="AB2566" s="91"/>
      <c r="AC2566" s="91"/>
      <c r="AD2566" s="91"/>
      <c r="AE2566" s="91"/>
      <c r="AF2566" s="91"/>
      <c r="AG2566" s="91"/>
      <c r="AH2566" s="91"/>
      <c r="AI2566" s="91"/>
      <c r="AJ2566" s="91"/>
      <c r="AK2566" s="91"/>
      <c r="AL2566" s="91"/>
      <c r="AM2566" s="91"/>
    </row>
    <row r="2567" spans="1:39" ht="20.25" hidden="1" customHeight="1">
      <c r="A2567" s="91"/>
      <c r="B2567" s="93" t="s">
        <v>8048</v>
      </c>
      <c r="C2567" s="91" t="s">
        <v>36</v>
      </c>
      <c r="D2567" s="94" t="s">
        <v>8049</v>
      </c>
      <c r="E2567" s="94" t="s">
        <v>8050</v>
      </c>
      <c r="F2567" s="95" t="s">
        <v>8051</v>
      </c>
      <c r="G2567" s="96">
        <v>42640</v>
      </c>
      <c r="H2567" s="97">
        <v>30985</v>
      </c>
      <c r="I2567" s="115" t="s">
        <v>8052</v>
      </c>
      <c r="J2567" s="94" t="s">
        <v>8053</v>
      </c>
      <c r="K2567" s="95">
        <v>954312306</v>
      </c>
      <c r="L2567" s="91" t="s">
        <v>60</v>
      </c>
      <c r="M2567" s="98">
        <f ca="1">(TODAY()-H2567)/365</f>
        <v>41.142465753424659</v>
      </c>
      <c r="N2567" s="99">
        <f>(G2567-H2567)/365</f>
        <v>31.931506849315067</v>
      </c>
      <c r="O2567" s="98">
        <f ca="1">(TODAY()-G2567)/365</f>
        <v>9.2109589041095887</v>
      </c>
      <c r="P2567" s="91" t="s">
        <v>43</v>
      </c>
      <c r="Q2567" s="91">
        <v>0</v>
      </c>
      <c r="R2567" s="91">
        <v>0</v>
      </c>
      <c r="S2567" s="91">
        <v>0</v>
      </c>
      <c r="T2567" s="91"/>
      <c r="U2567" s="91"/>
      <c r="V2567" s="91"/>
      <c r="W2567" s="91"/>
      <c r="X2567" s="91"/>
      <c r="Y2567" s="91"/>
      <c r="Z2567" s="91"/>
      <c r="AA2567" s="91"/>
      <c r="AB2567" s="91"/>
      <c r="AC2567" s="91"/>
      <c r="AD2567" s="91"/>
      <c r="AE2567" s="91"/>
      <c r="AF2567" s="91"/>
      <c r="AG2567" s="91"/>
      <c r="AH2567" s="91"/>
      <c r="AI2567" s="91"/>
      <c r="AJ2567" s="91"/>
      <c r="AK2567" s="91"/>
      <c r="AL2567" s="91"/>
      <c r="AM2567" s="91"/>
    </row>
    <row r="2568" spans="1:39" ht="20.25" hidden="1" customHeight="1">
      <c r="A2568" s="91"/>
      <c r="B2568" s="93" t="s">
        <v>8048</v>
      </c>
      <c r="C2568" s="91" t="s">
        <v>36</v>
      </c>
      <c r="D2568" s="94" t="s">
        <v>675</v>
      </c>
      <c r="E2568" s="94" t="s">
        <v>8054</v>
      </c>
      <c r="F2568" s="95" t="s">
        <v>8055</v>
      </c>
      <c r="G2568" s="96">
        <v>31239</v>
      </c>
      <c r="H2568" s="97">
        <v>19541</v>
      </c>
      <c r="I2568" s="100" t="s">
        <v>58</v>
      </c>
      <c r="J2568" s="100" t="s">
        <v>58</v>
      </c>
      <c r="K2568" s="95">
        <v>966167340</v>
      </c>
      <c r="L2568" s="91" t="s">
        <v>54</v>
      </c>
      <c r="M2568" s="98">
        <f ca="1">(TODAY()-H2568)/365</f>
        <v>72.495890410958907</v>
      </c>
      <c r="N2568" s="99">
        <f>(G2568-H2568)/365</f>
        <v>32.049315068493151</v>
      </c>
      <c r="O2568" s="98">
        <f ca="1">(TODAY()-G2568)/365</f>
        <v>40.446575342465756</v>
      </c>
      <c r="P2568" s="91" t="s">
        <v>272</v>
      </c>
      <c r="Q2568" s="91">
        <v>0</v>
      </c>
      <c r="R2568" s="91">
        <v>0</v>
      </c>
      <c r="S2568" s="91">
        <v>0</v>
      </c>
      <c r="T2568" s="91"/>
      <c r="U2568" s="91"/>
      <c r="V2568" s="91"/>
      <c r="W2568" s="91"/>
      <c r="X2568" s="91"/>
      <c r="Y2568" s="91"/>
      <c r="Z2568" s="91"/>
      <c r="AA2568" s="91"/>
      <c r="AB2568" s="91"/>
      <c r="AC2568" s="91"/>
      <c r="AD2568" s="91"/>
      <c r="AE2568" s="91"/>
      <c r="AF2568" s="91"/>
      <c r="AG2568" s="91"/>
      <c r="AH2568" s="91"/>
      <c r="AI2568" s="91"/>
      <c r="AJ2568" s="91"/>
      <c r="AK2568" s="91"/>
      <c r="AL2568" s="91"/>
      <c r="AM2568" s="91"/>
    </row>
    <row r="2569" spans="1:39" ht="20.25" hidden="1" customHeight="1">
      <c r="A2569" s="91"/>
      <c r="B2569" s="93" t="s">
        <v>8048</v>
      </c>
      <c r="C2569" s="91" t="s">
        <v>36</v>
      </c>
      <c r="D2569" s="94" t="s">
        <v>513</v>
      </c>
      <c r="E2569" s="94" t="s">
        <v>8056</v>
      </c>
      <c r="F2569" s="95" t="s">
        <v>8057</v>
      </c>
      <c r="G2569" s="96">
        <v>29452</v>
      </c>
      <c r="H2569" s="97">
        <v>16986</v>
      </c>
      <c r="I2569" s="100" t="s">
        <v>58</v>
      </c>
      <c r="J2569" s="100" t="s">
        <v>58</v>
      </c>
      <c r="K2569" s="95">
        <v>988285480</v>
      </c>
      <c r="L2569" s="91" t="s">
        <v>66</v>
      </c>
      <c r="M2569" s="98">
        <f ca="1">(TODAY()-H2569)/365</f>
        <v>79.495890410958907</v>
      </c>
      <c r="N2569" s="99">
        <f>(G2569-H2569)/365</f>
        <v>34.153424657534245</v>
      </c>
      <c r="O2569" s="98">
        <f ca="1">(TODAY()-G2569)/365</f>
        <v>45.342465753424655</v>
      </c>
      <c r="P2569" s="91" t="s">
        <v>272</v>
      </c>
      <c r="Q2569" s="91">
        <v>0</v>
      </c>
      <c r="R2569" s="91">
        <v>0</v>
      </c>
      <c r="S2569" s="91">
        <v>0</v>
      </c>
      <c r="T2569" s="91"/>
      <c r="U2569" s="91"/>
      <c r="V2569" s="91"/>
      <c r="W2569" s="91"/>
      <c r="X2569" s="91"/>
      <c r="Y2569" s="91"/>
      <c r="Z2569" s="91"/>
      <c r="AA2569" s="91"/>
      <c r="AB2569" s="91"/>
      <c r="AC2569" s="91"/>
      <c r="AD2569" s="91"/>
      <c r="AE2569" s="91"/>
      <c r="AF2569" s="91"/>
      <c r="AG2569" s="91"/>
      <c r="AH2569" s="91"/>
      <c r="AI2569" s="91"/>
      <c r="AJ2569" s="91"/>
      <c r="AK2569" s="91"/>
      <c r="AL2569" s="91"/>
      <c r="AM2569" s="91"/>
    </row>
    <row r="2570" spans="1:39" ht="20.25" hidden="1" customHeight="1">
      <c r="A2570" s="91"/>
      <c r="B2570" s="93" t="s">
        <v>8048</v>
      </c>
      <c r="C2570" s="91" t="s">
        <v>36</v>
      </c>
      <c r="D2570" s="94" t="s">
        <v>2500</v>
      </c>
      <c r="E2570" s="94" t="s">
        <v>8058</v>
      </c>
      <c r="F2570" s="95" t="s">
        <v>8059</v>
      </c>
      <c r="G2570" s="96">
        <v>43228</v>
      </c>
      <c r="H2570" s="97">
        <v>27784</v>
      </c>
      <c r="I2570" s="94" t="s">
        <v>8060</v>
      </c>
      <c r="J2570" s="94" t="s">
        <v>8061</v>
      </c>
      <c r="K2570" s="95">
        <v>976544745</v>
      </c>
      <c r="L2570" s="91" t="s">
        <v>60</v>
      </c>
      <c r="M2570" s="98">
        <f ca="1">(TODAY()-H2570)/365</f>
        <v>49.912328767123284</v>
      </c>
      <c r="N2570" s="99">
        <f>(G2570-H2570)/365</f>
        <v>42.31232876712329</v>
      </c>
      <c r="O2570" s="98">
        <f ca="1">(TODAY()-G2570)/365</f>
        <v>7.6</v>
      </c>
      <c r="P2570" s="91" t="s">
        <v>43</v>
      </c>
      <c r="Q2570" s="91">
        <v>0</v>
      </c>
      <c r="R2570" s="91">
        <v>0</v>
      </c>
      <c r="S2570" s="91">
        <v>0</v>
      </c>
      <c r="T2570" s="91"/>
      <c r="U2570" s="91"/>
      <c r="V2570" s="91"/>
      <c r="W2570" s="91"/>
      <c r="X2570" s="91"/>
      <c r="Y2570" s="91"/>
      <c r="Z2570" s="91"/>
      <c r="AA2570" s="91"/>
      <c r="AB2570" s="91"/>
      <c r="AC2570" s="91"/>
      <c r="AD2570" s="91"/>
      <c r="AE2570" s="91"/>
      <c r="AF2570" s="91"/>
      <c r="AG2570" s="91"/>
      <c r="AH2570" s="91"/>
      <c r="AI2570" s="91"/>
      <c r="AJ2570" s="91"/>
      <c r="AK2570" s="91"/>
      <c r="AL2570" s="91"/>
      <c r="AM2570" s="91"/>
    </row>
    <row r="2571" spans="1:39" ht="20.25" hidden="1" customHeight="1">
      <c r="A2571" s="91"/>
      <c r="B2571" s="93" t="s">
        <v>8048</v>
      </c>
      <c r="C2571" s="91" t="s">
        <v>36</v>
      </c>
      <c r="D2571" s="94" t="s">
        <v>1221</v>
      </c>
      <c r="E2571" s="94" t="s">
        <v>8062</v>
      </c>
      <c r="F2571" s="95" t="s">
        <v>8063</v>
      </c>
      <c r="G2571" s="96">
        <v>40405</v>
      </c>
      <c r="H2571" s="97">
        <v>23943</v>
      </c>
      <c r="I2571" s="115" t="s">
        <v>8064</v>
      </c>
      <c r="J2571" s="94" t="s">
        <v>8065</v>
      </c>
      <c r="K2571" s="95">
        <v>987510468</v>
      </c>
      <c r="L2571" s="91" t="s">
        <v>49</v>
      </c>
      <c r="M2571" s="98">
        <f ca="1">(TODAY()-H2571)/365</f>
        <v>60.435616438356163</v>
      </c>
      <c r="N2571" s="99">
        <f>(G2571-H2571)/365</f>
        <v>45.101369863013701</v>
      </c>
      <c r="O2571" s="98">
        <f ca="1">(TODAY()-G2571)/365</f>
        <v>15.334246575342465</v>
      </c>
      <c r="P2571" s="91" t="s">
        <v>43</v>
      </c>
      <c r="Q2571" s="91">
        <v>0</v>
      </c>
      <c r="R2571" s="91">
        <v>0</v>
      </c>
      <c r="S2571" s="91">
        <v>0</v>
      </c>
      <c r="T2571" s="91"/>
      <c r="U2571" s="91"/>
      <c r="V2571" s="91"/>
      <c r="W2571" s="91"/>
      <c r="X2571" s="91"/>
      <c r="Y2571" s="91"/>
      <c r="Z2571" s="91"/>
      <c r="AA2571" s="91"/>
      <c r="AB2571" s="91"/>
      <c r="AC2571" s="91"/>
      <c r="AD2571" s="91"/>
      <c r="AE2571" s="91"/>
      <c r="AF2571" s="91"/>
      <c r="AG2571" s="91"/>
      <c r="AH2571" s="91"/>
      <c r="AI2571" s="91"/>
      <c r="AJ2571" s="91"/>
      <c r="AK2571" s="91"/>
      <c r="AL2571" s="91"/>
      <c r="AM2571" s="91"/>
    </row>
    <row r="2572" spans="1:39" ht="20.25" hidden="1" customHeight="1">
      <c r="A2572" s="91"/>
      <c r="B2572" s="93" t="s">
        <v>8048</v>
      </c>
      <c r="C2572" s="91" t="s">
        <v>36</v>
      </c>
      <c r="D2572" s="94" t="s">
        <v>331</v>
      </c>
      <c r="E2572" s="94" t="s">
        <v>8066</v>
      </c>
      <c r="F2572" s="95" t="s">
        <v>8067</v>
      </c>
      <c r="G2572" s="96">
        <v>38595</v>
      </c>
      <c r="H2572" s="97">
        <v>21843</v>
      </c>
      <c r="I2572" s="94" t="s">
        <v>8068</v>
      </c>
      <c r="J2572" s="94" t="s">
        <v>8069</v>
      </c>
      <c r="K2572" s="95">
        <v>982270598</v>
      </c>
      <c r="L2572" s="91" t="s">
        <v>60</v>
      </c>
      <c r="M2572" s="98">
        <f ca="1">(TODAY()-H2572)/365</f>
        <v>66.189041095890417</v>
      </c>
      <c r="N2572" s="99">
        <f>(G2572-H2572)/365</f>
        <v>45.895890410958906</v>
      </c>
      <c r="O2572" s="98">
        <f ca="1">(TODAY()-G2572)/365</f>
        <v>20.293150684931508</v>
      </c>
      <c r="P2572" s="91" t="s">
        <v>43</v>
      </c>
      <c r="Q2572" s="91">
        <v>0</v>
      </c>
      <c r="R2572" s="91">
        <v>0</v>
      </c>
      <c r="S2572" s="91">
        <v>0</v>
      </c>
      <c r="T2572" s="91"/>
      <c r="U2572" s="91"/>
      <c r="V2572" s="91"/>
      <c r="W2572" s="91"/>
      <c r="X2572" s="91"/>
      <c r="Y2572" s="91"/>
      <c r="Z2572" s="91"/>
      <c r="AA2572" s="91"/>
      <c r="AB2572" s="91"/>
      <c r="AC2572" s="91"/>
      <c r="AD2572" s="91"/>
      <c r="AE2572" s="91"/>
      <c r="AF2572" s="91"/>
      <c r="AG2572" s="91"/>
      <c r="AH2572" s="91"/>
      <c r="AI2572" s="91"/>
      <c r="AJ2572" s="91"/>
      <c r="AK2572" s="91"/>
      <c r="AL2572" s="91"/>
      <c r="AM2572" s="91"/>
    </row>
    <row r="2573" spans="1:39" ht="20.25" hidden="1" customHeight="1">
      <c r="A2573" s="91"/>
      <c r="B2573" s="93" t="s">
        <v>8048</v>
      </c>
      <c r="C2573" s="91" t="s">
        <v>36</v>
      </c>
      <c r="D2573" s="94" t="s">
        <v>8070</v>
      </c>
      <c r="E2573" s="94" t="s">
        <v>8071</v>
      </c>
      <c r="F2573" s="95" t="s">
        <v>8072</v>
      </c>
      <c r="G2573" s="96">
        <v>40405</v>
      </c>
      <c r="H2573" s="97">
        <v>21829</v>
      </c>
      <c r="I2573" s="115" t="s">
        <v>8073</v>
      </c>
      <c r="J2573" s="115" t="s">
        <v>8074</v>
      </c>
      <c r="K2573" s="95">
        <v>969170290</v>
      </c>
      <c r="L2573" s="91" t="s">
        <v>42</v>
      </c>
      <c r="M2573" s="98">
        <f ca="1">(TODAY()-H2573)/365</f>
        <v>66.227397260273975</v>
      </c>
      <c r="N2573" s="99">
        <f>(G2573-H2573)/365</f>
        <v>50.893150684931506</v>
      </c>
      <c r="O2573" s="98">
        <f ca="1">(TODAY()-G2573)/365</f>
        <v>15.334246575342465</v>
      </c>
      <c r="P2573" s="91" t="s">
        <v>43</v>
      </c>
      <c r="Q2573" s="91">
        <v>0</v>
      </c>
      <c r="R2573" s="91">
        <v>0</v>
      </c>
      <c r="S2573" s="91">
        <v>0</v>
      </c>
      <c r="T2573" s="91"/>
      <c r="U2573" s="91"/>
      <c r="V2573" s="91"/>
      <c r="W2573" s="91"/>
      <c r="X2573" s="91"/>
      <c r="Y2573" s="91"/>
      <c r="Z2573" s="91"/>
      <c r="AA2573" s="91"/>
      <c r="AB2573" s="91"/>
      <c r="AC2573" s="91"/>
      <c r="AD2573" s="91"/>
      <c r="AE2573" s="91"/>
      <c r="AF2573" s="91"/>
      <c r="AG2573" s="91"/>
      <c r="AH2573" s="91"/>
      <c r="AI2573" s="91"/>
      <c r="AJ2573" s="91"/>
      <c r="AK2573" s="91"/>
      <c r="AL2573" s="91"/>
      <c r="AM2573" s="91"/>
    </row>
    <row r="2574" spans="1:39" ht="20.25" hidden="1" customHeight="1">
      <c r="A2574" s="91"/>
      <c r="B2574" s="93" t="s">
        <v>8048</v>
      </c>
      <c r="C2574" s="91" t="s">
        <v>36</v>
      </c>
      <c r="D2574" s="94" t="s">
        <v>8075</v>
      </c>
      <c r="E2574" s="94" t="s">
        <v>8076</v>
      </c>
      <c r="F2574" s="95" t="s">
        <v>8077</v>
      </c>
      <c r="G2574" s="96">
        <v>44824</v>
      </c>
      <c r="H2574" s="97">
        <v>26223</v>
      </c>
      <c r="I2574" s="94" t="s">
        <v>58</v>
      </c>
      <c r="J2574" s="100" t="s">
        <v>58</v>
      </c>
      <c r="K2574" s="95">
        <v>988190848</v>
      </c>
      <c r="L2574" s="91" t="s">
        <v>60</v>
      </c>
      <c r="M2574" s="98">
        <f ca="1">(TODAY()-H2574)/365</f>
        <v>54.18904109589041</v>
      </c>
      <c r="N2574" s="99">
        <f>(G2574-H2574)/365</f>
        <v>50.961643835616435</v>
      </c>
      <c r="O2574" s="98">
        <f ca="1">(TODAY()-G2574)/365</f>
        <v>3.2273972602739724</v>
      </c>
      <c r="P2574" s="91" t="s">
        <v>43</v>
      </c>
      <c r="Q2574" s="91">
        <v>0</v>
      </c>
      <c r="R2574" s="91">
        <v>0</v>
      </c>
      <c r="S2574" s="91">
        <v>0</v>
      </c>
      <c r="T2574" s="91"/>
      <c r="U2574" s="91"/>
      <c r="V2574" s="91"/>
      <c r="W2574" s="91"/>
      <c r="X2574" s="91"/>
      <c r="Y2574" s="91"/>
      <c r="Z2574" s="91"/>
      <c r="AA2574" s="91"/>
      <c r="AB2574" s="91"/>
      <c r="AC2574" s="91"/>
      <c r="AD2574" s="91"/>
      <c r="AE2574" s="91"/>
      <c r="AF2574" s="91"/>
      <c r="AG2574" s="91"/>
      <c r="AH2574" s="91"/>
      <c r="AI2574" s="91"/>
      <c r="AJ2574" s="91"/>
      <c r="AK2574" s="91"/>
      <c r="AL2574" s="91"/>
      <c r="AM2574" s="91"/>
    </row>
    <row r="2575" spans="1:39" ht="20.25" hidden="1" customHeight="1">
      <c r="A2575" s="91"/>
      <c r="B2575" s="93" t="s">
        <v>8048</v>
      </c>
      <c r="C2575" s="91" t="s">
        <v>36</v>
      </c>
      <c r="D2575" s="94" t="s">
        <v>5296</v>
      </c>
      <c r="E2575" s="94" t="s">
        <v>8078</v>
      </c>
      <c r="F2575" s="95" t="s">
        <v>8079</v>
      </c>
      <c r="G2575" s="96">
        <v>35626</v>
      </c>
      <c r="H2575" s="97">
        <v>15918</v>
      </c>
      <c r="I2575" s="94" t="s">
        <v>8080</v>
      </c>
      <c r="J2575" s="100" t="s">
        <v>58</v>
      </c>
      <c r="K2575" s="95">
        <v>963408540</v>
      </c>
      <c r="L2575" s="91" t="s">
        <v>72</v>
      </c>
      <c r="M2575" s="98">
        <f ca="1">(TODAY()-H2575)/365</f>
        <v>82.421917808219177</v>
      </c>
      <c r="N2575" s="99">
        <f>(G2575-H2575)/365</f>
        <v>53.994520547945207</v>
      </c>
      <c r="O2575" s="98">
        <f ca="1">(TODAY()-G2575)/365</f>
        <v>28.427397260273974</v>
      </c>
      <c r="P2575" s="91" t="s">
        <v>43</v>
      </c>
      <c r="Q2575" s="91">
        <v>0</v>
      </c>
      <c r="R2575" s="91">
        <v>0</v>
      </c>
      <c r="S2575" s="91">
        <v>0</v>
      </c>
      <c r="T2575" s="91"/>
      <c r="U2575" s="91"/>
      <c r="V2575" s="91"/>
      <c r="W2575" s="91"/>
      <c r="X2575" s="91"/>
      <c r="Y2575" s="91"/>
      <c r="Z2575" s="91"/>
      <c r="AA2575" s="91"/>
      <c r="AB2575" s="91"/>
      <c r="AC2575" s="91"/>
      <c r="AD2575" s="91"/>
      <c r="AE2575" s="91"/>
      <c r="AF2575" s="91"/>
      <c r="AG2575" s="91"/>
      <c r="AH2575" s="91"/>
      <c r="AI2575" s="91"/>
      <c r="AJ2575" s="91"/>
      <c r="AK2575" s="91"/>
      <c r="AL2575" s="91"/>
      <c r="AM2575" s="91"/>
    </row>
    <row r="2576" spans="1:39" ht="20.25" hidden="1" customHeight="1">
      <c r="A2576" s="91"/>
      <c r="B2576" s="93" t="s">
        <v>8048</v>
      </c>
      <c r="C2576" s="91" t="s">
        <v>36</v>
      </c>
      <c r="D2576" s="94" t="s">
        <v>6867</v>
      </c>
      <c r="E2576" s="94" t="s">
        <v>8081</v>
      </c>
      <c r="F2576" s="95" t="s">
        <v>8082</v>
      </c>
      <c r="G2576" s="96">
        <v>41556</v>
      </c>
      <c r="H2576" s="97">
        <v>18233</v>
      </c>
      <c r="I2576" s="100" t="s">
        <v>58</v>
      </c>
      <c r="J2576" s="100" t="s">
        <v>58</v>
      </c>
      <c r="K2576" s="95">
        <v>994856955</v>
      </c>
      <c r="L2576" s="91" t="s">
        <v>60</v>
      </c>
      <c r="M2576" s="98">
        <f ca="1">(TODAY()-H2576)/365</f>
        <v>76.079452054794515</v>
      </c>
      <c r="N2576" s="99">
        <f>(G2576-H2576)/365</f>
        <v>63.898630136986299</v>
      </c>
      <c r="O2576" s="98">
        <f ca="1">(TODAY()-G2576)/365</f>
        <v>12.180821917808219</v>
      </c>
      <c r="P2576" s="91" t="s">
        <v>43</v>
      </c>
      <c r="Q2576" s="91">
        <v>0</v>
      </c>
      <c r="R2576" s="91">
        <v>0</v>
      </c>
      <c r="S2576" s="91">
        <v>0</v>
      </c>
      <c r="T2576" s="91"/>
      <c r="U2576" s="91"/>
      <c r="V2576" s="91"/>
      <c r="W2576" s="91"/>
      <c r="X2576" s="91"/>
      <c r="Y2576" s="91"/>
      <c r="Z2576" s="91"/>
      <c r="AA2576" s="91"/>
      <c r="AB2576" s="91"/>
      <c r="AC2576" s="91"/>
      <c r="AD2576" s="91"/>
      <c r="AE2576" s="91"/>
      <c r="AF2576" s="91"/>
      <c r="AG2576" s="91"/>
      <c r="AH2576" s="91"/>
      <c r="AI2576" s="91"/>
      <c r="AJ2576" s="91"/>
      <c r="AK2576" s="91"/>
      <c r="AL2576" s="91"/>
      <c r="AM2576" s="91"/>
    </row>
    <row r="2577" spans="1:39" ht="20.25" hidden="1" customHeight="1">
      <c r="A2577" s="91"/>
      <c r="B2577" s="93" t="s">
        <v>8048</v>
      </c>
      <c r="C2577" s="91" t="s">
        <v>36</v>
      </c>
      <c r="D2577" s="94" t="s">
        <v>728</v>
      </c>
      <c r="E2577" s="94" t="s">
        <v>8083</v>
      </c>
      <c r="F2577" s="95" t="s">
        <v>8084</v>
      </c>
      <c r="G2577" s="96">
        <v>45524</v>
      </c>
      <c r="H2577" s="97">
        <v>22115</v>
      </c>
      <c r="I2577" s="94" t="s">
        <v>8085</v>
      </c>
      <c r="J2577" s="94" t="s">
        <v>8086</v>
      </c>
      <c r="K2577" s="95">
        <v>976881439</v>
      </c>
      <c r="L2577" s="91" t="s">
        <v>60</v>
      </c>
      <c r="M2577" s="98">
        <f ca="1">(TODAY()-H2577)/365</f>
        <v>65.443835616438349</v>
      </c>
      <c r="N2577" s="99">
        <f>(G2577-H2577)/365</f>
        <v>64.134246575342459</v>
      </c>
      <c r="O2577" s="98">
        <f ca="1">(TODAY()-G2577)/365</f>
        <v>1.3095890410958904</v>
      </c>
      <c r="P2577" s="91" t="s">
        <v>43</v>
      </c>
      <c r="Q2577" s="91">
        <v>0</v>
      </c>
      <c r="R2577" s="91">
        <v>0</v>
      </c>
      <c r="S2577" s="91">
        <v>0</v>
      </c>
      <c r="T2577" s="91"/>
      <c r="U2577" s="91"/>
      <c r="V2577" s="91"/>
      <c r="W2577" s="91"/>
      <c r="X2577" s="91"/>
      <c r="Y2577" s="91"/>
      <c r="Z2577" s="91"/>
      <c r="AA2577" s="91"/>
      <c r="AB2577" s="91"/>
      <c r="AC2577" s="91"/>
      <c r="AD2577" s="91"/>
      <c r="AE2577" s="91"/>
      <c r="AF2577" s="91"/>
      <c r="AG2577" s="91"/>
      <c r="AH2577" s="91"/>
      <c r="AI2577" s="91"/>
      <c r="AJ2577" s="91"/>
      <c r="AK2577" s="91"/>
      <c r="AL2577" s="91"/>
      <c r="AM2577" s="91"/>
    </row>
    <row r="2578" spans="1:39" ht="20.25" hidden="1" customHeight="1">
      <c r="A2578" s="91"/>
      <c r="B2578" s="93" t="s">
        <v>8048</v>
      </c>
      <c r="C2578" s="91" t="s">
        <v>36</v>
      </c>
      <c r="D2578" s="94" t="s">
        <v>5620</v>
      </c>
      <c r="E2578" s="94" t="s">
        <v>8087</v>
      </c>
      <c r="F2578" s="95" t="s">
        <v>8088</v>
      </c>
      <c r="G2578" s="96">
        <v>44796</v>
      </c>
      <c r="H2578" s="97">
        <v>19439</v>
      </c>
      <c r="I2578" s="94" t="s">
        <v>8089</v>
      </c>
      <c r="J2578" s="94" t="s">
        <v>8090</v>
      </c>
      <c r="K2578" s="95">
        <v>981527467</v>
      </c>
      <c r="L2578" s="91" t="s">
        <v>60</v>
      </c>
      <c r="M2578" s="98">
        <f ca="1">(TODAY()-H2578)/365</f>
        <v>72.775342465753425</v>
      </c>
      <c r="N2578" s="99">
        <f>(G2578-H2578)/365</f>
        <v>69.471232876712335</v>
      </c>
      <c r="O2578" s="98">
        <f ca="1">(TODAY()-G2578)/365</f>
        <v>3.3041095890410959</v>
      </c>
      <c r="P2578" s="91" t="s">
        <v>43</v>
      </c>
      <c r="Q2578" s="91">
        <v>0</v>
      </c>
      <c r="R2578" s="91">
        <v>0</v>
      </c>
      <c r="S2578" s="91">
        <v>0</v>
      </c>
      <c r="T2578" s="91"/>
      <c r="U2578" s="91"/>
      <c r="V2578" s="91"/>
      <c r="W2578" s="91"/>
      <c r="X2578" s="91"/>
      <c r="Y2578" s="91"/>
      <c r="Z2578" s="91"/>
      <c r="AA2578" s="91"/>
      <c r="AB2578" s="91"/>
      <c r="AC2578" s="91"/>
      <c r="AD2578" s="91"/>
      <c r="AE2578" s="91"/>
      <c r="AF2578" s="91"/>
      <c r="AG2578" s="91"/>
      <c r="AH2578" s="91"/>
      <c r="AI2578" s="91"/>
      <c r="AJ2578" s="91"/>
      <c r="AK2578" s="91"/>
      <c r="AL2578" s="91"/>
      <c r="AM2578" s="91"/>
    </row>
    <row r="2579" spans="1:39" ht="20.25" hidden="1" customHeight="1">
      <c r="A2579" s="91"/>
      <c r="B2579" s="93" t="s">
        <v>8048</v>
      </c>
      <c r="C2579" s="91" t="s">
        <v>36</v>
      </c>
      <c r="D2579" s="94" t="s">
        <v>361</v>
      </c>
      <c r="E2579" s="94" t="s">
        <v>8091</v>
      </c>
      <c r="F2579" s="95" t="s">
        <v>8092</v>
      </c>
      <c r="G2579" s="96">
        <v>44779</v>
      </c>
      <c r="H2579" s="97">
        <v>19405</v>
      </c>
      <c r="I2579" s="94" t="s">
        <v>8093</v>
      </c>
      <c r="J2579" s="94" t="s">
        <v>8094</v>
      </c>
      <c r="K2579" s="95">
        <v>977485444</v>
      </c>
      <c r="L2579" s="91" t="s">
        <v>60</v>
      </c>
      <c r="M2579" s="98">
        <f ca="1">(TODAY()-H2579)/365</f>
        <v>72.868493150684927</v>
      </c>
      <c r="N2579" s="99">
        <f>(G2579-H2579)/365</f>
        <v>69.517808219178079</v>
      </c>
      <c r="O2579" s="98">
        <f ca="1">(TODAY()-G2579)/365</f>
        <v>3.3506849315068492</v>
      </c>
      <c r="P2579" s="91" t="s">
        <v>43</v>
      </c>
      <c r="Q2579" s="91">
        <v>0</v>
      </c>
      <c r="R2579" s="91">
        <v>0</v>
      </c>
      <c r="S2579" s="91">
        <v>0</v>
      </c>
      <c r="T2579" s="91"/>
      <c r="U2579" s="91"/>
      <c r="V2579" s="91"/>
      <c r="W2579" s="91"/>
      <c r="X2579" s="91"/>
      <c r="Y2579" s="91"/>
      <c r="Z2579" s="91"/>
      <c r="AA2579" s="91"/>
      <c r="AB2579" s="91"/>
      <c r="AC2579" s="91"/>
      <c r="AD2579" s="91"/>
      <c r="AE2579" s="91"/>
      <c r="AF2579" s="91"/>
      <c r="AG2579" s="91"/>
      <c r="AH2579" s="91"/>
      <c r="AI2579" s="91"/>
      <c r="AJ2579" s="91"/>
      <c r="AK2579" s="91"/>
      <c r="AL2579" s="91"/>
      <c r="AM2579" s="91"/>
    </row>
    <row r="2580" spans="1:39" ht="20.25" hidden="1" customHeight="1">
      <c r="A2580" s="91"/>
      <c r="B2580" s="93" t="s">
        <v>10888</v>
      </c>
      <c r="C2580" s="91" t="s">
        <v>36</v>
      </c>
      <c r="D2580" s="106" t="s">
        <v>6045</v>
      </c>
      <c r="E2580" s="106" t="s">
        <v>10889</v>
      </c>
      <c r="F2580" s="92" t="s">
        <v>10890</v>
      </c>
      <c r="G2580" s="103">
        <v>42797</v>
      </c>
      <c r="H2580" s="103">
        <v>35711</v>
      </c>
      <c r="I2580" s="108" t="s">
        <v>12625</v>
      </c>
      <c r="J2580" s="94" t="s">
        <v>10891</v>
      </c>
      <c r="K2580" s="92">
        <v>994187864</v>
      </c>
      <c r="L2580" s="91"/>
      <c r="M2580" s="98">
        <f ca="1">(TODAY()-H2580)/365</f>
        <v>28.194520547945206</v>
      </c>
      <c r="N2580" s="99">
        <f>(G2580-H2580)/365</f>
        <v>19.413698630136988</v>
      </c>
      <c r="O2580" s="98">
        <f ca="1">(TODAY()-G2580)/365</f>
        <v>8.7808219178082183</v>
      </c>
      <c r="P2580" s="91" t="s">
        <v>43</v>
      </c>
      <c r="Q2580" s="91"/>
      <c r="R2580" s="91"/>
      <c r="S2580" s="91"/>
      <c r="T2580" s="91"/>
      <c r="U2580" s="91"/>
      <c r="V2580" s="91"/>
      <c r="W2580" s="91"/>
      <c r="X2580" s="91"/>
      <c r="Y2580" s="91"/>
      <c r="Z2580" s="91"/>
      <c r="AA2580" s="91"/>
      <c r="AB2580" s="91"/>
      <c r="AC2580" s="91"/>
      <c r="AD2580" s="91"/>
      <c r="AE2580" s="91"/>
      <c r="AF2580" s="91"/>
      <c r="AG2580" s="91"/>
      <c r="AH2580" s="91"/>
      <c r="AI2580" s="91"/>
      <c r="AJ2580" s="91"/>
      <c r="AK2580" s="91"/>
      <c r="AL2580" s="91"/>
      <c r="AM2580" s="91"/>
    </row>
    <row r="2581" spans="1:39" ht="20.25" hidden="1" customHeight="1">
      <c r="A2581" s="91"/>
      <c r="B2581" s="93" t="s">
        <v>10888</v>
      </c>
      <c r="C2581" s="91" t="s">
        <v>36</v>
      </c>
      <c r="D2581" s="106" t="s">
        <v>10892</v>
      </c>
      <c r="E2581" s="106" t="s">
        <v>10893</v>
      </c>
      <c r="F2581" s="92" t="s">
        <v>10894</v>
      </c>
      <c r="G2581" s="103">
        <v>34208</v>
      </c>
      <c r="H2581" s="103">
        <v>17270</v>
      </c>
      <c r="I2581" s="94" t="s">
        <v>10895</v>
      </c>
      <c r="J2581" s="94" t="s">
        <v>10896</v>
      </c>
      <c r="K2581" s="92">
        <v>9322901961</v>
      </c>
      <c r="L2581" s="91"/>
      <c r="M2581" s="98">
        <f ca="1">(TODAY()-H2581)/365</f>
        <v>78.717808219178082</v>
      </c>
      <c r="N2581" s="99">
        <f>(G2581-H2581)/365</f>
        <v>46.405479452054792</v>
      </c>
      <c r="O2581" s="98">
        <f ca="1">(TODAY()-G2581)/365</f>
        <v>32.31232876712329</v>
      </c>
      <c r="P2581" s="91" t="s">
        <v>43</v>
      </c>
      <c r="Q2581" s="91"/>
      <c r="R2581" s="91"/>
      <c r="S2581" s="91"/>
      <c r="T2581" s="91"/>
      <c r="U2581" s="91"/>
      <c r="V2581" s="91"/>
      <c r="W2581" s="91"/>
      <c r="X2581" s="91"/>
      <c r="Y2581" s="91"/>
      <c r="Z2581" s="91"/>
      <c r="AA2581" s="91"/>
      <c r="AB2581" s="91"/>
      <c r="AC2581" s="91"/>
      <c r="AD2581" s="91"/>
      <c r="AE2581" s="91"/>
      <c r="AF2581" s="91"/>
      <c r="AG2581" s="91"/>
      <c r="AH2581" s="91"/>
      <c r="AI2581" s="91"/>
      <c r="AJ2581" s="91"/>
      <c r="AK2581" s="91"/>
      <c r="AL2581" s="91"/>
      <c r="AM2581" s="91"/>
    </row>
    <row r="2582" spans="1:39" ht="20.25" hidden="1" customHeight="1">
      <c r="A2582" s="91"/>
      <c r="B2582" s="93" t="s">
        <v>10888</v>
      </c>
      <c r="C2582" s="91" t="s">
        <v>36</v>
      </c>
      <c r="D2582" s="106" t="s">
        <v>10897</v>
      </c>
      <c r="E2582" s="106" t="s">
        <v>10898</v>
      </c>
      <c r="F2582" s="92" t="s">
        <v>10899</v>
      </c>
      <c r="G2582" s="103">
        <v>35950</v>
      </c>
      <c r="H2582" s="103">
        <v>22442</v>
      </c>
      <c r="I2582" s="108" t="s">
        <v>12626</v>
      </c>
      <c r="J2582" s="94" t="s">
        <v>10900</v>
      </c>
      <c r="K2582" s="92">
        <v>999645239</v>
      </c>
      <c r="L2582" s="91"/>
      <c r="M2582" s="98">
        <f ca="1">(TODAY()-H2582)/365</f>
        <v>64.547945205479451</v>
      </c>
      <c r="N2582" s="99">
        <f>(G2582-H2582)/365</f>
        <v>37.008219178082193</v>
      </c>
      <c r="O2582" s="98">
        <f ca="1">(TODAY()-G2582)/365</f>
        <v>27.539726027397261</v>
      </c>
      <c r="P2582" s="91" t="s">
        <v>43</v>
      </c>
      <c r="Q2582" s="91"/>
      <c r="R2582" s="91"/>
      <c r="S2582" s="91"/>
      <c r="T2582" s="91"/>
      <c r="U2582" s="91"/>
      <c r="V2582" s="91"/>
      <c r="W2582" s="91"/>
      <c r="X2582" s="91"/>
      <c r="Y2582" s="91"/>
      <c r="Z2582" s="91"/>
      <c r="AA2582" s="91"/>
      <c r="AB2582" s="91"/>
      <c r="AC2582" s="91"/>
      <c r="AD2582" s="91"/>
      <c r="AE2582" s="91"/>
      <c r="AF2582" s="91"/>
      <c r="AG2582" s="91"/>
      <c r="AH2582" s="91"/>
      <c r="AI2582" s="91"/>
      <c r="AJ2582" s="91"/>
      <c r="AK2582" s="91"/>
      <c r="AL2582" s="91"/>
      <c r="AM2582" s="91"/>
    </row>
    <row r="2583" spans="1:39" ht="20.25" hidden="1" customHeight="1">
      <c r="A2583" s="91"/>
      <c r="B2583" s="93" t="s">
        <v>10888</v>
      </c>
      <c r="C2583" s="91" t="s">
        <v>36</v>
      </c>
      <c r="D2583" s="106" t="s">
        <v>2706</v>
      </c>
      <c r="E2583" s="106" t="s">
        <v>10901</v>
      </c>
      <c r="F2583" s="92" t="s">
        <v>10902</v>
      </c>
      <c r="G2583" s="103">
        <v>28038</v>
      </c>
      <c r="H2583" s="103">
        <v>15859</v>
      </c>
      <c r="I2583" s="94" t="s">
        <v>10903</v>
      </c>
      <c r="J2583" s="94" t="s">
        <v>10904</v>
      </c>
      <c r="K2583" s="92">
        <v>982457153</v>
      </c>
      <c r="L2583" s="91"/>
      <c r="M2583" s="98">
        <f ca="1">(TODAY()-H2583)/365</f>
        <v>82.583561643835623</v>
      </c>
      <c r="N2583" s="99">
        <f>(G2583-H2583)/365</f>
        <v>33.367123287671234</v>
      </c>
      <c r="O2583" s="98">
        <f ca="1">(TODAY()-G2583)/365</f>
        <v>49.216438356164382</v>
      </c>
      <c r="P2583" s="91" t="s">
        <v>43</v>
      </c>
      <c r="Q2583" s="91"/>
      <c r="R2583" s="91"/>
      <c r="S2583" s="91"/>
      <c r="T2583" s="91"/>
      <c r="U2583" s="91"/>
      <c r="V2583" s="91"/>
      <c r="W2583" s="91"/>
      <c r="X2583" s="91"/>
      <c r="Y2583" s="91"/>
      <c r="Z2583" s="91"/>
      <c r="AA2583" s="91"/>
      <c r="AB2583" s="91"/>
      <c r="AC2583" s="91"/>
      <c r="AD2583" s="91"/>
      <c r="AE2583" s="91"/>
      <c r="AF2583" s="91"/>
      <c r="AG2583" s="91"/>
      <c r="AH2583" s="91"/>
      <c r="AI2583" s="91"/>
      <c r="AJ2583" s="91"/>
      <c r="AK2583" s="91"/>
      <c r="AL2583" s="91"/>
      <c r="AM2583" s="91"/>
    </row>
    <row r="2584" spans="1:39" ht="20.25" hidden="1" customHeight="1">
      <c r="A2584" s="91"/>
      <c r="B2584" s="93" t="s">
        <v>10888</v>
      </c>
      <c r="C2584" s="91" t="s">
        <v>36</v>
      </c>
      <c r="D2584" s="106" t="s">
        <v>10905</v>
      </c>
      <c r="E2584" s="106" t="s">
        <v>10906</v>
      </c>
      <c r="F2584" s="92" t="s">
        <v>10907</v>
      </c>
      <c r="G2584" s="103">
        <v>42830</v>
      </c>
      <c r="H2584" s="103">
        <v>22593</v>
      </c>
      <c r="I2584" s="108" t="s">
        <v>12627</v>
      </c>
      <c r="J2584" s="94" t="s">
        <v>10908</v>
      </c>
      <c r="K2584" s="92">
        <v>962265863</v>
      </c>
      <c r="L2584" s="91"/>
      <c r="M2584" s="98">
        <f ca="1">(TODAY()-H2584)/365</f>
        <v>64.134246575342459</v>
      </c>
      <c r="N2584" s="99">
        <f>(G2584-H2584)/365</f>
        <v>55.443835616438356</v>
      </c>
      <c r="O2584" s="98">
        <f ca="1">(TODAY()-G2584)/365</f>
        <v>8.6904109589041099</v>
      </c>
      <c r="P2584" s="91" t="s">
        <v>43</v>
      </c>
      <c r="Q2584" s="91"/>
      <c r="R2584" s="91"/>
      <c r="S2584" s="91"/>
      <c r="T2584" s="91"/>
      <c r="U2584" s="91"/>
      <c r="V2584" s="91"/>
      <c r="W2584" s="91"/>
      <c r="X2584" s="91"/>
      <c r="Y2584" s="91"/>
      <c r="Z2584" s="91"/>
      <c r="AA2584" s="91"/>
      <c r="AB2584" s="91"/>
      <c r="AC2584" s="91"/>
      <c r="AD2584" s="91"/>
      <c r="AE2584" s="91"/>
      <c r="AF2584" s="91"/>
      <c r="AG2584" s="91"/>
      <c r="AH2584" s="91"/>
      <c r="AI2584" s="91"/>
      <c r="AJ2584" s="91"/>
      <c r="AK2584" s="91"/>
      <c r="AL2584" s="91"/>
      <c r="AM2584" s="91"/>
    </row>
    <row r="2585" spans="1:39" ht="20.25" hidden="1" customHeight="1">
      <c r="A2585" s="91"/>
      <c r="B2585" s="93" t="s">
        <v>10888</v>
      </c>
      <c r="C2585" s="91" t="s">
        <v>36</v>
      </c>
      <c r="D2585" s="106" t="s">
        <v>513</v>
      </c>
      <c r="E2585" s="106" t="s">
        <v>10909</v>
      </c>
      <c r="F2585" s="92" t="s">
        <v>10910</v>
      </c>
      <c r="G2585" s="103">
        <v>42877</v>
      </c>
      <c r="H2585" s="103">
        <v>21258</v>
      </c>
      <c r="I2585" s="108" t="s">
        <v>12628</v>
      </c>
      <c r="J2585" s="94" t="s">
        <v>10911</v>
      </c>
      <c r="K2585" s="92">
        <v>988079040</v>
      </c>
      <c r="L2585" s="91"/>
      <c r="M2585" s="98">
        <f ca="1">(TODAY()-H2585)/365</f>
        <v>67.791780821917811</v>
      </c>
      <c r="N2585" s="99">
        <f>(G2585-H2585)/365</f>
        <v>59.230136986301368</v>
      </c>
      <c r="O2585" s="98">
        <f ca="1">(TODAY()-G2585)/365</f>
        <v>8.5616438356164384</v>
      </c>
      <c r="P2585" s="91" t="s">
        <v>43</v>
      </c>
      <c r="Q2585" s="91"/>
      <c r="R2585" s="91"/>
      <c r="S2585" s="91"/>
      <c r="T2585" s="91"/>
      <c r="U2585" s="91"/>
      <c r="V2585" s="91"/>
      <c r="W2585" s="91"/>
      <c r="X2585" s="91"/>
      <c r="Y2585" s="91"/>
      <c r="Z2585" s="91"/>
      <c r="AA2585" s="91"/>
      <c r="AB2585" s="91"/>
      <c r="AC2585" s="91"/>
      <c r="AD2585" s="91"/>
      <c r="AE2585" s="91"/>
      <c r="AF2585" s="91"/>
      <c r="AG2585" s="91"/>
      <c r="AH2585" s="91"/>
      <c r="AI2585" s="91"/>
      <c r="AJ2585" s="91"/>
      <c r="AK2585" s="91"/>
      <c r="AL2585" s="91"/>
      <c r="AM2585" s="91"/>
    </row>
    <row r="2586" spans="1:39" ht="20.25" hidden="1" customHeight="1">
      <c r="A2586" s="91"/>
      <c r="B2586" s="93" t="s">
        <v>10888</v>
      </c>
      <c r="C2586" s="91" t="s">
        <v>36</v>
      </c>
      <c r="D2586" s="106" t="s">
        <v>1386</v>
      </c>
      <c r="E2586" s="106" t="s">
        <v>10906</v>
      </c>
      <c r="F2586" s="92" t="s">
        <v>10912</v>
      </c>
      <c r="G2586" s="103">
        <v>44806</v>
      </c>
      <c r="H2586" s="103">
        <v>25109</v>
      </c>
      <c r="I2586" s="108" t="s">
        <v>12629</v>
      </c>
      <c r="J2586" s="94" t="s">
        <v>10913</v>
      </c>
      <c r="K2586" s="92">
        <v>954205951</v>
      </c>
      <c r="L2586" s="91"/>
      <c r="M2586" s="98">
        <f ca="1">(TODAY()-H2586)/365</f>
        <v>57.241095890410961</v>
      </c>
      <c r="N2586" s="99">
        <f>(G2586-H2586)/365</f>
        <v>53.964383561643835</v>
      </c>
      <c r="O2586" s="98">
        <f ca="1">(TODAY()-G2586)/365</f>
        <v>3.2767123287671232</v>
      </c>
      <c r="P2586" s="91" t="s">
        <v>43</v>
      </c>
      <c r="Q2586" s="91"/>
      <c r="R2586" s="91"/>
      <c r="S2586" s="91"/>
      <c r="T2586" s="91"/>
      <c r="U2586" s="91"/>
      <c r="V2586" s="91"/>
      <c r="W2586" s="91"/>
      <c r="X2586" s="91"/>
      <c r="Y2586" s="91"/>
      <c r="Z2586" s="91"/>
      <c r="AA2586" s="91"/>
      <c r="AB2586" s="91"/>
      <c r="AC2586" s="91"/>
      <c r="AD2586" s="91"/>
      <c r="AE2586" s="91"/>
      <c r="AF2586" s="91"/>
      <c r="AG2586" s="91"/>
      <c r="AH2586" s="91"/>
      <c r="AI2586" s="91"/>
      <c r="AJ2586" s="91"/>
      <c r="AK2586" s="91"/>
      <c r="AL2586" s="91"/>
      <c r="AM2586" s="91"/>
    </row>
    <row r="2587" spans="1:39" ht="20.25" hidden="1" customHeight="1">
      <c r="A2587" s="91"/>
      <c r="B2587" s="93" t="s">
        <v>10888</v>
      </c>
      <c r="C2587" s="91" t="s">
        <v>36</v>
      </c>
      <c r="D2587" s="106" t="s">
        <v>10914</v>
      </c>
      <c r="E2587" s="106" t="s">
        <v>10915</v>
      </c>
      <c r="F2587" s="92" t="s">
        <v>10916</v>
      </c>
      <c r="G2587" s="103">
        <v>30271</v>
      </c>
      <c r="H2587" s="103">
        <v>14833</v>
      </c>
      <c r="I2587" s="94" t="s">
        <v>10903</v>
      </c>
      <c r="J2587" s="100" t="s">
        <v>58</v>
      </c>
      <c r="K2587" s="92">
        <v>986090055</v>
      </c>
      <c r="L2587" s="91"/>
      <c r="M2587" s="98">
        <f ca="1">(TODAY()-H2587)/365</f>
        <v>85.394520547945206</v>
      </c>
      <c r="N2587" s="99">
        <f>(G2587-H2587)/365</f>
        <v>42.295890410958904</v>
      </c>
      <c r="O2587" s="98">
        <f ca="1">(TODAY()-G2587)/365</f>
        <v>43.098630136986301</v>
      </c>
      <c r="P2587" s="91" t="s">
        <v>43</v>
      </c>
      <c r="Q2587" s="91"/>
      <c r="R2587" s="91"/>
      <c r="S2587" s="91"/>
      <c r="T2587" s="91"/>
      <c r="U2587" s="91"/>
      <c r="V2587" s="91"/>
      <c r="W2587" s="91"/>
      <c r="X2587" s="91"/>
      <c r="Y2587" s="91"/>
      <c r="Z2587" s="91"/>
      <c r="AA2587" s="91"/>
      <c r="AB2587" s="91"/>
      <c r="AC2587" s="91"/>
      <c r="AD2587" s="91"/>
      <c r="AE2587" s="91"/>
      <c r="AF2587" s="91"/>
      <c r="AG2587" s="91"/>
      <c r="AH2587" s="91"/>
      <c r="AI2587" s="91"/>
      <c r="AJ2587" s="91"/>
      <c r="AK2587" s="91"/>
      <c r="AL2587" s="91"/>
      <c r="AM2587" s="91"/>
    </row>
    <row r="2588" spans="1:39" ht="20.25" hidden="1" customHeight="1">
      <c r="A2588" s="91"/>
      <c r="B2588" s="93" t="s">
        <v>10888</v>
      </c>
      <c r="C2588" s="91" t="s">
        <v>36</v>
      </c>
      <c r="D2588" s="106" t="s">
        <v>10917</v>
      </c>
      <c r="E2588" s="106" t="s">
        <v>10918</v>
      </c>
      <c r="F2588" s="92" t="s">
        <v>10919</v>
      </c>
      <c r="G2588" s="103">
        <v>29698</v>
      </c>
      <c r="H2588" s="103">
        <v>20429</v>
      </c>
      <c r="I2588" s="108" t="s">
        <v>12630</v>
      </c>
      <c r="J2588" s="94" t="s">
        <v>10920</v>
      </c>
      <c r="K2588" s="92">
        <v>931078734</v>
      </c>
      <c r="L2588" s="91"/>
      <c r="M2588" s="98">
        <f ca="1">(TODAY()-H2588)/365</f>
        <v>70.063013698630144</v>
      </c>
      <c r="N2588" s="99">
        <f>(G2588-H2588)/365</f>
        <v>25.394520547945206</v>
      </c>
      <c r="O2588" s="98">
        <f ca="1">(TODAY()-G2588)/365</f>
        <v>44.668493150684931</v>
      </c>
      <c r="P2588" s="91" t="s">
        <v>43</v>
      </c>
      <c r="Q2588" s="91"/>
      <c r="R2588" s="91"/>
      <c r="S2588" s="91"/>
      <c r="T2588" s="91"/>
      <c r="U2588" s="91"/>
      <c r="V2588" s="91"/>
      <c r="W2588" s="91"/>
      <c r="X2588" s="91"/>
      <c r="Y2588" s="91"/>
      <c r="Z2588" s="91"/>
      <c r="AA2588" s="91"/>
      <c r="AB2588" s="91"/>
      <c r="AC2588" s="91"/>
      <c r="AD2588" s="91"/>
      <c r="AE2588" s="91"/>
      <c r="AF2588" s="91"/>
      <c r="AG2588" s="91"/>
      <c r="AH2588" s="91"/>
      <c r="AI2588" s="91"/>
      <c r="AJ2588" s="91"/>
      <c r="AK2588" s="91"/>
      <c r="AL2588" s="91"/>
      <c r="AM2588" s="91"/>
    </row>
    <row r="2589" spans="1:39" ht="20.25" hidden="1" customHeight="1">
      <c r="A2589" s="91"/>
      <c r="B2589" s="93" t="s">
        <v>10888</v>
      </c>
      <c r="C2589" s="91" t="s">
        <v>36</v>
      </c>
      <c r="D2589" s="106" t="s">
        <v>7512</v>
      </c>
      <c r="E2589" s="106" t="s">
        <v>10921</v>
      </c>
      <c r="F2589" s="92" t="s">
        <v>10922</v>
      </c>
      <c r="G2589" s="103" t="s">
        <v>10923</v>
      </c>
      <c r="H2589" s="103">
        <v>14547</v>
      </c>
      <c r="I2589" s="94" t="s">
        <v>10924</v>
      </c>
      <c r="J2589" s="94" t="s">
        <v>10925</v>
      </c>
      <c r="K2589" s="92">
        <v>979471614</v>
      </c>
      <c r="L2589" s="91"/>
      <c r="M2589" s="98">
        <f ca="1">(TODAY()-H2589)/365</f>
        <v>86.178082191780817</v>
      </c>
      <c r="N2589" s="99" t="e">
        <f>(G2589-H2589)/365</f>
        <v>#VALUE!</v>
      </c>
      <c r="O2589" s="98" t="e">
        <f ca="1">(TODAY()-G2589)/365</f>
        <v>#VALUE!</v>
      </c>
      <c r="P2589" s="91" t="s">
        <v>43</v>
      </c>
      <c r="Q2589" s="91"/>
      <c r="R2589" s="91"/>
      <c r="S2589" s="91"/>
      <c r="T2589" s="91"/>
      <c r="U2589" s="91"/>
      <c r="V2589" s="91"/>
      <c r="W2589" s="91"/>
      <c r="X2589" s="91"/>
      <c r="Y2589" s="91"/>
      <c r="Z2589" s="91"/>
      <c r="AA2589" s="91"/>
      <c r="AB2589" s="91"/>
      <c r="AC2589" s="91"/>
      <c r="AD2589" s="91"/>
      <c r="AE2589" s="91"/>
      <c r="AF2589" s="91"/>
      <c r="AG2589" s="91"/>
      <c r="AH2589" s="91"/>
      <c r="AI2589" s="91"/>
      <c r="AJ2589" s="91"/>
      <c r="AK2589" s="91"/>
      <c r="AL2589" s="91"/>
      <c r="AM2589" s="91"/>
    </row>
    <row r="2590" spans="1:39" ht="20.25" hidden="1" customHeight="1">
      <c r="A2590" s="91"/>
      <c r="B2590" s="93" t="s">
        <v>10888</v>
      </c>
      <c r="C2590" s="91" t="s">
        <v>36</v>
      </c>
      <c r="D2590" s="106" t="s">
        <v>10926</v>
      </c>
      <c r="E2590" s="106" t="s">
        <v>10927</v>
      </c>
      <c r="F2590" s="92" t="s">
        <v>10928</v>
      </c>
      <c r="G2590" s="103">
        <v>37061</v>
      </c>
      <c r="H2590" s="103">
        <v>20016</v>
      </c>
      <c r="I2590" s="108" t="s">
        <v>12631</v>
      </c>
      <c r="J2590" s="94" t="s">
        <v>10929</v>
      </c>
      <c r="K2590" s="92">
        <v>961598732</v>
      </c>
      <c r="L2590" s="91"/>
      <c r="M2590" s="98">
        <f ca="1">(TODAY()-H2590)/365</f>
        <v>71.194520547945203</v>
      </c>
      <c r="N2590" s="99">
        <f>(G2590-H2590)/365</f>
        <v>46.698630136986303</v>
      </c>
      <c r="O2590" s="98">
        <f ca="1">(TODAY()-G2590)/365</f>
        <v>24.495890410958904</v>
      </c>
      <c r="P2590" s="91" t="s">
        <v>43</v>
      </c>
      <c r="Q2590" s="91"/>
      <c r="R2590" s="91"/>
      <c r="S2590" s="91"/>
      <c r="T2590" s="91"/>
      <c r="U2590" s="91"/>
      <c r="V2590" s="91"/>
      <c r="W2590" s="91"/>
      <c r="X2590" s="91"/>
      <c r="Y2590" s="91"/>
      <c r="Z2590" s="91"/>
      <c r="AA2590" s="91"/>
      <c r="AB2590" s="91"/>
      <c r="AC2590" s="91"/>
      <c r="AD2590" s="91"/>
      <c r="AE2590" s="91"/>
      <c r="AF2590" s="91"/>
      <c r="AG2590" s="91"/>
      <c r="AH2590" s="91"/>
      <c r="AI2590" s="91"/>
      <c r="AJ2590" s="91"/>
      <c r="AK2590" s="91"/>
      <c r="AL2590" s="91"/>
      <c r="AM2590" s="91"/>
    </row>
    <row r="2591" spans="1:39" ht="20.25" hidden="1" customHeight="1">
      <c r="A2591" s="91"/>
      <c r="B2591" s="93" t="s">
        <v>10888</v>
      </c>
      <c r="C2591" s="91" t="s">
        <v>36</v>
      </c>
      <c r="D2591" s="106" t="s">
        <v>10926</v>
      </c>
      <c r="E2591" s="106" t="s">
        <v>10930</v>
      </c>
      <c r="F2591" s="92" t="s">
        <v>10931</v>
      </c>
      <c r="G2591" s="103">
        <v>44997</v>
      </c>
      <c r="H2591" s="103">
        <v>22731</v>
      </c>
      <c r="I2591" s="108" t="s">
        <v>12632</v>
      </c>
      <c r="J2591" s="100" t="s">
        <v>58</v>
      </c>
      <c r="K2591" s="92">
        <v>966695526</v>
      </c>
      <c r="L2591" s="91"/>
      <c r="M2591" s="98">
        <f ca="1">(TODAY()-H2591)/365</f>
        <v>63.756164383561647</v>
      </c>
      <c r="N2591" s="99">
        <f>(G2591-H2591)/365</f>
        <v>61.0027397260274</v>
      </c>
      <c r="O2591" s="98">
        <f ca="1">(TODAY()-G2591)/365</f>
        <v>2.7534246575342465</v>
      </c>
      <c r="P2591" s="91" t="s">
        <v>43</v>
      </c>
      <c r="Q2591" s="91"/>
      <c r="R2591" s="91"/>
      <c r="S2591" s="91"/>
      <c r="T2591" s="91"/>
      <c r="U2591" s="91"/>
      <c r="V2591" s="91"/>
      <c r="W2591" s="91"/>
      <c r="X2591" s="91"/>
      <c r="Y2591" s="91"/>
      <c r="Z2591" s="91"/>
      <c r="AA2591" s="91"/>
      <c r="AB2591" s="91"/>
      <c r="AC2591" s="91"/>
      <c r="AD2591" s="91"/>
      <c r="AE2591" s="91"/>
      <c r="AF2591" s="91"/>
      <c r="AG2591" s="91"/>
      <c r="AH2591" s="91"/>
      <c r="AI2591" s="91"/>
      <c r="AJ2591" s="91"/>
      <c r="AK2591" s="91"/>
      <c r="AL2591" s="91"/>
      <c r="AM2591" s="91"/>
    </row>
    <row r="2592" spans="1:39" ht="20.25" hidden="1" customHeight="1">
      <c r="A2592" s="91"/>
      <c r="B2592" s="93" t="s">
        <v>10888</v>
      </c>
      <c r="C2592" s="91" t="s">
        <v>36</v>
      </c>
      <c r="D2592" s="106" t="s">
        <v>10932</v>
      </c>
      <c r="E2592" s="106" t="s">
        <v>10933</v>
      </c>
      <c r="F2592" s="92" t="s">
        <v>10934</v>
      </c>
      <c r="G2592" s="103">
        <v>45075</v>
      </c>
      <c r="H2592" s="103">
        <v>39440</v>
      </c>
      <c r="I2592" s="108" t="s">
        <v>12633</v>
      </c>
      <c r="J2592" s="94" t="s">
        <v>10935</v>
      </c>
      <c r="K2592" s="92">
        <v>958971923</v>
      </c>
      <c r="L2592" s="91"/>
      <c r="M2592" s="98">
        <f ca="1">(TODAY()-H2592)/365</f>
        <v>17.978082191780821</v>
      </c>
      <c r="N2592" s="99">
        <f>(G2592-H2592)/365</f>
        <v>15.438356164383562</v>
      </c>
      <c r="O2592" s="98">
        <f ca="1">(TODAY()-G2592)/365</f>
        <v>2.5397260273972604</v>
      </c>
      <c r="P2592" s="91" t="s">
        <v>272</v>
      </c>
      <c r="Q2592" s="91"/>
      <c r="R2592" s="91"/>
      <c r="S2592" s="91"/>
      <c r="T2592" s="91"/>
      <c r="U2592" s="91"/>
      <c r="V2592" s="91"/>
      <c r="W2592" s="91"/>
      <c r="X2592" s="91"/>
      <c r="Y2592" s="91"/>
      <c r="Z2592" s="91"/>
      <c r="AA2592" s="91"/>
      <c r="AB2592" s="91"/>
      <c r="AC2592" s="91"/>
      <c r="AD2592" s="91"/>
      <c r="AE2592" s="91"/>
      <c r="AF2592" s="91"/>
      <c r="AG2592" s="91"/>
      <c r="AH2592" s="91"/>
      <c r="AI2592" s="91"/>
      <c r="AJ2592" s="91"/>
      <c r="AK2592" s="91"/>
      <c r="AL2592" s="91"/>
      <c r="AM2592" s="91"/>
    </row>
    <row r="2593" spans="1:39" ht="20.25" hidden="1" customHeight="1">
      <c r="A2593" s="91"/>
      <c r="B2593" s="93" t="s">
        <v>10888</v>
      </c>
      <c r="C2593" s="91" t="s">
        <v>36</v>
      </c>
      <c r="D2593" s="106" t="s">
        <v>3272</v>
      </c>
      <c r="E2593" s="106" t="s">
        <v>10936</v>
      </c>
      <c r="F2593" s="92" t="s">
        <v>10937</v>
      </c>
      <c r="G2593" s="103">
        <v>41738</v>
      </c>
      <c r="H2593" s="103">
        <v>28829</v>
      </c>
      <c r="I2593" s="108" t="s">
        <v>12634</v>
      </c>
      <c r="J2593" s="100" t="s">
        <v>58</v>
      </c>
      <c r="K2593" s="92">
        <v>927197542</v>
      </c>
      <c r="L2593" s="91"/>
      <c r="M2593" s="98">
        <f ca="1">(TODAY()-H2593)/365</f>
        <v>47.049315068493151</v>
      </c>
      <c r="N2593" s="99">
        <f>(G2593-H2593)/365</f>
        <v>35.367123287671234</v>
      </c>
      <c r="O2593" s="98">
        <f ca="1">(TODAY()-G2593)/365</f>
        <v>11.682191780821919</v>
      </c>
      <c r="P2593" s="91" t="s">
        <v>43</v>
      </c>
      <c r="Q2593" s="91"/>
      <c r="R2593" s="91"/>
      <c r="S2593" s="91"/>
      <c r="T2593" s="91"/>
      <c r="U2593" s="91"/>
      <c r="V2593" s="91"/>
      <c r="W2593" s="91"/>
      <c r="X2593" s="91"/>
      <c r="Y2593" s="91"/>
      <c r="Z2593" s="91"/>
      <c r="AA2593" s="91"/>
      <c r="AB2593" s="91"/>
      <c r="AC2593" s="91"/>
      <c r="AD2593" s="91"/>
      <c r="AE2593" s="91"/>
      <c r="AF2593" s="91"/>
      <c r="AG2593" s="91"/>
      <c r="AH2593" s="91"/>
      <c r="AI2593" s="91"/>
      <c r="AJ2593" s="91"/>
      <c r="AK2593" s="91"/>
      <c r="AL2593" s="91"/>
      <c r="AM2593" s="91"/>
    </row>
    <row r="2594" spans="1:39" ht="20.25" customHeight="1">
      <c r="A2594" s="91"/>
      <c r="B2594" s="93" t="s">
        <v>77</v>
      </c>
      <c r="C2594" s="91" t="s">
        <v>73</v>
      </c>
      <c r="D2594" s="94" t="s">
        <v>168</v>
      </c>
      <c r="E2594" s="94" t="s">
        <v>169</v>
      </c>
      <c r="F2594" s="95" t="s">
        <v>170</v>
      </c>
      <c r="G2594" s="96">
        <v>30090</v>
      </c>
      <c r="H2594" s="97">
        <v>14173</v>
      </c>
      <c r="I2594" s="100" t="s">
        <v>58</v>
      </c>
      <c r="J2594" s="100" t="s">
        <v>58</v>
      </c>
      <c r="K2594" s="91" t="s">
        <v>58</v>
      </c>
      <c r="L2594" s="91" t="s">
        <v>60</v>
      </c>
      <c r="M2594" s="98">
        <f ca="1">(TODAY()-H2594)/365</f>
        <v>87.202739726027403</v>
      </c>
      <c r="N2594" s="99">
        <f>(G2594-H2594)/365</f>
        <v>43.608219178082194</v>
      </c>
      <c r="O2594" s="98">
        <f ca="1">(TODAY()-G2594)/365</f>
        <v>43.594520547945208</v>
      </c>
      <c r="P2594" s="91" t="s">
        <v>43</v>
      </c>
      <c r="Q2594" s="91">
        <v>0</v>
      </c>
      <c r="R2594" s="91">
        <v>0</v>
      </c>
      <c r="S2594" s="91">
        <v>0</v>
      </c>
      <c r="T2594" s="91"/>
      <c r="U2594" s="91"/>
      <c r="V2594" s="91"/>
      <c r="W2594" s="91"/>
      <c r="X2594" s="91"/>
      <c r="Y2594" s="91"/>
      <c r="Z2594" s="91"/>
      <c r="AA2594" s="91"/>
      <c r="AB2594" s="91"/>
      <c r="AC2594" s="91"/>
      <c r="AD2594" s="91"/>
      <c r="AE2594" s="91"/>
      <c r="AF2594" s="91"/>
      <c r="AG2594" s="91"/>
      <c r="AH2594" s="91"/>
      <c r="AI2594" s="91"/>
      <c r="AJ2594" s="91"/>
      <c r="AK2594" s="91"/>
      <c r="AL2594" s="91"/>
      <c r="AM2594" s="91"/>
    </row>
    <row r="2595" spans="1:39" ht="20.25" customHeight="1">
      <c r="A2595" s="91"/>
      <c r="B2595" s="93" t="s">
        <v>5484</v>
      </c>
      <c r="C2595" s="91" t="s">
        <v>73</v>
      </c>
      <c r="D2595" s="107" t="s">
        <v>788</v>
      </c>
      <c r="E2595" s="107" t="s">
        <v>5685</v>
      </c>
      <c r="F2595" s="91" t="s">
        <v>5686</v>
      </c>
      <c r="G2595" s="96">
        <v>44197</v>
      </c>
      <c r="H2595" s="97" t="s">
        <v>58</v>
      </c>
      <c r="I2595" s="100" t="s">
        <v>58</v>
      </c>
      <c r="J2595" s="100" t="s">
        <v>58</v>
      </c>
      <c r="K2595" s="91" t="s">
        <v>58</v>
      </c>
      <c r="L2595" s="91" t="s">
        <v>60</v>
      </c>
      <c r="M2595" s="98">
        <v>0</v>
      </c>
      <c r="N2595" s="91"/>
      <c r="O2595" s="98">
        <f ca="1">(TODAY()-G2595)/365</f>
        <v>4.9452054794520546</v>
      </c>
      <c r="P2595" s="91" t="s">
        <v>43</v>
      </c>
      <c r="Q2595" s="91">
        <v>0</v>
      </c>
      <c r="R2595" s="91">
        <v>0</v>
      </c>
      <c r="S2595" s="91">
        <v>0</v>
      </c>
      <c r="T2595" s="91"/>
      <c r="U2595" s="91"/>
      <c r="V2595" s="91"/>
      <c r="W2595" s="91"/>
      <c r="X2595" s="91"/>
      <c r="Y2595" s="91"/>
      <c r="Z2595" s="91"/>
      <c r="AA2595" s="91"/>
      <c r="AB2595" s="91"/>
      <c r="AC2595" s="91"/>
      <c r="AD2595" s="91"/>
      <c r="AE2595" s="91"/>
      <c r="AF2595" s="91"/>
      <c r="AG2595" s="91"/>
      <c r="AH2595" s="91"/>
      <c r="AI2595" s="91"/>
      <c r="AJ2595" s="91"/>
      <c r="AK2595" s="91"/>
      <c r="AL2595" s="91"/>
      <c r="AM2595" s="91"/>
    </row>
    <row r="2596" spans="1:39" ht="20.25" customHeight="1">
      <c r="A2596" s="91"/>
      <c r="B2596" s="93" t="s">
        <v>10722</v>
      </c>
      <c r="C2596" s="91" t="s">
        <v>73</v>
      </c>
      <c r="D2596" s="106" t="s">
        <v>10820</v>
      </c>
      <c r="E2596" s="106" t="s">
        <v>10821</v>
      </c>
      <c r="F2596" s="92" t="s">
        <v>10822</v>
      </c>
      <c r="G2596" s="103">
        <v>45411</v>
      </c>
      <c r="H2596" s="103">
        <v>25287</v>
      </c>
      <c r="I2596" s="108" t="s">
        <v>12624</v>
      </c>
      <c r="J2596" s="100" t="s">
        <v>58</v>
      </c>
      <c r="K2596" s="95" t="s">
        <v>58</v>
      </c>
      <c r="L2596" s="91"/>
      <c r="M2596" s="98">
        <f ca="1">(TODAY()-H2596)/365</f>
        <v>56.753424657534246</v>
      </c>
      <c r="N2596" s="99">
        <f>(G2596-H2596)/365</f>
        <v>55.134246575342466</v>
      </c>
      <c r="O2596" s="98">
        <f ca="1">(TODAY()-G2596)/365</f>
        <v>1.6191780821917807</v>
      </c>
      <c r="P2596" s="91" t="s">
        <v>43</v>
      </c>
      <c r="Q2596" s="91"/>
      <c r="R2596" s="91"/>
      <c r="S2596" s="91"/>
      <c r="T2596" s="91"/>
      <c r="U2596" s="91"/>
      <c r="V2596" s="91"/>
      <c r="W2596" s="91"/>
      <c r="X2596" s="91"/>
      <c r="Y2596" s="91"/>
      <c r="Z2596" s="91"/>
      <c r="AA2596" s="91"/>
      <c r="AB2596" s="91"/>
      <c r="AC2596" s="91"/>
      <c r="AD2596" s="91"/>
      <c r="AE2596" s="91"/>
      <c r="AF2596" s="91"/>
      <c r="AG2596" s="91"/>
      <c r="AH2596" s="91"/>
      <c r="AI2596" s="91"/>
      <c r="AJ2596" s="91"/>
      <c r="AK2596" s="91"/>
      <c r="AL2596" s="91"/>
      <c r="AM2596" s="91"/>
    </row>
    <row r="2597" spans="1:39" ht="20.25" hidden="1" customHeight="1">
      <c r="A2597" s="91"/>
      <c r="B2597" s="93" t="s">
        <v>8095</v>
      </c>
      <c r="C2597" s="91" t="s">
        <v>36</v>
      </c>
      <c r="D2597" s="94" t="s">
        <v>8099</v>
      </c>
      <c r="E2597" s="94" t="s">
        <v>8100</v>
      </c>
      <c r="F2597" s="95" t="s">
        <v>8101</v>
      </c>
      <c r="G2597" s="96">
        <v>34531</v>
      </c>
      <c r="H2597" s="97">
        <v>28762</v>
      </c>
      <c r="I2597" s="94" t="s">
        <v>8102</v>
      </c>
      <c r="J2597" s="94" t="s">
        <v>8103</v>
      </c>
      <c r="K2597" s="95">
        <v>983343984</v>
      </c>
      <c r="L2597" s="91" t="s">
        <v>197</v>
      </c>
      <c r="M2597" s="98">
        <f ca="1">(TODAY()-H2597)/365</f>
        <v>47.232876712328768</v>
      </c>
      <c r="N2597" s="99">
        <f>(G2597-H2597)/365</f>
        <v>15.805479452054794</v>
      </c>
      <c r="O2597" s="98">
        <f ca="1">(TODAY()-G2597)/365</f>
        <v>31.427397260273974</v>
      </c>
      <c r="P2597" s="91" t="s">
        <v>272</v>
      </c>
      <c r="Q2597" s="91">
        <v>0</v>
      </c>
      <c r="R2597" s="91">
        <v>0</v>
      </c>
      <c r="S2597" s="91">
        <v>0</v>
      </c>
      <c r="T2597" s="91"/>
      <c r="U2597" s="91"/>
      <c r="V2597" s="91">
        <v>2010</v>
      </c>
      <c r="W2597" s="91"/>
      <c r="X2597" s="91"/>
      <c r="Y2597" s="91"/>
      <c r="Z2597" s="91"/>
      <c r="AA2597" s="91"/>
      <c r="AB2597" s="91"/>
      <c r="AC2597" s="91"/>
      <c r="AD2597" s="91"/>
      <c r="AE2597" s="91"/>
      <c r="AF2597" s="91"/>
      <c r="AG2597" s="91"/>
      <c r="AH2597" s="91"/>
      <c r="AI2597" s="91"/>
      <c r="AJ2597" s="91"/>
      <c r="AK2597" s="91"/>
      <c r="AL2597" s="91"/>
      <c r="AM2597" s="91"/>
    </row>
    <row r="2598" spans="1:39" ht="20.25" customHeight="1">
      <c r="A2598" s="91"/>
      <c r="B2598" s="93" t="s">
        <v>4396</v>
      </c>
      <c r="C2598" s="91" t="s">
        <v>73</v>
      </c>
      <c r="D2598" s="106" t="s">
        <v>3493</v>
      </c>
      <c r="E2598" s="106" t="s">
        <v>4436</v>
      </c>
      <c r="F2598" s="92" t="s">
        <v>4437</v>
      </c>
      <c r="G2598" s="96">
        <v>44866</v>
      </c>
      <c r="H2598" s="97" t="s">
        <v>58</v>
      </c>
      <c r="I2598" s="100" t="s">
        <v>58</v>
      </c>
      <c r="J2598" s="100" t="s">
        <v>58</v>
      </c>
      <c r="K2598" s="92" t="s">
        <v>4438</v>
      </c>
      <c r="L2598" s="91" t="s">
        <v>121</v>
      </c>
      <c r="M2598" s="98">
        <v>0</v>
      </c>
      <c r="N2598" s="91"/>
      <c r="O2598" s="98">
        <f ca="1">(TODAY()-G2598)/365</f>
        <v>3.1123287671232878</v>
      </c>
      <c r="P2598" s="91" t="s">
        <v>43</v>
      </c>
      <c r="Q2598" s="91">
        <v>0</v>
      </c>
      <c r="R2598" s="91">
        <v>0</v>
      </c>
      <c r="S2598" s="91">
        <v>0</v>
      </c>
      <c r="T2598" s="91"/>
      <c r="U2598" s="91"/>
      <c r="V2598" s="91"/>
      <c r="W2598" s="91"/>
      <c r="X2598" s="91"/>
      <c r="Y2598" s="91"/>
      <c r="Z2598" s="91"/>
      <c r="AA2598" s="91"/>
      <c r="AB2598" s="91"/>
      <c r="AC2598" s="91"/>
      <c r="AD2598" s="91"/>
      <c r="AE2598" s="91"/>
      <c r="AF2598" s="91"/>
      <c r="AG2598" s="91"/>
      <c r="AH2598" s="91"/>
      <c r="AI2598" s="91"/>
      <c r="AJ2598" s="91"/>
      <c r="AK2598" s="91"/>
      <c r="AL2598" s="91"/>
      <c r="AM2598" s="91"/>
    </row>
    <row r="2599" spans="1:39" ht="20.25" customHeight="1">
      <c r="A2599" s="91"/>
      <c r="B2599" s="93" t="s">
        <v>4702</v>
      </c>
      <c r="C2599" s="91" t="s">
        <v>73</v>
      </c>
      <c r="D2599" s="107" t="s">
        <v>1344</v>
      </c>
      <c r="E2599" s="107" t="s">
        <v>4719</v>
      </c>
      <c r="F2599" s="91" t="s">
        <v>4720</v>
      </c>
      <c r="G2599" s="96">
        <v>43191</v>
      </c>
      <c r="H2599" s="96" t="s">
        <v>58</v>
      </c>
      <c r="I2599" s="94" t="s">
        <v>58</v>
      </c>
      <c r="J2599" s="94" t="s">
        <v>58</v>
      </c>
      <c r="K2599" s="95" t="s">
        <v>58</v>
      </c>
      <c r="L2599" s="91" t="s">
        <v>60</v>
      </c>
      <c r="M2599" s="98">
        <v>0</v>
      </c>
      <c r="N2599" s="95"/>
      <c r="O2599" s="98">
        <f ca="1">(TODAY()-G2599)/365</f>
        <v>7.7013698630136984</v>
      </c>
      <c r="P2599" s="91" t="s">
        <v>43</v>
      </c>
      <c r="Q2599" s="91">
        <v>0</v>
      </c>
      <c r="R2599" s="91">
        <v>0</v>
      </c>
      <c r="S2599" s="91">
        <v>0</v>
      </c>
      <c r="T2599" s="91"/>
      <c r="U2599" s="91"/>
      <c r="V2599" s="91"/>
      <c r="W2599" s="91"/>
      <c r="X2599" s="91"/>
      <c r="Y2599" s="91"/>
      <c r="Z2599" s="91"/>
      <c r="AA2599" s="91"/>
      <c r="AB2599" s="91"/>
      <c r="AC2599" s="91"/>
      <c r="AD2599" s="91"/>
      <c r="AE2599" s="91"/>
      <c r="AF2599" s="91"/>
      <c r="AG2599" s="91"/>
      <c r="AH2599" s="91"/>
      <c r="AI2599" s="91"/>
      <c r="AJ2599" s="91"/>
      <c r="AK2599" s="91"/>
      <c r="AL2599" s="91"/>
      <c r="AM2599" s="91"/>
    </row>
    <row r="2600" spans="1:39" ht="20.25" customHeight="1">
      <c r="A2600" s="91"/>
      <c r="B2600" s="93" t="s">
        <v>11884</v>
      </c>
      <c r="C2600" s="91" t="s">
        <v>73</v>
      </c>
      <c r="D2600" s="106" t="s">
        <v>6452</v>
      </c>
      <c r="E2600" s="106" t="s">
        <v>6453</v>
      </c>
      <c r="F2600" s="92" t="s">
        <v>6454</v>
      </c>
      <c r="G2600" s="96">
        <v>45444</v>
      </c>
      <c r="H2600" s="97">
        <v>32767</v>
      </c>
      <c r="I2600" s="102" t="s">
        <v>6455</v>
      </c>
      <c r="J2600" s="94" t="s">
        <v>58</v>
      </c>
      <c r="K2600" s="95" t="s">
        <v>58</v>
      </c>
      <c r="L2600" s="91" t="s">
        <v>60</v>
      </c>
      <c r="M2600" s="98">
        <f ca="1">(TODAY()-H2600)/365</f>
        <v>36.260273972602739</v>
      </c>
      <c r="N2600" s="99">
        <f>(G2600-H2600)/365</f>
        <v>34.731506849315068</v>
      </c>
      <c r="O2600" s="98">
        <f ca="1">(TODAY()-G2600)/365</f>
        <v>1.5287671232876712</v>
      </c>
      <c r="P2600" s="91" t="s">
        <v>272</v>
      </c>
      <c r="Q2600" s="91">
        <v>0</v>
      </c>
      <c r="R2600" s="91">
        <v>0</v>
      </c>
      <c r="S2600" s="91">
        <v>0</v>
      </c>
      <c r="T2600" s="91"/>
      <c r="U2600" s="91"/>
      <c r="V2600" s="91"/>
      <c r="W2600" s="91"/>
      <c r="X2600" s="91"/>
      <c r="Y2600" s="91"/>
      <c r="Z2600" s="91"/>
      <c r="AA2600" s="91"/>
      <c r="AB2600" s="91"/>
      <c r="AC2600" s="91"/>
      <c r="AD2600" s="91"/>
      <c r="AE2600" s="91"/>
      <c r="AF2600" s="91"/>
      <c r="AG2600" s="91"/>
      <c r="AH2600" s="91"/>
      <c r="AI2600" s="91"/>
      <c r="AJ2600" s="91"/>
      <c r="AK2600" s="91"/>
      <c r="AL2600" s="91"/>
      <c r="AM2600" s="91"/>
    </row>
    <row r="2601" spans="1:39" ht="20.25" hidden="1" customHeight="1">
      <c r="A2601" s="91"/>
      <c r="B2601" s="93" t="s">
        <v>8095</v>
      </c>
      <c r="C2601" s="91" t="s">
        <v>36</v>
      </c>
      <c r="D2601" s="94" t="s">
        <v>8115</v>
      </c>
      <c r="E2601" s="94" t="s">
        <v>8116</v>
      </c>
      <c r="F2601" s="95" t="s">
        <v>8117</v>
      </c>
      <c r="G2601" s="96">
        <v>44958</v>
      </c>
      <c r="H2601" s="97">
        <v>37629</v>
      </c>
      <c r="I2601" s="94" t="s">
        <v>8118</v>
      </c>
      <c r="J2601" s="94" t="s">
        <v>8119</v>
      </c>
      <c r="K2601" s="95">
        <v>964166116</v>
      </c>
      <c r="L2601" s="91" t="s">
        <v>60</v>
      </c>
      <c r="M2601" s="98">
        <f ca="1">(TODAY()-H2601)/365</f>
        <v>22.93972602739726</v>
      </c>
      <c r="N2601" s="99">
        <f>(G2601-H2601)/365</f>
        <v>20.079452054794519</v>
      </c>
      <c r="O2601" s="98">
        <f ca="1">(TODAY()-G2601)/365</f>
        <v>2.8602739726027395</v>
      </c>
      <c r="P2601" s="91" t="s">
        <v>272</v>
      </c>
      <c r="Q2601" s="91">
        <v>0</v>
      </c>
      <c r="R2601" s="91">
        <v>0</v>
      </c>
      <c r="S2601" s="91">
        <v>0</v>
      </c>
      <c r="T2601" s="91"/>
      <c r="U2601" s="91"/>
      <c r="V2601" s="91"/>
      <c r="W2601" s="91"/>
      <c r="X2601" s="91"/>
      <c r="Y2601" s="91"/>
      <c r="Z2601" s="91"/>
      <c r="AA2601" s="91"/>
      <c r="AB2601" s="91"/>
      <c r="AC2601" s="91"/>
      <c r="AD2601" s="91"/>
      <c r="AE2601" s="91"/>
      <c r="AF2601" s="91"/>
      <c r="AG2601" s="91"/>
      <c r="AH2601" s="91"/>
      <c r="AI2601" s="91"/>
      <c r="AJ2601" s="91"/>
      <c r="AK2601" s="91"/>
      <c r="AL2601" s="91"/>
      <c r="AM2601" s="91"/>
    </row>
    <row r="2602" spans="1:39" ht="20.25" customHeight="1">
      <c r="A2602" s="91"/>
      <c r="B2602" s="93" t="s">
        <v>4896</v>
      </c>
      <c r="C2602" s="91" t="s">
        <v>73</v>
      </c>
      <c r="D2602" s="107" t="s">
        <v>2719</v>
      </c>
      <c r="E2602" s="107" t="s">
        <v>4975</v>
      </c>
      <c r="F2602" s="91" t="s">
        <v>4976</v>
      </c>
      <c r="G2602" s="96">
        <v>28226</v>
      </c>
      <c r="H2602" s="97">
        <v>16518</v>
      </c>
      <c r="I2602" s="94" t="s">
        <v>58</v>
      </c>
      <c r="J2602" s="94" t="s">
        <v>58</v>
      </c>
      <c r="K2602" s="91">
        <v>971393190</v>
      </c>
      <c r="L2602" s="91" t="s">
        <v>60</v>
      </c>
      <c r="M2602" s="98">
        <f ca="1">(TODAY()-H2602)/365</f>
        <v>80.778082191780825</v>
      </c>
      <c r="N2602" s="99">
        <f>(G2602-H2602)/365</f>
        <v>32.076712328767123</v>
      </c>
      <c r="O2602" s="98">
        <f ca="1">(TODAY()-G2602)/365</f>
        <v>48.701369863013696</v>
      </c>
      <c r="P2602" s="91" t="s">
        <v>43</v>
      </c>
      <c r="Q2602" s="91">
        <v>0</v>
      </c>
      <c r="R2602" s="91">
        <v>0</v>
      </c>
      <c r="S2602" s="91">
        <v>0</v>
      </c>
      <c r="T2602" s="91"/>
      <c r="U2602" s="91"/>
      <c r="V2602" s="91"/>
      <c r="W2602" s="91"/>
      <c r="X2602" s="91"/>
      <c r="Y2602" s="91"/>
      <c r="Z2602" s="91"/>
      <c r="AA2602" s="91"/>
      <c r="AB2602" s="91"/>
      <c r="AC2602" s="91"/>
      <c r="AD2602" s="91"/>
      <c r="AE2602" s="91"/>
      <c r="AF2602" s="91"/>
      <c r="AG2602" s="91"/>
      <c r="AH2602" s="91"/>
      <c r="AI2602" s="91"/>
      <c r="AJ2602" s="91"/>
      <c r="AK2602" s="91"/>
      <c r="AL2602" s="91"/>
      <c r="AM2602" s="91"/>
    </row>
    <row r="2603" spans="1:39" ht="20.25" hidden="1" customHeight="1">
      <c r="A2603" s="91"/>
      <c r="B2603" s="93" t="s">
        <v>8095</v>
      </c>
      <c r="C2603" s="91" t="s">
        <v>36</v>
      </c>
      <c r="D2603" s="94" t="s">
        <v>8124</v>
      </c>
      <c r="E2603" s="94" t="s">
        <v>8125</v>
      </c>
      <c r="F2603" s="95" t="s">
        <v>8126</v>
      </c>
      <c r="G2603" s="96">
        <v>43682</v>
      </c>
      <c r="H2603" s="97">
        <v>35198</v>
      </c>
      <c r="I2603" s="94" t="s">
        <v>8127</v>
      </c>
      <c r="J2603" s="94" t="s">
        <v>8128</v>
      </c>
      <c r="K2603" s="95">
        <v>975312878</v>
      </c>
      <c r="L2603" s="91" t="s">
        <v>60</v>
      </c>
      <c r="M2603" s="98">
        <f ca="1">(TODAY()-H2603)/365</f>
        <v>29.6</v>
      </c>
      <c r="N2603" s="99">
        <f>(G2603-H2603)/365</f>
        <v>23.243835616438357</v>
      </c>
      <c r="O2603" s="98">
        <f ca="1">(TODAY()-G2603)/365</f>
        <v>6.3561643835616435</v>
      </c>
      <c r="P2603" s="91" t="s">
        <v>43</v>
      </c>
      <c r="Q2603" s="91">
        <v>0</v>
      </c>
      <c r="R2603" s="91">
        <v>0</v>
      </c>
      <c r="S2603" s="91">
        <v>0</v>
      </c>
      <c r="T2603" s="91"/>
      <c r="U2603" s="91"/>
      <c r="V2603" s="91"/>
      <c r="W2603" s="91"/>
      <c r="X2603" s="91"/>
      <c r="Y2603" s="91"/>
      <c r="Z2603" s="91"/>
      <c r="AA2603" s="91"/>
      <c r="AB2603" s="91"/>
      <c r="AC2603" s="91"/>
      <c r="AD2603" s="91"/>
      <c r="AE2603" s="91"/>
      <c r="AF2603" s="91"/>
      <c r="AG2603" s="91"/>
      <c r="AH2603" s="91"/>
      <c r="AI2603" s="91"/>
      <c r="AJ2603" s="91"/>
      <c r="AK2603" s="91"/>
      <c r="AL2603" s="91"/>
      <c r="AM2603" s="91"/>
    </row>
    <row r="2604" spans="1:39" ht="20.25" hidden="1" customHeight="1">
      <c r="A2604" s="91"/>
      <c r="B2604" s="93" t="s">
        <v>8095</v>
      </c>
      <c r="C2604" s="91" t="s">
        <v>36</v>
      </c>
      <c r="D2604" s="94" t="s">
        <v>8129</v>
      </c>
      <c r="E2604" s="94" t="s">
        <v>8130</v>
      </c>
      <c r="F2604" s="95" t="s">
        <v>8131</v>
      </c>
      <c r="G2604" s="96">
        <v>36479</v>
      </c>
      <c r="H2604" s="97">
        <v>27463</v>
      </c>
      <c r="I2604" s="94" t="s">
        <v>8132</v>
      </c>
      <c r="J2604" s="94" t="s">
        <v>8133</v>
      </c>
      <c r="K2604" s="95">
        <v>964670670</v>
      </c>
      <c r="L2604" s="91" t="s">
        <v>49</v>
      </c>
      <c r="M2604" s="98">
        <f ca="1">(TODAY()-H2604)/365</f>
        <v>50.791780821917811</v>
      </c>
      <c r="N2604" s="99">
        <f>(G2604-H2604)/365</f>
        <v>24.701369863013699</v>
      </c>
      <c r="O2604" s="98">
        <f ca="1">(TODAY()-G2604)/365</f>
        <v>26.090410958904108</v>
      </c>
      <c r="P2604" s="91" t="s">
        <v>272</v>
      </c>
      <c r="Q2604" s="91">
        <v>1</v>
      </c>
      <c r="R2604" s="91">
        <v>0</v>
      </c>
      <c r="S2604" s="91">
        <v>0</v>
      </c>
      <c r="T2604" s="91"/>
      <c r="U2604" s="91"/>
      <c r="V2604" s="91"/>
      <c r="W2604" s="91"/>
      <c r="X2604" s="91"/>
      <c r="Y2604" s="91"/>
      <c r="Z2604" s="91"/>
      <c r="AA2604" s="91"/>
      <c r="AB2604" s="91"/>
      <c r="AC2604" s="91"/>
      <c r="AD2604" s="91"/>
      <c r="AE2604" s="91"/>
      <c r="AF2604" s="91"/>
      <c r="AG2604" s="91"/>
      <c r="AH2604" s="91"/>
      <c r="AI2604" s="91"/>
      <c r="AJ2604" s="91"/>
      <c r="AK2604" s="91"/>
      <c r="AL2604" s="91"/>
      <c r="AM2604" s="91"/>
    </row>
    <row r="2605" spans="1:39" ht="20.25" customHeight="1">
      <c r="A2605" s="91"/>
      <c r="B2605" s="93" t="s">
        <v>4579</v>
      </c>
      <c r="C2605" s="91" t="s">
        <v>73</v>
      </c>
      <c r="D2605" s="107" t="s">
        <v>2444</v>
      </c>
      <c r="E2605" s="107" t="s">
        <v>4580</v>
      </c>
      <c r="F2605" s="91" t="s">
        <v>4581</v>
      </c>
      <c r="G2605" s="96">
        <v>41821</v>
      </c>
      <c r="H2605" s="97">
        <v>36701</v>
      </c>
      <c r="I2605" s="94" t="s">
        <v>58</v>
      </c>
      <c r="J2605" s="94" t="s">
        <v>58</v>
      </c>
      <c r="K2605" s="95" t="s">
        <v>58</v>
      </c>
      <c r="L2605" s="91" t="s">
        <v>60</v>
      </c>
      <c r="M2605" s="98">
        <f ca="1">(TODAY()-H2605)/365</f>
        <v>25.482191780821918</v>
      </c>
      <c r="N2605" s="99">
        <f>(G2605-H2605)/365</f>
        <v>14.027397260273972</v>
      </c>
      <c r="O2605" s="98">
        <f ca="1">(TODAY()-G2605)/365</f>
        <v>11.454794520547946</v>
      </c>
      <c r="P2605" s="91" t="s">
        <v>43</v>
      </c>
      <c r="Q2605" s="91">
        <v>0</v>
      </c>
      <c r="R2605" s="91">
        <v>0</v>
      </c>
      <c r="S2605" s="91">
        <v>0</v>
      </c>
      <c r="T2605" s="91"/>
      <c r="U2605" s="91"/>
      <c r="V2605" s="91"/>
      <c r="W2605" s="91"/>
      <c r="X2605" s="91"/>
      <c r="Y2605" s="91"/>
      <c r="Z2605" s="91"/>
      <c r="AA2605" s="91"/>
      <c r="AB2605" s="91"/>
      <c r="AC2605" s="91"/>
      <c r="AD2605" s="91"/>
      <c r="AE2605" s="91"/>
      <c r="AF2605" s="91"/>
      <c r="AG2605" s="91"/>
      <c r="AH2605" s="91"/>
      <c r="AI2605" s="91"/>
      <c r="AJ2605" s="91"/>
      <c r="AK2605" s="91"/>
      <c r="AL2605" s="91"/>
      <c r="AM2605" s="91"/>
    </row>
    <row r="2606" spans="1:39" ht="20.25" hidden="1" customHeight="1">
      <c r="A2606" s="91"/>
      <c r="B2606" s="93" t="s">
        <v>8095</v>
      </c>
      <c r="C2606" s="91" t="s">
        <v>36</v>
      </c>
      <c r="D2606" s="94" t="s">
        <v>8138</v>
      </c>
      <c r="E2606" s="94" t="s">
        <v>8116</v>
      </c>
      <c r="F2606" s="95" t="s">
        <v>8139</v>
      </c>
      <c r="G2606" s="96">
        <v>43682</v>
      </c>
      <c r="H2606" s="97">
        <v>33954</v>
      </c>
      <c r="I2606" s="94" t="s">
        <v>8140</v>
      </c>
      <c r="J2606" s="94" t="s">
        <v>8141</v>
      </c>
      <c r="K2606" s="95">
        <v>985581887</v>
      </c>
      <c r="L2606" s="91" t="s">
        <v>216</v>
      </c>
      <c r="M2606" s="98">
        <f ca="1">(TODAY()-H2606)/365</f>
        <v>33.008219178082193</v>
      </c>
      <c r="N2606" s="99">
        <f>(G2606-H2606)/365</f>
        <v>26.652054794520549</v>
      </c>
      <c r="O2606" s="98">
        <f ca="1">(TODAY()-G2606)/365</f>
        <v>6.3561643835616435</v>
      </c>
      <c r="P2606" s="91" t="s">
        <v>43</v>
      </c>
      <c r="Q2606" s="91">
        <v>0</v>
      </c>
      <c r="R2606" s="91">
        <v>0</v>
      </c>
      <c r="S2606" s="91">
        <v>0</v>
      </c>
      <c r="T2606" s="91"/>
      <c r="U2606" s="91"/>
      <c r="V2606" s="91"/>
      <c r="W2606" s="91"/>
      <c r="X2606" s="91"/>
      <c r="Y2606" s="91"/>
      <c r="Z2606" s="91"/>
      <c r="AA2606" s="91"/>
      <c r="AB2606" s="91"/>
      <c r="AC2606" s="91"/>
      <c r="AD2606" s="91"/>
      <c r="AE2606" s="91"/>
      <c r="AF2606" s="91"/>
      <c r="AG2606" s="91"/>
      <c r="AH2606" s="91"/>
      <c r="AI2606" s="91"/>
      <c r="AJ2606" s="91"/>
      <c r="AK2606" s="91"/>
      <c r="AL2606" s="91"/>
      <c r="AM2606" s="91"/>
    </row>
    <row r="2607" spans="1:39" ht="20.25" hidden="1" customHeight="1">
      <c r="A2607" s="91"/>
      <c r="B2607" s="93" t="s">
        <v>8095</v>
      </c>
      <c r="C2607" s="91" t="s">
        <v>36</v>
      </c>
      <c r="D2607" s="94" t="s">
        <v>8142</v>
      </c>
      <c r="E2607" s="94" t="s">
        <v>8143</v>
      </c>
      <c r="F2607" s="95" t="s">
        <v>8144</v>
      </c>
      <c r="G2607" s="96">
        <v>36104</v>
      </c>
      <c r="H2607" s="97">
        <v>25552</v>
      </c>
      <c r="I2607" s="108" t="s">
        <v>12469</v>
      </c>
      <c r="J2607" s="94" t="s">
        <v>8145</v>
      </c>
      <c r="K2607" s="95">
        <v>969089134</v>
      </c>
      <c r="L2607" s="91" t="s">
        <v>42</v>
      </c>
      <c r="M2607" s="98">
        <f ca="1">(TODAY()-H2607)/365</f>
        <v>56.027397260273972</v>
      </c>
      <c r="N2607" s="99">
        <f>(G2607-H2607)/365</f>
        <v>28.909589041095892</v>
      </c>
      <c r="O2607" s="98">
        <f ca="1">(TODAY()-G2607)/365</f>
        <v>27.117808219178084</v>
      </c>
      <c r="P2607" s="91" t="s">
        <v>272</v>
      </c>
      <c r="Q2607" s="91">
        <v>0</v>
      </c>
      <c r="R2607" s="91">
        <v>0</v>
      </c>
      <c r="S2607" s="91">
        <v>0</v>
      </c>
      <c r="T2607" s="91"/>
      <c r="U2607" s="91"/>
      <c r="V2607" s="91"/>
      <c r="W2607" s="91"/>
      <c r="X2607" s="91"/>
      <c r="Y2607" s="91"/>
      <c r="Z2607" s="91">
        <v>2009</v>
      </c>
      <c r="AA2607" s="91"/>
      <c r="AB2607" s="91"/>
      <c r="AC2607" s="91"/>
      <c r="AD2607" s="91"/>
      <c r="AE2607" s="91"/>
      <c r="AF2607" s="91"/>
      <c r="AG2607" s="91"/>
      <c r="AH2607" s="91"/>
      <c r="AI2607" s="91"/>
      <c r="AJ2607" s="91"/>
      <c r="AK2607" s="91"/>
      <c r="AL2607" s="91"/>
      <c r="AM2607" s="91"/>
    </row>
    <row r="2608" spans="1:39" ht="20.25" customHeight="1">
      <c r="A2608" s="91"/>
      <c r="B2608" s="93" t="s">
        <v>8369</v>
      </c>
      <c r="C2608" s="91" t="s">
        <v>73</v>
      </c>
      <c r="D2608" s="107" t="s">
        <v>8385</v>
      </c>
      <c r="E2608" s="107" t="s">
        <v>8386</v>
      </c>
      <c r="F2608" s="95" t="s">
        <v>8387</v>
      </c>
      <c r="G2608" s="96">
        <v>45545</v>
      </c>
      <c r="H2608" s="97">
        <v>38023</v>
      </c>
      <c r="I2608" s="94" t="s">
        <v>8388</v>
      </c>
      <c r="J2608" s="100" t="s">
        <v>58</v>
      </c>
      <c r="K2608" s="91" t="s">
        <v>58</v>
      </c>
      <c r="L2608" s="91" t="s">
        <v>60</v>
      </c>
      <c r="M2608" s="98">
        <f ca="1">(TODAY()-H2608)/365</f>
        <v>21.860273972602741</v>
      </c>
      <c r="N2608" s="99">
        <f>(G2608-H2608)/365</f>
        <v>20.608219178082191</v>
      </c>
      <c r="O2608" s="98">
        <f ca="1">(TODAY()-G2608)/365</f>
        <v>1.252054794520548</v>
      </c>
      <c r="P2608" s="91" t="s">
        <v>272</v>
      </c>
      <c r="Q2608" s="91">
        <v>0</v>
      </c>
      <c r="R2608" s="91">
        <v>0</v>
      </c>
      <c r="S2608" s="91">
        <v>0</v>
      </c>
      <c r="T2608" s="91"/>
      <c r="U2608" s="91"/>
      <c r="V2608" s="91"/>
      <c r="W2608" s="91"/>
      <c r="X2608" s="91"/>
      <c r="Y2608" s="91"/>
      <c r="Z2608" s="91"/>
      <c r="AA2608" s="91"/>
      <c r="AB2608" s="91"/>
      <c r="AC2608" s="91"/>
      <c r="AD2608" s="91"/>
      <c r="AE2608" s="91"/>
      <c r="AF2608" s="91"/>
      <c r="AG2608" s="91"/>
      <c r="AH2608" s="91"/>
      <c r="AI2608" s="91"/>
      <c r="AJ2608" s="91"/>
      <c r="AK2608" s="91"/>
      <c r="AL2608" s="91"/>
      <c r="AM2608" s="91"/>
    </row>
    <row r="2609" spans="1:39" ht="20.25" customHeight="1">
      <c r="A2609" s="91"/>
      <c r="B2609" s="93" t="s">
        <v>8095</v>
      </c>
      <c r="C2609" s="91" t="s">
        <v>73</v>
      </c>
      <c r="D2609" s="94" t="s">
        <v>8108</v>
      </c>
      <c r="E2609" s="94" t="s">
        <v>8109</v>
      </c>
      <c r="F2609" s="95" t="s">
        <v>8110</v>
      </c>
      <c r="G2609" s="96">
        <v>45219</v>
      </c>
      <c r="H2609" s="97">
        <v>39319</v>
      </c>
      <c r="I2609" s="94" t="s">
        <v>8111</v>
      </c>
      <c r="J2609" s="100" t="s">
        <v>58</v>
      </c>
      <c r="K2609" s="91" t="s">
        <v>58</v>
      </c>
      <c r="L2609" s="91" t="s">
        <v>60</v>
      </c>
      <c r="M2609" s="98">
        <f ca="1">(TODAY()-H2609)/365</f>
        <v>18.30958904109589</v>
      </c>
      <c r="N2609" s="99">
        <f>(G2609-H2609)/365</f>
        <v>16.164383561643834</v>
      </c>
      <c r="O2609" s="98">
        <f ca="1">(TODAY()-G2609)/365</f>
        <v>2.1452054794520548</v>
      </c>
      <c r="P2609" s="91" t="s">
        <v>43</v>
      </c>
      <c r="Q2609" s="91">
        <v>0</v>
      </c>
      <c r="R2609" s="91">
        <v>0</v>
      </c>
      <c r="S2609" s="91">
        <v>0</v>
      </c>
      <c r="T2609" s="91"/>
      <c r="U2609" s="91"/>
      <c r="V2609" s="91"/>
      <c r="W2609" s="91"/>
      <c r="X2609" s="91"/>
      <c r="Y2609" s="91"/>
      <c r="Z2609" s="91"/>
      <c r="AA2609" s="91"/>
      <c r="AB2609" s="91"/>
      <c r="AC2609" s="91"/>
      <c r="AD2609" s="91"/>
      <c r="AE2609" s="91"/>
      <c r="AF2609" s="91"/>
      <c r="AG2609" s="91"/>
      <c r="AH2609" s="91"/>
      <c r="AI2609" s="91"/>
      <c r="AJ2609" s="91"/>
      <c r="AK2609" s="91"/>
      <c r="AL2609" s="91"/>
      <c r="AM2609" s="91"/>
    </row>
    <row r="2610" spans="1:39" ht="20.25" hidden="1" customHeight="1">
      <c r="A2610" s="91"/>
      <c r="B2610" s="93" t="s">
        <v>8095</v>
      </c>
      <c r="C2610" s="91" t="s">
        <v>36</v>
      </c>
      <c r="D2610" s="94" t="s">
        <v>1225</v>
      </c>
      <c r="E2610" s="94" t="s">
        <v>7944</v>
      </c>
      <c r="F2610" s="95" t="s">
        <v>8154</v>
      </c>
      <c r="G2610" s="96">
        <v>31837</v>
      </c>
      <c r="H2610" s="97">
        <v>18616</v>
      </c>
      <c r="I2610" s="94" t="s">
        <v>8155</v>
      </c>
      <c r="J2610" s="94" t="s">
        <v>8156</v>
      </c>
      <c r="K2610" s="95">
        <v>990645133</v>
      </c>
      <c r="L2610" s="91" t="s">
        <v>54</v>
      </c>
      <c r="M2610" s="98">
        <f ca="1">(TODAY()-H2610)/365</f>
        <v>75.030136986301372</v>
      </c>
      <c r="N2610" s="99">
        <f>(G2610-H2610)/365</f>
        <v>36.221917808219175</v>
      </c>
      <c r="O2610" s="98">
        <f ca="1">(TODAY()-G2610)/365</f>
        <v>38.80821917808219</v>
      </c>
      <c r="P2610" s="91" t="s">
        <v>43</v>
      </c>
      <c r="Q2610" s="91">
        <v>0</v>
      </c>
      <c r="R2610" s="91">
        <v>0</v>
      </c>
      <c r="S2610" s="91">
        <v>0</v>
      </c>
      <c r="T2610" s="91"/>
      <c r="U2610" s="91"/>
      <c r="V2610" s="91"/>
      <c r="W2610" s="91"/>
      <c r="X2610" s="91"/>
      <c r="Y2610" s="91"/>
      <c r="Z2610" s="91"/>
      <c r="AA2610" s="91"/>
      <c r="AB2610" s="91"/>
      <c r="AC2610" s="91"/>
      <c r="AD2610" s="91"/>
      <c r="AE2610" s="91"/>
      <c r="AF2610" s="91"/>
      <c r="AG2610" s="91"/>
      <c r="AH2610" s="91"/>
      <c r="AI2610" s="91"/>
      <c r="AJ2610" s="91"/>
      <c r="AK2610" s="91"/>
      <c r="AL2610" s="91"/>
      <c r="AM2610" s="91"/>
    </row>
    <row r="2611" spans="1:39" ht="20.25" customHeight="1">
      <c r="A2611" s="91"/>
      <c r="B2611" s="93" t="s">
        <v>4326</v>
      </c>
      <c r="C2611" s="91" t="s">
        <v>73</v>
      </c>
      <c r="D2611" s="107" t="s">
        <v>4363</v>
      </c>
      <c r="E2611" s="107" t="s">
        <v>4364</v>
      </c>
      <c r="F2611" s="91" t="s">
        <v>4365</v>
      </c>
      <c r="G2611" s="96">
        <v>30390</v>
      </c>
      <c r="H2611" s="97">
        <v>13034</v>
      </c>
      <c r="I2611" s="100" t="s">
        <v>4366</v>
      </c>
      <c r="J2611" s="94" t="s">
        <v>58</v>
      </c>
      <c r="K2611" s="95" t="s">
        <v>58</v>
      </c>
      <c r="L2611" s="91" t="s">
        <v>60</v>
      </c>
      <c r="M2611" s="98">
        <f ca="1">(TODAY()-H2611)/365</f>
        <v>90.323287671232876</v>
      </c>
      <c r="N2611" s="99">
        <f>(G2611-H2611)/365</f>
        <v>47.550684931506851</v>
      </c>
      <c r="O2611" s="98">
        <f ca="1">(TODAY()-G2611)/365</f>
        <v>42.772602739726025</v>
      </c>
      <c r="P2611" s="91" t="s">
        <v>43</v>
      </c>
      <c r="Q2611" s="91">
        <v>0</v>
      </c>
      <c r="R2611" s="91">
        <v>0</v>
      </c>
      <c r="S2611" s="91">
        <v>0</v>
      </c>
      <c r="T2611" s="91"/>
      <c r="U2611" s="91"/>
      <c r="V2611" s="91"/>
      <c r="W2611" s="91"/>
      <c r="X2611" s="91"/>
      <c r="Y2611" s="91"/>
      <c r="Z2611" s="91"/>
      <c r="AA2611" s="91"/>
      <c r="AB2611" s="91"/>
      <c r="AC2611" s="91"/>
      <c r="AD2611" s="91"/>
      <c r="AE2611" s="91"/>
      <c r="AF2611" s="91"/>
      <c r="AG2611" s="91"/>
      <c r="AH2611" s="91"/>
      <c r="AI2611" s="91"/>
      <c r="AJ2611" s="91"/>
      <c r="AK2611" s="91"/>
      <c r="AL2611" s="91"/>
      <c r="AM2611" s="91"/>
    </row>
    <row r="2612" spans="1:39" ht="20.25" hidden="1" customHeight="1">
      <c r="A2612" s="91"/>
      <c r="B2612" s="93" t="s">
        <v>8095</v>
      </c>
      <c r="C2612" s="91" t="s">
        <v>36</v>
      </c>
      <c r="D2612" s="94" t="s">
        <v>8161</v>
      </c>
      <c r="E2612" s="94" t="s">
        <v>8162</v>
      </c>
      <c r="F2612" s="95" t="s">
        <v>8163</v>
      </c>
      <c r="G2612" s="96">
        <v>43881</v>
      </c>
      <c r="H2612" s="97">
        <v>29007</v>
      </c>
      <c r="I2612" s="94" t="s">
        <v>8164</v>
      </c>
      <c r="J2612" s="94" t="s">
        <v>8165</v>
      </c>
      <c r="K2612" s="95">
        <v>994906937</v>
      </c>
      <c r="L2612" s="91" t="s">
        <v>60</v>
      </c>
      <c r="M2612" s="98">
        <f ca="1">(TODAY()-H2612)/365</f>
        <v>46.561643835616437</v>
      </c>
      <c r="N2612" s="99">
        <f>(G2612-H2612)/365</f>
        <v>40.750684931506846</v>
      </c>
      <c r="O2612" s="98">
        <f ca="1">(TODAY()-G2612)/365</f>
        <v>5.8109589041095893</v>
      </c>
      <c r="P2612" s="91" t="s">
        <v>43</v>
      </c>
      <c r="Q2612" s="91">
        <v>0</v>
      </c>
      <c r="R2612" s="91">
        <v>0</v>
      </c>
      <c r="S2612" s="91">
        <v>0</v>
      </c>
      <c r="T2612" s="91"/>
      <c r="U2612" s="91"/>
      <c r="V2612" s="91"/>
      <c r="W2612" s="91"/>
      <c r="X2612" s="91"/>
      <c r="Y2612" s="91"/>
      <c r="Z2612" s="91"/>
      <c r="AA2612" s="91"/>
      <c r="AB2612" s="91"/>
      <c r="AC2612" s="91"/>
      <c r="AD2612" s="91"/>
      <c r="AE2612" s="91"/>
      <c r="AF2612" s="91"/>
      <c r="AG2612" s="91"/>
      <c r="AH2612" s="91"/>
      <c r="AI2612" s="91"/>
      <c r="AJ2612" s="91"/>
      <c r="AK2612" s="91"/>
      <c r="AL2612" s="91"/>
      <c r="AM2612" s="91"/>
    </row>
    <row r="2613" spans="1:39" ht="20.25" hidden="1" customHeight="1">
      <c r="A2613" s="91"/>
      <c r="B2613" s="93" t="s">
        <v>8095</v>
      </c>
      <c r="C2613" s="91" t="s">
        <v>36</v>
      </c>
      <c r="D2613" s="94" t="s">
        <v>8166</v>
      </c>
      <c r="E2613" s="94" t="s">
        <v>8167</v>
      </c>
      <c r="F2613" s="95" t="s">
        <v>8168</v>
      </c>
      <c r="G2613" s="96">
        <v>41146</v>
      </c>
      <c r="H2613" s="97">
        <v>25391</v>
      </c>
      <c r="I2613" s="94" t="s">
        <v>8169</v>
      </c>
      <c r="J2613" s="94" t="s">
        <v>8170</v>
      </c>
      <c r="K2613" s="95">
        <v>995791311</v>
      </c>
      <c r="L2613" s="91" t="s">
        <v>60</v>
      </c>
      <c r="M2613" s="98">
        <f ca="1">(TODAY()-H2613)/365</f>
        <v>56.468493150684928</v>
      </c>
      <c r="N2613" s="99">
        <f>(G2613-H2613)/365</f>
        <v>43.164383561643838</v>
      </c>
      <c r="O2613" s="98">
        <f ca="1">(TODAY()-G2613)/365</f>
        <v>13.304109589041095</v>
      </c>
      <c r="P2613" s="91" t="s">
        <v>272</v>
      </c>
      <c r="Q2613" s="91">
        <v>0</v>
      </c>
      <c r="R2613" s="91">
        <v>0</v>
      </c>
      <c r="S2613" s="91">
        <v>1</v>
      </c>
      <c r="T2613" s="91"/>
      <c r="U2613" s="91"/>
      <c r="V2613" s="91"/>
      <c r="W2613" s="91"/>
      <c r="X2613" s="91"/>
      <c r="Y2613" s="91"/>
      <c r="Z2613" s="91"/>
      <c r="AA2613" s="91"/>
      <c r="AB2613" s="91"/>
      <c r="AC2613" s="91"/>
      <c r="AD2613" s="91"/>
      <c r="AE2613" s="91"/>
      <c r="AF2613" s="91"/>
      <c r="AG2613" s="91"/>
      <c r="AH2613" s="91"/>
      <c r="AI2613" s="91"/>
      <c r="AJ2613" s="91"/>
      <c r="AK2613" s="91"/>
      <c r="AL2613" s="91"/>
      <c r="AM2613" s="91"/>
    </row>
    <row r="2614" spans="1:39" ht="20.25" hidden="1" customHeight="1">
      <c r="A2614" s="91"/>
      <c r="B2614" s="93" t="s">
        <v>8095</v>
      </c>
      <c r="C2614" s="91" t="s">
        <v>36</v>
      </c>
      <c r="D2614" s="94" t="s">
        <v>8171</v>
      </c>
      <c r="E2614" s="94" t="s">
        <v>8143</v>
      </c>
      <c r="F2614" s="95" t="s">
        <v>8172</v>
      </c>
      <c r="G2614" s="96">
        <v>43657</v>
      </c>
      <c r="H2614" s="97">
        <v>27623</v>
      </c>
      <c r="I2614" s="94" t="s">
        <v>8173</v>
      </c>
      <c r="J2614" s="94" t="s">
        <v>8174</v>
      </c>
      <c r="K2614" s="95">
        <v>995227537</v>
      </c>
      <c r="L2614" s="91" t="s">
        <v>60</v>
      </c>
      <c r="M2614" s="98">
        <f ca="1">(TODAY()-H2614)/365</f>
        <v>50.353424657534248</v>
      </c>
      <c r="N2614" s="99">
        <f>(G2614-H2614)/365</f>
        <v>43.92876712328767</v>
      </c>
      <c r="O2614" s="98">
        <f ca="1">(TODAY()-G2614)/365</f>
        <v>6.4246575342465757</v>
      </c>
      <c r="P2614" s="91" t="s">
        <v>43</v>
      </c>
      <c r="Q2614" s="91">
        <v>0</v>
      </c>
      <c r="R2614" s="91">
        <v>0</v>
      </c>
      <c r="S2614" s="91">
        <v>0</v>
      </c>
      <c r="T2614" s="91"/>
      <c r="U2614" s="91"/>
      <c r="V2614" s="91"/>
      <c r="W2614" s="91"/>
      <c r="X2614" s="91"/>
      <c r="Y2614" s="91"/>
      <c r="Z2614" s="91"/>
      <c r="AA2614" s="91"/>
      <c r="AB2614" s="91"/>
      <c r="AC2614" s="91"/>
      <c r="AD2614" s="91"/>
      <c r="AE2614" s="91"/>
      <c r="AF2614" s="91"/>
      <c r="AG2614" s="91"/>
      <c r="AH2614" s="91"/>
      <c r="AI2614" s="91"/>
      <c r="AJ2614" s="91"/>
      <c r="AK2614" s="91"/>
      <c r="AL2614" s="91"/>
      <c r="AM2614" s="91"/>
    </row>
    <row r="2615" spans="1:39" ht="20.25" customHeight="1">
      <c r="A2615" s="91"/>
      <c r="B2615" s="93" t="s">
        <v>2419</v>
      </c>
      <c r="C2615" s="91" t="s">
        <v>73</v>
      </c>
      <c r="D2615" s="94" t="s">
        <v>346</v>
      </c>
      <c r="E2615" s="94" t="s">
        <v>2464</v>
      </c>
      <c r="F2615" s="95" t="s">
        <v>2465</v>
      </c>
      <c r="G2615" s="96">
        <v>35065</v>
      </c>
      <c r="H2615" s="97">
        <v>18820</v>
      </c>
      <c r="I2615" s="108" t="s">
        <v>12343</v>
      </c>
      <c r="J2615" s="94" t="s">
        <v>58</v>
      </c>
      <c r="K2615" s="95" t="s">
        <v>58</v>
      </c>
      <c r="L2615" s="91" t="s">
        <v>60</v>
      </c>
      <c r="M2615" s="98">
        <f ca="1">(TODAY()-H2615)/365</f>
        <v>74.471232876712335</v>
      </c>
      <c r="N2615" s="99">
        <f>(G2615-H2615)/365</f>
        <v>44.506849315068493</v>
      </c>
      <c r="O2615" s="98">
        <f ca="1">(TODAY()-G2615)/365</f>
        <v>29.964383561643835</v>
      </c>
      <c r="P2615" s="91" t="s">
        <v>43</v>
      </c>
      <c r="Q2615" s="91">
        <v>0</v>
      </c>
      <c r="R2615" s="91">
        <v>0</v>
      </c>
      <c r="S2615" s="91">
        <v>0</v>
      </c>
      <c r="T2615" s="91"/>
      <c r="U2615" s="91"/>
      <c r="V2615" s="91"/>
      <c r="W2615" s="91"/>
      <c r="X2615" s="91"/>
      <c r="Y2615" s="91"/>
      <c r="Z2615" s="91"/>
      <c r="AA2615" s="91"/>
      <c r="AB2615" s="91"/>
      <c r="AC2615" s="91"/>
      <c r="AD2615" s="91"/>
      <c r="AE2615" s="91"/>
      <c r="AF2615" s="91"/>
      <c r="AG2615" s="91"/>
      <c r="AH2615" s="91"/>
      <c r="AI2615" s="91"/>
      <c r="AJ2615" s="91"/>
      <c r="AK2615" s="91"/>
      <c r="AL2615" s="91"/>
      <c r="AM2615" s="91"/>
    </row>
    <row r="2616" spans="1:39" ht="20.25" customHeight="1">
      <c r="A2616" s="91"/>
      <c r="B2616" s="93" t="s">
        <v>10137</v>
      </c>
      <c r="C2616" s="91" t="s">
        <v>73</v>
      </c>
      <c r="D2616" s="106" t="s">
        <v>10200</v>
      </c>
      <c r="E2616" s="106" t="s">
        <v>10201</v>
      </c>
      <c r="F2616" s="92" t="s">
        <v>10202</v>
      </c>
      <c r="G2616" s="103">
        <v>44629</v>
      </c>
      <c r="H2616" s="103">
        <v>36780</v>
      </c>
      <c r="I2616" s="108" t="s">
        <v>12589</v>
      </c>
      <c r="J2616" s="100" t="s">
        <v>58</v>
      </c>
      <c r="K2616" s="95" t="s">
        <v>58</v>
      </c>
      <c r="L2616" s="91"/>
      <c r="M2616" s="98">
        <f ca="1">(TODAY()-H2616)/365</f>
        <v>25.265753424657536</v>
      </c>
      <c r="N2616" s="99">
        <f>(G2616-H2616)/365</f>
        <v>21.504109589041096</v>
      </c>
      <c r="O2616" s="98">
        <f ca="1">(TODAY()-G2616)/365</f>
        <v>3.7616438356164386</v>
      </c>
      <c r="P2616" s="91" t="s">
        <v>272</v>
      </c>
      <c r="Q2616" s="91"/>
      <c r="R2616" s="91"/>
      <c r="S2616" s="91"/>
      <c r="T2616" s="91"/>
      <c r="U2616" s="91"/>
      <c r="V2616" s="91"/>
      <c r="W2616" s="91"/>
      <c r="X2616" s="91"/>
      <c r="Y2616" s="91"/>
      <c r="Z2616" s="91"/>
      <c r="AA2616" s="91"/>
      <c r="AB2616" s="91"/>
      <c r="AC2616" s="91"/>
      <c r="AD2616" s="91"/>
      <c r="AE2616" s="91"/>
      <c r="AF2616" s="91"/>
      <c r="AG2616" s="91"/>
      <c r="AH2616" s="91"/>
      <c r="AI2616" s="91"/>
      <c r="AJ2616" s="91"/>
      <c r="AK2616" s="91"/>
      <c r="AL2616" s="91"/>
      <c r="AM2616" s="91"/>
    </row>
    <row r="2617" spans="1:39" ht="20.25" customHeight="1">
      <c r="A2617" s="91"/>
      <c r="B2617" s="93" t="s">
        <v>5365</v>
      </c>
      <c r="C2617" s="91" t="s">
        <v>73</v>
      </c>
      <c r="D2617" s="94" t="s">
        <v>5461</v>
      </c>
      <c r="E2617" s="94" t="s">
        <v>5462</v>
      </c>
      <c r="F2617" s="95" t="s">
        <v>5463</v>
      </c>
      <c r="G2617" s="96">
        <v>41217</v>
      </c>
      <c r="H2617" s="97">
        <v>19163</v>
      </c>
      <c r="I2617" s="102" t="s">
        <v>5464</v>
      </c>
      <c r="J2617" s="100" t="s">
        <v>58</v>
      </c>
      <c r="K2617" s="91" t="s">
        <v>58</v>
      </c>
      <c r="L2617" s="91" t="s">
        <v>60</v>
      </c>
      <c r="M2617" s="98">
        <f ca="1">(TODAY()-H2617)/365</f>
        <v>73.531506849315065</v>
      </c>
      <c r="N2617" s="99">
        <f>(G2617-H2617)/365</f>
        <v>60.421917808219177</v>
      </c>
      <c r="O2617" s="98">
        <f ca="1">(TODAY()-G2617)/365</f>
        <v>13.109589041095891</v>
      </c>
      <c r="P2617" s="91" t="s">
        <v>43</v>
      </c>
      <c r="Q2617" s="91">
        <v>0</v>
      </c>
      <c r="R2617" s="91">
        <v>0</v>
      </c>
      <c r="S2617" s="91">
        <v>0</v>
      </c>
      <c r="T2617" s="91"/>
      <c r="U2617" s="91"/>
      <c r="V2617" s="91"/>
      <c r="W2617" s="91"/>
      <c r="X2617" s="91"/>
      <c r="Y2617" s="91"/>
      <c r="Z2617" s="91"/>
      <c r="AA2617" s="91"/>
      <c r="AB2617" s="91"/>
      <c r="AC2617" s="91"/>
      <c r="AD2617" s="91"/>
      <c r="AE2617" s="91"/>
      <c r="AF2617" s="91"/>
      <c r="AG2617" s="91"/>
      <c r="AH2617" s="91"/>
      <c r="AI2617" s="91"/>
      <c r="AJ2617" s="91"/>
      <c r="AK2617" s="91"/>
      <c r="AL2617" s="91"/>
      <c r="AM2617" s="91"/>
    </row>
    <row r="2618" spans="1:39" ht="20.25" customHeight="1">
      <c r="A2618" s="91"/>
      <c r="B2618" s="93" t="s">
        <v>5484</v>
      </c>
      <c r="C2618" s="91" t="s">
        <v>73</v>
      </c>
      <c r="D2618" s="107" t="s">
        <v>5700</v>
      </c>
      <c r="E2618" s="107" t="s">
        <v>5701</v>
      </c>
      <c r="F2618" s="91" t="s">
        <v>5702</v>
      </c>
      <c r="G2618" s="96">
        <v>44197</v>
      </c>
      <c r="H2618" s="97">
        <v>24909</v>
      </c>
      <c r="I2618" s="100" t="s">
        <v>5703</v>
      </c>
      <c r="J2618" s="100" t="s">
        <v>58</v>
      </c>
      <c r="K2618" s="91" t="s">
        <v>58</v>
      </c>
      <c r="L2618" s="91" t="s">
        <v>60</v>
      </c>
      <c r="M2618" s="98">
        <f ca="1">(TODAY()-H2618)/365</f>
        <v>57.789041095890411</v>
      </c>
      <c r="N2618" s="99">
        <f>(G2618-H2618)/365</f>
        <v>52.843835616438355</v>
      </c>
      <c r="O2618" s="98">
        <f ca="1">(TODAY()-G2618)/365</f>
        <v>4.9452054794520546</v>
      </c>
      <c r="P2618" s="91" t="s">
        <v>43</v>
      </c>
      <c r="Q2618" s="91">
        <v>0</v>
      </c>
      <c r="R2618" s="91">
        <v>0</v>
      </c>
      <c r="S2618" s="91">
        <v>0</v>
      </c>
      <c r="T2618" s="91"/>
      <c r="U2618" s="91"/>
      <c r="V2618" s="91"/>
      <c r="W2618" s="91"/>
      <c r="X2618" s="91"/>
      <c r="Y2618" s="91"/>
      <c r="Z2618" s="91"/>
      <c r="AA2618" s="91"/>
      <c r="AB2618" s="91"/>
      <c r="AC2618" s="91"/>
      <c r="AD2618" s="91"/>
      <c r="AE2618" s="91"/>
      <c r="AF2618" s="91"/>
      <c r="AG2618" s="91"/>
      <c r="AH2618" s="91"/>
      <c r="AI2618" s="91"/>
      <c r="AJ2618" s="91"/>
      <c r="AK2618" s="91"/>
      <c r="AL2618" s="91"/>
      <c r="AM2618" s="91"/>
    </row>
    <row r="2619" spans="1:39" ht="20.25" customHeight="1">
      <c r="A2619" s="91"/>
      <c r="B2619" s="93" t="s">
        <v>9659</v>
      </c>
      <c r="C2619" s="91" t="s">
        <v>73</v>
      </c>
      <c r="D2619" s="107" t="s">
        <v>3580</v>
      </c>
      <c r="E2619" s="107" t="s">
        <v>9762</v>
      </c>
      <c r="F2619" s="92" t="s">
        <v>9763</v>
      </c>
      <c r="G2619" s="103">
        <v>40834</v>
      </c>
      <c r="H2619" s="103">
        <v>20715</v>
      </c>
      <c r="I2619" s="94" t="s">
        <v>9764</v>
      </c>
      <c r="J2619" s="100" t="s">
        <v>58</v>
      </c>
      <c r="K2619" s="95" t="s">
        <v>58</v>
      </c>
      <c r="L2619" s="91" t="s">
        <v>60</v>
      </c>
      <c r="M2619" s="98">
        <f ca="1">(TODAY()-H2619)/365</f>
        <v>69.279452054794518</v>
      </c>
      <c r="N2619" s="99">
        <f>(G2619-H2619)/365</f>
        <v>55.12054794520548</v>
      </c>
      <c r="O2619" s="98">
        <f ca="1">(TODAY()-G2619)/365</f>
        <v>14.158904109589042</v>
      </c>
      <c r="P2619" s="91" t="s">
        <v>43</v>
      </c>
      <c r="Q2619" s="91">
        <v>0</v>
      </c>
      <c r="R2619" s="91">
        <v>0</v>
      </c>
      <c r="S2619" s="91">
        <v>0</v>
      </c>
      <c r="T2619" s="91"/>
      <c r="U2619" s="91"/>
      <c r="V2619" s="91"/>
      <c r="W2619" s="91"/>
      <c r="X2619" s="91"/>
      <c r="Y2619" s="91"/>
      <c r="Z2619" s="91"/>
      <c r="AA2619" s="91"/>
      <c r="AB2619" s="91"/>
      <c r="AC2619" s="91"/>
      <c r="AD2619" s="91"/>
      <c r="AE2619" s="91"/>
      <c r="AF2619" s="91"/>
      <c r="AG2619" s="91"/>
      <c r="AH2619" s="91"/>
      <c r="AI2619" s="91"/>
      <c r="AJ2619" s="91"/>
      <c r="AK2619" s="91"/>
      <c r="AL2619" s="91"/>
      <c r="AM2619" s="91"/>
    </row>
    <row r="2620" spans="1:39" ht="20.25" hidden="1" customHeight="1">
      <c r="A2620" s="91"/>
      <c r="B2620" s="93" t="s">
        <v>8095</v>
      </c>
      <c r="C2620" s="91" t="s">
        <v>36</v>
      </c>
      <c r="D2620" s="94" t="s">
        <v>8195</v>
      </c>
      <c r="E2620" s="94" t="s">
        <v>8196</v>
      </c>
      <c r="F2620" s="95" t="s">
        <v>8197</v>
      </c>
      <c r="G2620" s="96">
        <v>42609</v>
      </c>
      <c r="H2620" s="97">
        <v>22185</v>
      </c>
      <c r="I2620" s="94" t="s">
        <v>8198</v>
      </c>
      <c r="J2620" s="94" t="s">
        <v>8199</v>
      </c>
      <c r="K2620" s="95">
        <v>952216600</v>
      </c>
      <c r="L2620" s="91" t="s">
        <v>60</v>
      </c>
      <c r="M2620" s="98">
        <f ca="1">(TODAY()-H2620)/365</f>
        <v>65.252054794520546</v>
      </c>
      <c r="N2620" s="99">
        <f>(G2620-H2620)/365</f>
        <v>55.956164383561642</v>
      </c>
      <c r="O2620" s="98">
        <f ca="1">(TODAY()-G2620)/365</f>
        <v>9.2958904109589042</v>
      </c>
      <c r="P2620" s="91" t="s">
        <v>272</v>
      </c>
      <c r="Q2620" s="91">
        <v>0</v>
      </c>
      <c r="R2620" s="91">
        <v>0</v>
      </c>
      <c r="S2620" s="91">
        <v>0</v>
      </c>
      <c r="T2620" s="91"/>
      <c r="U2620" s="91"/>
      <c r="V2620" s="91"/>
      <c r="W2620" s="91"/>
      <c r="X2620" s="91"/>
      <c r="Y2620" s="91"/>
      <c r="Z2620" s="91"/>
      <c r="AA2620" s="91"/>
      <c r="AB2620" s="91"/>
      <c r="AC2620" s="91"/>
      <c r="AD2620" s="91"/>
      <c r="AE2620" s="91"/>
      <c r="AF2620" s="91"/>
      <c r="AG2620" s="91"/>
      <c r="AH2620" s="91"/>
      <c r="AI2620" s="91"/>
      <c r="AJ2620" s="91"/>
      <c r="AK2620" s="91"/>
      <c r="AL2620" s="91"/>
      <c r="AM2620" s="91"/>
    </row>
    <row r="2621" spans="1:39" ht="20.25" customHeight="1">
      <c r="A2621" s="128"/>
      <c r="B2621" s="93" t="s">
        <v>11240</v>
      </c>
      <c r="C2621" s="91" t="s">
        <v>73</v>
      </c>
      <c r="D2621" s="106" t="s">
        <v>11268</v>
      </c>
      <c r="E2621" s="106" t="s">
        <v>11269</v>
      </c>
      <c r="F2621" s="92" t="s">
        <v>11270</v>
      </c>
      <c r="G2621" s="103">
        <v>44927</v>
      </c>
      <c r="H2621" s="103">
        <v>34044</v>
      </c>
      <c r="I2621" s="94" t="s">
        <v>58</v>
      </c>
      <c r="J2621" s="100" t="s">
        <v>58</v>
      </c>
      <c r="K2621" s="95" t="s">
        <v>58</v>
      </c>
      <c r="L2621" s="91"/>
      <c r="M2621" s="98">
        <f ca="1">(TODAY()-H2621)/365</f>
        <v>32.761643835616439</v>
      </c>
      <c r="N2621" s="99">
        <f>(G2621-H2621)/365</f>
        <v>29.816438356164383</v>
      </c>
      <c r="O2621" s="98">
        <f ca="1">(TODAY()-G2621)/365</f>
        <v>2.9452054794520546</v>
      </c>
      <c r="P2621" s="91" t="s">
        <v>43</v>
      </c>
      <c r="Q2621" s="91"/>
      <c r="R2621" s="91"/>
      <c r="S2621" s="91"/>
      <c r="T2621" s="91"/>
      <c r="U2621" s="91"/>
      <c r="V2621" s="91"/>
      <c r="W2621" s="91"/>
      <c r="X2621" s="91"/>
      <c r="Y2621" s="91"/>
      <c r="Z2621" s="91"/>
      <c r="AA2621" s="91"/>
      <c r="AB2621" s="91"/>
      <c r="AC2621" s="91"/>
      <c r="AD2621" s="91"/>
      <c r="AE2621" s="91"/>
      <c r="AF2621" s="91"/>
      <c r="AG2621" s="91"/>
      <c r="AH2621" s="91"/>
      <c r="AI2621" s="91"/>
      <c r="AJ2621" s="91"/>
      <c r="AK2621" s="91"/>
      <c r="AL2621" s="91"/>
      <c r="AM2621" s="91"/>
    </row>
    <row r="2622" spans="1:39" ht="20.25" customHeight="1">
      <c r="A2622" s="91"/>
      <c r="B2622" s="93" t="s">
        <v>5023</v>
      </c>
      <c r="C2622" s="91" t="s">
        <v>73</v>
      </c>
      <c r="D2622" s="107" t="s">
        <v>5088</v>
      </c>
      <c r="E2622" s="107" t="s">
        <v>5089</v>
      </c>
      <c r="F2622" s="91" t="s">
        <v>5090</v>
      </c>
      <c r="G2622" s="96">
        <v>42078</v>
      </c>
      <c r="H2622" s="97">
        <v>29632</v>
      </c>
      <c r="I2622" s="100" t="s">
        <v>5091</v>
      </c>
      <c r="J2622" s="94" t="s">
        <v>58</v>
      </c>
      <c r="K2622" s="95" t="s">
        <v>58</v>
      </c>
      <c r="L2622" s="91" t="s">
        <v>60</v>
      </c>
      <c r="M2622" s="98">
        <f ca="1">(TODAY()-H2622)/365</f>
        <v>44.849315068493148</v>
      </c>
      <c r="N2622" s="99">
        <f>(G2622-H2622)/365</f>
        <v>34.098630136986301</v>
      </c>
      <c r="O2622" s="98">
        <f ca="1">(TODAY()-G2622)/365</f>
        <v>10.75068493150685</v>
      </c>
      <c r="P2622" s="91" t="s">
        <v>43</v>
      </c>
      <c r="Q2622" s="91">
        <v>0</v>
      </c>
      <c r="R2622" s="91">
        <v>0</v>
      </c>
      <c r="S2622" s="91">
        <v>0</v>
      </c>
      <c r="T2622" s="91"/>
      <c r="U2622" s="91"/>
      <c r="V2622" s="91"/>
      <c r="W2622" s="91"/>
      <c r="X2622" s="91"/>
      <c r="Y2622" s="91"/>
      <c r="Z2622" s="91"/>
      <c r="AA2622" s="91"/>
      <c r="AB2622" s="91"/>
      <c r="AC2622" s="91"/>
      <c r="AD2622" s="91"/>
      <c r="AE2622" s="91"/>
      <c r="AF2622" s="91"/>
      <c r="AG2622" s="91"/>
      <c r="AH2622" s="91"/>
      <c r="AI2622" s="91"/>
      <c r="AJ2622" s="91"/>
      <c r="AK2622" s="91"/>
      <c r="AL2622" s="91"/>
      <c r="AM2622" s="91"/>
    </row>
    <row r="2623" spans="1:39" ht="20.25" hidden="1" customHeight="1">
      <c r="A2623" s="91"/>
      <c r="B2623" s="93" t="s">
        <v>8095</v>
      </c>
      <c r="C2623" s="91" t="s">
        <v>36</v>
      </c>
      <c r="D2623" s="94" t="s">
        <v>8208</v>
      </c>
      <c r="E2623" s="94" t="s">
        <v>8209</v>
      </c>
      <c r="F2623" s="95" t="s">
        <v>8210</v>
      </c>
      <c r="G2623" s="96">
        <v>43482</v>
      </c>
      <c r="H2623" s="97">
        <v>19029</v>
      </c>
      <c r="I2623" s="94" t="s">
        <v>8211</v>
      </c>
      <c r="J2623" s="100" t="s">
        <v>58</v>
      </c>
      <c r="K2623" s="95">
        <v>981628357</v>
      </c>
      <c r="L2623" s="91" t="s">
        <v>72</v>
      </c>
      <c r="M2623" s="98">
        <f ca="1">(TODAY()-H2623)/365</f>
        <v>73.898630136986299</v>
      </c>
      <c r="N2623" s="99">
        <f>(G2623-H2623)/365</f>
        <v>66.9945205479452</v>
      </c>
      <c r="O2623" s="98">
        <f ca="1">(TODAY()-G2623)/365</f>
        <v>6.904109589041096</v>
      </c>
      <c r="P2623" s="91" t="s">
        <v>43</v>
      </c>
      <c r="Q2623" s="91">
        <v>0</v>
      </c>
      <c r="R2623" s="91">
        <v>0</v>
      </c>
      <c r="S2623" s="91">
        <v>0</v>
      </c>
      <c r="T2623" s="91"/>
      <c r="U2623" s="91"/>
      <c r="V2623" s="91"/>
      <c r="W2623" s="91"/>
      <c r="X2623" s="91"/>
      <c r="Y2623" s="91"/>
      <c r="Z2623" s="91"/>
      <c r="AA2623" s="91"/>
      <c r="AB2623" s="91"/>
      <c r="AC2623" s="91"/>
      <c r="AD2623" s="91"/>
      <c r="AE2623" s="91"/>
      <c r="AF2623" s="91"/>
      <c r="AG2623" s="91"/>
      <c r="AH2623" s="91"/>
      <c r="AI2623" s="91"/>
      <c r="AJ2623" s="91"/>
      <c r="AK2623" s="91"/>
      <c r="AL2623" s="91"/>
      <c r="AM2623" s="91"/>
    </row>
    <row r="2624" spans="1:39" ht="20.25" hidden="1" customHeight="1">
      <c r="A2624" s="91"/>
      <c r="B2624" s="113" t="s">
        <v>8212</v>
      </c>
      <c r="C2624" s="91" t="s">
        <v>36</v>
      </c>
      <c r="D2624" s="107" t="s">
        <v>716</v>
      </c>
      <c r="E2624" s="107" t="s">
        <v>8213</v>
      </c>
      <c r="F2624" s="91" t="s">
        <v>8214</v>
      </c>
      <c r="G2624" s="96">
        <v>34117</v>
      </c>
      <c r="H2624" s="97">
        <v>26656</v>
      </c>
      <c r="I2624" s="94" t="s">
        <v>8215</v>
      </c>
      <c r="J2624" s="94" t="s">
        <v>58</v>
      </c>
      <c r="K2624" s="91">
        <v>992029299</v>
      </c>
      <c r="L2624" s="91" t="s">
        <v>60</v>
      </c>
      <c r="M2624" s="98">
        <f ca="1">(TODAY()-H2624)/365</f>
        <v>53.0027397260274</v>
      </c>
      <c r="N2624" s="99">
        <f>(G2624-H2624)/365</f>
        <v>20.44109589041096</v>
      </c>
      <c r="O2624" s="98">
        <f ca="1">(TODAY()-G2624)/365</f>
        <v>32.561643835616437</v>
      </c>
      <c r="P2624" s="91" t="s">
        <v>43</v>
      </c>
      <c r="Q2624" s="91">
        <v>0</v>
      </c>
      <c r="R2624" s="91">
        <v>0</v>
      </c>
      <c r="S2624" s="91">
        <v>0</v>
      </c>
      <c r="T2624" s="91"/>
      <c r="U2624" s="91"/>
      <c r="V2624" s="91"/>
      <c r="W2624" s="91"/>
      <c r="X2624" s="91"/>
      <c r="Y2624" s="91"/>
      <c r="Z2624" s="91"/>
      <c r="AA2624" s="91"/>
      <c r="AB2624" s="91"/>
      <c r="AC2624" s="91"/>
      <c r="AD2624" s="91"/>
      <c r="AE2624" s="91"/>
      <c r="AF2624" s="91"/>
      <c r="AG2624" s="91"/>
      <c r="AH2624" s="91"/>
      <c r="AI2624" s="91"/>
      <c r="AJ2624" s="91"/>
      <c r="AK2624" s="91"/>
      <c r="AL2624" s="91"/>
      <c r="AM2624" s="91"/>
    </row>
    <row r="2625" spans="1:39" ht="20.25" hidden="1" customHeight="1">
      <c r="A2625" s="91"/>
      <c r="B2625" s="113" t="s">
        <v>8212</v>
      </c>
      <c r="C2625" s="91" t="s">
        <v>36</v>
      </c>
      <c r="D2625" s="107" t="s">
        <v>8216</v>
      </c>
      <c r="E2625" s="107" t="s">
        <v>8217</v>
      </c>
      <c r="F2625" s="91" t="s">
        <v>8218</v>
      </c>
      <c r="G2625" s="96">
        <v>27473</v>
      </c>
      <c r="H2625" s="97">
        <v>18930</v>
      </c>
      <c r="I2625" s="94" t="s">
        <v>8219</v>
      </c>
      <c r="J2625" s="94" t="s">
        <v>58</v>
      </c>
      <c r="K2625" s="91">
        <v>984036706</v>
      </c>
      <c r="L2625" s="91" t="s">
        <v>54</v>
      </c>
      <c r="M2625" s="98">
        <f ca="1">(TODAY()-H2625)/365</f>
        <v>74.169863013698631</v>
      </c>
      <c r="N2625" s="99">
        <f>(G2625-H2625)/365</f>
        <v>23.405479452054795</v>
      </c>
      <c r="O2625" s="98">
        <f ca="1">(TODAY()-G2625)/365</f>
        <v>50.764383561643832</v>
      </c>
      <c r="P2625" s="91" t="s">
        <v>43</v>
      </c>
      <c r="Q2625" s="91">
        <v>0</v>
      </c>
      <c r="R2625" s="91">
        <v>0</v>
      </c>
      <c r="S2625" s="91">
        <v>0</v>
      </c>
      <c r="T2625" s="91"/>
      <c r="U2625" s="91"/>
      <c r="V2625" s="91"/>
      <c r="W2625" s="91"/>
      <c r="X2625" s="91"/>
      <c r="Y2625" s="91"/>
      <c r="Z2625" s="91"/>
      <c r="AA2625" s="91"/>
      <c r="AB2625" s="91"/>
      <c r="AC2625" s="91"/>
      <c r="AD2625" s="91"/>
      <c r="AE2625" s="91"/>
      <c r="AF2625" s="91"/>
      <c r="AG2625" s="91"/>
      <c r="AH2625" s="91"/>
      <c r="AI2625" s="91"/>
      <c r="AJ2625" s="91"/>
      <c r="AK2625" s="91"/>
      <c r="AL2625" s="91"/>
      <c r="AM2625" s="91"/>
    </row>
    <row r="2626" spans="1:39" ht="20.25" hidden="1" customHeight="1">
      <c r="A2626" s="91"/>
      <c r="B2626" s="113" t="s">
        <v>8212</v>
      </c>
      <c r="C2626" s="91" t="s">
        <v>36</v>
      </c>
      <c r="D2626" s="107" t="s">
        <v>1271</v>
      </c>
      <c r="E2626" s="107" t="s">
        <v>8220</v>
      </c>
      <c r="F2626" s="91" t="s">
        <v>8221</v>
      </c>
      <c r="G2626" s="96">
        <v>43815</v>
      </c>
      <c r="H2626" s="97">
        <v>31236</v>
      </c>
      <c r="I2626" s="94" t="s">
        <v>8222</v>
      </c>
      <c r="J2626" s="94" t="s">
        <v>58</v>
      </c>
      <c r="K2626" s="91">
        <v>984161401</v>
      </c>
      <c r="L2626" s="91" t="s">
        <v>167</v>
      </c>
      <c r="M2626" s="98">
        <f ca="1">(TODAY()-H2626)/365</f>
        <v>40.454794520547942</v>
      </c>
      <c r="N2626" s="99">
        <f>(G2626-H2626)/365</f>
        <v>34.463013698630135</v>
      </c>
      <c r="O2626" s="98">
        <f ca="1">(TODAY()-G2626)/365</f>
        <v>5.9917808219178079</v>
      </c>
      <c r="P2626" s="91" t="s">
        <v>43</v>
      </c>
      <c r="Q2626" s="91">
        <v>0</v>
      </c>
      <c r="R2626" s="91">
        <v>0</v>
      </c>
      <c r="S2626" s="91">
        <v>0</v>
      </c>
      <c r="T2626" s="91"/>
      <c r="U2626" s="91"/>
      <c r="V2626" s="91"/>
      <c r="W2626" s="91"/>
      <c r="X2626" s="91"/>
      <c r="Y2626" s="91"/>
      <c r="Z2626" s="91"/>
      <c r="AA2626" s="91"/>
      <c r="AB2626" s="91"/>
      <c r="AC2626" s="91"/>
      <c r="AD2626" s="91"/>
      <c r="AE2626" s="91"/>
      <c r="AF2626" s="91"/>
      <c r="AG2626" s="91"/>
      <c r="AH2626" s="91"/>
      <c r="AI2626" s="91"/>
      <c r="AJ2626" s="91"/>
      <c r="AK2626" s="91"/>
      <c r="AL2626" s="91"/>
      <c r="AM2626" s="91"/>
    </row>
    <row r="2627" spans="1:39" ht="20.25" hidden="1" customHeight="1">
      <c r="A2627" s="91"/>
      <c r="B2627" s="113" t="s">
        <v>8212</v>
      </c>
      <c r="C2627" s="91" t="s">
        <v>36</v>
      </c>
      <c r="D2627" s="107" t="s">
        <v>2461</v>
      </c>
      <c r="E2627" s="107" t="s">
        <v>8223</v>
      </c>
      <c r="F2627" s="91" t="s">
        <v>8224</v>
      </c>
      <c r="G2627" s="96">
        <v>41178</v>
      </c>
      <c r="H2627" s="97">
        <v>27730</v>
      </c>
      <c r="I2627" s="94" t="s">
        <v>58</v>
      </c>
      <c r="J2627" s="94" t="s">
        <v>58</v>
      </c>
      <c r="K2627" s="91">
        <v>975785539</v>
      </c>
      <c r="L2627" s="91" t="s">
        <v>60</v>
      </c>
      <c r="M2627" s="98">
        <f ca="1">(TODAY()-H2627)/365</f>
        <v>50.060273972602737</v>
      </c>
      <c r="N2627" s="99">
        <f>(G2627-H2627)/365</f>
        <v>36.843835616438355</v>
      </c>
      <c r="O2627" s="98">
        <f ca="1">(TODAY()-G2627)/365</f>
        <v>13.216438356164383</v>
      </c>
      <c r="P2627" s="91" t="s">
        <v>272</v>
      </c>
      <c r="Q2627" s="91">
        <v>0</v>
      </c>
      <c r="R2627" s="91">
        <v>0</v>
      </c>
      <c r="S2627" s="91">
        <v>0</v>
      </c>
      <c r="T2627" s="91"/>
      <c r="U2627" s="91"/>
      <c r="V2627" s="91"/>
      <c r="W2627" s="91"/>
      <c r="X2627" s="91"/>
      <c r="Y2627" s="91"/>
      <c r="Z2627" s="91"/>
      <c r="AA2627" s="91"/>
      <c r="AB2627" s="91"/>
      <c r="AC2627" s="91"/>
      <c r="AD2627" s="91"/>
      <c r="AE2627" s="91"/>
      <c r="AF2627" s="91"/>
      <c r="AG2627" s="91"/>
      <c r="AH2627" s="91"/>
      <c r="AI2627" s="91"/>
      <c r="AJ2627" s="91"/>
      <c r="AK2627" s="91"/>
      <c r="AL2627" s="91"/>
      <c r="AM2627" s="91"/>
    </row>
    <row r="2628" spans="1:39" ht="20.25" hidden="1" customHeight="1">
      <c r="A2628" s="91"/>
      <c r="B2628" s="113" t="s">
        <v>8212</v>
      </c>
      <c r="C2628" s="91" t="s">
        <v>36</v>
      </c>
      <c r="D2628" s="107" t="s">
        <v>666</v>
      </c>
      <c r="E2628" s="107" t="s">
        <v>8225</v>
      </c>
      <c r="F2628" s="91" t="s">
        <v>8226</v>
      </c>
      <c r="G2628" s="96">
        <v>42454</v>
      </c>
      <c r="H2628" s="97">
        <v>26077</v>
      </c>
      <c r="I2628" s="94" t="s">
        <v>58</v>
      </c>
      <c r="J2628" s="94" t="s">
        <v>58</v>
      </c>
      <c r="K2628" s="91">
        <v>985620234</v>
      </c>
      <c r="L2628" s="91" t="s">
        <v>60</v>
      </c>
      <c r="M2628" s="98">
        <f ca="1">(TODAY()-H2628)/365</f>
        <v>54.589041095890408</v>
      </c>
      <c r="N2628" s="99">
        <f>(G2628-H2628)/365</f>
        <v>44.868493150684934</v>
      </c>
      <c r="O2628" s="98">
        <f ca="1">(TODAY()-G2628)/365</f>
        <v>9.7205479452054799</v>
      </c>
      <c r="P2628" s="91" t="s">
        <v>43</v>
      </c>
      <c r="Q2628" s="91">
        <v>0</v>
      </c>
      <c r="R2628" s="91">
        <v>0</v>
      </c>
      <c r="S2628" s="91">
        <v>0</v>
      </c>
      <c r="T2628" s="91"/>
      <c r="U2628" s="91"/>
      <c r="V2628" s="91"/>
      <c r="W2628" s="91"/>
      <c r="X2628" s="91"/>
      <c r="Y2628" s="91"/>
      <c r="Z2628" s="91"/>
      <c r="AA2628" s="91"/>
      <c r="AB2628" s="91"/>
      <c r="AC2628" s="91"/>
      <c r="AD2628" s="91"/>
      <c r="AE2628" s="91"/>
      <c r="AF2628" s="91"/>
      <c r="AG2628" s="91"/>
      <c r="AH2628" s="91"/>
      <c r="AI2628" s="91"/>
      <c r="AJ2628" s="91"/>
      <c r="AK2628" s="91"/>
      <c r="AL2628" s="91"/>
      <c r="AM2628" s="91"/>
    </row>
    <row r="2629" spans="1:39" ht="20.25" hidden="1" customHeight="1">
      <c r="A2629" s="91"/>
      <c r="B2629" s="113" t="s">
        <v>8212</v>
      </c>
      <c r="C2629" s="91" t="s">
        <v>36</v>
      </c>
      <c r="D2629" s="107" t="s">
        <v>1271</v>
      </c>
      <c r="E2629" s="107" t="s">
        <v>8227</v>
      </c>
      <c r="F2629" s="91" t="s">
        <v>8228</v>
      </c>
      <c r="G2629" s="96">
        <v>36913</v>
      </c>
      <c r="H2629" s="97">
        <v>18260</v>
      </c>
      <c r="I2629" s="94" t="s">
        <v>8229</v>
      </c>
      <c r="J2629" s="94" t="s">
        <v>58</v>
      </c>
      <c r="K2629" s="91">
        <v>984010185</v>
      </c>
      <c r="L2629" s="91" t="s">
        <v>60</v>
      </c>
      <c r="M2629" s="98">
        <f ca="1">(TODAY()-H2629)/365</f>
        <v>76.0054794520548</v>
      </c>
      <c r="N2629" s="99">
        <f>(G2629-H2629)/365</f>
        <v>51.104109589041094</v>
      </c>
      <c r="O2629" s="98">
        <f ca="1">(TODAY()-G2629)/365</f>
        <v>24.901369863013699</v>
      </c>
      <c r="P2629" s="91" t="s">
        <v>43</v>
      </c>
      <c r="Q2629" s="91">
        <v>0</v>
      </c>
      <c r="R2629" s="91">
        <v>0</v>
      </c>
      <c r="S2629" s="91">
        <v>0</v>
      </c>
      <c r="T2629" s="91"/>
      <c r="U2629" s="91"/>
      <c r="V2629" s="91"/>
      <c r="W2629" s="91"/>
      <c r="X2629" s="91"/>
      <c r="Y2629" s="91"/>
      <c r="Z2629" s="91"/>
      <c r="AA2629" s="91"/>
      <c r="AB2629" s="91"/>
      <c r="AC2629" s="91"/>
      <c r="AD2629" s="91"/>
      <c r="AE2629" s="91"/>
      <c r="AF2629" s="91"/>
      <c r="AG2629" s="91"/>
      <c r="AH2629" s="91"/>
      <c r="AI2629" s="91"/>
      <c r="AJ2629" s="91"/>
      <c r="AK2629" s="91"/>
      <c r="AL2629" s="91"/>
      <c r="AM2629" s="91"/>
    </row>
    <row r="2630" spans="1:39" ht="20.25" hidden="1" customHeight="1">
      <c r="A2630" s="91"/>
      <c r="B2630" s="113" t="s">
        <v>8212</v>
      </c>
      <c r="C2630" s="91" t="s">
        <v>36</v>
      </c>
      <c r="D2630" s="107" t="s">
        <v>335</v>
      </c>
      <c r="E2630" s="107" t="s">
        <v>8230</v>
      </c>
      <c r="F2630" s="91" t="s">
        <v>8231</v>
      </c>
      <c r="G2630" s="96">
        <v>35303</v>
      </c>
      <c r="H2630" s="97">
        <v>15282</v>
      </c>
      <c r="I2630" s="94" t="s">
        <v>58</v>
      </c>
      <c r="J2630" s="94" t="s">
        <v>58</v>
      </c>
      <c r="K2630" s="91">
        <v>979266890</v>
      </c>
      <c r="L2630" s="91" t="s">
        <v>60</v>
      </c>
      <c r="M2630" s="98">
        <f ca="1">(TODAY()-H2630)/365</f>
        <v>84.164383561643831</v>
      </c>
      <c r="N2630" s="99">
        <f>(G2630-H2630)/365</f>
        <v>54.852054794520548</v>
      </c>
      <c r="O2630" s="98">
        <f ca="1">(TODAY()-G2630)/365</f>
        <v>29.312328767123287</v>
      </c>
      <c r="P2630" s="91" t="s">
        <v>43</v>
      </c>
      <c r="Q2630" s="91">
        <v>0</v>
      </c>
      <c r="R2630" s="91">
        <v>0</v>
      </c>
      <c r="S2630" s="91">
        <v>0</v>
      </c>
      <c r="T2630" s="91"/>
      <c r="U2630" s="91"/>
      <c r="V2630" s="91"/>
      <c r="W2630" s="91"/>
      <c r="X2630" s="91"/>
      <c r="Y2630" s="91"/>
      <c r="Z2630" s="91"/>
      <c r="AA2630" s="91"/>
      <c r="AB2630" s="91"/>
      <c r="AC2630" s="91"/>
      <c r="AD2630" s="91"/>
      <c r="AE2630" s="91"/>
      <c r="AF2630" s="91"/>
      <c r="AG2630" s="91"/>
      <c r="AH2630" s="91"/>
      <c r="AI2630" s="91"/>
      <c r="AJ2630" s="91"/>
      <c r="AK2630" s="91"/>
      <c r="AL2630" s="91"/>
      <c r="AM2630" s="91"/>
    </row>
    <row r="2631" spans="1:39" ht="20.25" hidden="1" customHeight="1">
      <c r="A2631" s="91"/>
      <c r="B2631" s="113" t="s">
        <v>8212</v>
      </c>
      <c r="C2631" s="91" t="s">
        <v>36</v>
      </c>
      <c r="D2631" s="107" t="s">
        <v>8232</v>
      </c>
      <c r="E2631" s="107" t="s">
        <v>7994</v>
      </c>
      <c r="F2631" s="91" t="s">
        <v>8233</v>
      </c>
      <c r="G2631" s="96">
        <v>42146</v>
      </c>
      <c r="H2631" s="97">
        <v>21442</v>
      </c>
      <c r="I2631" s="94" t="s">
        <v>8234</v>
      </c>
      <c r="J2631" s="94" t="s">
        <v>58</v>
      </c>
      <c r="K2631" s="91">
        <v>986830548</v>
      </c>
      <c r="L2631" s="91" t="s">
        <v>151</v>
      </c>
      <c r="M2631" s="98">
        <f ca="1">(TODAY()-H2631)/365</f>
        <v>67.287671232876718</v>
      </c>
      <c r="N2631" s="99">
        <f>(G2631-H2631)/365</f>
        <v>56.723287671232875</v>
      </c>
      <c r="O2631" s="98">
        <f ca="1">(TODAY()-G2631)/365</f>
        <v>10.564383561643835</v>
      </c>
      <c r="P2631" s="91" t="s">
        <v>43</v>
      </c>
      <c r="Q2631" s="91">
        <v>0</v>
      </c>
      <c r="R2631" s="91">
        <v>0</v>
      </c>
      <c r="S2631" s="91">
        <v>0</v>
      </c>
      <c r="T2631" s="91"/>
      <c r="U2631" s="91"/>
      <c r="V2631" s="91"/>
      <c r="W2631" s="91"/>
      <c r="X2631" s="91"/>
      <c r="Y2631" s="91"/>
      <c r="Z2631" s="91"/>
      <c r="AA2631" s="91"/>
      <c r="AB2631" s="91"/>
      <c r="AC2631" s="91"/>
      <c r="AD2631" s="91"/>
      <c r="AE2631" s="91"/>
      <c r="AF2631" s="91"/>
      <c r="AG2631" s="91"/>
      <c r="AH2631" s="91"/>
      <c r="AI2631" s="91"/>
      <c r="AJ2631" s="91"/>
      <c r="AK2631" s="91"/>
      <c r="AL2631" s="91"/>
      <c r="AM2631" s="91"/>
    </row>
    <row r="2632" spans="1:39" ht="20.25" hidden="1" customHeight="1">
      <c r="A2632" s="91"/>
      <c r="B2632" s="113" t="s">
        <v>8212</v>
      </c>
      <c r="C2632" s="91" t="s">
        <v>36</v>
      </c>
      <c r="D2632" s="107" t="s">
        <v>361</v>
      </c>
      <c r="E2632" s="107" t="s">
        <v>8235</v>
      </c>
      <c r="F2632" s="91" t="s">
        <v>8236</v>
      </c>
      <c r="G2632" s="96">
        <v>41304</v>
      </c>
      <c r="H2632" s="97">
        <v>20488</v>
      </c>
      <c r="I2632" s="94" t="s">
        <v>8237</v>
      </c>
      <c r="J2632" s="94" t="s">
        <v>58</v>
      </c>
      <c r="K2632" s="91">
        <v>957353228</v>
      </c>
      <c r="L2632" s="91" t="s">
        <v>49</v>
      </c>
      <c r="M2632" s="98">
        <f ca="1">(TODAY()-H2632)/365</f>
        <v>69.901369863013699</v>
      </c>
      <c r="N2632" s="99">
        <f>(G2632-H2632)/365</f>
        <v>57.030136986301372</v>
      </c>
      <c r="O2632" s="98">
        <f ca="1">(TODAY()-G2632)/365</f>
        <v>12.871232876712329</v>
      </c>
      <c r="P2632" s="91" t="s">
        <v>43</v>
      </c>
      <c r="Q2632" s="91">
        <v>0</v>
      </c>
      <c r="R2632" s="91">
        <v>0</v>
      </c>
      <c r="S2632" s="91">
        <v>0</v>
      </c>
      <c r="T2632" s="91"/>
      <c r="U2632" s="91"/>
      <c r="V2632" s="91"/>
      <c r="W2632" s="91"/>
      <c r="X2632" s="91"/>
      <c r="Y2632" s="91"/>
      <c r="Z2632" s="91"/>
      <c r="AA2632" s="91"/>
      <c r="AB2632" s="91"/>
      <c r="AC2632" s="91"/>
      <c r="AD2632" s="91"/>
      <c r="AE2632" s="91"/>
      <c r="AF2632" s="91"/>
      <c r="AG2632" s="91"/>
      <c r="AH2632" s="91"/>
      <c r="AI2632" s="91"/>
      <c r="AJ2632" s="91"/>
      <c r="AK2632" s="91"/>
      <c r="AL2632" s="91"/>
      <c r="AM2632" s="91"/>
    </row>
    <row r="2633" spans="1:39" ht="20.25" hidden="1" customHeight="1">
      <c r="A2633" s="91"/>
      <c r="B2633" s="113" t="s">
        <v>8212</v>
      </c>
      <c r="C2633" s="91" t="s">
        <v>36</v>
      </c>
      <c r="D2633" s="107" t="s">
        <v>1221</v>
      </c>
      <c r="E2633" s="107" t="s">
        <v>8238</v>
      </c>
      <c r="F2633" s="91" t="s">
        <v>8239</v>
      </c>
      <c r="G2633" s="96">
        <v>37629</v>
      </c>
      <c r="H2633" s="97">
        <v>15950</v>
      </c>
      <c r="I2633" s="94" t="s">
        <v>8240</v>
      </c>
      <c r="J2633" s="94" t="s">
        <v>58</v>
      </c>
      <c r="K2633" s="91">
        <v>996653796</v>
      </c>
      <c r="L2633" s="91" t="s">
        <v>60</v>
      </c>
      <c r="M2633" s="98">
        <f ca="1">(TODAY()-H2633)/365</f>
        <v>82.334246575342462</v>
      </c>
      <c r="N2633" s="99">
        <f>(G2633-H2633)/365</f>
        <v>59.394520547945206</v>
      </c>
      <c r="O2633" s="98">
        <f ca="1">(TODAY()-G2633)/365</f>
        <v>22.93972602739726</v>
      </c>
      <c r="P2633" s="91" t="s">
        <v>43</v>
      </c>
      <c r="Q2633" s="91">
        <v>0</v>
      </c>
      <c r="R2633" s="91">
        <v>0</v>
      </c>
      <c r="S2633" s="91">
        <v>0</v>
      </c>
      <c r="T2633" s="91"/>
      <c r="U2633" s="91"/>
      <c r="V2633" s="91"/>
      <c r="W2633" s="91"/>
      <c r="X2633" s="91"/>
      <c r="Y2633" s="91"/>
      <c r="Z2633" s="91"/>
      <c r="AA2633" s="91"/>
      <c r="AB2633" s="91"/>
      <c r="AC2633" s="91"/>
      <c r="AD2633" s="91"/>
      <c r="AE2633" s="91"/>
      <c r="AF2633" s="91"/>
      <c r="AG2633" s="91"/>
      <c r="AH2633" s="91"/>
      <c r="AI2633" s="91"/>
      <c r="AJ2633" s="91"/>
      <c r="AK2633" s="91"/>
      <c r="AL2633" s="91"/>
      <c r="AM2633" s="91"/>
    </row>
    <row r="2634" spans="1:39" ht="20.25" hidden="1" customHeight="1">
      <c r="A2634" s="91"/>
      <c r="B2634" s="113" t="s">
        <v>8212</v>
      </c>
      <c r="C2634" s="91" t="s">
        <v>36</v>
      </c>
      <c r="D2634" s="107" t="s">
        <v>2695</v>
      </c>
      <c r="E2634" s="107" t="s">
        <v>8241</v>
      </c>
      <c r="F2634" s="91" t="s">
        <v>8242</v>
      </c>
      <c r="G2634" s="96">
        <v>44750</v>
      </c>
      <c r="H2634" s="97">
        <v>22841</v>
      </c>
      <c r="I2634" s="94" t="s">
        <v>8243</v>
      </c>
      <c r="J2634" s="94" t="s">
        <v>58</v>
      </c>
      <c r="K2634" s="91">
        <v>985499643</v>
      </c>
      <c r="L2634" s="91" t="s">
        <v>60</v>
      </c>
      <c r="M2634" s="98">
        <f ca="1">(TODAY()-H2634)/365</f>
        <v>63.454794520547942</v>
      </c>
      <c r="N2634" s="99">
        <f>(G2634-H2634)/365</f>
        <v>60.024657534246572</v>
      </c>
      <c r="O2634" s="98">
        <f ca="1">(TODAY()-G2634)/365</f>
        <v>3.43013698630137</v>
      </c>
      <c r="P2634" s="91" t="s">
        <v>43</v>
      </c>
      <c r="Q2634" s="91">
        <v>0</v>
      </c>
      <c r="R2634" s="91">
        <v>0</v>
      </c>
      <c r="S2634" s="91">
        <v>0</v>
      </c>
      <c r="T2634" s="91"/>
      <c r="U2634" s="91"/>
      <c r="V2634" s="91"/>
      <c r="W2634" s="91"/>
      <c r="X2634" s="91"/>
      <c r="Y2634" s="91"/>
      <c r="Z2634" s="91"/>
      <c r="AA2634" s="91"/>
      <c r="AB2634" s="91"/>
      <c r="AC2634" s="91"/>
      <c r="AD2634" s="91"/>
      <c r="AE2634" s="91"/>
      <c r="AF2634" s="91"/>
      <c r="AG2634" s="91"/>
      <c r="AH2634" s="91"/>
      <c r="AI2634" s="91"/>
      <c r="AJ2634" s="91"/>
      <c r="AK2634" s="91"/>
      <c r="AL2634" s="91"/>
      <c r="AM2634" s="91"/>
    </row>
    <row r="2635" spans="1:39" ht="20.25" hidden="1" customHeight="1">
      <c r="A2635" s="91"/>
      <c r="B2635" s="113" t="s">
        <v>8212</v>
      </c>
      <c r="C2635" s="91" t="s">
        <v>36</v>
      </c>
      <c r="D2635" s="107" t="s">
        <v>780</v>
      </c>
      <c r="E2635" s="107" t="s">
        <v>8220</v>
      </c>
      <c r="F2635" s="91" t="s">
        <v>8244</v>
      </c>
      <c r="G2635" s="96">
        <v>44235</v>
      </c>
      <c r="H2635" s="97">
        <v>22169</v>
      </c>
      <c r="I2635" s="94" t="s">
        <v>8245</v>
      </c>
      <c r="J2635" s="94" t="s">
        <v>58</v>
      </c>
      <c r="K2635" s="91">
        <v>958938929</v>
      </c>
      <c r="L2635" s="91" t="s">
        <v>66</v>
      </c>
      <c r="M2635" s="98">
        <f ca="1">(TODAY()-H2635)/365</f>
        <v>65.295890410958904</v>
      </c>
      <c r="N2635" s="99">
        <f>(G2635-H2635)/365</f>
        <v>60.454794520547942</v>
      </c>
      <c r="O2635" s="98">
        <f ca="1">(TODAY()-G2635)/365</f>
        <v>4.8410958904109593</v>
      </c>
      <c r="P2635" s="91" t="s">
        <v>43</v>
      </c>
      <c r="Q2635" s="91">
        <v>0</v>
      </c>
      <c r="R2635" s="91">
        <v>0</v>
      </c>
      <c r="S2635" s="91">
        <v>0</v>
      </c>
      <c r="T2635" s="91"/>
      <c r="U2635" s="91"/>
      <c r="V2635" s="91"/>
      <c r="W2635" s="91"/>
      <c r="X2635" s="91"/>
      <c r="Y2635" s="91"/>
      <c r="Z2635" s="91"/>
      <c r="AA2635" s="91"/>
      <c r="AB2635" s="91"/>
      <c r="AC2635" s="91"/>
      <c r="AD2635" s="91"/>
      <c r="AE2635" s="91"/>
      <c r="AF2635" s="91"/>
      <c r="AG2635" s="91"/>
      <c r="AH2635" s="91"/>
      <c r="AI2635" s="91"/>
      <c r="AJ2635" s="91"/>
      <c r="AK2635" s="91"/>
      <c r="AL2635" s="91"/>
      <c r="AM2635" s="91"/>
    </row>
    <row r="2636" spans="1:39" ht="20.25" hidden="1" customHeight="1">
      <c r="A2636" s="91"/>
      <c r="B2636" s="113" t="s">
        <v>8212</v>
      </c>
      <c r="C2636" s="91" t="s">
        <v>36</v>
      </c>
      <c r="D2636" s="107" t="s">
        <v>771</v>
      </c>
      <c r="E2636" s="107" t="s">
        <v>8246</v>
      </c>
      <c r="F2636" s="91" t="s">
        <v>8247</v>
      </c>
      <c r="G2636" s="96">
        <v>42121</v>
      </c>
      <c r="H2636" s="97">
        <v>20029</v>
      </c>
      <c r="I2636" s="100" t="s">
        <v>8248</v>
      </c>
      <c r="J2636" s="94" t="s">
        <v>58</v>
      </c>
      <c r="K2636" s="91">
        <v>983123630</v>
      </c>
      <c r="L2636" s="92" t="s">
        <v>72</v>
      </c>
      <c r="M2636" s="98">
        <f ca="1">(TODAY()-H2636)/365</f>
        <v>71.158904109589045</v>
      </c>
      <c r="N2636" s="99">
        <f>(G2636-H2636)/365</f>
        <v>60.526027397260272</v>
      </c>
      <c r="O2636" s="98">
        <f ca="1">(TODAY()-G2636)/365</f>
        <v>10.632876712328768</v>
      </c>
      <c r="P2636" s="91" t="s">
        <v>43</v>
      </c>
      <c r="Q2636" s="91">
        <v>0</v>
      </c>
      <c r="R2636" s="91">
        <v>0</v>
      </c>
      <c r="S2636" s="91">
        <v>0</v>
      </c>
      <c r="T2636" s="91"/>
      <c r="U2636" s="91"/>
      <c r="V2636" s="91"/>
      <c r="W2636" s="91"/>
      <c r="X2636" s="91"/>
      <c r="Y2636" s="91"/>
      <c r="Z2636" s="91"/>
      <c r="AA2636" s="91"/>
      <c r="AB2636" s="91"/>
      <c r="AC2636" s="91"/>
      <c r="AD2636" s="91"/>
      <c r="AE2636" s="91"/>
      <c r="AF2636" s="91"/>
      <c r="AG2636" s="91"/>
      <c r="AH2636" s="91"/>
      <c r="AI2636" s="91"/>
      <c r="AJ2636" s="91"/>
      <c r="AK2636" s="91"/>
      <c r="AL2636" s="91"/>
      <c r="AM2636" s="91"/>
    </row>
    <row r="2637" spans="1:39" ht="20.25" hidden="1" customHeight="1">
      <c r="A2637" s="91"/>
      <c r="B2637" s="113" t="s">
        <v>8212</v>
      </c>
      <c r="C2637" s="91" t="s">
        <v>36</v>
      </c>
      <c r="D2637" s="107" t="s">
        <v>8249</v>
      </c>
      <c r="E2637" s="107" t="s">
        <v>3234</v>
      </c>
      <c r="F2637" s="91" t="s">
        <v>8250</v>
      </c>
      <c r="G2637" s="96">
        <v>45238</v>
      </c>
      <c r="H2637" s="97">
        <v>19919</v>
      </c>
      <c r="I2637" s="94" t="s">
        <v>58</v>
      </c>
      <c r="J2637" s="94" t="s">
        <v>58</v>
      </c>
      <c r="K2637" s="91">
        <v>999652288</v>
      </c>
      <c r="L2637" s="91" t="s">
        <v>60</v>
      </c>
      <c r="M2637" s="98">
        <f ca="1">(TODAY()-H2637)/365</f>
        <v>71.460273972602735</v>
      </c>
      <c r="N2637" s="99">
        <f>(G2637-H2637)/365</f>
        <v>69.367123287671234</v>
      </c>
      <c r="O2637" s="98">
        <f ca="1">(TODAY()-G2637)/365</f>
        <v>2.0931506849315067</v>
      </c>
      <c r="P2637" s="91" t="s">
        <v>43</v>
      </c>
      <c r="Q2637" s="91">
        <v>0</v>
      </c>
      <c r="R2637" s="91">
        <v>0</v>
      </c>
      <c r="S2637" s="91">
        <v>0</v>
      </c>
      <c r="T2637" s="91"/>
      <c r="U2637" s="91"/>
      <c r="V2637" s="91"/>
      <c r="W2637" s="91"/>
      <c r="X2637" s="91"/>
      <c r="Y2637" s="91"/>
      <c r="Z2637" s="91"/>
      <c r="AA2637" s="91"/>
      <c r="AB2637" s="91"/>
      <c r="AC2637" s="91"/>
      <c r="AD2637" s="91"/>
      <c r="AE2637" s="91"/>
      <c r="AF2637" s="91"/>
      <c r="AG2637" s="91"/>
      <c r="AH2637" s="91"/>
      <c r="AI2637" s="91"/>
      <c r="AJ2637" s="91"/>
      <c r="AK2637" s="91"/>
      <c r="AL2637" s="91"/>
      <c r="AM2637" s="91"/>
    </row>
    <row r="2638" spans="1:39" ht="20.25" hidden="1" customHeight="1">
      <c r="A2638" s="91"/>
      <c r="B2638" s="113" t="s">
        <v>8212</v>
      </c>
      <c r="C2638" s="91" t="s">
        <v>36</v>
      </c>
      <c r="D2638" s="107" t="s">
        <v>666</v>
      </c>
      <c r="E2638" s="107" t="s">
        <v>4757</v>
      </c>
      <c r="F2638" s="91" t="s">
        <v>8251</v>
      </c>
      <c r="G2638" s="96">
        <v>42146</v>
      </c>
      <c r="H2638" s="97">
        <v>16304</v>
      </c>
      <c r="I2638" s="94" t="s">
        <v>58</v>
      </c>
      <c r="J2638" s="94" t="s">
        <v>58</v>
      </c>
      <c r="K2638" s="91">
        <v>991745511</v>
      </c>
      <c r="L2638" s="91" t="s">
        <v>60</v>
      </c>
      <c r="M2638" s="98">
        <f ca="1">(TODAY()-H2638)/365</f>
        <v>81.364383561643834</v>
      </c>
      <c r="N2638" s="99">
        <f>(G2638-H2638)/365</f>
        <v>70.8</v>
      </c>
      <c r="O2638" s="98">
        <f ca="1">(TODAY()-G2638)/365</f>
        <v>10.564383561643835</v>
      </c>
      <c r="P2638" s="91" t="s">
        <v>43</v>
      </c>
      <c r="Q2638" s="91">
        <v>0</v>
      </c>
      <c r="R2638" s="91">
        <v>0</v>
      </c>
      <c r="S2638" s="91">
        <v>0</v>
      </c>
      <c r="T2638" s="91"/>
      <c r="U2638" s="91"/>
      <c r="V2638" s="91"/>
      <c r="W2638" s="91"/>
      <c r="X2638" s="91"/>
      <c r="Y2638" s="91"/>
      <c r="Z2638" s="91"/>
      <c r="AA2638" s="91"/>
      <c r="AB2638" s="91"/>
      <c r="AC2638" s="91"/>
      <c r="AD2638" s="91"/>
      <c r="AE2638" s="91"/>
      <c r="AF2638" s="91"/>
      <c r="AG2638" s="91"/>
      <c r="AH2638" s="91"/>
      <c r="AI2638" s="91"/>
      <c r="AJ2638" s="91"/>
      <c r="AK2638" s="91"/>
      <c r="AL2638" s="91"/>
      <c r="AM2638" s="91"/>
    </row>
    <row r="2639" spans="1:39" ht="20.25" hidden="1" customHeight="1">
      <c r="A2639" s="91"/>
      <c r="B2639" s="113" t="s">
        <v>8212</v>
      </c>
      <c r="C2639" s="91" t="s">
        <v>36</v>
      </c>
      <c r="D2639" s="107" t="s">
        <v>666</v>
      </c>
      <c r="E2639" s="107" t="s">
        <v>6208</v>
      </c>
      <c r="F2639" s="91" t="s">
        <v>8252</v>
      </c>
      <c r="G2639" s="96">
        <v>43188</v>
      </c>
      <c r="H2639" s="97">
        <v>16809</v>
      </c>
      <c r="I2639" s="94" t="s">
        <v>8253</v>
      </c>
      <c r="J2639" s="94" t="s">
        <v>58</v>
      </c>
      <c r="K2639" s="91">
        <v>969094148</v>
      </c>
      <c r="L2639" s="91" t="s">
        <v>42</v>
      </c>
      <c r="M2639" s="98">
        <f ca="1">(TODAY()-H2639)/365</f>
        <v>79.980821917808214</v>
      </c>
      <c r="N2639" s="99">
        <f>(G2639-H2639)/365</f>
        <v>72.271232876712332</v>
      </c>
      <c r="O2639" s="98">
        <f ca="1">(TODAY()-G2639)/365</f>
        <v>7.7095890410958905</v>
      </c>
      <c r="P2639" s="91" t="s">
        <v>43</v>
      </c>
      <c r="Q2639" s="91">
        <v>0</v>
      </c>
      <c r="R2639" s="91">
        <v>0</v>
      </c>
      <c r="S2639" s="91">
        <v>0</v>
      </c>
      <c r="T2639" s="91"/>
      <c r="U2639" s="91"/>
      <c r="V2639" s="91"/>
      <c r="W2639" s="91"/>
      <c r="X2639" s="91"/>
      <c r="Y2639" s="91"/>
      <c r="Z2639" s="91"/>
      <c r="AA2639" s="91"/>
      <c r="AB2639" s="91"/>
      <c r="AC2639" s="91"/>
      <c r="AD2639" s="91"/>
      <c r="AE2639" s="91"/>
      <c r="AF2639" s="91"/>
      <c r="AG2639" s="91"/>
      <c r="AH2639" s="91"/>
      <c r="AI2639" s="91"/>
      <c r="AJ2639" s="91"/>
      <c r="AK2639" s="91"/>
      <c r="AL2639" s="91"/>
      <c r="AM2639" s="91"/>
    </row>
    <row r="2640" spans="1:39" ht="20.25" hidden="1" customHeight="1">
      <c r="A2640" s="91"/>
      <c r="B2640" s="93" t="s">
        <v>8254</v>
      </c>
      <c r="C2640" s="91" t="s">
        <v>36</v>
      </c>
      <c r="D2640" s="107" t="s">
        <v>8255</v>
      </c>
      <c r="E2640" s="107" t="s">
        <v>8256</v>
      </c>
      <c r="F2640" s="92" t="s">
        <v>8257</v>
      </c>
      <c r="G2640" s="103">
        <v>38500</v>
      </c>
      <c r="H2640" s="103">
        <v>23483</v>
      </c>
      <c r="I2640" s="94" t="s">
        <v>8258</v>
      </c>
      <c r="J2640" s="94" t="s">
        <v>8259</v>
      </c>
      <c r="K2640" s="92">
        <v>967961903</v>
      </c>
      <c r="L2640" s="91" t="s">
        <v>42</v>
      </c>
      <c r="M2640" s="98">
        <f ca="1">(TODAY()-H2640)/365</f>
        <v>61.695890410958903</v>
      </c>
      <c r="N2640" s="91"/>
      <c r="O2640" s="98">
        <f ca="1">(TODAY()-G2640)/365</f>
        <v>20.553424657534247</v>
      </c>
      <c r="P2640" s="91" t="s">
        <v>272</v>
      </c>
      <c r="Q2640" s="91"/>
      <c r="R2640" s="91"/>
      <c r="S2640" s="91"/>
      <c r="T2640" s="91"/>
      <c r="U2640" s="91"/>
      <c r="V2640" s="91"/>
      <c r="W2640" s="91"/>
      <c r="X2640" s="91"/>
      <c r="Y2640" s="91"/>
      <c r="Z2640" s="91"/>
      <c r="AA2640" s="91"/>
      <c r="AB2640" s="91"/>
      <c r="AC2640" s="91"/>
      <c r="AD2640" s="91"/>
      <c r="AE2640" s="91"/>
      <c r="AF2640" s="91"/>
      <c r="AG2640" s="91"/>
      <c r="AH2640" s="91"/>
      <c r="AI2640" s="91"/>
      <c r="AJ2640" s="91"/>
      <c r="AK2640" s="91"/>
      <c r="AL2640" s="91"/>
      <c r="AM2640" s="91"/>
    </row>
    <row r="2641" spans="1:39" ht="20.25" hidden="1" customHeight="1">
      <c r="A2641" s="91"/>
      <c r="B2641" s="93" t="s">
        <v>8254</v>
      </c>
      <c r="C2641" s="91" t="s">
        <v>36</v>
      </c>
      <c r="D2641" s="107" t="s">
        <v>8260</v>
      </c>
      <c r="E2641" s="107" t="s">
        <v>8261</v>
      </c>
      <c r="F2641" s="92" t="s">
        <v>2860</v>
      </c>
      <c r="G2641" s="103">
        <v>35618</v>
      </c>
      <c r="H2641" s="103">
        <v>18715</v>
      </c>
      <c r="I2641" s="94" t="s">
        <v>2861</v>
      </c>
      <c r="J2641" s="94" t="s">
        <v>8262</v>
      </c>
      <c r="K2641" s="92">
        <v>993820220</v>
      </c>
      <c r="L2641" s="91" t="s">
        <v>49</v>
      </c>
      <c r="M2641" s="98">
        <f ca="1">(TODAY()-H2641)/365</f>
        <v>74.758904109589039</v>
      </c>
      <c r="N2641" s="91"/>
      <c r="O2641" s="98">
        <f ca="1">(TODAY()-G2641)/365</f>
        <v>28.449315068493149</v>
      </c>
      <c r="P2641" s="91" t="s">
        <v>43</v>
      </c>
      <c r="Q2641" s="91"/>
      <c r="R2641" s="91"/>
      <c r="S2641" s="91"/>
      <c r="T2641" s="91"/>
      <c r="U2641" s="91"/>
      <c r="V2641" s="91"/>
      <c r="W2641" s="91"/>
      <c r="X2641" s="91"/>
      <c r="Y2641" s="91"/>
      <c r="Z2641" s="91"/>
      <c r="AA2641" s="91"/>
      <c r="AB2641" s="91"/>
      <c r="AC2641" s="91"/>
      <c r="AD2641" s="91"/>
      <c r="AE2641" s="91"/>
      <c r="AF2641" s="91"/>
      <c r="AG2641" s="91"/>
      <c r="AH2641" s="91"/>
      <c r="AI2641" s="91"/>
      <c r="AJ2641" s="91"/>
      <c r="AK2641" s="91"/>
      <c r="AL2641" s="91"/>
      <c r="AM2641" s="91"/>
    </row>
    <row r="2642" spans="1:39" ht="20.25" hidden="1" customHeight="1">
      <c r="A2642" s="91"/>
      <c r="B2642" s="93" t="s">
        <v>8254</v>
      </c>
      <c r="C2642" s="91" t="s">
        <v>36</v>
      </c>
      <c r="D2642" s="107" t="s">
        <v>8263</v>
      </c>
      <c r="E2642" s="107" t="s">
        <v>8264</v>
      </c>
      <c r="F2642" s="92" t="s">
        <v>8265</v>
      </c>
      <c r="G2642" s="103">
        <v>42170</v>
      </c>
      <c r="H2642" s="103">
        <v>25311</v>
      </c>
      <c r="I2642" s="94" t="s">
        <v>8266</v>
      </c>
      <c r="J2642" s="94" t="s">
        <v>8267</v>
      </c>
      <c r="K2642" s="92">
        <v>956188280</v>
      </c>
      <c r="L2642" s="91" t="s">
        <v>54</v>
      </c>
      <c r="M2642" s="98">
        <f ca="1">(TODAY()-H2642)/365</f>
        <v>56.68767123287671</v>
      </c>
      <c r="N2642" s="91"/>
      <c r="O2642" s="98">
        <f ca="1">(TODAY()-G2642)/365</f>
        <v>10.498630136986302</v>
      </c>
      <c r="P2642" s="91" t="s">
        <v>43</v>
      </c>
      <c r="Q2642" s="91"/>
      <c r="R2642" s="91"/>
      <c r="S2642" s="91"/>
      <c r="T2642" s="91"/>
      <c r="U2642" s="91"/>
      <c r="V2642" s="91"/>
      <c r="W2642" s="91"/>
      <c r="X2642" s="91"/>
      <c r="Y2642" s="91"/>
      <c r="Z2642" s="91"/>
      <c r="AA2642" s="91"/>
      <c r="AB2642" s="91"/>
      <c r="AC2642" s="91"/>
      <c r="AD2642" s="91"/>
      <c r="AE2642" s="91"/>
      <c r="AF2642" s="91"/>
      <c r="AG2642" s="91"/>
      <c r="AH2642" s="91"/>
      <c r="AI2642" s="91"/>
      <c r="AJ2642" s="91"/>
      <c r="AK2642" s="91"/>
      <c r="AL2642" s="91"/>
      <c r="AM2642" s="91"/>
    </row>
    <row r="2643" spans="1:39" ht="20.25" hidden="1" customHeight="1">
      <c r="A2643" s="91"/>
      <c r="B2643" s="93" t="s">
        <v>8254</v>
      </c>
      <c r="C2643" s="91" t="s">
        <v>36</v>
      </c>
      <c r="D2643" s="107" t="s">
        <v>1492</v>
      </c>
      <c r="E2643" s="107" t="s">
        <v>8268</v>
      </c>
      <c r="F2643" s="92" t="s">
        <v>8269</v>
      </c>
      <c r="G2643" s="103">
        <v>41495</v>
      </c>
      <c r="H2643" s="103">
        <v>35262</v>
      </c>
      <c r="I2643" s="94" t="s">
        <v>2893</v>
      </c>
      <c r="J2643" s="94" t="s">
        <v>8270</v>
      </c>
      <c r="K2643" s="92">
        <v>920417485</v>
      </c>
      <c r="L2643" s="91" t="s">
        <v>197</v>
      </c>
      <c r="M2643" s="98">
        <f ca="1">(TODAY()-H2643)/365</f>
        <v>29.424657534246574</v>
      </c>
      <c r="N2643" s="91"/>
      <c r="O2643" s="98">
        <f ca="1">(TODAY()-G2643)/365</f>
        <v>12.347945205479451</v>
      </c>
      <c r="P2643" s="91" t="s">
        <v>272</v>
      </c>
      <c r="Q2643" s="91"/>
      <c r="R2643" s="91"/>
      <c r="S2643" s="91"/>
      <c r="T2643" s="91"/>
      <c r="U2643" s="91"/>
      <c r="V2643" s="91"/>
      <c r="W2643" s="91"/>
      <c r="X2643" s="91"/>
      <c r="Y2643" s="91"/>
      <c r="Z2643" s="91"/>
      <c r="AA2643" s="91"/>
      <c r="AB2643" s="91"/>
      <c r="AC2643" s="91"/>
      <c r="AD2643" s="91"/>
      <c r="AE2643" s="91"/>
      <c r="AF2643" s="91"/>
      <c r="AG2643" s="91"/>
      <c r="AH2643" s="91"/>
      <c r="AI2643" s="91"/>
      <c r="AJ2643" s="91"/>
      <c r="AK2643" s="91"/>
      <c r="AL2643" s="91"/>
      <c r="AM2643" s="91"/>
    </row>
    <row r="2644" spans="1:39" ht="20.25" hidden="1" customHeight="1">
      <c r="A2644" s="91"/>
      <c r="B2644" s="93" t="s">
        <v>8254</v>
      </c>
      <c r="C2644" s="91" t="s">
        <v>36</v>
      </c>
      <c r="D2644" s="107" t="s">
        <v>8271</v>
      </c>
      <c r="E2644" s="107" t="s">
        <v>8272</v>
      </c>
      <c r="F2644" s="92" t="s">
        <v>2880</v>
      </c>
      <c r="G2644" s="103">
        <v>41258</v>
      </c>
      <c r="H2644" s="103">
        <v>36246</v>
      </c>
      <c r="I2644" s="94" t="s">
        <v>8273</v>
      </c>
      <c r="J2644" s="94" t="s">
        <v>8274</v>
      </c>
      <c r="K2644" s="92">
        <v>987811653</v>
      </c>
      <c r="L2644" s="91" t="s">
        <v>121</v>
      </c>
      <c r="M2644" s="98">
        <f ca="1">(TODAY()-H2644)/365</f>
        <v>26.728767123287671</v>
      </c>
      <c r="N2644" s="91"/>
      <c r="O2644" s="98">
        <f ca="1">(TODAY()-G2644)/365</f>
        <v>12.997260273972604</v>
      </c>
      <c r="P2644" s="91" t="s">
        <v>272</v>
      </c>
      <c r="Q2644" s="91"/>
      <c r="R2644" s="91"/>
      <c r="S2644" s="91"/>
      <c r="T2644" s="91"/>
      <c r="U2644" s="91"/>
      <c r="V2644" s="91"/>
      <c r="W2644" s="91"/>
      <c r="X2644" s="91"/>
      <c r="Y2644" s="91"/>
      <c r="Z2644" s="91"/>
      <c r="AA2644" s="91"/>
      <c r="AB2644" s="91"/>
      <c r="AC2644" s="91"/>
      <c r="AD2644" s="91"/>
      <c r="AE2644" s="91"/>
      <c r="AF2644" s="91"/>
      <c r="AG2644" s="91"/>
      <c r="AH2644" s="91"/>
      <c r="AI2644" s="91"/>
      <c r="AJ2644" s="91"/>
      <c r="AK2644" s="91"/>
      <c r="AL2644" s="91"/>
      <c r="AM2644" s="91"/>
    </row>
    <row r="2645" spans="1:39" ht="20.25" hidden="1" customHeight="1">
      <c r="A2645" s="91"/>
      <c r="B2645" s="93" t="s">
        <v>8254</v>
      </c>
      <c r="C2645" s="91" t="s">
        <v>36</v>
      </c>
      <c r="D2645" s="107" t="s">
        <v>8275</v>
      </c>
      <c r="E2645" s="107" t="s">
        <v>8276</v>
      </c>
      <c r="F2645" s="92" t="s">
        <v>8277</v>
      </c>
      <c r="G2645" s="103">
        <v>43741</v>
      </c>
      <c r="H2645" s="103">
        <v>33402</v>
      </c>
      <c r="I2645" s="94" t="s">
        <v>8278</v>
      </c>
      <c r="J2645" s="94" t="s">
        <v>8279</v>
      </c>
      <c r="K2645" s="92">
        <v>953809991</v>
      </c>
      <c r="L2645" s="91" t="s">
        <v>66</v>
      </c>
      <c r="M2645" s="98">
        <f ca="1">(TODAY()-H2645)/365</f>
        <v>34.520547945205479</v>
      </c>
      <c r="N2645" s="91"/>
      <c r="O2645" s="98">
        <f ca="1">(TODAY()-G2645)/365</f>
        <v>6.1945205479452055</v>
      </c>
      <c r="P2645" s="91" t="s">
        <v>272</v>
      </c>
      <c r="Q2645" s="91"/>
      <c r="R2645" s="91">
        <v>1</v>
      </c>
      <c r="S2645" s="91"/>
      <c r="T2645" s="91"/>
      <c r="U2645" s="91"/>
      <c r="V2645" s="91"/>
      <c r="W2645" s="91"/>
      <c r="X2645" s="91"/>
      <c r="Y2645" s="91"/>
      <c r="Z2645" s="91"/>
      <c r="AA2645" s="91"/>
      <c r="AB2645" s="91"/>
      <c r="AC2645" s="91"/>
      <c r="AD2645" s="91"/>
      <c r="AE2645" s="91"/>
      <c r="AF2645" s="91"/>
      <c r="AG2645" s="91"/>
      <c r="AH2645" s="91"/>
      <c r="AI2645" s="91"/>
      <c r="AJ2645" s="91"/>
      <c r="AK2645" s="91"/>
      <c r="AL2645" s="91"/>
      <c r="AM2645" s="91"/>
    </row>
    <row r="2646" spans="1:39" ht="20.25" hidden="1" customHeight="1">
      <c r="A2646" s="91"/>
      <c r="B2646" s="93" t="s">
        <v>8254</v>
      </c>
      <c r="C2646" s="91" t="s">
        <v>36</v>
      </c>
      <c r="D2646" s="107" t="s">
        <v>2840</v>
      </c>
      <c r="E2646" s="107" t="s">
        <v>8280</v>
      </c>
      <c r="F2646" s="92" t="s">
        <v>8281</v>
      </c>
      <c r="G2646" s="103">
        <v>33665</v>
      </c>
      <c r="H2646" s="103">
        <v>24819</v>
      </c>
      <c r="I2646" s="94" t="s">
        <v>8282</v>
      </c>
      <c r="J2646" s="94" t="s">
        <v>8283</v>
      </c>
      <c r="K2646" s="92">
        <v>976066646</v>
      </c>
      <c r="L2646" s="91" t="s">
        <v>72</v>
      </c>
      <c r="M2646" s="98">
        <f ca="1">(TODAY()-H2646)/365</f>
        <v>58.035616438356165</v>
      </c>
      <c r="N2646" s="91"/>
      <c r="O2646" s="98">
        <f ca="1">(TODAY()-G2646)/365</f>
        <v>33.799999999999997</v>
      </c>
      <c r="P2646" s="91" t="s">
        <v>43</v>
      </c>
      <c r="Q2646" s="91"/>
      <c r="R2646" s="91"/>
      <c r="S2646" s="91"/>
      <c r="T2646" s="91"/>
      <c r="U2646" s="91"/>
      <c r="V2646" s="91"/>
      <c r="W2646" s="91"/>
      <c r="X2646" s="91"/>
      <c r="Y2646" s="91"/>
      <c r="Z2646" s="91"/>
      <c r="AA2646" s="91"/>
      <c r="AB2646" s="91"/>
      <c r="AC2646" s="91"/>
      <c r="AD2646" s="91"/>
      <c r="AE2646" s="91"/>
      <c r="AF2646" s="91"/>
      <c r="AG2646" s="91"/>
      <c r="AH2646" s="91"/>
      <c r="AI2646" s="91"/>
      <c r="AJ2646" s="91"/>
      <c r="AK2646" s="91"/>
      <c r="AL2646" s="91"/>
      <c r="AM2646" s="91"/>
    </row>
    <row r="2647" spans="1:39" ht="20.25" hidden="1" customHeight="1">
      <c r="A2647" s="91"/>
      <c r="B2647" s="93" t="s">
        <v>8254</v>
      </c>
      <c r="C2647" s="91" t="s">
        <v>36</v>
      </c>
      <c r="D2647" s="107" t="s">
        <v>8284</v>
      </c>
      <c r="E2647" s="107" t="s">
        <v>8285</v>
      </c>
      <c r="F2647" s="92" t="s">
        <v>2983</v>
      </c>
      <c r="G2647" s="103">
        <v>44081</v>
      </c>
      <c r="H2647" s="103">
        <v>30736</v>
      </c>
      <c r="I2647" s="94" t="s">
        <v>2984</v>
      </c>
      <c r="J2647" s="94" t="s">
        <v>8286</v>
      </c>
      <c r="K2647" s="92">
        <v>975999627</v>
      </c>
      <c r="L2647" s="91" t="s">
        <v>167</v>
      </c>
      <c r="M2647" s="98">
        <f ca="1">(TODAY()-H2647)/365</f>
        <v>41.824657534246576</v>
      </c>
      <c r="N2647" s="91"/>
      <c r="O2647" s="98">
        <f ca="1">(TODAY()-G2647)/365</f>
        <v>5.2630136986301368</v>
      </c>
      <c r="P2647" s="91" t="s">
        <v>272</v>
      </c>
      <c r="Q2647" s="91"/>
      <c r="R2647" s="91"/>
      <c r="S2647" s="91"/>
      <c r="T2647" s="91"/>
      <c r="U2647" s="91"/>
      <c r="V2647" s="91"/>
      <c r="W2647" s="91"/>
      <c r="X2647" s="91"/>
      <c r="Y2647" s="91"/>
      <c r="Z2647" s="91"/>
      <c r="AA2647" s="91"/>
      <c r="AB2647" s="91"/>
      <c r="AC2647" s="91"/>
      <c r="AD2647" s="91"/>
      <c r="AE2647" s="91"/>
      <c r="AF2647" s="91"/>
      <c r="AG2647" s="91"/>
      <c r="AH2647" s="91"/>
      <c r="AI2647" s="91"/>
      <c r="AJ2647" s="91"/>
      <c r="AK2647" s="91"/>
      <c r="AL2647" s="91"/>
      <c r="AM2647" s="91"/>
    </row>
    <row r="2648" spans="1:39" ht="20.25" hidden="1" customHeight="1">
      <c r="A2648" s="91"/>
      <c r="B2648" s="93" t="s">
        <v>8287</v>
      </c>
      <c r="C2648" s="91" t="s">
        <v>36</v>
      </c>
      <c r="D2648" s="94" t="s">
        <v>8288</v>
      </c>
      <c r="E2648" s="94" t="s">
        <v>8289</v>
      </c>
      <c r="F2648" s="95" t="s">
        <v>8290</v>
      </c>
      <c r="G2648" s="96">
        <v>32643</v>
      </c>
      <c r="H2648" s="97">
        <v>27589</v>
      </c>
      <c r="I2648" s="94" t="s">
        <v>8291</v>
      </c>
      <c r="J2648" s="94" t="s">
        <v>8292</v>
      </c>
      <c r="K2648" s="95">
        <v>976227342</v>
      </c>
      <c r="L2648" s="91" t="s">
        <v>197</v>
      </c>
      <c r="M2648" s="98">
        <f ca="1">(TODAY()-H2648)/365</f>
        <v>50.446575342465756</v>
      </c>
      <c r="N2648" s="99">
        <f>(G2648-H2648)/365</f>
        <v>13.846575342465753</v>
      </c>
      <c r="O2648" s="98">
        <f ca="1">(TODAY()-G2648)/365</f>
        <v>36.6</v>
      </c>
      <c r="P2648" s="91" t="s">
        <v>43</v>
      </c>
      <c r="Q2648" s="91">
        <v>1</v>
      </c>
      <c r="R2648" s="91">
        <v>0</v>
      </c>
      <c r="S2648" s="91">
        <v>1</v>
      </c>
      <c r="T2648" s="91"/>
      <c r="U2648" s="91"/>
      <c r="V2648" s="91"/>
      <c r="W2648" s="91"/>
      <c r="X2648" s="91"/>
      <c r="Y2648" s="91"/>
      <c r="Z2648" s="91"/>
      <c r="AA2648" s="91"/>
      <c r="AB2648" s="91"/>
      <c r="AC2648" s="91"/>
      <c r="AD2648" s="91"/>
      <c r="AE2648" s="91"/>
      <c r="AF2648" s="91"/>
      <c r="AG2648" s="91">
        <v>2007</v>
      </c>
      <c r="AH2648" s="91">
        <v>2005</v>
      </c>
      <c r="AI2648" s="91">
        <v>2006</v>
      </c>
      <c r="AJ2648" s="91">
        <v>2006</v>
      </c>
      <c r="AK2648" s="91">
        <v>2004</v>
      </c>
      <c r="AL2648" s="91"/>
      <c r="AM2648" s="91"/>
    </row>
    <row r="2649" spans="1:39" ht="20.25" customHeight="1">
      <c r="A2649" s="91"/>
      <c r="B2649" s="93" t="s">
        <v>879</v>
      </c>
      <c r="C2649" s="91" t="s">
        <v>73</v>
      </c>
      <c r="D2649" s="94" t="s">
        <v>967</v>
      </c>
      <c r="E2649" s="94" t="s">
        <v>968</v>
      </c>
      <c r="F2649" s="95" t="s">
        <v>969</v>
      </c>
      <c r="G2649" s="96" t="s">
        <v>58</v>
      </c>
      <c r="H2649" s="97">
        <v>35935</v>
      </c>
      <c r="I2649" s="94" t="s">
        <v>58</v>
      </c>
      <c r="J2649" s="94" t="s">
        <v>58</v>
      </c>
      <c r="K2649" s="95" t="s">
        <v>58</v>
      </c>
      <c r="L2649" s="91" t="s">
        <v>60</v>
      </c>
      <c r="M2649" s="98">
        <f ca="1">(TODAY()-H2649)/365</f>
        <v>27.580821917808219</v>
      </c>
      <c r="N2649" s="95" t="s">
        <v>58</v>
      </c>
      <c r="O2649" s="98" t="e">
        <f ca="1">(TODAY()-G2649)/365</f>
        <v>#VALUE!</v>
      </c>
      <c r="P2649" s="91" t="s">
        <v>43</v>
      </c>
      <c r="Q2649" s="91">
        <v>0</v>
      </c>
      <c r="R2649" s="91">
        <v>0</v>
      </c>
      <c r="S2649" s="91">
        <v>0</v>
      </c>
      <c r="T2649" s="91"/>
      <c r="U2649" s="91"/>
      <c r="V2649" s="91"/>
      <c r="W2649" s="91"/>
      <c r="X2649" s="91"/>
      <c r="Y2649" s="91"/>
      <c r="Z2649" s="91"/>
      <c r="AA2649" s="91"/>
      <c r="AB2649" s="91"/>
      <c r="AC2649" s="91"/>
      <c r="AD2649" s="91"/>
      <c r="AE2649" s="91"/>
      <c r="AF2649" s="91"/>
      <c r="AG2649" s="91"/>
      <c r="AH2649" s="91"/>
      <c r="AI2649" s="91"/>
      <c r="AJ2649" s="91"/>
      <c r="AK2649" s="91"/>
      <c r="AL2649" s="91"/>
      <c r="AM2649" s="91"/>
    </row>
    <row r="2650" spans="1:39" ht="20.25" hidden="1" customHeight="1">
      <c r="A2650" s="91"/>
      <c r="B2650" s="93" t="s">
        <v>8287</v>
      </c>
      <c r="C2650" s="91" t="s">
        <v>36</v>
      </c>
      <c r="D2650" s="94" t="s">
        <v>2442</v>
      </c>
      <c r="E2650" s="94" t="s">
        <v>8297</v>
      </c>
      <c r="F2650" s="95" t="s">
        <v>8298</v>
      </c>
      <c r="G2650" s="96">
        <v>28823</v>
      </c>
      <c r="H2650" s="97">
        <v>22421</v>
      </c>
      <c r="I2650" s="94" t="s">
        <v>8299</v>
      </c>
      <c r="J2650" s="100" t="s">
        <v>58</v>
      </c>
      <c r="K2650" s="95" t="s">
        <v>8300</v>
      </c>
      <c r="L2650" s="91" t="s">
        <v>42</v>
      </c>
      <c r="M2650" s="98">
        <f ca="1">(TODAY()-H2650)/365</f>
        <v>64.605479452054794</v>
      </c>
      <c r="N2650" s="99">
        <f>(G2650-H2650)/365</f>
        <v>17.539726027397261</v>
      </c>
      <c r="O2650" s="98">
        <f ca="1">(TODAY()-G2650)/365</f>
        <v>47.065753424657537</v>
      </c>
      <c r="P2650" s="91" t="s">
        <v>43</v>
      </c>
      <c r="Q2650" s="91">
        <v>0</v>
      </c>
      <c r="R2650" s="91">
        <v>0</v>
      </c>
      <c r="S2650" s="91">
        <v>0</v>
      </c>
      <c r="T2650" s="91"/>
      <c r="U2650" s="91"/>
      <c r="V2650" s="91"/>
      <c r="W2650" s="91"/>
      <c r="X2650" s="91"/>
      <c r="Y2650" s="91"/>
      <c r="Z2650" s="91"/>
      <c r="AA2650" s="91"/>
      <c r="AB2650" s="91"/>
      <c r="AC2650" s="91"/>
      <c r="AD2650" s="91"/>
      <c r="AE2650" s="91"/>
      <c r="AF2650" s="91"/>
      <c r="AG2650" s="91"/>
      <c r="AH2650" s="91"/>
      <c r="AI2650" s="91"/>
      <c r="AJ2650" s="91"/>
      <c r="AK2650" s="91"/>
      <c r="AL2650" s="91"/>
      <c r="AM2650" s="91"/>
    </row>
    <row r="2651" spans="1:39" ht="20.25" customHeight="1">
      <c r="A2651" s="91"/>
      <c r="B2651" s="93" t="s">
        <v>1698</v>
      </c>
      <c r="C2651" s="91" t="s">
        <v>73</v>
      </c>
      <c r="D2651" s="94" t="s">
        <v>1803</v>
      </c>
      <c r="E2651" s="94" t="s">
        <v>1804</v>
      </c>
      <c r="F2651" s="95" t="s">
        <v>1805</v>
      </c>
      <c r="G2651" s="96">
        <v>45480</v>
      </c>
      <c r="H2651" s="97">
        <v>18481</v>
      </c>
      <c r="I2651" s="94" t="s">
        <v>58</v>
      </c>
      <c r="J2651" s="94" t="s">
        <v>58</v>
      </c>
      <c r="K2651" s="95" t="s">
        <v>58</v>
      </c>
      <c r="L2651" s="91" t="s">
        <v>60</v>
      </c>
      <c r="M2651" s="98">
        <f ca="1">(TODAY()-H2651)/365</f>
        <v>75.400000000000006</v>
      </c>
      <c r="N2651" s="99">
        <f>(G2651-H2651)/365</f>
        <v>73.969863013698628</v>
      </c>
      <c r="O2651" s="98">
        <f ca="1">(TODAY()-G2651)/365</f>
        <v>1.4301369863013698</v>
      </c>
      <c r="P2651" s="91" t="s">
        <v>272</v>
      </c>
      <c r="Q2651" s="91">
        <v>0</v>
      </c>
      <c r="R2651" s="91">
        <v>0</v>
      </c>
      <c r="S2651" s="91">
        <v>0</v>
      </c>
      <c r="T2651" s="91"/>
      <c r="U2651" s="91"/>
      <c r="V2651" s="91"/>
      <c r="W2651" s="91"/>
      <c r="X2651" s="91"/>
      <c r="Y2651" s="91"/>
      <c r="Z2651" s="91"/>
      <c r="AA2651" s="91"/>
      <c r="AB2651" s="91"/>
      <c r="AC2651" s="91"/>
      <c r="AD2651" s="91"/>
      <c r="AE2651" s="91"/>
      <c r="AF2651" s="91"/>
      <c r="AG2651" s="91"/>
      <c r="AH2651" s="91"/>
      <c r="AI2651" s="91"/>
      <c r="AJ2651" s="91"/>
      <c r="AK2651" s="91"/>
      <c r="AL2651" s="91"/>
      <c r="AM2651" s="91"/>
    </row>
    <row r="2652" spans="1:39" ht="20.25" customHeight="1">
      <c r="A2652" s="91"/>
      <c r="B2652" s="93" t="s">
        <v>4648</v>
      </c>
      <c r="C2652" s="91" t="s">
        <v>73</v>
      </c>
      <c r="D2652" s="94" t="s">
        <v>1731</v>
      </c>
      <c r="E2652" s="94" t="s">
        <v>4659</v>
      </c>
      <c r="F2652" s="95" t="s">
        <v>4660</v>
      </c>
      <c r="G2652" s="96">
        <v>44958</v>
      </c>
      <c r="H2652" s="97">
        <v>30116</v>
      </c>
      <c r="I2652" s="94" t="s">
        <v>4661</v>
      </c>
      <c r="J2652" s="100" t="s">
        <v>58</v>
      </c>
      <c r="K2652" s="91" t="s">
        <v>58</v>
      </c>
      <c r="L2652" s="91" t="s">
        <v>60</v>
      </c>
      <c r="M2652" s="98">
        <f ca="1">(TODAY()-H2652)/365</f>
        <v>43.523287671232879</v>
      </c>
      <c r="N2652" s="99">
        <f>(G2652-H2652)/365</f>
        <v>40.663013698630138</v>
      </c>
      <c r="O2652" s="98">
        <f ca="1">(TODAY()-G2652)/365</f>
        <v>2.8602739726027395</v>
      </c>
      <c r="P2652" s="91" t="s">
        <v>272</v>
      </c>
      <c r="Q2652" s="91">
        <v>0</v>
      </c>
      <c r="R2652" s="91">
        <v>0</v>
      </c>
      <c r="S2652" s="91">
        <v>0</v>
      </c>
      <c r="T2652" s="91"/>
      <c r="U2652" s="91"/>
      <c r="V2652" s="91"/>
      <c r="W2652" s="91"/>
      <c r="X2652" s="91"/>
      <c r="Y2652" s="91"/>
      <c r="Z2652" s="91"/>
      <c r="AA2652" s="91"/>
      <c r="AB2652" s="91"/>
      <c r="AC2652" s="91"/>
      <c r="AD2652" s="91"/>
      <c r="AE2652" s="91"/>
      <c r="AF2652" s="91"/>
      <c r="AG2652" s="91"/>
      <c r="AH2652" s="91"/>
      <c r="AI2652" s="91"/>
      <c r="AJ2652" s="91"/>
      <c r="AK2652" s="91"/>
      <c r="AL2652" s="91"/>
      <c r="AM2652" s="91"/>
    </row>
    <row r="2653" spans="1:39" ht="20.25" hidden="1" customHeight="1">
      <c r="A2653" s="91"/>
      <c r="B2653" s="93" t="s">
        <v>8287</v>
      </c>
      <c r="C2653" s="91" t="s">
        <v>36</v>
      </c>
      <c r="D2653" s="94" t="s">
        <v>8308</v>
      </c>
      <c r="E2653" s="94" t="s">
        <v>8309</v>
      </c>
      <c r="F2653" s="95" t="s">
        <v>8310</v>
      </c>
      <c r="G2653" s="96">
        <v>45409</v>
      </c>
      <c r="H2653" s="97">
        <v>38181</v>
      </c>
      <c r="I2653" s="94" t="s">
        <v>8311</v>
      </c>
      <c r="J2653" s="100" t="s">
        <v>58</v>
      </c>
      <c r="K2653" s="95">
        <v>942837712</v>
      </c>
      <c r="L2653" s="91" t="s">
        <v>60</v>
      </c>
      <c r="M2653" s="98">
        <f ca="1">(TODAY()-H2653)/365</f>
        <v>21.427397260273974</v>
      </c>
      <c r="N2653" s="99">
        <f>(G2653-H2653)/365</f>
        <v>19.802739726027397</v>
      </c>
      <c r="O2653" s="98">
        <f ca="1">(TODAY()-G2653)/365</f>
        <v>1.6246575342465754</v>
      </c>
      <c r="P2653" s="91" t="s">
        <v>43</v>
      </c>
      <c r="Q2653" s="91">
        <v>0</v>
      </c>
      <c r="R2653" s="91">
        <v>0</v>
      </c>
      <c r="S2653" s="91">
        <v>0</v>
      </c>
      <c r="T2653" s="91"/>
      <c r="U2653" s="91"/>
      <c r="V2653" s="91"/>
      <c r="W2653" s="91"/>
      <c r="X2653" s="91"/>
      <c r="Y2653" s="91"/>
      <c r="Z2653" s="91"/>
      <c r="AA2653" s="91"/>
      <c r="AB2653" s="91"/>
      <c r="AC2653" s="91"/>
      <c r="AD2653" s="91"/>
      <c r="AE2653" s="91"/>
      <c r="AF2653" s="91"/>
      <c r="AG2653" s="91"/>
      <c r="AH2653" s="91"/>
      <c r="AI2653" s="91"/>
      <c r="AJ2653" s="91"/>
      <c r="AK2653" s="91"/>
      <c r="AL2653" s="91"/>
      <c r="AM2653" s="91"/>
    </row>
    <row r="2654" spans="1:39" ht="20.25" customHeight="1">
      <c r="A2654" s="91"/>
      <c r="B2654" s="93" t="s">
        <v>8095</v>
      </c>
      <c r="C2654" s="91" t="s">
        <v>73</v>
      </c>
      <c r="D2654" s="94" t="s">
        <v>8112</v>
      </c>
      <c r="E2654" s="94" t="s">
        <v>8113</v>
      </c>
      <c r="F2654" s="95" t="s">
        <v>8114</v>
      </c>
      <c r="G2654" s="96">
        <v>41626</v>
      </c>
      <c r="H2654" s="97">
        <v>35399</v>
      </c>
      <c r="I2654" s="108" t="s">
        <v>12468</v>
      </c>
      <c r="J2654" s="100" t="s">
        <v>58</v>
      </c>
      <c r="K2654" s="91" t="s">
        <v>58</v>
      </c>
      <c r="L2654" s="91" t="s">
        <v>60</v>
      </c>
      <c r="M2654" s="98">
        <f ca="1">(TODAY()-H2654)/365</f>
        <v>29.049315068493151</v>
      </c>
      <c r="N2654" s="99">
        <f>(G2654-H2654)/365</f>
        <v>17.06027397260274</v>
      </c>
      <c r="O2654" s="98">
        <f ca="1">(TODAY()-G2654)/365</f>
        <v>11.989041095890411</v>
      </c>
      <c r="P2654" s="91" t="s">
        <v>43</v>
      </c>
      <c r="Q2654" s="91">
        <v>0</v>
      </c>
      <c r="R2654" s="91">
        <v>0</v>
      </c>
      <c r="S2654" s="91">
        <v>0</v>
      </c>
      <c r="T2654" s="91"/>
      <c r="U2654" s="91"/>
      <c r="V2654" s="91"/>
      <c r="W2654" s="91"/>
      <c r="X2654" s="91"/>
      <c r="Y2654" s="91"/>
      <c r="Z2654" s="91"/>
      <c r="AA2654" s="91"/>
      <c r="AB2654" s="91"/>
      <c r="AC2654" s="91"/>
      <c r="AD2654" s="91"/>
      <c r="AE2654" s="91"/>
      <c r="AF2654" s="91"/>
      <c r="AG2654" s="91"/>
      <c r="AH2654" s="91"/>
      <c r="AI2654" s="91"/>
      <c r="AJ2654" s="91"/>
      <c r="AK2654" s="91"/>
      <c r="AL2654" s="91"/>
      <c r="AM2654" s="91"/>
    </row>
    <row r="2655" spans="1:39" ht="20.25" hidden="1" customHeight="1">
      <c r="A2655" s="91"/>
      <c r="B2655" s="93" t="s">
        <v>8287</v>
      </c>
      <c r="C2655" s="91" t="s">
        <v>36</v>
      </c>
      <c r="D2655" s="94" t="s">
        <v>6378</v>
      </c>
      <c r="E2655" s="94" t="s">
        <v>8315</v>
      </c>
      <c r="F2655" s="95" t="s">
        <v>8316</v>
      </c>
      <c r="G2655" s="96">
        <v>45256</v>
      </c>
      <c r="H2655" s="97">
        <v>37832</v>
      </c>
      <c r="I2655" s="94" t="s">
        <v>8317</v>
      </c>
      <c r="J2655" s="100" t="s">
        <v>58</v>
      </c>
      <c r="K2655" s="95">
        <v>956810735</v>
      </c>
      <c r="L2655" s="91" t="s">
        <v>60</v>
      </c>
      <c r="M2655" s="98">
        <f ca="1">(TODAY()-H2655)/365</f>
        <v>22.383561643835616</v>
      </c>
      <c r="N2655" s="99">
        <f>(G2655-H2655)/365</f>
        <v>20.339726027397262</v>
      </c>
      <c r="O2655" s="98">
        <f ca="1">(TODAY()-G2655)/365</f>
        <v>2.043835616438356</v>
      </c>
      <c r="P2655" s="91" t="s">
        <v>43</v>
      </c>
      <c r="Q2655" s="91">
        <v>0</v>
      </c>
      <c r="R2655" s="91">
        <v>0</v>
      </c>
      <c r="S2655" s="91">
        <v>0</v>
      </c>
      <c r="T2655" s="91"/>
      <c r="U2655" s="91"/>
      <c r="V2655" s="91"/>
      <c r="W2655" s="91"/>
      <c r="X2655" s="91"/>
      <c r="Y2655" s="91"/>
      <c r="Z2655" s="91"/>
      <c r="AA2655" s="91"/>
      <c r="AB2655" s="91"/>
      <c r="AC2655" s="91"/>
      <c r="AD2655" s="91"/>
      <c r="AE2655" s="91"/>
      <c r="AF2655" s="91"/>
      <c r="AG2655" s="91"/>
      <c r="AH2655" s="91"/>
      <c r="AI2655" s="91"/>
      <c r="AJ2655" s="91"/>
      <c r="AK2655" s="91"/>
      <c r="AL2655" s="91"/>
      <c r="AM2655" s="91"/>
    </row>
    <row r="2656" spans="1:39" ht="20.25" hidden="1" customHeight="1">
      <c r="A2656" s="91"/>
      <c r="B2656" s="93" t="s">
        <v>8287</v>
      </c>
      <c r="C2656" s="91" t="s">
        <v>36</v>
      </c>
      <c r="D2656" s="94" t="s">
        <v>8318</v>
      </c>
      <c r="E2656" s="94" t="s">
        <v>8319</v>
      </c>
      <c r="F2656" s="95" t="s">
        <v>8320</v>
      </c>
      <c r="G2656" s="96">
        <v>43767</v>
      </c>
      <c r="H2656" s="97">
        <v>36146</v>
      </c>
      <c r="I2656" s="94" t="s">
        <v>8321</v>
      </c>
      <c r="J2656" s="100" t="s">
        <v>58</v>
      </c>
      <c r="K2656" s="95">
        <v>935220369</v>
      </c>
      <c r="L2656" s="91" t="s">
        <v>72</v>
      </c>
      <c r="M2656" s="98">
        <f ca="1">(TODAY()-H2656)/365</f>
        <v>27.002739726027396</v>
      </c>
      <c r="N2656" s="99">
        <f>(G2656-H2656)/365</f>
        <v>20.87945205479452</v>
      </c>
      <c r="O2656" s="98">
        <f ca="1">(TODAY()-G2656)/365</f>
        <v>6.1232876712328768</v>
      </c>
      <c r="P2656" s="91" t="s">
        <v>43</v>
      </c>
      <c r="Q2656" s="91">
        <v>0</v>
      </c>
      <c r="R2656" s="91">
        <v>1</v>
      </c>
      <c r="S2656" s="91">
        <v>0</v>
      </c>
      <c r="T2656" s="91"/>
      <c r="U2656" s="91"/>
      <c r="V2656" s="91"/>
      <c r="W2656" s="91"/>
      <c r="X2656" s="91"/>
      <c r="Y2656" s="91"/>
      <c r="Z2656" s="91"/>
      <c r="AA2656" s="91"/>
      <c r="AB2656" s="91"/>
      <c r="AC2656" s="91"/>
      <c r="AD2656" s="91"/>
      <c r="AE2656" s="91"/>
      <c r="AF2656" s="91"/>
      <c r="AG2656" s="91"/>
      <c r="AH2656" s="91"/>
      <c r="AI2656" s="91"/>
      <c r="AJ2656" s="91"/>
      <c r="AK2656" s="91"/>
      <c r="AL2656" s="91"/>
      <c r="AM2656" s="91"/>
    </row>
    <row r="2657" spans="1:39" ht="20.25" hidden="1" customHeight="1">
      <c r="A2657" s="91"/>
      <c r="B2657" s="93" t="s">
        <v>8287</v>
      </c>
      <c r="C2657" s="91" t="s">
        <v>36</v>
      </c>
      <c r="D2657" s="94" t="s">
        <v>6378</v>
      </c>
      <c r="E2657" s="94" t="s">
        <v>8322</v>
      </c>
      <c r="F2657" s="95" t="s">
        <v>8323</v>
      </c>
      <c r="G2657" s="96">
        <v>45256</v>
      </c>
      <c r="H2657" s="97">
        <v>37613</v>
      </c>
      <c r="I2657" s="94" t="s">
        <v>8324</v>
      </c>
      <c r="J2657" s="100" t="s">
        <v>58</v>
      </c>
      <c r="K2657" s="95">
        <v>974227841</v>
      </c>
      <c r="L2657" s="91" t="s">
        <v>66</v>
      </c>
      <c r="M2657" s="98">
        <f ca="1">(TODAY()-H2657)/365</f>
        <v>22.983561643835618</v>
      </c>
      <c r="N2657" s="99">
        <f>(G2657-H2657)/365</f>
        <v>20.93972602739726</v>
      </c>
      <c r="O2657" s="98">
        <f ca="1">(TODAY()-G2657)/365</f>
        <v>2.043835616438356</v>
      </c>
      <c r="P2657" s="91" t="s">
        <v>43</v>
      </c>
      <c r="Q2657" s="91">
        <v>0</v>
      </c>
      <c r="R2657" s="91">
        <v>0</v>
      </c>
      <c r="S2657" s="91">
        <v>0</v>
      </c>
      <c r="T2657" s="91"/>
      <c r="U2657" s="91"/>
      <c r="V2657" s="91"/>
      <c r="W2657" s="91"/>
      <c r="X2657" s="91"/>
      <c r="Y2657" s="91"/>
      <c r="Z2657" s="91"/>
      <c r="AA2657" s="91"/>
      <c r="AB2657" s="91"/>
      <c r="AC2657" s="91"/>
      <c r="AD2657" s="91"/>
      <c r="AE2657" s="91"/>
      <c r="AF2657" s="91"/>
      <c r="AG2657" s="91"/>
      <c r="AH2657" s="91"/>
      <c r="AI2657" s="91"/>
      <c r="AJ2657" s="91"/>
      <c r="AK2657" s="91"/>
      <c r="AL2657" s="91"/>
      <c r="AM2657" s="91"/>
    </row>
    <row r="2658" spans="1:39" ht="20.25" customHeight="1">
      <c r="A2658" s="91"/>
      <c r="B2658" s="93" t="s">
        <v>1245</v>
      </c>
      <c r="C2658" s="91" t="s">
        <v>73</v>
      </c>
      <c r="D2658" s="107" t="s">
        <v>754</v>
      </c>
      <c r="E2658" s="107" t="s">
        <v>1340</v>
      </c>
      <c r="F2658" s="91" t="s">
        <v>1341</v>
      </c>
      <c r="G2658" s="96">
        <v>37352</v>
      </c>
      <c r="H2658" s="97">
        <v>23781</v>
      </c>
      <c r="I2658" s="100" t="s">
        <v>1342</v>
      </c>
      <c r="J2658" s="100" t="s">
        <v>1343</v>
      </c>
      <c r="K2658" s="91">
        <v>944908065</v>
      </c>
      <c r="L2658" s="91" t="s">
        <v>60</v>
      </c>
      <c r="M2658" s="98">
        <f ca="1">(TODAY()-H2658)/365</f>
        <v>60.87945205479452</v>
      </c>
      <c r="N2658" s="99">
        <f>(G2658-H2658)/365</f>
        <v>37.180821917808217</v>
      </c>
      <c r="O2658" s="98">
        <f ca="1">(TODAY()-G2658)/365</f>
        <v>23.698630136986303</v>
      </c>
      <c r="P2658" s="91" t="s">
        <v>272</v>
      </c>
      <c r="Q2658" s="91">
        <v>0</v>
      </c>
      <c r="R2658" s="91">
        <v>0</v>
      </c>
      <c r="S2658" s="91">
        <v>0</v>
      </c>
      <c r="T2658" s="91"/>
      <c r="U2658" s="91"/>
      <c r="V2658" s="91"/>
      <c r="W2658" s="91"/>
      <c r="X2658" s="91"/>
      <c r="Y2658" s="91"/>
      <c r="Z2658" s="91"/>
      <c r="AA2658" s="91"/>
      <c r="AB2658" s="91"/>
      <c r="AC2658" s="91"/>
      <c r="AD2658" s="91"/>
      <c r="AE2658" s="91"/>
      <c r="AF2658" s="91"/>
      <c r="AG2658" s="91"/>
      <c r="AH2658" s="91"/>
      <c r="AI2658" s="91"/>
      <c r="AJ2658" s="91"/>
      <c r="AK2658" s="91"/>
      <c r="AL2658" s="91"/>
      <c r="AM2658" s="91"/>
    </row>
    <row r="2659" spans="1:39" ht="20.25" customHeight="1">
      <c r="A2659" s="91"/>
      <c r="B2659" s="93" t="s">
        <v>1309</v>
      </c>
      <c r="C2659" s="91" t="s">
        <v>73</v>
      </c>
      <c r="D2659" s="107" t="s">
        <v>9314</v>
      </c>
      <c r="E2659" s="107" t="s">
        <v>9315</v>
      </c>
      <c r="F2659" s="91" t="s">
        <v>9316</v>
      </c>
      <c r="G2659" s="96">
        <v>45537</v>
      </c>
      <c r="H2659" s="97">
        <v>38954</v>
      </c>
      <c r="I2659" s="100" t="s">
        <v>58</v>
      </c>
      <c r="J2659" s="100" t="s">
        <v>58</v>
      </c>
      <c r="K2659" s="91" t="s">
        <v>58</v>
      </c>
      <c r="L2659" s="91" t="s">
        <v>60</v>
      </c>
      <c r="M2659" s="98">
        <f ca="1">(TODAY()-H2659)/365</f>
        <v>19.30958904109589</v>
      </c>
      <c r="N2659" s="99">
        <f>(G2659-H2659)/365</f>
        <v>18.035616438356165</v>
      </c>
      <c r="O2659" s="98">
        <f ca="1">(TODAY()-G2659)/365</f>
        <v>1.273972602739726</v>
      </c>
      <c r="P2659" s="91" t="s">
        <v>43</v>
      </c>
      <c r="Q2659" s="91">
        <v>0</v>
      </c>
      <c r="R2659" s="91">
        <v>0</v>
      </c>
      <c r="S2659" s="91">
        <v>0</v>
      </c>
      <c r="T2659" s="91"/>
      <c r="U2659" s="91"/>
      <c r="V2659" s="91"/>
      <c r="W2659" s="91"/>
      <c r="X2659" s="91"/>
      <c r="Y2659" s="91"/>
      <c r="Z2659" s="91"/>
      <c r="AA2659" s="91"/>
      <c r="AB2659" s="91"/>
      <c r="AC2659" s="91"/>
      <c r="AD2659" s="91"/>
      <c r="AE2659" s="91"/>
      <c r="AF2659" s="91"/>
      <c r="AG2659" s="91"/>
      <c r="AH2659" s="91"/>
      <c r="AI2659" s="91"/>
      <c r="AJ2659" s="91"/>
      <c r="AK2659" s="91"/>
      <c r="AL2659" s="91"/>
      <c r="AM2659" s="91"/>
    </row>
    <row r="2660" spans="1:39" ht="20.25" customHeight="1">
      <c r="A2660" s="91"/>
      <c r="B2660" s="93" t="s">
        <v>10981</v>
      </c>
      <c r="C2660" s="91" t="s">
        <v>73</v>
      </c>
      <c r="D2660" s="106" t="s">
        <v>11079</v>
      </c>
      <c r="E2660" s="106" t="s">
        <v>11080</v>
      </c>
      <c r="F2660" s="92" t="s">
        <v>11081</v>
      </c>
      <c r="G2660" s="103">
        <v>44789</v>
      </c>
      <c r="H2660" s="103">
        <v>32281</v>
      </c>
      <c r="I2660" s="94" t="s">
        <v>58</v>
      </c>
      <c r="J2660" s="100" t="s">
        <v>58</v>
      </c>
      <c r="K2660" s="95" t="s">
        <v>58</v>
      </c>
      <c r="L2660" s="91"/>
      <c r="M2660" s="98">
        <f ca="1">(TODAY()-H2660)/365</f>
        <v>37.591780821917808</v>
      </c>
      <c r="N2660" s="99">
        <f>(G2660-H2660)/365</f>
        <v>34.268493150684932</v>
      </c>
      <c r="O2660" s="98">
        <f ca="1">(TODAY()-G2660)/365</f>
        <v>3.3232876712328765</v>
      </c>
      <c r="P2660" s="91" t="s">
        <v>272</v>
      </c>
      <c r="Q2660" s="91"/>
      <c r="R2660" s="91"/>
      <c r="S2660" s="91"/>
      <c r="T2660" s="91"/>
      <c r="U2660" s="91"/>
      <c r="V2660" s="91"/>
      <c r="W2660" s="91"/>
      <c r="X2660" s="91"/>
      <c r="Y2660" s="91"/>
      <c r="Z2660" s="91"/>
      <c r="AA2660" s="91"/>
      <c r="AB2660" s="91"/>
      <c r="AC2660" s="91"/>
      <c r="AD2660" s="91"/>
      <c r="AE2660" s="91"/>
      <c r="AF2660" s="91"/>
      <c r="AG2660" s="91"/>
      <c r="AH2660" s="91"/>
      <c r="AI2660" s="91"/>
      <c r="AJ2660" s="91"/>
      <c r="AK2660" s="91"/>
      <c r="AL2660" s="91"/>
      <c r="AM2660" s="91"/>
    </row>
    <row r="2661" spans="1:39" ht="20.25" hidden="1" customHeight="1">
      <c r="A2661" s="91"/>
      <c r="B2661" s="93" t="s">
        <v>8287</v>
      </c>
      <c r="C2661" s="91" t="s">
        <v>36</v>
      </c>
      <c r="D2661" s="94" t="s">
        <v>3952</v>
      </c>
      <c r="E2661" s="94" t="s">
        <v>8336</v>
      </c>
      <c r="F2661" s="95" t="s">
        <v>8337</v>
      </c>
      <c r="G2661" s="96">
        <v>45059</v>
      </c>
      <c r="H2661" s="97">
        <v>35986</v>
      </c>
      <c r="I2661" s="94" t="s">
        <v>8338</v>
      </c>
      <c r="J2661" s="94" t="s">
        <v>8339</v>
      </c>
      <c r="K2661" s="95">
        <v>962879518</v>
      </c>
      <c r="L2661" s="91" t="s">
        <v>121</v>
      </c>
      <c r="M2661" s="98">
        <f ca="1">(TODAY()-H2661)/365</f>
        <v>27.44109589041096</v>
      </c>
      <c r="N2661" s="99">
        <f>(G2661-H2661)/365</f>
        <v>24.857534246575341</v>
      </c>
      <c r="O2661" s="98">
        <f ca="1">(TODAY()-G2661)/365</f>
        <v>2.5835616438356164</v>
      </c>
      <c r="P2661" s="91" t="s">
        <v>43</v>
      </c>
      <c r="Q2661" s="91">
        <v>0</v>
      </c>
      <c r="R2661" s="91">
        <v>0</v>
      </c>
      <c r="S2661" s="91">
        <v>0</v>
      </c>
      <c r="T2661" s="91"/>
      <c r="U2661" s="91"/>
      <c r="V2661" s="91"/>
      <c r="W2661" s="91"/>
      <c r="X2661" s="91"/>
      <c r="Y2661" s="91"/>
      <c r="Z2661" s="91"/>
      <c r="AA2661" s="91"/>
      <c r="AB2661" s="91"/>
      <c r="AC2661" s="91"/>
      <c r="AD2661" s="91"/>
      <c r="AE2661" s="91"/>
      <c r="AF2661" s="91"/>
      <c r="AG2661" s="91"/>
      <c r="AH2661" s="91"/>
      <c r="AI2661" s="91"/>
      <c r="AJ2661" s="91"/>
      <c r="AK2661" s="91"/>
      <c r="AL2661" s="91"/>
      <c r="AM2661" s="91"/>
    </row>
    <row r="2662" spans="1:39" ht="20.25" customHeight="1">
      <c r="A2662" s="91"/>
      <c r="B2662" s="93" t="s">
        <v>371</v>
      </c>
      <c r="C2662" s="91" t="s">
        <v>73</v>
      </c>
      <c r="D2662" s="94" t="s">
        <v>474</v>
      </c>
      <c r="E2662" s="94" t="s">
        <v>475</v>
      </c>
      <c r="F2662" s="95" t="s">
        <v>476</v>
      </c>
      <c r="G2662" s="96">
        <v>45666</v>
      </c>
      <c r="H2662" s="97">
        <v>36152</v>
      </c>
      <c r="I2662" s="100" t="s">
        <v>477</v>
      </c>
      <c r="J2662" s="100" t="s">
        <v>58</v>
      </c>
      <c r="K2662" s="91" t="s">
        <v>58</v>
      </c>
      <c r="L2662" s="91" t="s">
        <v>60</v>
      </c>
      <c r="M2662" s="98">
        <f ca="1">(TODAY()-H2662)/365</f>
        <v>26.986301369863014</v>
      </c>
      <c r="N2662" s="99">
        <f>(G2662-H2662)/365</f>
        <v>26.065753424657533</v>
      </c>
      <c r="O2662" s="98">
        <f ca="1">(TODAY()-G2662)/365</f>
        <v>0.92054794520547945</v>
      </c>
      <c r="P2662" s="91" t="s">
        <v>272</v>
      </c>
      <c r="Q2662" s="91">
        <v>0</v>
      </c>
      <c r="R2662" s="91">
        <v>0</v>
      </c>
      <c r="S2662" s="91">
        <v>0</v>
      </c>
      <c r="T2662" s="91"/>
      <c r="U2662" s="91"/>
      <c r="V2662" s="91"/>
      <c r="W2662" s="91"/>
      <c r="X2662" s="91"/>
      <c r="Y2662" s="91"/>
      <c r="Z2662" s="91"/>
      <c r="AA2662" s="91"/>
      <c r="AB2662" s="91"/>
      <c r="AC2662" s="91"/>
      <c r="AD2662" s="91"/>
      <c r="AE2662" s="91"/>
      <c r="AF2662" s="91"/>
      <c r="AG2662" s="91"/>
      <c r="AH2662" s="91"/>
      <c r="AI2662" s="91"/>
      <c r="AJ2662" s="91"/>
      <c r="AK2662" s="91"/>
      <c r="AL2662" s="91"/>
      <c r="AM2662" s="91"/>
    </row>
    <row r="2663" spans="1:39" ht="20.25" hidden="1" customHeight="1">
      <c r="A2663" s="91"/>
      <c r="B2663" s="93" t="s">
        <v>8287</v>
      </c>
      <c r="C2663" s="91" t="s">
        <v>36</v>
      </c>
      <c r="D2663" s="94" t="s">
        <v>8343</v>
      </c>
      <c r="E2663" s="94" t="s">
        <v>8309</v>
      </c>
      <c r="F2663" s="95" t="s">
        <v>8344</v>
      </c>
      <c r="G2663" s="96">
        <v>45409</v>
      </c>
      <c r="H2663" s="97">
        <v>34093</v>
      </c>
      <c r="I2663" s="94" t="s">
        <v>8345</v>
      </c>
      <c r="J2663" s="100" t="s">
        <v>58</v>
      </c>
      <c r="K2663" s="95">
        <v>966220897</v>
      </c>
      <c r="L2663" s="91" t="s">
        <v>60</v>
      </c>
      <c r="M2663" s="98">
        <f ca="1">(TODAY()-H2663)/365</f>
        <v>32.627397260273973</v>
      </c>
      <c r="N2663" s="99">
        <f>(G2663-H2663)/365</f>
        <v>31.002739726027396</v>
      </c>
      <c r="O2663" s="98">
        <f ca="1">(TODAY()-G2663)/365</f>
        <v>1.6246575342465754</v>
      </c>
      <c r="P2663" s="91" t="s">
        <v>43</v>
      </c>
      <c r="Q2663" s="91">
        <v>0</v>
      </c>
      <c r="R2663" s="91">
        <v>0</v>
      </c>
      <c r="S2663" s="91">
        <v>0</v>
      </c>
      <c r="T2663" s="91"/>
      <c r="U2663" s="91"/>
      <c r="V2663" s="91"/>
      <c r="W2663" s="91"/>
      <c r="X2663" s="91"/>
      <c r="Y2663" s="91"/>
      <c r="Z2663" s="91"/>
      <c r="AA2663" s="91"/>
      <c r="AB2663" s="91"/>
      <c r="AC2663" s="91"/>
      <c r="AD2663" s="91"/>
      <c r="AE2663" s="91"/>
      <c r="AF2663" s="91"/>
      <c r="AG2663" s="91"/>
      <c r="AH2663" s="91"/>
      <c r="AI2663" s="91"/>
      <c r="AJ2663" s="91"/>
      <c r="AK2663" s="91"/>
      <c r="AL2663" s="91"/>
      <c r="AM2663" s="91"/>
    </row>
    <row r="2664" spans="1:39" ht="20.25" customHeight="1">
      <c r="A2664" s="91"/>
      <c r="B2664" s="93" t="s">
        <v>3319</v>
      </c>
      <c r="C2664" s="91" t="s">
        <v>73</v>
      </c>
      <c r="D2664" s="94" t="s">
        <v>3320</v>
      </c>
      <c r="E2664" s="94" t="s">
        <v>3321</v>
      </c>
      <c r="F2664" s="95" t="s">
        <v>3322</v>
      </c>
      <c r="G2664" s="96">
        <v>44564</v>
      </c>
      <c r="H2664" s="97">
        <v>38548</v>
      </c>
      <c r="I2664" s="94" t="s">
        <v>3323</v>
      </c>
      <c r="J2664" s="100" t="s">
        <v>58</v>
      </c>
      <c r="K2664" s="91" t="s">
        <v>58</v>
      </c>
      <c r="L2664" s="91" t="s">
        <v>60</v>
      </c>
      <c r="M2664" s="98">
        <f ca="1">(TODAY()-H2664)/365</f>
        <v>20.421917808219177</v>
      </c>
      <c r="N2664" s="99">
        <f>(G2664-H2664)/365</f>
        <v>16.482191780821918</v>
      </c>
      <c r="O2664" s="98">
        <f ca="1">(TODAY()-G2664)/365</f>
        <v>3.9397260273972603</v>
      </c>
      <c r="P2664" s="91" t="s">
        <v>43</v>
      </c>
      <c r="Q2664" s="91">
        <v>0</v>
      </c>
      <c r="R2664" s="91">
        <v>0</v>
      </c>
      <c r="S2664" s="91">
        <v>0</v>
      </c>
      <c r="T2664" s="91"/>
      <c r="U2664" s="91"/>
      <c r="V2664" s="91"/>
      <c r="W2664" s="91"/>
      <c r="X2664" s="91"/>
      <c r="Y2664" s="91"/>
      <c r="Z2664" s="91"/>
      <c r="AA2664" s="91"/>
      <c r="AB2664" s="91"/>
      <c r="AC2664" s="91"/>
      <c r="AD2664" s="91"/>
      <c r="AE2664" s="91"/>
      <c r="AF2664" s="91"/>
      <c r="AG2664" s="91"/>
      <c r="AH2664" s="91"/>
      <c r="AI2664" s="91"/>
      <c r="AJ2664" s="91"/>
      <c r="AK2664" s="91"/>
      <c r="AL2664" s="91"/>
      <c r="AM2664" s="91"/>
    </row>
    <row r="2665" spans="1:39" ht="20.25" hidden="1" customHeight="1">
      <c r="A2665" s="91"/>
      <c r="B2665" s="93" t="s">
        <v>8287</v>
      </c>
      <c r="C2665" s="91" t="s">
        <v>36</v>
      </c>
      <c r="D2665" s="94" t="s">
        <v>3493</v>
      </c>
      <c r="E2665" s="94" t="s">
        <v>8350</v>
      </c>
      <c r="F2665" s="95" t="s">
        <v>8351</v>
      </c>
      <c r="G2665" s="96">
        <v>45059</v>
      </c>
      <c r="H2665" s="97">
        <v>30539</v>
      </c>
      <c r="I2665" s="94" t="s">
        <v>8352</v>
      </c>
      <c r="J2665" s="94" t="s">
        <v>8353</v>
      </c>
      <c r="K2665" s="95">
        <v>977208697</v>
      </c>
      <c r="L2665" s="91" t="s">
        <v>216</v>
      </c>
      <c r="M2665" s="98">
        <f ca="1">(TODAY()-H2665)/365</f>
        <v>42.364383561643834</v>
      </c>
      <c r="N2665" s="99">
        <f>(G2665-H2665)/365</f>
        <v>39.780821917808218</v>
      </c>
      <c r="O2665" s="98">
        <f ca="1">(TODAY()-G2665)/365</f>
        <v>2.5835616438356164</v>
      </c>
      <c r="P2665" s="91" t="s">
        <v>43</v>
      </c>
      <c r="Q2665" s="91">
        <v>0</v>
      </c>
      <c r="R2665" s="91">
        <v>0</v>
      </c>
      <c r="S2665" s="91">
        <v>0</v>
      </c>
      <c r="T2665" s="91"/>
      <c r="U2665" s="91"/>
      <c r="V2665" s="91"/>
      <c r="W2665" s="91"/>
      <c r="X2665" s="91"/>
      <c r="Y2665" s="91"/>
      <c r="Z2665" s="91"/>
      <c r="AA2665" s="91"/>
      <c r="AB2665" s="91"/>
      <c r="AC2665" s="91"/>
      <c r="AD2665" s="91"/>
      <c r="AE2665" s="91"/>
      <c r="AF2665" s="91"/>
      <c r="AG2665" s="91"/>
      <c r="AH2665" s="91"/>
      <c r="AI2665" s="91"/>
      <c r="AJ2665" s="91"/>
      <c r="AK2665" s="91"/>
      <c r="AL2665" s="91"/>
      <c r="AM2665" s="91"/>
    </row>
    <row r="2666" spans="1:39" ht="20.25" hidden="1" customHeight="1">
      <c r="A2666" s="91"/>
      <c r="B2666" s="93" t="s">
        <v>8287</v>
      </c>
      <c r="C2666" s="91" t="s">
        <v>36</v>
      </c>
      <c r="D2666" s="94" t="s">
        <v>4255</v>
      </c>
      <c r="E2666" s="94" t="s">
        <v>8354</v>
      </c>
      <c r="F2666" s="95" t="s">
        <v>8355</v>
      </c>
      <c r="G2666" s="96">
        <v>41183</v>
      </c>
      <c r="H2666" s="97">
        <v>25423</v>
      </c>
      <c r="I2666" s="94" t="s">
        <v>8356</v>
      </c>
      <c r="J2666" s="100" t="s">
        <v>58</v>
      </c>
      <c r="K2666" s="95">
        <v>953065604</v>
      </c>
      <c r="L2666" s="91" t="s">
        <v>60</v>
      </c>
      <c r="M2666" s="98">
        <f ca="1">(TODAY()-H2666)/365</f>
        <v>56.38082191780822</v>
      </c>
      <c r="N2666" s="99">
        <f>(G2666-H2666)/365</f>
        <v>43.178082191780824</v>
      </c>
      <c r="O2666" s="98">
        <f ca="1">(TODAY()-G2666)/365</f>
        <v>13.202739726027398</v>
      </c>
      <c r="P2666" s="91" t="s">
        <v>43</v>
      </c>
      <c r="Q2666" s="91">
        <v>0</v>
      </c>
      <c r="R2666" s="91">
        <v>0</v>
      </c>
      <c r="S2666" s="91">
        <v>0</v>
      </c>
      <c r="T2666" s="91"/>
      <c r="U2666" s="91"/>
      <c r="V2666" s="91"/>
      <c r="W2666" s="91"/>
      <c r="X2666" s="91"/>
      <c r="Y2666" s="91"/>
      <c r="Z2666" s="91"/>
      <c r="AA2666" s="91"/>
      <c r="AB2666" s="91"/>
      <c r="AC2666" s="91"/>
      <c r="AD2666" s="91"/>
      <c r="AE2666" s="91"/>
      <c r="AF2666" s="91"/>
      <c r="AG2666" s="91"/>
      <c r="AH2666" s="91"/>
      <c r="AI2666" s="91"/>
      <c r="AJ2666" s="91"/>
      <c r="AK2666" s="91"/>
      <c r="AL2666" s="91"/>
      <c r="AM2666" s="91"/>
    </row>
    <row r="2667" spans="1:39" ht="20.25" customHeight="1">
      <c r="A2667" s="91"/>
      <c r="B2667" s="93" t="s">
        <v>7126</v>
      </c>
      <c r="C2667" s="91" t="s">
        <v>73</v>
      </c>
      <c r="D2667" s="94" t="s">
        <v>7159</v>
      </c>
      <c r="E2667" s="94" t="s">
        <v>7160</v>
      </c>
      <c r="F2667" s="95" t="s">
        <v>7161</v>
      </c>
      <c r="G2667" s="96">
        <v>45327</v>
      </c>
      <c r="H2667" s="97">
        <v>36489</v>
      </c>
      <c r="I2667" s="94" t="s">
        <v>58</v>
      </c>
      <c r="J2667" s="94" t="s">
        <v>58</v>
      </c>
      <c r="K2667" s="95" t="s">
        <v>58</v>
      </c>
      <c r="L2667" s="91" t="s">
        <v>60</v>
      </c>
      <c r="M2667" s="98">
        <f ca="1">(TODAY()-H2667)/365</f>
        <v>26.063013698630137</v>
      </c>
      <c r="N2667" s="99">
        <f>(G2667-H2667)/365</f>
        <v>24.213698630136985</v>
      </c>
      <c r="O2667" s="98">
        <f ca="1">(TODAY()-G2667)/365</f>
        <v>1.8493150684931507</v>
      </c>
      <c r="P2667" s="91" t="s">
        <v>272</v>
      </c>
      <c r="Q2667" s="91">
        <v>0</v>
      </c>
      <c r="R2667" s="91">
        <v>0</v>
      </c>
      <c r="S2667" s="91">
        <v>0</v>
      </c>
      <c r="T2667" s="91"/>
      <c r="U2667" s="91"/>
      <c r="V2667" s="91"/>
      <c r="W2667" s="91"/>
      <c r="X2667" s="91"/>
      <c r="Y2667" s="91"/>
      <c r="Z2667" s="91"/>
      <c r="AA2667" s="91"/>
      <c r="AB2667" s="91"/>
      <c r="AC2667" s="91"/>
      <c r="AD2667" s="91"/>
      <c r="AE2667" s="91"/>
      <c r="AF2667" s="91"/>
      <c r="AG2667" s="91"/>
      <c r="AH2667" s="91"/>
      <c r="AI2667" s="91"/>
      <c r="AJ2667" s="91"/>
      <c r="AK2667" s="91"/>
      <c r="AL2667" s="91"/>
      <c r="AM2667" s="91"/>
    </row>
    <row r="2668" spans="1:39" ht="20.25" hidden="1" customHeight="1">
      <c r="A2668" s="91"/>
      <c r="B2668" s="93" t="s">
        <v>8287</v>
      </c>
      <c r="C2668" s="91" t="s">
        <v>36</v>
      </c>
      <c r="D2668" s="94" t="s">
        <v>3554</v>
      </c>
      <c r="E2668" s="94" t="s">
        <v>8360</v>
      </c>
      <c r="F2668" s="95" t="s">
        <v>8361</v>
      </c>
      <c r="G2668" s="96">
        <v>38115</v>
      </c>
      <c r="H2668" s="97">
        <v>18572</v>
      </c>
      <c r="I2668" s="100" t="s">
        <v>58</v>
      </c>
      <c r="J2668" s="100" t="s">
        <v>58</v>
      </c>
      <c r="K2668" s="95">
        <v>941646049</v>
      </c>
      <c r="L2668" s="91" t="s">
        <v>151</v>
      </c>
      <c r="M2668" s="98">
        <f ca="1">(TODAY()-H2668)/365</f>
        <v>75.150684931506845</v>
      </c>
      <c r="N2668" s="99">
        <f>(G2668-H2668)/365</f>
        <v>53.542465753424658</v>
      </c>
      <c r="O2668" s="98">
        <f ca="1">(TODAY()-G2668)/365</f>
        <v>21.608219178082191</v>
      </c>
      <c r="P2668" s="91" t="s">
        <v>43</v>
      </c>
      <c r="Q2668" s="91">
        <v>0</v>
      </c>
      <c r="R2668" s="91">
        <v>0</v>
      </c>
      <c r="S2668" s="91">
        <v>0</v>
      </c>
      <c r="T2668" s="91"/>
      <c r="U2668" s="91"/>
      <c r="V2668" s="91"/>
      <c r="W2668" s="91"/>
      <c r="X2668" s="91"/>
      <c r="Y2668" s="91"/>
      <c r="Z2668" s="91"/>
      <c r="AA2668" s="91"/>
      <c r="AB2668" s="91"/>
      <c r="AC2668" s="91"/>
      <c r="AD2668" s="91"/>
      <c r="AE2668" s="91"/>
      <c r="AF2668" s="91"/>
      <c r="AG2668" s="91"/>
      <c r="AH2668" s="91"/>
      <c r="AI2668" s="91"/>
      <c r="AJ2668" s="91"/>
      <c r="AK2668" s="91"/>
      <c r="AL2668" s="91"/>
      <c r="AM2668" s="91"/>
    </row>
    <row r="2669" spans="1:39" ht="20.25" customHeight="1">
      <c r="A2669" s="91"/>
      <c r="B2669" s="93" t="s">
        <v>9659</v>
      </c>
      <c r="C2669" s="91" t="s">
        <v>73</v>
      </c>
      <c r="D2669" s="107" t="s">
        <v>7078</v>
      </c>
      <c r="E2669" s="106" t="s">
        <v>9774</v>
      </c>
      <c r="F2669" s="92" t="s">
        <v>9775</v>
      </c>
      <c r="G2669" s="97">
        <v>44835</v>
      </c>
      <c r="H2669" s="103">
        <v>35148</v>
      </c>
      <c r="I2669" s="94" t="s">
        <v>58</v>
      </c>
      <c r="J2669" s="100" t="s">
        <v>58</v>
      </c>
      <c r="K2669" s="95" t="s">
        <v>58</v>
      </c>
      <c r="L2669" s="91" t="s">
        <v>60</v>
      </c>
      <c r="M2669" s="98">
        <f ca="1">(TODAY()-H2669)/365</f>
        <v>29.736986301369864</v>
      </c>
      <c r="N2669" s="99">
        <f>(G2669-H2669)/365</f>
        <v>26.539726027397261</v>
      </c>
      <c r="O2669" s="98">
        <f ca="1">(TODAY()-G2669)/365</f>
        <v>3.1972602739726028</v>
      </c>
      <c r="P2669" s="91" t="s">
        <v>272</v>
      </c>
      <c r="Q2669" s="91">
        <v>0</v>
      </c>
      <c r="R2669" s="91">
        <v>0</v>
      </c>
      <c r="S2669" s="91">
        <v>0</v>
      </c>
      <c r="T2669" s="91"/>
      <c r="U2669" s="91"/>
      <c r="V2669" s="91"/>
      <c r="W2669" s="91"/>
      <c r="X2669" s="91"/>
      <c r="Y2669" s="91"/>
      <c r="Z2669" s="91"/>
      <c r="AA2669" s="91"/>
      <c r="AB2669" s="91"/>
      <c r="AC2669" s="91"/>
      <c r="AD2669" s="91"/>
      <c r="AE2669" s="91"/>
      <c r="AF2669" s="91"/>
      <c r="AG2669" s="91"/>
      <c r="AH2669" s="91"/>
      <c r="AI2669" s="91"/>
      <c r="AJ2669" s="91"/>
      <c r="AK2669" s="91"/>
      <c r="AL2669" s="91"/>
      <c r="AM2669" s="91"/>
    </row>
    <row r="2670" spans="1:39" ht="20.25" hidden="1" customHeight="1">
      <c r="A2670" s="91"/>
      <c r="B2670" s="93" t="s">
        <v>8287</v>
      </c>
      <c r="C2670" s="91" t="s">
        <v>36</v>
      </c>
      <c r="D2670" s="94" t="s">
        <v>8365</v>
      </c>
      <c r="E2670" s="94" t="s">
        <v>8366</v>
      </c>
      <c r="F2670" s="95" t="s">
        <v>8367</v>
      </c>
      <c r="G2670" s="97" t="s">
        <v>58</v>
      </c>
      <c r="H2670" s="97">
        <v>24986</v>
      </c>
      <c r="I2670" s="94" t="s">
        <v>8368</v>
      </c>
      <c r="J2670" s="100" t="s">
        <v>58</v>
      </c>
      <c r="K2670" s="95">
        <v>941646049</v>
      </c>
      <c r="L2670" s="91" t="s">
        <v>60</v>
      </c>
      <c r="M2670" s="98">
        <f ca="1">(TODAY()-H2670)/365</f>
        <v>57.578082191780823</v>
      </c>
      <c r="N2670" s="95" t="s">
        <v>58</v>
      </c>
      <c r="O2670" s="98" t="e">
        <f ca="1">(TODAY()-G2670)/365</f>
        <v>#VALUE!</v>
      </c>
      <c r="P2670" s="91" t="s">
        <v>43</v>
      </c>
      <c r="Q2670" s="91">
        <v>0</v>
      </c>
      <c r="R2670" s="91">
        <v>0</v>
      </c>
      <c r="S2670" s="91">
        <v>0</v>
      </c>
      <c r="T2670" s="91"/>
      <c r="U2670" s="91"/>
      <c r="V2670" s="91"/>
      <c r="W2670" s="91"/>
      <c r="X2670" s="91"/>
      <c r="Y2670" s="91"/>
      <c r="Z2670" s="91"/>
      <c r="AA2670" s="91"/>
      <c r="AB2670" s="91"/>
      <c r="AC2670" s="91"/>
      <c r="AD2670" s="91"/>
      <c r="AE2670" s="91"/>
      <c r="AF2670" s="91"/>
      <c r="AG2670" s="91"/>
      <c r="AH2670" s="91"/>
      <c r="AI2670" s="91"/>
      <c r="AJ2670" s="91"/>
      <c r="AK2670" s="91"/>
      <c r="AL2670" s="91"/>
      <c r="AM2670" s="91"/>
    </row>
    <row r="2671" spans="1:39" ht="20.25" hidden="1" customHeight="1">
      <c r="A2671" s="128"/>
      <c r="B2671" s="93" t="s">
        <v>12683</v>
      </c>
      <c r="C2671" s="91" t="s">
        <v>36</v>
      </c>
      <c r="D2671" s="106" t="s">
        <v>357</v>
      </c>
      <c r="E2671" s="106" t="s">
        <v>11222</v>
      </c>
      <c r="F2671" s="92" t="s">
        <v>11223</v>
      </c>
      <c r="G2671" s="103">
        <v>36621</v>
      </c>
      <c r="H2671" s="103">
        <v>25225</v>
      </c>
      <c r="I2671" s="108" t="s">
        <v>12642</v>
      </c>
      <c r="J2671" s="94" t="s">
        <v>11224</v>
      </c>
      <c r="K2671" s="92">
        <v>988895009</v>
      </c>
      <c r="L2671" s="91"/>
      <c r="M2671" s="98">
        <f ca="1">(TODAY()-H2671)/365</f>
        <v>56.923287671232877</v>
      </c>
      <c r="N2671" s="99">
        <f>(G2671-H2671)/365</f>
        <v>31.221917808219178</v>
      </c>
      <c r="O2671" s="98">
        <f ca="1">(TODAY()-G2671)/365</f>
        <v>25.701369863013699</v>
      </c>
      <c r="P2671" s="91" t="s">
        <v>43</v>
      </c>
      <c r="Q2671" s="91"/>
      <c r="R2671" s="91"/>
      <c r="S2671" s="91">
        <v>1</v>
      </c>
      <c r="T2671" s="91"/>
      <c r="U2671" s="91"/>
      <c r="V2671" s="91"/>
      <c r="W2671" s="91"/>
      <c r="X2671" s="91"/>
      <c r="Y2671" s="91"/>
      <c r="Z2671" s="91"/>
      <c r="AA2671" s="91"/>
      <c r="AB2671" s="91"/>
      <c r="AC2671" s="91"/>
      <c r="AD2671" s="91"/>
      <c r="AE2671" s="91"/>
      <c r="AF2671" s="91"/>
      <c r="AG2671" s="91"/>
      <c r="AH2671" s="91"/>
      <c r="AI2671" s="91"/>
      <c r="AJ2671" s="91"/>
      <c r="AK2671" s="91"/>
      <c r="AL2671" s="91"/>
      <c r="AM2671" s="91"/>
    </row>
    <row r="2672" spans="1:39" ht="20.25" hidden="1" customHeight="1">
      <c r="A2672" s="128"/>
      <c r="B2672" s="93" t="s">
        <v>12683</v>
      </c>
      <c r="C2672" s="91" t="s">
        <v>36</v>
      </c>
      <c r="D2672" s="106" t="s">
        <v>306</v>
      </c>
      <c r="E2672" s="106" t="s">
        <v>11225</v>
      </c>
      <c r="F2672" s="92" t="s">
        <v>11226</v>
      </c>
      <c r="G2672" s="103">
        <v>35891</v>
      </c>
      <c r="H2672" s="103">
        <v>17653</v>
      </c>
      <c r="I2672" s="108" t="s">
        <v>12643</v>
      </c>
      <c r="J2672" s="94" t="s">
        <v>11227</v>
      </c>
      <c r="K2672" s="92">
        <v>931011649</v>
      </c>
      <c r="L2672" s="91"/>
      <c r="M2672" s="98">
        <f ca="1">(TODAY()-H2672)/365</f>
        <v>77.668493150684938</v>
      </c>
      <c r="N2672" s="99">
        <f>(G2672-H2672)/365</f>
        <v>49.967123287671235</v>
      </c>
      <c r="O2672" s="98">
        <f ca="1">(TODAY()-G2672)/365</f>
        <v>27.701369863013699</v>
      </c>
      <c r="P2672" s="91" t="s">
        <v>43</v>
      </c>
      <c r="Q2672" s="91"/>
      <c r="R2672" s="91"/>
      <c r="S2672" s="91"/>
      <c r="T2672" s="91"/>
      <c r="U2672" s="91"/>
      <c r="V2672" s="91"/>
      <c r="W2672" s="91"/>
      <c r="X2672" s="91"/>
      <c r="Y2672" s="91"/>
      <c r="Z2672" s="91"/>
      <c r="AA2672" s="91"/>
      <c r="AB2672" s="91"/>
      <c r="AC2672" s="91"/>
      <c r="AD2672" s="91"/>
      <c r="AE2672" s="91"/>
      <c r="AF2672" s="91"/>
      <c r="AG2672" s="91"/>
      <c r="AH2672" s="91"/>
      <c r="AI2672" s="91"/>
      <c r="AJ2672" s="91"/>
      <c r="AK2672" s="91"/>
      <c r="AL2672" s="91"/>
      <c r="AM2672" s="91"/>
    </row>
    <row r="2673" spans="1:39" ht="20.25" hidden="1" customHeight="1">
      <c r="A2673" s="128"/>
      <c r="B2673" s="93" t="s">
        <v>12683</v>
      </c>
      <c r="C2673" s="91" t="s">
        <v>36</v>
      </c>
      <c r="D2673" s="106" t="s">
        <v>11190</v>
      </c>
      <c r="E2673" s="106" t="s">
        <v>7419</v>
      </c>
      <c r="F2673" s="92" t="s">
        <v>11228</v>
      </c>
      <c r="G2673" s="103">
        <v>44928</v>
      </c>
      <c r="H2673" s="103">
        <v>29359</v>
      </c>
      <c r="I2673" s="108" t="s">
        <v>12644</v>
      </c>
      <c r="J2673" s="94" t="s">
        <v>11229</v>
      </c>
      <c r="K2673" s="92">
        <v>998646109</v>
      </c>
      <c r="L2673" s="91"/>
      <c r="M2673" s="98">
        <f ca="1">(TODAY()-H2673)/365</f>
        <v>45.597260273972601</v>
      </c>
      <c r="N2673" s="99">
        <f>(G2673-H2673)/365</f>
        <v>42.654794520547945</v>
      </c>
      <c r="O2673" s="98">
        <f ca="1">(TODAY()-G2673)/365</f>
        <v>2.9424657534246577</v>
      </c>
      <c r="P2673" s="91" t="s">
        <v>43</v>
      </c>
      <c r="Q2673" s="91"/>
      <c r="R2673" s="91"/>
      <c r="S2673" s="91"/>
      <c r="T2673" s="91"/>
      <c r="U2673" s="91"/>
      <c r="V2673" s="91"/>
      <c r="W2673" s="91"/>
      <c r="X2673" s="91"/>
      <c r="Y2673" s="91"/>
      <c r="Z2673" s="91"/>
      <c r="AA2673" s="91"/>
      <c r="AB2673" s="91"/>
      <c r="AC2673" s="91"/>
      <c r="AD2673" s="91"/>
      <c r="AE2673" s="91"/>
      <c r="AF2673" s="91"/>
      <c r="AG2673" s="91"/>
      <c r="AH2673" s="91"/>
      <c r="AI2673" s="91"/>
      <c r="AJ2673" s="91"/>
      <c r="AK2673" s="91"/>
      <c r="AL2673" s="91"/>
      <c r="AM2673" s="91"/>
    </row>
    <row r="2674" spans="1:39" ht="20.25" hidden="1" customHeight="1">
      <c r="A2674" s="128"/>
      <c r="B2674" s="93" t="s">
        <v>12683</v>
      </c>
      <c r="C2674" s="91" t="s">
        <v>36</v>
      </c>
      <c r="D2674" s="106" t="s">
        <v>1183</v>
      </c>
      <c r="E2674" s="106" t="s">
        <v>11230</v>
      </c>
      <c r="F2674" s="92" t="s">
        <v>11231</v>
      </c>
      <c r="G2674" s="103">
        <v>42894</v>
      </c>
      <c r="H2674" s="103">
        <v>17613</v>
      </c>
      <c r="I2674" s="108" t="s">
        <v>12645</v>
      </c>
      <c r="J2674" s="94" t="s">
        <v>11232</v>
      </c>
      <c r="K2674" s="92">
        <v>990962137</v>
      </c>
      <c r="L2674" s="91"/>
      <c r="M2674" s="98">
        <f ca="1">(TODAY()-H2674)/365</f>
        <v>77.778082191780825</v>
      </c>
      <c r="N2674" s="99">
        <f>(G2674-H2674)/365</f>
        <v>69.263013698630132</v>
      </c>
      <c r="O2674" s="98">
        <f ca="1">(TODAY()-G2674)/365</f>
        <v>8.5150684931506841</v>
      </c>
      <c r="P2674" s="91" t="s">
        <v>272</v>
      </c>
      <c r="Q2674" s="91"/>
      <c r="R2674" s="91"/>
      <c r="S2674" s="91"/>
      <c r="T2674" s="91"/>
      <c r="U2674" s="91"/>
      <c r="V2674" s="91"/>
      <c r="W2674" s="91"/>
      <c r="X2674" s="91"/>
      <c r="Y2674" s="91"/>
      <c r="Z2674" s="91"/>
      <c r="AA2674" s="91"/>
      <c r="AB2674" s="91"/>
      <c r="AC2674" s="91"/>
      <c r="AD2674" s="91"/>
      <c r="AE2674" s="91"/>
      <c r="AF2674" s="91"/>
      <c r="AG2674" s="91"/>
      <c r="AH2674" s="91"/>
      <c r="AI2674" s="91"/>
      <c r="AJ2674" s="91"/>
      <c r="AK2674" s="91"/>
      <c r="AL2674" s="91"/>
      <c r="AM2674" s="91"/>
    </row>
    <row r="2675" spans="1:39" ht="20.25" hidden="1" customHeight="1">
      <c r="A2675" s="128"/>
      <c r="B2675" s="93" t="s">
        <v>12683</v>
      </c>
      <c r="C2675" s="91" t="s">
        <v>36</v>
      </c>
      <c r="D2675" s="106" t="s">
        <v>5835</v>
      </c>
      <c r="E2675" s="106" t="s">
        <v>11233</v>
      </c>
      <c r="F2675" s="92" t="s">
        <v>11234</v>
      </c>
      <c r="G2675" s="103">
        <v>35503</v>
      </c>
      <c r="H2675" s="103">
        <v>20385</v>
      </c>
      <c r="I2675" s="108" t="s">
        <v>12646</v>
      </c>
      <c r="J2675" s="94" t="s">
        <v>11235</v>
      </c>
      <c r="K2675" s="92">
        <v>934254724</v>
      </c>
      <c r="L2675" s="91"/>
      <c r="M2675" s="98">
        <f ca="1">(TODAY()-H2675)/365</f>
        <v>70.183561643835617</v>
      </c>
      <c r="N2675" s="99">
        <f>(G2675-H2675)/365</f>
        <v>41.419178082191777</v>
      </c>
      <c r="O2675" s="98">
        <f ca="1">(TODAY()-G2675)/365</f>
        <v>28.764383561643836</v>
      </c>
      <c r="P2675" s="91" t="s">
        <v>43</v>
      </c>
      <c r="Q2675" s="91"/>
      <c r="R2675" s="91"/>
      <c r="S2675" s="91"/>
      <c r="T2675" s="91"/>
      <c r="U2675" s="91"/>
      <c r="V2675" s="91"/>
      <c r="W2675" s="91"/>
      <c r="X2675" s="91"/>
      <c r="Y2675" s="91"/>
      <c r="Z2675" s="91"/>
      <c r="AA2675" s="91"/>
      <c r="AB2675" s="91"/>
      <c r="AC2675" s="91"/>
      <c r="AD2675" s="91"/>
      <c r="AE2675" s="91"/>
      <c r="AF2675" s="91"/>
      <c r="AG2675" s="91"/>
      <c r="AH2675" s="91"/>
      <c r="AI2675" s="91"/>
      <c r="AJ2675" s="91"/>
      <c r="AK2675" s="91"/>
      <c r="AL2675" s="91"/>
      <c r="AM2675" s="91"/>
    </row>
    <row r="2676" spans="1:39" ht="20.25" hidden="1" customHeight="1">
      <c r="A2676" s="128"/>
      <c r="B2676" s="93" t="s">
        <v>12683</v>
      </c>
      <c r="C2676" s="91" t="s">
        <v>36</v>
      </c>
      <c r="D2676" s="106" t="s">
        <v>11236</v>
      </c>
      <c r="E2676" s="106" t="s">
        <v>11237</v>
      </c>
      <c r="F2676" s="92" t="s">
        <v>11238</v>
      </c>
      <c r="G2676" s="103">
        <v>45278</v>
      </c>
      <c r="H2676" s="103">
        <v>28153</v>
      </c>
      <c r="I2676" s="108" t="s">
        <v>12647</v>
      </c>
      <c r="J2676" s="94" t="s">
        <v>11239</v>
      </c>
      <c r="K2676" s="92">
        <v>946440186</v>
      </c>
      <c r="L2676" s="91"/>
      <c r="M2676" s="98">
        <f ca="1">(TODAY()-H2676)/365</f>
        <v>48.901369863013699</v>
      </c>
      <c r="N2676" s="99">
        <f>(G2676-H2676)/365</f>
        <v>46.917808219178085</v>
      </c>
      <c r="O2676" s="98">
        <f ca="1">(TODAY()-G2676)/365</f>
        <v>1.9835616438356165</v>
      </c>
      <c r="P2676" s="91" t="s">
        <v>272</v>
      </c>
      <c r="Q2676" s="91"/>
      <c r="R2676" s="91"/>
      <c r="S2676" s="91"/>
      <c r="T2676" s="91"/>
      <c r="U2676" s="91"/>
      <c r="V2676" s="91"/>
      <c r="W2676" s="91"/>
      <c r="X2676" s="91"/>
      <c r="Y2676" s="91"/>
      <c r="Z2676" s="91"/>
      <c r="AA2676" s="91"/>
      <c r="AB2676" s="91"/>
      <c r="AC2676" s="91"/>
      <c r="AD2676" s="91"/>
      <c r="AE2676" s="91"/>
      <c r="AF2676" s="91"/>
      <c r="AG2676" s="91"/>
      <c r="AH2676" s="91"/>
      <c r="AI2676" s="91"/>
      <c r="AJ2676" s="91"/>
      <c r="AK2676" s="91"/>
      <c r="AL2676" s="91"/>
      <c r="AM2676" s="91"/>
    </row>
    <row r="2677" spans="1:39" ht="20.25" customHeight="1">
      <c r="A2677" s="91"/>
      <c r="B2677" s="93" t="s">
        <v>7270</v>
      </c>
      <c r="C2677" s="91" t="s">
        <v>73</v>
      </c>
      <c r="D2677" s="94" t="s">
        <v>7323</v>
      </c>
      <c r="E2677" s="94" t="s">
        <v>7324</v>
      </c>
      <c r="F2677" s="95" t="s">
        <v>7325</v>
      </c>
      <c r="G2677" s="96">
        <v>43255</v>
      </c>
      <c r="H2677" s="97">
        <v>23078</v>
      </c>
      <c r="I2677" s="100" t="s">
        <v>58</v>
      </c>
      <c r="J2677" s="100" t="s">
        <v>58</v>
      </c>
      <c r="K2677" s="91" t="s">
        <v>58</v>
      </c>
      <c r="L2677" s="91" t="s">
        <v>60</v>
      </c>
      <c r="M2677" s="98">
        <f ca="1">(TODAY()-H2677)/365</f>
        <v>62.805479452054797</v>
      </c>
      <c r="N2677" s="99">
        <f>(G2677-H2677)/365</f>
        <v>55.279452054794518</v>
      </c>
      <c r="O2677" s="98">
        <f ca="1">(TODAY()-G2677)/365</f>
        <v>7.5260273972602736</v>
      </c>
      <c r="P2677" s="91" t="s">
        <v>43</v>
      </c>
      <c r="Q2677" s="91">
        <v>0</v>
      </c>
      <c r="R2677" s="91">
        <v>0</v>
      </c>
      <c r="S2677" s="91">
        <v>0</v>
      </c>
      <c r="T2677" s="91"/>
      <c r="U2677" s="91"/>
      <c r="V2677" s="91"/>
      <c r="W2677" s="91"/>
      <c r="X2677" s="91"/>
      <c r="Y2677" s="91"/>
      <c r="Z2677" s="91"/>
      <c r="AA2677" s="91"/>
      <c r="AB2677" s="91"/>
      <c r="AC2677" s="91"/>
      <c r="AD2677" s="91"/>
      <c r="AE2677" s="91"/>
      <c r="AF2677" s="91"/>
      <c r="AG2677" s="91"/>
      <c r="AH2677" s="91"/>
      <c r="AI2677" s="91"/>
      <c r="AJ2677" s="91"/>
      <c r="AK2677" s="91"/>
      <c r="AL2677" s="91"/>
      <c r="AM2677" s="91"/>
    </row>
    <row r="2678" spans="1:39" ht="20.25" customHeight="1">
      <c r="A2678" s="91"/>
      <c r="B2678" s="93" t="s">
        <v>2235</v>
      </c>
      <c r="C2678" s="91" t="s">
        <v>73</v>
      </c>
      <c r="D2678" s="94" t="s">
        <v>2252</v>
      </c>
      <c r="E2678" s="94" t="s">
        <v>2253</v>
      </c>
      <c r="F2678" s="95" t="s">
        <v>2254</v>
      </c>
      <c r="G2678" s="96">
        <v>43266</v>
      </c>
      <c r="H2678" s="97">
        <v>36422</v>
      </c>
      <c r="I2678" s="94" t="s">
        <v>58</v>
      </c>
      <c r="J2678" s="100" t="s">
        <v>58</v>
      </c>
      <c r="K2678" s="91" t="s">
        <v>58</v>
      </c>
      <c r="L2678" s="91" t="s">
        <v>49</v>
      </c>
      <c r="M2678" s="98">
        <f ca="1">(TODAY()-H2678)/365</f>
        <v>26.246575342465754</v>
      </c>
      <c r="N2678" s="99">
        <f>(G2678-H2678)/365</f>
        <v>18.75068493150685</v>
      </c>
      <c r="O2678" s="98">
        <f ca="1">(TODAY()-G2678)/365</f>
        <v>7.4958904109589044</v>
      </c>
      <c r="P2678" s="91" t="s">
        <v>43</v>
      </c>
      <c r="Q2678" s="91">
        <v>0</v>
      </c>
      <c r="R2678" s="91">
        <v>0</v>
      </c>
      <c r="S2678" s="91">
        <v>0</v>
      </c>
      <c r="T2678" s="91"/>
      <c r="U2678" s="91"/>
      <c r="V2678" s="91"/>
      <c r="W2678" s="91"/>
      <c r="X2678" s="91"/>
      <c r="Y2678" s="91"/>
      <c r="Z2678" s="91"/>
      <c r="AA2678" s="91"/>
      <c r="AB2678" s="91"/>
      <c r="AC2678" s="91"/>
      <c r="AD2678" s="91"/>
      <c r="AE2678" s="91"/>
      <c r="AF2678" s="91"/>
      <c r="AG2678" s="91"/>
      <c r="AH2678" s="91"/>
      <c r="AI2678" s="91"/>
      <c r="AJ2678" s="91"/>
      <c r="AK2678" s="91"/>
      <c r="AL2678" s="91"/>
      <c r="AM2678" s="91"/>
    </row>
    <row r="2679" spans="1:39" ht="20.25" customHeight="1">
      <c r="A2679" s="91"/>
      <c r="B2679" s="93" t="s">
        <v>4702</v>
      </c>
      <c r="C2679" s="91" t="s">
        <v>73</v>
      </c>
      <c r="D2679" s="107" t="s">
        <v>447</v>
      </c>
      <c r="E2679" s="107" t="s">
        <v>4703</v>
      </c>
      <c r="F2679" s="91" t="s">
        <v>4704</v>
      </c>
      <c r="G2679" s="96">
        <v>42979</v>
      </c>
      <c r="H2679" s="97">
        <v>33711</v>
      </c>
      <c r="I2679" s="94" t="s">
        <v>58</v>
      </c>
      <c r="J2679" s="94" t="s">
        <v>58</v>
      </c>
      <c r="K2679" s="95" t="s">
        <v>58</v>
      </c>
      <c r="L2679" s="91" t="s">
        <v>60</v>
      </c>
      <c r="M2679" s="98">
        <f ca="1">(TODAY()-H2679)/365</f>
        <v>33.673972602739724</v>
      </c>
      <c r="N2679" s="99">
        <f>(G2679-H2679)/365</f>
        <v>25.391780821917809</v>
      </c>
      <c r="O2679" s="98">
        <f ca="1">(TODAY()-G2679)/365</f>
        <v>8.2821917808219183</v>
      </c>
      <c r="P2679" s="91" t="s">
        <v>43</v>
      </c>
      <c r="Q2679" s="91">
        <v>0</v>
      </c>
      <c r="R2679" s="91">
        <v>0</v>
      </c>
      <c r="S2679" s="91">
        <v>0</v>
      </c>
      <c r="T2679" s="91"/>
      <c r="U2679" s="91"/>
      <c r="V2679" s="91"/>
      <c r="W2679" s="91"/>
      <c r="X2679" s="91"/>
      <c r="Y2679" s="91"/>
      <c r="Z2679" s="91"/>
      <c r="AA2679" s="91"/>
      <c r="AB2679" s="91"/>
      <c r="AC2679" s="91"/>
      <c r="AD2679" s="91"/>
      <c r="AE2679" s="91"/>
      <c r="AF2679" s="91"/>
      <c r="AG2679" s="91"/>
      <c r="AH2679" s="91"/>
      <c r="AI2679" s="91"/>
      <c r="AJ2679" s="91"/>
      <c r="AK2679" s="91"/>
      <c r="AL2679" s="91"/>
      <c r="AM2679" s="91"/>
    </row>
    <row r="2680" spans="1:39" ht="20.25" customHeight="1">
      <c r="A2680" s="91"/>
      <c r="B2680" s="93" t="s">
        <v>8287</v>
      </c>
      <c r="C2680" s="91" t="s">
        <v>73</v>
      </c>
      <c r="D2680" s="94" t="s">
        <v>2444</v>
      </c>
      <c r="E2680" s="94" t="s">
        <v>8305</v>
      </c>
      <c r="F2680" s="95" t="s">
        <v>8306</v>
      </c>
      <c r="G2680" s="96">
        <v>45256</v>
      </c>
      <c r="H2680" s="97">
        <v>38410</v>
      </c>
      <c r="I2680" s="94" t="s">
        <v>8307</v>
      </c>
      <c r="J2680" s="100" t="s">
        <v>58</v>
      </c>
      <c r="K2680" s="91" t="s">
        <v>58</v>
      </c>
      <c r="L2680" s="91" t="s">
        <v>60</v>
      </c>
      <c r="M2680" s="98">
        <f ca="1">(TODAY()-H2680)/365</f>
        <v>20.8</v>
      </c>
      <c r="N2680" s="99">
        <f>(G2680-H2680)/365</f>
        <v>18.756164383561643</v>
      </c>
      <c r="O2680" s="98">
        <f ca="1">(TODAY()-G2680)/365</f>
        <v>2.043835616438356</v>
      </c>
      <c r="P2680" s="91" t="s">
        <v>43</v>
      </c>
      <c r="Q2680" s="91">
        <v>0</v>
      </c>
      <c r="R2680" s="91">
        <v>0</v>
      </c>
      <c r="S2680" s="91">
        <v>0</v>
      </c>
      <c r="T2680" s="91"/>
      <c r="U2680" s="91"/>
      <c r="V2680" s="91"/>
      <c r="W2680" s="91"/>
      <c r="X2680" s="91"/>
      <c r="Y2680" s="91"/>
      <c r="Z2680" s="91"/>
      <c r="AA2680" s="91"/>
      <c r="AB2680" s="91"/>
      <c r="AC2680" s="91"/>
      <c r="AD2680" s="91"/>
      <c r="AE2680" s="91"/>
      <c r="AF2680" s="91"/>
      <c r="AG2680" s="91"/>
      <c r="AH2680" s="91"/>
      <c r="AI2680" s="91"/>
      <c r="AJ2680" s="91"/>
      <c r="AK2680" s="91"/>
      <c r="AL2680" s="91"/>
      <c r="AM2680" s="91"/>
    </row>
    <row r="2681" spans="1:39" ht="20.25" customHeight="1">
      <c r="A2681" s="91"/>
      <c r="B2681" s="93" t="s">
        <v>8095</v>
      </c>
      <c r="C2681" s="91" t="s">
        <v>73</v>
      </c>
      <c r="D2681" s="94" t="s">
        <v>8146</v>
      </c>
      <c r="E2681" s="94" t="s">
        <v>8147</v>
      </c>
      <c r="F2681" s="95" t="s">
        <v>8148</v>
      </c>
      <c r="G2681" s="96">
        <v>44974</v>
      </c>
      <c r="H2681" s="97">
        <v>32500</v>
      </c>
      <c r="I2681" s="94" t="s">
        <v>8149</v>
      </c>
      <c r="J2681" s="100" t="s">
        <v>58</v>
      </c>
      <c r="K2681" s="91" t="s">
        <v>58</v>
      </c>
      <c r="L2681" s="91" t="s">
        <v>60</v>
      </c>
      <c r="M2681" s="98">
        <f ca="1">(TODAY()-H2681)/365</f>
        <v>36.991780821917807</v>
      </c>
      <c r="N2681" s="99">
        <f>(G2681-H2681)/365</f>
        <v>34.175342465753424</v>
      </c>
      <c r="O2681" s="98">
        <f ca="1">(TODAY()-G2681)/365</f>
        <v>2.8164383561643835</v>
      </c>
      <c r="P2681" s="91" t="s">
        <v>43</v>
      </c>
      <c r="Q2681" s="91">
        <v>0</v>
      </c>
      <c r="R2681" s="91">
        <v>0</v>
      </c>
      <c r="S2681" s="91">
        <v>0</v>
      </c>
      <c r="T2681" s="91"/>
      <c r="U2681" s="91"/>
      <c r="V2681" s="91"/>
      <c r="W2681" s="91"/>
      <c r="X2681" s="91"/>
      <c r="Y2681" s="91"/>
      <c r="Z2681" s="91"/>
      <c r="AA2681" s="91"/>
      <c r="AB2681" s="91"/>
      <c r="AC2681" s="91"/>
      <c r="AD2681" s="91"/>
      <c r="AE2681" s="91"/>
      <c r="AF2681" s="91"/>
      <c r="AG2681" s="91"/>
      <c r="AH2681" s="91"/>
      <c r="AI2681" s="91"/>
      <c r="AJ2681" s="91"/>
      <c r="AK2681" s="91"/>
      <c r="AL2681" s="91"/>
      <c r="AM2681" s="91"/>
    </row>
    <row r="2682" spans="1:39" ht="20.25" hidden="1" customHeight="1">
      <c r="A2682" s="91"/>
      <c r="B2682" s="93" t="s">
        <v>8369</v>
      </c>
      <c r="C2682" s="91" t="s">
        <v>36</v>
      </c>
      <c r="D2682" s="107" t="s">
        <v>780</v>
      </c>
      <c r="E2682" s="107" t="s">
        <v>8389</v>
      </c>
      <c r="F2682" s="95" t="s">
        <v>8390</v>
      </c>
      <c r="G2682" s="96">
        <v>29881</v>
      </c>
      <c r="H2682" s="97">
        <v>21515</v>
      </c>
      <c r="I2682" s="100" t="s">
        <v>58</v>
      </c>
      <c r="J2682" s="100" t="s">
        <v>58</v>
      </c>
      <c r="K2682" s="95">
        <v>985843134</v>
      </c>
      <c r="L2682" s="91" t="s">
        <v>72</v>
      </c>
      <c r="M2682" s="98">
        <f ca="1">(TODAY()-H2682)/365</f>
        <v>67.087671232876716</v>
      </c>
      <c r="N2682" s="99">
        <f>(G2682-H2682)/365</f>
        <v>22.920547945205481</v>
      </c>
      <c r="O2682" s="98">
        <f ca="1">(TODAY()-G2682)/365</f>
        <v>44.167123287671231</v>
      </c>
      <c r="P2682" s="91" t="s">
        <v>43</v>
      </c>
      <c r="Q2682" s="91">
        <v>0</v>
      </c>
      <c r="R2682" s="91">
        <v>0</v>
      </c>
      <c r="S2682" s="91">
        <v>0</v>
      </c>
      <c r="T2682" s="91"/>
      <c r="U2682" s="91"/>
      <c r="V2682" s="91"/>
      <c r="W2682" s="91"/>
      <c r="X2682" s="91"/>
      <c r="Y2682" s="91"/>
      <c r="Z2682" s="91"/>
      <c r="AA2682" s="91"/>
      <c r="AB2682" s="91"/>
      <c r="AC2682" s="91"/>
      <c r="AD2682" s="91"/>
      <c r="AE2682" s="91"/>
      <c r="AF2682" s="91"/>
      <c r="AG2682" s="91"/>
      <c r="AH2682" s="91"/>
      <c r="AI2682" s="91"/>
      <c r="AJ2682" s="91"/>
      <c r="AK2682" s="91"/>
      <c r="AL2682" s="91"/>
      <c r="AM2682" s="91"/>
    </row>
    <row r="2683" spans="1:39" ht="20.25" hidden="1" customHeight="1">
      <c r="A2683" s="91"/>
      <c r="B2683" s="93" t="s">
        <v>8369</v>
      </c>
      <c r="C2683" s="91" t="s">
        <v>36</v>
      </c>
      <c r="D2683" s="107" t="s">
        <v>646</v>
      </c>
      <c r="E2683" s="107" t="s">
        <v>8391</v>
      </c>
      <c r="F2683" s="95" t="s">
        <v>8392</v>
      </c>
      <c r="G2683" s="96">
        <v>29572</v>
      </c>
      <c r="H2683" s="97">
        <v>20101</v>
      </c>
      <c r="I2683" s="100" t="s">
        <v>58</v>
      </c>
      <c r="J2683" s="100" t="s">
        <v>58</v>
      </c>
      <c r="K2683" s="95">
        <v>978025803</v>
      </c>
      <c r="L2683" s="91" t="s">
        <v>66</v>
      </c>
      <c r="M2683" s="98">
        <f ca="1">(TODAY()-H2683)/365</f>
        <v>70.961643835616442</v>
      </c>
      <c r="N2683" s="99">
        <f>(G2683-H2683)/365</f>
        <v>25.947945205479453</v>
      </c>
      <c r="O2683" s="98">
        <f ca="1">(TODAY()-G2683)/365</f>
        <v>45.013698630136986</v>
      </c>
      <c r="P2683" s="91" t="s">
        <v>43</v>
      </c>
      <c r="Q2683" s="91">
        <v>0</v>
      </c>
      <c r="R2683" s="91">
        <v>0</v>
      </c>
      <c r="S2683" s="91">
        <v>0</v>
      </c>
      <c r="T2683" s="91"/>
      <c r="U2683" s="91"/>
      <c r="V2683" s="91"/>
      <c r="W2683" s="91"/>
      <c r="X2683" s="91"/>
      <c r="Y2683" s="91"/>
      <c r="Z2683" s="91"/>
      <c r="AA2683" s="91"/>
      <c r="AB2683" s="91"/>
      <c r="AC2683" s="91"/>
      <c r="AD2683" s="91"/>
      <c r="AE2683" s="91"/>
      <c r="AF2683" s="91"/>
      <c r="AG2683" s="91"/>
      <c r="AH2683" s="91"/>
      <c r="AI2683" s="91"/>
      <c r="AJ2683" s="91"/>
      <c r="AK2683" s="91"/>
      <c r="AL2683" s="91"/>
      <c r="AM2683" s="91"/>
    </row>
    <row r="2684" spans="1:39" ht="20.25" hidden="1" customHeight="1">
      <c r="A2684" s="91"/>
      <c r="B2684" s="93" t="s">
        <v>8369</v>
      </c>
      <c r="C2684" s="91" t="s">
        <v>36</v>
      </c>
      <c r="D2684" s="107" t="s">
        <v>346</v>
      </c>
      <c r="E2684" s="107" t="s">
        <v>8393</v>
      </c>
      <c r="F2684" s="95" t="s">
        <v>8394</v>
      </c>
      <c r="G2684" s="96">
        <v>31952</v>
      </c>
      <c r="H2684" s="97">
        <v>18187</v>
      </c>
      <c r="I2684" s="100" t="s">
        <v>58</v>
      </c>
      <c r="J2684" s="100" t="s">
        <v>58</v>
      </c>
      <c r="K2684" s="95">
        <v>951196638</v>
      </c>
      <c r="L2684" s="91" t="s">
        <v>151</v>
      </c>
      <c r="M2684" s="98">
        <f ca="1">(TODAY()-H2684)/365</f>
        <v>76.205479452054789</v>
      </c>
      <c r="N2684" s="99">
        <f>(G2684-H2684)/365</f>
        <v>37.712328767123289</v>
      </c>
      <c r="O2684" s="98">
        <f ca="1">(TODAY()-G2684)/365</f>
        <v>38.493150684931507</v>
      </c>
      <c r="P2684" s="91" t="s">
        <v>43</v>
      </c>
      <c r="Q2684" s="91">
        <v>0</v>
      </c>
      <c r="R2684" s="91">
        <v>0</v>
      </c>
      <c r="S2684" s="91">
        <v>0</v>
      </c>
      <c r="T2684" s="91"/>
      <c r="U2684" s="91"/>
      <c r="V2684" s="91"/>
      <c r="W2684" s="91"/>
      <c r="X2684" s="91"/>
      <c r="Y2684" s="91"/>
      <c r="Z2684" s="91"/>
      <c r="AA2684" s="91"/>
      <c r="AB2684" s="91"/>
      <c r="AC2684" s="91"/>
      <c r="AD2684" s="91"/>
      <c r="AE2684" s="91"/>
      <c r="AF2684" s="91"/>
      <c r="AG2684" s="91"/>
      <c r="AH2684" s="91"/>
      <c r="AI2684" s="91"/>
      <c r="AJ2684" s="91"/>
      <c r="AK2684" s="91"/>
      <c r="AL2684" s="91"/>
      <c r="AM2684" s="91"/>
    </row>
    <row r="2685" spans="1:39" ht="20.25" hidden="1" customHeight="1">
      <c r="A2685" s="91"/>
      <c r="B2685" s="93" t="s">
        <v>8369</v>
      </c>
      <c r="C2685" s="91" t="s">
        <v>36</v>
      </c>
      <c r="D2685" s="107" t="s">
        <v>2840</v>
      </c>
      <c r="E2685" s="107" t="s">
        <v>8395</v>
      </c>
      <c r="F2685" s="95" t="s">
        <v>8396</v>
      </c>
      <c r="G2685" s="96">
        <v>30509</v>
      </c>
      <c r="H2685" s="97">
        <v>16196</v>
      </c>
      <c r="I2685" s="100" t="s">
        <v>58</v>
      </c>
      <c r="J2685" s="100" t="s">
        <v>58</v>
      </c>
      <c r="K2685" s="95">
        <v>98888667</v>
      </c>
      <c r="L2685" s="91" t="s">
        <v>54</v>
      </c>
      <c r="M2685" s="98">
        <f ca="1">(TODAY()-H2685)/365</f>
        <v>81.660273972602738</v>
      </c>
      <c r="N2685" s="99">
        <f>(G2685-H2685)/365</f>
        <v>39.213698630136989</v>
      </c>
      <c r="O2685" s="98">
        <f ca="1">(TODAY()-G2685)/365</f>
        <v>42.446575342465756</v>
      </c>
      <c r="P2685" s="91" t="s">
        <v>43</v>
      </c>
      <c r="Q2685" s="91">
        <v>0</v>
      </c>
      <c r="R2685" s="91">
        <v>0</v>
      </c>
      <c r="S2685" s="91">
        <v>0</v>
      </c>
      <c r="T2685" s="91"/>
      <c r="U2685" s="91"/>
      <c r="V2685" s="91"/>
      <c r="W2685" s="91"/>
      <c r="X2685" s="91"/>
      <c r="Y2685" s="91"/>
      <c r="Z2685" s="91"/>
      <c r="AA2685" s="91"/>
      <c r="AB2685" s="91"/>
      <c r="AC2685" s="91"/>
      <c r="AD2685" s="91"/>
      <c r="AE2685" s="91"/>
      <c r="AF2685" s="91"/>
      <c r="AG2685" s="91"/>
      <c r="AH2685" s="91"/>
      <c r="AI2685" s="91"/>
      <c r="AJ2685" s="91"/>
      <c r="AK2685" s="91"/>
      <c r="AL2685" s="91"/>
      <c r="AM2685" s="91"/>
    </row>
    <row r="2686" spans="1:39" ht="20.25" hidden="1" customHeight="1">
      <c r="A2686" s="91"/>
      <c r="B2686" s="93" t="s">
        <v>8369</v>
      </c>
      <c r="C2686" s="91" t="s">
        <v>36</v>
      </c>
      <c r="D2686" s="107" t="s">
        <v>716</v>
      </c>
      <c r="E2686" s="107" t="s">
        <v>8397</v>
      </c>
      <c r="F2686" s="95" t="s">
        <v>8398</v>
      </c>
      <c r="G2686" s="96">
        <v>38467</v>
      </c>
      <c r="H2686" s="97">
        <v>22745</v>
      </c>
      <c r="I2686" s="100" t="s">
        <v>58</v>
      </c>
      <c r="J2686" s="100" t="s">
        <v>58</v>
      </c>
      <c r="K2686" s="95">
        <v>996210867</v>
      </c>
      <c r="L2686" s="91" t="s">
        <v>197</v>
      </c>
      <c r="M2686" s="98">
        <f ca="1">(TODAY()-H2686)/365</f>
        <v>63.717808219178082</v>
      </c>
      <c r="N2686" s="99">
        <f>(G2686-H2686)/365</f>
        <v>43.073972602739723</v>
      </c>
      <c r="O2686" s="98">
        <f ca="1">(TODAY()-G2686)/365</f>
        <v>20.643835616438356</v>
      </c>
      <c r="P2686" s="91" t="s">
        <v>43</v>
      </c>
      <c r="Q2686" s="91">
        <v>0</v>
      </c>
      <c r="R2686" s="91">
        <v>0</v>
      </c>
      <c r="S2686" s="91">
        <v>0</v>
      </c>
      <c r="T2686" s="91"/>
      <c r="U2686" s="91"/>
      <c r="V2686" s="91"/>
      <c r="W2686" s="91"/>
      <c r="X2686" s="91"/>
      <c r="Y2686" s="91"/>
      <c r="Z2686" s="91"/>
      <c r="AA2686" s="91"/>
      <c r="AB2686" s="91"/>
      <c r="AC2686" s="91"/>
      <c r="AD2686" s="91"/>
      <c r="AE2686" s="91"/>
      <c r="AF2686" s="91"/>
      <c r="AG2686" s="91"/>
      <c r="AH2686" s="91"/>
      <c r="AI2686" s="91"/>
      <c r="AJ2686" s="91"/>
      <c r="AK2686" s="91"/>
      <c r="AL2686" s="91"/>
      <c r="AM2686" s="91"/>
    </row>
    <row r="2687" spans="1:39" ht="20.25" hidden="1" customHeight="1">
      <c r="A2687" s="91"/>
      <c r="B2687" s="93" t="s">
        <v>8369</v>
      </c>
      <c r="C2687" s="91" t="s">
        <v>36</v>
      </c>
      <c r="D2687" s="107" t="s">
        <v>4628</v>
      </c>
      <c r="E2687" s="107" t="s">
        <v>8399</v>
      </c>
      <c r="F2687" s="95" t="s">
        <v>8400</v>
      </c>
      <c r="G2687" s="96">
        <v>34052</v>
      </c>
      <c r="H2687" s="97">
        <v>17765</v>
      </c>
      <c r="I2687" s="100" t="s">
        <v>58</v>
      </c>
      <c r="J2687" s="100" t="s">
        <v>58</v>
      </c>
      <c r="K2687" s="95">
        <v>992400633</v>
      </c>
      <c r="L2687" s="91" t="s">
        <v>42</v>
      </c>
      <c r="M2687" s="98">
        <f ca="1">(TODAY()-H2687)/365</f>
        <v>77.361643835616434</v>
      </c>
      <c r="N2687" s="99">
        <f>(G2687-H2687)/365</f>
        <v>44.62191780821918</v>
      </c>
      <c r="O2687" s="98">
        <f ca="1">(TODAY()-G2687)/365</f>
        <v>32.739726027397261</v>
      </c>
      <c r="P2687" s="91" t="s">
        <v>43</v>
      </c>
      <c r="Q2687" s="91">
        <v>0</v>
      </c>
      <c r="R2687" s="91">
        <v>0</v>
      </c>
      <c r="S2687" s="91">
        <v>1</v>
      </c>
      <c r="T2687" s="91"/>
      <c r="U2687" s="91"/>
      <c r="V2687" s="91"/>
      <c r="W2687" s="91"/>
      <c r="X2687" s="91"/>
      <c r="Y2687" s="91"/>
      <c r="Z2687" s="91"/>
      <c r="AA2687" s="91"/>
      <c r="AB2687" s="91"/>
      <c r="AC2687" s="91"/>
      <c r="AD2687" s="91"/>
      <c r="AE2687" s="91"/>
      <c r="AF2687" s="91"/>
      <c r="AG2687" s="91"/>
      <c r="AH2687" s="91"/>
      <c r="AI2687" s="91"/>
      <c r="AJ2687" s="91"/>
      <c r="AK2687" s="91"/>
      <c r="AL2687" s="91"/>
      <c r="AM2687" s="91"/>
    </row>
    <row r="2688" spans="1:39" ht="20.25" hidden="1" customHeight="1">
      <c r="A2688" s="91"/>
      <c r="B2688" s="93" t="s">
        <v>8369</v>
      </c>
      <c r="C2688" s="91" t="s">
        <v>36</v>
      </c>
      <c r="D2688" s="107" t="s">
        <v>277</v>
      </c>
      <c r="E2688" s="107" t="s">
        <v>8401</v>
      </c>
      <c r="F2688" s="95" t="s">
        <v>8402</v>
      </c>
      <c r="G2688" s="96">
        <v>42956</v>
      </c>
      <c r="H2688" s="97">
        <v>26602</v>
      </c>
      <c r="I2688" s="100" t="s">
        <v>58</v>
      </c>
      <c r="J2688" s="100" t="s">
        <v>58</v>
      </c>
      <c r="K2688" s="95">
        <v>954001006</v>
      </c>
      <c r="L2688" s="91" t="s">
        <v>167</v>
      </c>
      <c r="M2688" s="98">
        <f ca="1">(TODAY()-H2688)/365</f>
        <v>53.150684931506852</v>
      </c>
      <c r="N2688" s="99">
        <f>(G2688-H2688)/365</f>
        <v>44.805479452054797</v>
      </c>
      <c r="O2688" s="98">
        <f ca="1">(TODAY()-G2688)/365</f>
        <v>8.3452054794520549</v>
      </c>
      <c r="P2688" s="91" t="s">
        <v>272</v>
      </c>
      <c r="Q2688" s="91">
        <v>0</v>
      </c>
      <c r="R2688" s="91">
        <v>0</v>
      </c>
      <c r="S2688" s="91">
        <v>0</v>
      </c>
      <c r="T2688" s="91"/>
      <c r="U2688" s="91"/>
      <c r="V2688" s="91"/>
      <c r="W2688" s="91"/>
      <c r="X2688" s="91"/>
      <c r="Y2688" s="91"/>
      <c r="Z2688" s="91"/>
      <c r="AA2688" s="91"/>
      <c r="AB2688" s="91"/>
      <c r="AC2688" s="91"/>
      <c r="AD2688" s="91"/>
      <c r="AE2688" s="91"/>
      <c r="AF2688" s="91" t="s">
        <v>8374</v>
      </c>
      <c r="AG2688" s="91"/>
      <c r="AH2688" s="91"/>
      <c r="AI2688" s="91"/>
      <c r="AJ2688" s="91"/>
      <c r="AK2688" s="91"/>
      <c r="AL2688" s="91"/>
      <c r="AM2688" s="91"/>
    </row>
    <row r="2689" spans="1:39" ht="20.25" customHeight="1">
      <c r="A2689" s="91"/>
      <c r="B2689" s="93" t="s">
        <v>3319</v>
      </c>
      <c r="C2689" s="91" t="s">
        <v>73</v>
      </c>
      <c r="D2689" s="94" t="s">
        <v>3370</v>
      </c>
      <c r="E2689" s="94" t="s">
        <v>3371</v>
      </c>
      <c r="F2689" s="95" t="s">
        <v>3372</v>
      </c>
      <c r="G2689" s="96">
        <v>45383</v>
      </c>
      <c r="H2689" s="97">
        <v>19685</v>
      </c>
      <c r="I2689" s="94" t="s">
        <v>3373</v>
      </c>
      <c r="J2689" s="100" t="s">
        <v>58</v>
      </c>
      <c r="K2689" s="91" t="s">
        <v>58</v>
      </c>
      <c r="L2689" s="91" t="s">
        <v>60</v>
      </c>
      <c r="M2689" s="98">
        <f ca="1">(TODAY()-H2689)/365</f>
        <v>72.101369863013701</v>
      </c>
      <c r="N2689" s="99">
        <f>(G2689-H2689)/365</f>
        <v>70.405479452054792</v>
      </c>
      <c r="O2689" s="98">
        <f ca="1">(TODAY()-G2689)/365</f>
        <v>1.6958904109589041</v>
      </c>
      <c r="P2689" s="91" t="s">
        <v>43</v>
      </c>
      <c r="Q2689" s="91">
        <v>0</v>
      </c>
      <c r="R2689" s="91">
        <v>0</v>
      </c>
      <c r="S2689" s="91">
        <v>0</v>
      </c>
      <c r="T2689" s="91"/>
      <c r="U2689" s="91"/>
      <c r="V2689" s="91"/>
      <c r="W2689" s="91"/>
      <c r="X2689" s="91"/>
      <c r="Y2689" s="91"/>
      <c r="Z2689" s="91"/>
      <c r="AA2689" s="91"/>
      <c r="AB2689" s="91"/>
      <c r="AC2689" s="91"/>
      <c r="AD2689" s="91"/>
      <c r="AE2689" s="91"/>
      <c r="AF2689" s="91"/>
      <c r="AG2689" s="91"/>
      <c r="AH2689" s="91"/>
      <c r="AI2689" s="91"/>
      <c r="AJ2689" s="91"/>
      <c r="AK2689" s="91"/>
      <c r="AL2689" s="91"/>
      <c r="AM2689" s="91"/>
    </row>
    <row r="2690" spans="1:39" ht="20.25" hidden="1" customHeight="1">
      <c r="A2690" s="91"/>
      <c r="B2690" s="93" t="s">
        <v>8406</v>
      </c>
      <c r="C2690" s="91" t="s">
        <v>36</v>
      </c>
      <c r="D2690" s="94" t="s">
        <v>1488</v>
      </c>
      <c r="E2690" s="94" t="s">
        <v>8407</v>
      </c>
      <c r="F2690" s="95" t="s">
        <v>8408</v>
      </c>
      <c r="G2690" s="96">
        <v>43847</v>
      </c>
      <c r="H2690" s="97">
        <v>39244</v>
      </c>
      <c r="I2690" s="94" t="s">
        <v>8409</v>
      </c>
      <c r="J2690" s="94" t="s">
        <v>8410</v>
      </c>
      <c r="K2690" s="95">
        <v>957662446</v>
      </c>
      <c r="L2690" s="91" t="s">
        <v>121</v>
      </c>
      <c r="M2690" s="98">
        <f ca="1">(TODAY()-H2690)/365</f>
        <v>18.515068493150686</v>
      </c>
      <c r="N2690" s="99">
        <f>(G2690-H2690)/365</f>
        <v>12.610958904109589</v>
      </c>
      <c r="O2690" s="98">
        <f ca="1">(TODAY()-G2690)/365</f>
        <v>5.904109589041096</v>
      </c>
      <c r="P2690" s="91" t="s">
        <v>272</v>
      </c>
      <c r="Q2690" s="91">
        <v>0</v>
      </c>
      <c r="R2690" s="91">
        <v>0</v>
      </c>
      <c r="S2690" s="91">
        <v>0</v>
      </c>
      <c r="T2690" s="91"/>
      <c r="U2690" s="91"/>
      <c r="V2690" s="91"/>
      <c r="W2690" s="91"/>
      <c r="X2690" s="91"/>
      <c r="Y2690" s="91"/>
      <c r="Z2690" s="91"/>
      <c r="AA2690" s="91"/>
      <c r="AB2690" s="91"/>
      <c r="AC2690" s="91"/>
      <c r="AD2690" s="91"/>
      <c r="AE2690" s="91"/>
      <c r="AF2690" s="91"/>
      <c r="AG2690" s="91"/>
      <c r="AH2690" s="91"/>
      <c r="AI2690" s="91"/>
      <c r="AJ2690" s="91"/>
      <c r="AK2690" s="91"/>
      <c r="AL2690" s="91"/>
      <c r="AM2690" s="91"/>
    </row>
    <row r="2691" spans="1:39" ht="20.25" hidden="1" customHeight="1">
      <c r="A2691" s="91"/>
      <c r="B2691" s="93" t="s">
        <v>8406</v>
      </c>
      <c r="C2691" s="91" t="s">
        <v>36</v>
      </c>
      <c r="D2691" s="94" t="s">
        <v>8411</v>
      </c>
      <c r="E2691" s="94" t="s">
        <v>8412</v>
      </c>
      <c r="F2691" s="91" t="s">
        <v>58</v>
      </c>
      <c r="G2691" s="96" t="s">
        <v>58</v>
      </c>
      <c r="H2691" s="96" t="s">
        <v>58</v>
      </c>
      <c r="I2691" s="94" t="s">
        <v>8413</v>
      </c>
      <c r="J2691" s="94" t="s">
        <v>58</v>
      </c>
      <c r="K2691" s="95" t="s">
        <v>58</v>
      </c>
      <c r="L2691" s="91" t="s">
        <v>66</v>
      </c>
      <c r="M2691" s="98">
        <v>0</v>
      </c>
      <c r="N2691" s="95"/>
      <c r="O2691" s="98" t="e">
        <f ca="1">(TODAY()-G2691)/365</f>
        <v>#VALUE!</v>
      </c>
      <c r="P2691" s="91" t="s">
        <v>43</v>
      </c>
      <c r="Q2691" s="91">
        <v>0</v>
      </c>
      <c r="R2691" s="91">
        <v>0</v>
      </c>
      <c r="S2691" s="91">
        <v>0</v>
      </c>
      <c r="T2691" s="91"/>
      <c r="U2691" s="91"/>
      <c r="V2691" s="91"/>
      <c r="W2691" s="91"/>
      <c r="X2691" s="91"/>
      <c r="Y2691" s="91"/>
      <c r="Z2691" s="91"/>
      <c r="AA2691" s="91"/>
      <c r="AB2691" s="91"/>
      <c r="AC2691" s="91"/>
      <c r="AD2691" s="91"/>
      <c r="AE2691" s="91"/>
      <c r="AF2691" s="91"/>
      <c r="AG2691" s="91"/>
      <c r="AH2691" s="91"/>
      <c r="AI2691" s="91"/>
      <c r="AJ2691" s="91"/>
      <c r="AK2691" s="91"/>
      <c r="AL2691" s="91"/>
      <c r="AM2691" s="91"/>
    </row>
    <row r="2692" spans="1:39" ht="20.25" hidden="1" customHeight="1">
      <c r="A2692" s="91"/>
      <c r="B2692" s="93" t="s">
        <v>8406</v>
      </c>
      <c r="C2692" s="91" t="s">
        <v>36</v>
      </c>
      <c r="D2692" s="94" t="s">
        <v>8414</v>
      </c>
      <c r="E2692" s="94" t="s">
        <v>8415</v>
      </c>
      <c r="F2692" s="95" t="s">
        <v>8416</v>
      </c>
      <c r="G2692" s="96" t="s">
        <v>58</v>
      </c>
      <c r="H2692" s="96" t="s">
        <v>58</v>
      </c>
      <c r="I2692" s="94" t="s">
        <v>58</v>
      </c>
      <c r="J2692" s="94" t="s">
        <v>58</v>
      </c>
      <c r="K2692" s="95" t="s">
        <v>58</v>
      </c>
      <c r="L2692" s="91" t="s">
        <v>197</v>
      </c>
      <c r="M2692" s="98">
        <v>0</v>
      </c>
      <c r="N2692" s="95"/>
      <c r="O2692" s="98" t="e">
        <f ca="1">(TODAY()-G2692)/365</f>
        <v>#VALUE!</v>
      </c>
      <c r="P2692" s="91" t="s">
        <v>272</v>
      </c>
      <c r="Q2692" s="91">
        <v>1</v>
      </c>
      <c r="R2692" s="91">
        <v>0</v>
      </c>
      <c r="S2692" s="91">
        <v>0</v>
      </c>
      <c r="T2692" s="91"/>
      <c r="U2692" s="91"/>
      <c r="V2692" s="91"/>
      <c r="W2692" s="91"/>
      <c r="X2692" s="91"/>
      <c r="Y2692" s="91"/>
      <c r="Z2692" s="91"/>
      <c r="AA2692" s="91"/>
      <c r="AB2692" s="91"/>
      <c r="AC2692" s="91"/>
      <c r="AD2692" s="91"/>
      <c r="AE2692" s="91"/>
      <c r="AF2692" s="91"/>
      <c r="AG2692" s="91"/>
      <c r="AH2692" s="91"/>
      <c r="AI2692" s="91"/>
      <c r="AJ2692" s="91"/>
      <c r="AK2692" s="91"/>
      <c r="AL2692" s="91"/>
      <c r="AM2692" s="91"/>
    </row>
    <row r="2693" spans="1:39" ht="20.25" hidden="1" customHeight="1">
      <c r="A2693" s="91"/>
      <c r="B2693" s="93" t="s">
        <v>8406</v>
      </c>
      <c r="C2693" s="91" t="s">
        <v>36</v>
      </c>
      <c r="D2693" s="94" t="s">
        <v>5802</v>
      </c>
      <c r="E2693" s="94" t="s">
        <v>8417</v>
      </c>
      <c r="F2693" s="95" t="s">
        <v>8418</v>
      </c>
      <c r="G2693" s="96">
        <v>43929</v>
      </c>
      <c r="H2693" s="97">
        <v>25639</v>
      </c>
      <c r="I2693" s="94" t="s">
        <v>58</v>
      </c>
      <c r="J2693" s="94" t="s">
        <v>8419</v>
      </c>
      <c r="K2693" s="95">
        <v>950367192</v>
      </c>
      <c r="L2693" s="91" t="s">
        <v>167</v>
      </c>
      <c r="M2693" s="98">
        <f ca="1">(TODAY()-H2693)/365</f>
        <v>55.789041095890411</v>
      </c>
      <c r="N2693" s="99">
        <f>(G2693-H2693)/365</f>
        <v>50.109589041095887</v>
      </c>
      <c r="O2693" s="98">
        <f ca="1">(TODAY()-G2693)/365</f>
        <v>5.6794520547945204</v>
      </c>
      <c r="P2693" s="91" t="s">
        <v>272</v>
      </c>
      <c r="Q2693" s="91">
        <v>0</v>
      </c>
      <c r="R2693" s="91">
        <v>0</v>
      </c>
      <c r="S2693" s="91">
        <v>0</v>
      </c>
      <c r="T2693" s="91"/>
      <c r="U2693" s="91"/>
      <c r="V2693" s="91"/>
      <c r="W2693" s="91"/>
      <c r="X2693" s="91"/>
      <c r="Y2693" s="91"/>
      <c r="Z2693" s="91"/>
      <c r="AA2693" s="91"/>
      <c r="AB2693" s="91"/>
      <c r="AC2693" s="91"/>
      <c r="AD2693" s="91"/>
      <c r="AE2693" s="91"/>
      <c r="AF2693" s="91"/>
      <c r="AG2693" s="91"/>
      <c r="AH2693" s="91"/>
      <c r="AI2693" s="91"/>
      <c r="AJ2693" s="91"/>
      <c r="AK2693" s="91"/>
      <c r="AL2693" s="91"/>
      <c r="AM2693" s="91"/>
    </row>
    <row r="2694" spans="1:39" ht="20.25" customHeight="1">
      <c r="A2694" s="91"/>
      <c r="B2694" s="93" t="s">
        <v>77</v>
      </c>
      <c r="C2694" s="91" t="s">
        <v>73</v>
      </c>
      <c r="D2694" s="94" t="s">
        <v>126</v>
      </c>
      <c r="E2694" s="94" t="s">
        <v>127</v>
      </c>
      <c r="F2694" s="95" t="s">
        <v>128</v>
      </c>
      <c r="G2694" s="96">
        <v>45610</v>
      </c>
      <c r="H2694" s="97">
        <v>33932</v>
      </c>
      <c r="I2694" s="94" t="s">
        <v>129</v>
      </c>
      <c r="J2694" s="100" t="s">
        <v>58</v>
      </c>
      <c r="K2694" s="91" t="s">
        <v>58</v>
      </c>
      <c r="L2694" s="91" t="s">
        <v>60</v>
      </c>
      <c r="M2694" s="98">
        <f ca="1">(TODAY()-H2694)/365</f>
        <v>33.06849315068493</v>
      </c>
      <c r="N2694" s="99">
        <f>(G2694-H2694)/365</f>
        <v>31.994520547945207</v>
      </c>
      <c r="O2694" s="98">
        <f ca="1">(TODAY()-G2694)/365</f>
        <v>1.0739726027397261</v>
      </c>
      <c r="P2694" s="91" t="s">
        <v>43</v>
      </c>
      <c r="Q2694" s="91">
        <v>0</v>
      </c>
      <c r="R2694" s="91">
        <v>0</v>
      </c>
      <c r="S2694" s="91">
        <v>0</v>
      </c>
      <c r="T2694" s="91"/>
      <c r="U2694" s="91"/>
      <c r="V2694" s="91"/>
      <c r="W2694" s="91"/>
      <c r="X2694" s="91"/>
      <c r="Y2694" s="91"/>
      <c r="Z2694" s="91"/>
      <c r="AA2694" s="91"/>
      <c r="AB2694" s="91"/>
      <c r="AC2694" s="91"/>
      <c r="AD2694" s="91"/>
      <c r="AE2694" s="91"/>
      <c r="AF2694" s="91"/>
      <c r="AG2694" s="91"/>
      <c r="AH2694" s="91"/>
      <c r="AI2694" s="91"/>
      <c r="AJ2694" s="91"/>
      <c r="AK2694" s="91"/>
      <c r="AL2694" s="91"/>
      <c r="AM2694" s="91"/>
    </row>
    <row r="2695" spans="1:39" ht="20.25" hidden="1" customHeight="1">
      <c r="A2695" s="91"/>
      <c r="B2695" s="93" t="s">
        <v>8406</v>
      </c>
      <c r="C2695" s="91" t="s">
        <v>36</v>
      </c>
      <c r="D2695" s="94" t="s">
        <v>8423</v>
      </c>
      <c r="E2695" s="94" t="s">
        <v>8424</v>
      </c>
      <c r="F2695" s="95" t="s">
        <v>8425</v>
      </c>
      <c r="G2695" s="96">
        <v>44584</v>
      </c>
      <c r="H2695" s="97">
        <v>22274</v>
      </c>
      <c r="I2695" s="94" t="s">
        <v>58</v>
      </c>
      <c r="J2695" s="94" t="s">
        <v>8426</v>
      </c>
      <c r="K2695" s="95">
        <v>995423128</v>
      </c>
      <c r="L2695" s="91" t="s">
        <v>72</v>
      </c>
      <c r="M2695" s="98">
        <f ca="1">(TODAY()-H2695)/365</f>
        <v>65.008219178082186</v>
      </c>
      <c r="N2695" s="99">
        <f>(G2695-H2695)/365</f>
        <v>61.123287671232873</v>
      </c>
      <c r="O2695" s="98">
        <f ca="1">(TODAY()-G2695)/365</f>
        <v>3.8849315068493149</v>
      </c>
      <c r="P2695" s="91" t="s">
        <v>272</v>
      </c>
      <c r="Q2695" s="91">
        <v>1</v>
      </c>
      <c r="R2695" s="91">
        <v>0</v>
      </c>
      <c r="S2695" s="91">
        <v>0</v>
      </c>
      <c r="T2695" s="91"/>
      <c r="U2695" s="91"/>
      <c r="V2695" s="91"/>
      <c r="W2695" s="91"/>
      <c r="X2695" s="91"/>
      <c r="Y2695" s="91"/>
      <c r="Z2695" s="91"/>
      <c r="AA2695" s="91"/>
      <c r="AB2695" s="91"/>
      <c r="AC2695" s="91"/>
      <c r="AD2695" s="91"/>
      <c r="AE2695" s="91"/>
      <c r="AF2695" s="91"/>
      <c r="AG2695" s="91"/>
      <c r="AH2695" s="91"/>
      <c r="AI2695" s="91"/>
      <c r="AJ2695" s="91"/>
      <c r="AK2695" s="91"/>
      <c r="AL2695" s="91"/>
      <c r="AM2695" s="91"/>
    </row>
    <row r="2696" spans="1:39" ht="20.25" hidden="1" customHeight="1">
      <c r="A2696" s="91"/>
      <c r="B2696" s="93" t="s">
        <v>8406</v>
      </c>
      <c r="C2696" s="91" t="s">
        <v>36</v>
      </c>
      <c r="D2696" s="94" t="s">
        <v>8427</v>
      </c>
      <c r="E2696" s="94" t="s">
        <v>8428</v>
      </c>
      <c r="F2696" s="95" t="s">
        <v>8429</v>
      </c>
      <c r="G2696" s="96">
        <v>40644</v>
      </c>
      <c r="H2696" s="97">
        <v>16848</v>
      </c>
      <c r="I2696" s="94" t="s">
        <v>58</v>
      </c>
      <c r="J2696" s="94" t="s">
        <v>8430</v>
      </c>
      <c r="K2696" s="95">
        <v>998260343</v>
      </c>
      <c r="L2696" s="91" t="s">
        <v>54</v>
      </c>
      <c r="M2696" s="98">
        <f ca="1">(TODAY()-H2696)/365</f>
        <v>79.873972602739727</v>
      </c>
      <c r="N2696" s="99">
        <f>(G2696-H2696)/365</f>
        <v>65.194520547945203</v>
      </c>
      <c r="O2696" s="98">
        <f ca="1">(TODAY()-G2696)/365</f>
        <v>14.67945205479452</v>
      </c>
      <c r="P2696" s="91" t="s">
        <v>43</v>
      </c>
      <c r="Q2696" s="91">
        <v>0</v>
      </c>
      <c r="R2696" s="91">
        <v>0</v>
      </c>
      <c r="S2696" s="91">
        <v>0</v>
      </c>
      <c r="T2696" s="91"/>
      <c r="U2696" s="91"/>
      <c r="V2696" s="91"/>
      <c r="W2696" s="91"/>
      <c r="X2696" s="91"/>
      <c r="Y2696" s="91"/>
      <c r="Z2696" s="91"/>
      <c r="AA2696" s="91"/>
      <c r="AB2696" s="91"/>
      <c r="AC2696" s="91"/>
      <c r="AD2696" s="91"/>
      <c r="AE2696" s="91"/>
      <c r="AF2696" s="91"/>
      <c r="AG2696" s="91"/>
      <c r="AH2696" s="91"/>
      <c r="AI2696" s="91"/>
      <c r="AJ2696" s="91"/>
      <c r="AK2696" s="91"/>
      <c r="AL2696" s="91"/>
      <c r="AM2696" s="91"/>
    </row>
    <row r="2697" spans="1:39" ht="20.25" hidden="1" customHeight="1">
      <c r="A2697" s="91"/>
      <c r="B2697" s="93" t="s">
        <v>8406</v>
      </c>
      <c r="C2697" s="91" t="s">
        <v>36</v>
      </c>
      <c r="D2697" s="94" t="s">
        <v>8431</v>
      </c>
      <c r="E2697" s="94" t="s">
        <v>8432</v>
      </c>
      <c r="F2697" s="95" t="s">
        <v>8433</v>
      </c>
      <c r="G2697" s="96">
        <v>43983</v>
      </c>
      <c r="H2697" s="97">
        <v>18909</v>
      </c>
      <c r="I2697" s="94" t="s">
        <v>8422</v>
      </c>
      <c r="J2697" s="94" t="s">
        <v>8434</v>
      </c>
      <c r="K2697" s="95">
        <v>998328323</v>
      </c>
      <c r="L2697" s="91" t="s">
        <v>42</v>
      </c>
      <c r="M2697" s="98">
        <f ca="1">(TODAY()-H2697)/365</f>
        <v>74.227397260273975</v>
      </c>
      <c r="N2697" s="99">
        <f>(G2697-H2697)/365</f>
        <v>68.69589041095891</v>
      </c>
      <c r="O2697" s="98">
        <f ca="1">(TODAY()-G2697)/365</f>
        <v>5.5315068493150683</v>
      </c>
      <c r="P2697" s="91" t="s">
        <v>43</v>
      </c>
      <c r="Q2697" s="91">
        <v>1</v>
      </c>
      <c r="R2697" s="91">
        <v>0</v>
      </c>
      <c r="S2697" s="91">
        <v>1</v>
      </c>
      <c r="T2697" s="91">
        <v>2024</v>
      </c>
      <c r="U2697" s="91"/>
      <c r="V2697" s="91">
        <v>2011</v>
      </c>
      <c r="W2697" s="91"/>
      <c r="X2697" s="91"/>
      <c r="Y2697" s="91">
        <v>2017</v>
      </c>
      <c r="Z2697" s="91"/>
      <c r="AA2697" s="91"/>
      <c r="AB2697" s="91"/>
      <c r="AC2697" s="91"/>
      <c r="AD2697" s="91"/>
      <c r="AE2697" s="91"/>
      <c r="AF2697" s="91"/>
      <c r="AG2697" s="91"/>
      <c r="AH2697" s="91"/>
      <c r="AI2697" s="91"/>
      <c r="AJ2697" s="91"/>
      <c r="AK2697" s="91"/>
      <c r="AL2697" s="91"/>
      <c r="AM2697" s="91"/>
    </row>
    <row r="2698" spans="1:39" ht="20.25" hidden="1" customHeight="1">
      <c r="A2698" s="91"/>
      <c r="B2698" s="93" t="s">
        <v>8406</v>
      </c>
      <c r="C2698" s="91" t="s">
        <v>36</v>
      </c>
      <c r="D2698" s="94" t="s">
        <v>5663</v>
      </c>
      <c r="E2698" s="94" t="s">
        <v>8435</v>
      </c>
      <c r="F2698" s="95" t="s">
        <v>8436</v>
      </c>
      <c r="G2698" s="96">
        <v>45661</v>
      </c>
      <c r="H2698" s="97">
        <v>18305</v>
      </c>
      <c r="I2698" s="94" t="s">
        <v>8437</v>
      </c>
      <c r="J2698" s="94" t="s">
        <v>8438</v>
      </c>
      <c r="K2698" s="95">
        <v>996220435</v>
      </c>
      <c r="L2698" s="91" t="s">
        <v>49</v>
      </c>
      <c r="M2698" s="98">
        <f ca="1">(TODAY()-H2698)/365</f>
        <v>75.882191780821913</v>
      </c>
      <c r="N2698" s="99">
        <f>(G2698-H2698)/365</f>
        <v>74.947945205479456</v>
      </c>
      <c r="O2698" s="98">
        <f ca="1">(TODAY()-G2698)/365</f>
        <v>0.9342465753424658</v>
      </c>
      <c r="P2698" s="91" t="s">
        <v>43</v>
      </c>
      <c r="Q2698" s="91">
        <v>0</v>
      </c>
      <c r="R2698" s="91">
        <v>0</v>
      </c>
      <c r="S2698" s="91">
        <v>0</v>
      </c>
      <c r="T2698" s="91"/>
      <c r="U2698" s="91"/>
      <c r="V2698" s="91"/>
      <c r="W2698" s="91"/>
      <c r="X2698" s="91"/>
      <c r="Y2698" s="91"/>
      <c r="Z2698" s="91"/>
      <c r="AA2698" s="91"/>
      <c r="AB2698" s="91"/>
      <c r="AC2698" s="91"/>
      <c r="AD2698" s="91"/>
      <c r="AE2698" s="91"/>
      <c r="AF2698" s="91"/>
      <c r="AG2698" s="91"/>
      <c r="AH2698" s="91"/>
      <c r="AI2698" s="91"/>
      <c r="AJ2698" s="91"/>
      <c r="AK2698" s="91"/>
      <c r="AL2698" s="91"/>
      <c r="AM2698" s="91"/>
    </row>
    <row r="2699" spans="1:39" ht="20.25" customHeight="1">
      <c r="A2699" s="91"/>
      <c r="B2699" s="93" t="s">
        <v>9659</v>
      </c>
      <c r="C2699" s="91" t="s">
        <v>73</v>
      </c>
      <c r="D2699" s="107" t="s">
        <v>9758</v>
      </c>
      <c r="E2699" s="107" t="s">
        <v>9759</v>
      </c>
      <c r="F2699" s="92" t="s">
        <v>9760</v>
      </c>
      <c r="G2699" s="103">
        <v>42286</v>
      </c>
      <c r="H2699" s="103">
        <v>30001</v>
      </c>
      <c r="I2699" s="94" t="s">
        <v>9761</v>
      </c>
      <c r="J2699" s="100" t="s">
        <v>58</v>
      </c>
      <c r="K2699" s="95" t="s">
        <v>58</v>
      </c>
      <c r="L2699" s="91" t="s">
        <v>60</v>
      </c>
      <c r="M2699" s="98">
        <f ca="1">(TODAY()-H2699)/365</f>
        <v>43.838356164383562</v>
      </c>
      <c r="N2699" s="99">
        <f>(G2699-H2699)/365</f>
        <v>33.657534246575345</v>
      </c>
      <c r="O2699" s="98">
        <f ca="1">(TODAY()-G2699)/365</f>
        <v>10.180821917808219</v>
      </c>
      <c r="P2699" s="91" t="s">
        <v>272</v>
      </c>
      <c r="Q2699" s="91">
        <v>0</v>
      </c>
      <c r="R2699" s="91">
        <v>0</v>
      </c>
      <c r="S2699" s="91">
        <v>0</v>
      </c>
      <c r="T2699" s="91"/>
      <c r="U2699" s="91"/>
      <c r="V2699" s="91"/>
      <c r="W2699" s="91"/>
      <c r="X2699" s="91"/>
      <c r="Y2699" s="91">
        <v>1</v>
      </c>
      <c r="Z2699" s="91"/>
      <c r="AA2699" s="91"/>
      <c r="AB2699" s="91"/>
      <c r="AC2699" s="91"/>
      <c r="AD2699" s="91"/>
      <c r="AE2699" s="91"/>
      <c r="AF2699" s="91"/>
      <c r="AG2699" s="91"/>
      <c r="AH2699" s="91"/>
      <c r="AI2699" s="91"/>
      <c r="AJ2699" s="91"/>
      <c r="AK2699" s="91"/>
      <c r="AL2699" s="91"/>
      <c r="AM2699" s="91"/>
    </row>
    <row r="2700" spans="1:39" ht="20.25" hidden="1" customHeight="1">
      <c r="A2700" s="91"/>
      <c r="B2700" s="93" t="s">
        <v>11977</v>
      </c>
      <c r="C2700" s="91" t="s">
        <v>36</v>
      </c>
      <c r="D2700" s="107" t="s">
        <v>8441</v>
      </c>
      <c r="E2700" s="107" t="s">
        <v>3781</v>
      </c>
      <c r="F2700" s="91" t="s">
        <v>8442</v>
      </c>
      <c r="G2700" s="96">
        <v>25301</v>
      </c>
      <c r="H2700" s="97">
        <v>15279</v>
      </c>
      <c r="I2700" s="108" t="s">
        <v>12470</v>
      </c>
      <c r="J2700" s="94" t="s">
        <v>58</v>
      </c>
      <c r="K2700" s="91">
        <f>56985830557</f>
        <v>56985830557</v>
      </c>
      <c r="L2700" s="91" t="s">
        <v>42</v>
      </c>
      <c r="M2700" s="98">
        <f ca="1">(TODAY()-H2700)/365</f>
        <v>84.172602739726031</v>
      </c>
      <c r="N2700" s="99">
        <f>(G2700-H2700)/365</f>
        <v>27.457534246575342</v>
      </c>
      <c r="O2700" s="98">
        <f ca="1">(TODAY()-G2700)/365</f>
        <v>56.715068493150682</v>
      </c>
      <c r="P2700" s="91" t="s">
        <v>43</v>
      </c>
      <c r="Q2700" s="91">
        <v>0</v>
      </c>
      <c r="R2700" s="91">
        <v>0</v>
      </c>
      <c r="S2700" s="91">
        <v>0</v>
      </c>
      <c r="T2700" s="91"/>
      <c r="U2700" s="91"/>
      <c r="V2700" s="91"/>
      <c r="W2700" s="91"/>
      <c r="X2700" s="91"/>
      <c r="Y2700" s="91"/>
      <c r="Z2700" s="91"/>
      <c r="AA2700" s="91"/>
      <c r="AB2700" s="91"/>
      <c r="AC2700" s="91"/>
      <c r="AD2700" s="91"/>
      <c r="AE2700" s="91"/>
      <c r="AF2700" s="91"/>
      <c r="AG2700" s="91"/>
      <c r="AH2700" s="91"/>
      <c r="AI2700" s="91"/>
      <c r="AJ2700" s="91"/>
      <c r="AK2700" s="91"/>
      <c r="AL2700" s="91"/>
      <c r="AM2700" s="91"/>
    </row>
    <row r="2701" spans="1:39" ht="20.25" hidden="1" customHeight="1">
      <c r="A2701" s="91"/>
      <c r="B2701" s="93" t="s">
        <v>11977</v>
      </c>
      <c r="C2701" s="91" t="s">
        <v>36</v>
      </c>
      <c r="D2701" s="107" t="s">
        <v>8443</v>
      </c>
      <c r="E2701" s="107" t="s">
        <v>8444</v>
      </c>
      <c r="F2701" s="91" t="s">
        <v>8445</v>
      </c>
      <c r="G2701" s="96">
        <v>41416</v>
      </c>
      <c r="H2701" s="97">
        <v>23180</v>
      </c>
      <c r="I2701" s="94" t="s">
        <v>58</v>
      </c>
      <c r="J2701" s="94" t="s">
        <v>58</v>
      </c>
      <c r="K2701" s="91">
        <f>56931388762</f>
        <v>56931388762</v>
      </c>
      <c r="L2701" s="91" t="s">
        <v>49</v>
      </c>
      <c r="M2701" s="98">
        <f ca="1">(TODAY()-H2701)/365</f>
        <v>62.526027397260272</v>
      </c>
      <c r="N2701" s="99">
        <f>(G2701-H2701)/365</f>
        <v>49.961643835616435</v>
      </c>
      <c r="O2701" s="98">
        <f ca="1">(TODAY()-G2701)/365</f>
        <v>12.564383561643835</v>
      </c>
      <c r="P2701" s="91" t="s">
        <v>43</v>
      </c>
      <c r="Q2701" s="91">
        <v>1</v>
      </c>
      <c r="R2701" s="91">
        <v>1</v>
      </c>
      <c r="S2701" s="91">
        <v>0</v>
      </c>
      <c r="T2701" s="91"/>
      <c r="U2701" s="91"/>
      <c r="V2701" s="91"/>
      <c r="W2701" s="91"/>
      <c r="X2701" s="91"/>
      <c r="Y2701" s="91"/>
      <c r="Z2701" s="91"/>
      <c r="AA2701" s="91"/>
      <c r="AB2701" s="91"/>
      <c r="AC2701" s="91"/>
      <c r="AD2701" s="91"/>
      <c r="AE2701" s="91"/>
      <c r="AF2701" s="91"/>
      <c r="AG2701" s="91"/>
      <c r="AH2701" s="91"/>
      <c r="AI2701" s="91"/>
      <c r="AJ2701" s="91"/>
      <c r="AK2701" s="91"/>
      <c r="AL2701" s="91"/>
      <c r="AM2701" s="91"/>
    </row>
    <row r="2702" spans="1:39" ht="20.25" hidden="1" customHeight="1">
      <c r="A2702" s="91"/>
      <c r="B2702" s="93" t="s">
        <v>11977</v>
      </c>
      <c r="C2702" s="91" t="s">
        <v>36</v>
      </c>
      <c r="D2702" s="107" t="s">
        <v>8446</v>
      </c>
      <c r="E2702" s="107" t="s">
        <v>8447</v>
      </c>
      <c r="F2702" s="91" t="s">
        <v>8448</v>
      </c>
      <c r="G2702" s="96">
        <v>40639</v>
      </c>
      <c r="H2702" s="97">
        <v>21298</v>
      </c>
      <c r="I2702" s="94" t="s">
        <v>58</v>
      </c>
      <c r="J2702" s="94" t="s">
        <v>58</v>
      </c>
      <c r="K2702" s="91">
        <v>652275827</v>
      </c>
      <c r="L2702" s="91" t="s">
        <v>54</v>
      </c>
      <c r="M2702" s="98">
        <f ca="1">(TODAY()-H2702)/365</f>
        <v>67.682191780821924</v>
      </c>
      <c r="N2702" s="99">
        <f>(G2702-H2702)/365</f>
        <v>52.989041095890414</v>
      </c>
      <c r="O2702" s="98">
        <f ca="1">(TODAY()-G2702)/365</f>
        <v>14.693150684931506</v>
      </c>
      <c r="P2702" s="91" t="s">
        <v>43</v>
      </c>
      <c r="Q2702" s="91">
        <v>0</v>
      </c>
      <c r="R2702" s="91">
        <v>0</v>
      </c>
      <c r="S2702" s="91">
        <v>0</v>
      </c>
      <c r="T2702" s="91"/>
      <c r="U2702" s="91"/>
      <c r="V2702" s="91"/>
      <c r="W2702" s="91"/>
      <c r="X2702" s="91"/>
      <c r="Y2702" s="91"/>
      <c r="Z2702" s="91"/>
      <c r="AA2702" s="91"/>
      <c r="AB2702" s="91"/>
      <c r="AC2702" s="91"/>
      <c r="AD2702" s="91"/>
      <c r="AE2702" s="91"/>
      <c r="AF2702" s="91"/>
      <c r="AG2702" s="91"/>
      <c r="AH2702" s="91"/>
      <c r="AI2702" s="91"/>
      <c r="AJ2702" s="91"/>
      <c r="AK2702" s="91"/>
      <c r="AL2702" s="91"/>
      <c r="AM2702" s="91"/>
    </row>
    <row r="2703" spans="1:39" ht="20.25" hidden="1" customHeight="1">
      <c r="A2703" s="91"/>
      <c r="B2703" s="93" t="s">
        <v>11977</v>
      </c>
      <c r="C2703" s="91" t="s">
        <v>36</v>
      </c>
      <c r="D2703" s="107" t="s">
        <v>8449</v>
      </c>
      <c r="E2703" s="107" t="s">
        <v>8450</v>
      </c>
      <c r="F2703" s="91" t="s">
        <v>8451</v>
      </c>
      <c r="G2703" s="96">
        <v>43405</v>
      </c>
      <c r="H2703" s="97">
        <v>22739</v>
      </c>
      <c r="I2703" s="94" t="s">
        <v>58</v>
      </c>
      <c r="J2703" s="94" t="s">
        <v>58</v>
      </c>
      <c r="K2703" s="91">
        <f>56987277258</f>
        <v>56987277258</v>
      </c>
      <c r="L2703" s="91" t="s">
        <v>72</v>
      </c>
      <c r="M2703" s="98">
        <f ca="1">(TODAY()-H2703)/365</f>
        <v>63.734246575342468</v>
      </c>
      <c r="N2703" s="99">
        <f>(G2703-H2703)/365</f>
        <v>56.61917808219178</v>
      </c>
      <c r="O2703" s="98">
        <f ca="1">(TODAY()-G2703)/365</f>
        <v>7.1150684931506847</v>
      </c>
      <c r="P2703" s="91" t="s">
        <v>43</v>
      </c>
      <c r="Q2703" s="91">
        <v>0</v>
      </c>
      <c r="R2703" s="91">
        <v>0</v>
      </c>
      <c r="S2703" s="91">
        <v>0</v>
      </c>
      <c r="T2703" s="91"/>
      <c r="U2703" s="91"/>
      <c r="V2703" s="91"/>
      <c r="W2703" s="91"/>
      <c r="X2703" s="91"/>
      <c r="Y2703" s="91"/>
      <c r="Z2703" s="91"/>
      <c r="AA2703" s="91"/>
      <c r="AB2703" s="91"/>
      <c r="AC2703" s="91"/>
      <c r="AD2703" s="91"/>
      <c r="AE2703" s="91"/>
      <c r="AF2703" s="91"/>
      <c r="AG2703" s="91"/>
      <c r="AH2703" s="91"/>
      <c r="AI2703" s="91"/>
      <c r="AJ2703" s="91"/>
      <c r="AK2703" s="91"/>
      <c r="AL2703" s="91"/>
      <c r="AM2703" s="91"/>
    </row>
    <row r="2704" spans="1:39" ht="20.25" hidden="1" customHeight="1">
      <c r="A2704" s="91"/>
      <c r="B2704" s="93" t="s">
        <v>8452</v>
      </c>
      <c r="C2704" s="91" t="s">
        <v>36</v>
      </c>
      <c r="D2704" s="107" t="s">
        <v>8453</v>
      </c>
      <c r="E2704" s="107" t="s">
        <v>8454</v>
      </c>
      <c r="F2704" s="91" t="s">
        <v>8455</v>
      </c>
      <c r="G2704" s="96">
        <v>44996</v>
      </c>
      <c r="H2704" s="97">
        <v>39751</v>
      </c>
      <c r="I2704" s="100" t="s">
        <v>8456</v>
      </c>
      <c r="J2704" s="100" t="s">
        <v>8457</v>
      </c>
      <c r="K2704" s="91">
        <v>979532598</v>
      </c>
      <c r="L2704" s="91" t="s">
        <v>60</v>
      </c>
      <c r="M2704" s="98">
        <f ca="1">(TODAY()-H2704)/365</f>
        <v>17.126027397260273</v>
      </c>
      <c r="N2704" s="99">
        <f>(G2704-H2704)/365</f>
        <v>14.36986301369863</v>
      </c>
      <c r="O2704" s="98">
        <f ca="1">(TODAY()-G2704)/365</f>
        <v>2.7561643835616438</v>
      </c>
      <c r="P2704" s="91" t="s">
        <v>272</v>
      </c>
      <c r="Q2704" s="91">
        <v>0</v>
      </c>
      <c r="R2704" s="91">
        <v>0</v>
      </c>
      <c r="S2704" s="91">
        <v>0</v>
      </c>
      <c r="T2704" s="91"/>
      <c r="U2704" s="91"/>
      <c r="V2704" s="91"/>
      <c r="W2704" s="91"/>
      <c r="X2704" s="91"/>
      <c r="Y2704" s="91"/>
      <c r="Z2704" s="91"/>
      <c r="AA2704" s="91"/>
      <c r="AB2704" s="91"/>
      <c r="AC2704" s="91"/>
      <c r="AD2704" s="91"/>
      <c r="AE2704" s="91"/>
      <c r="AF2704" s="91"/>
      <c r="AG2704" s="91"/>
      <c r="AH2704" s="91"/>
      <c r="AI2704" s="91"/>
      <c r="AJ2704" s="91"/>
      <c r="AK2704" s="91"/>
      <c r="AL2704" s="91"/>
      <c r="AM2704" s="91"/>
    </row>
    <row r="2705" spans="1:39" ht="20.25" hidden="1" customHeight="1">
      <c r="A2705" s="91"/>
      <c r="B2705" s="93" t="s">
        <v>8452</v>
      </c>
      <c r="C2705" s="91" t="s">
        <v>36</v>
      </c>
      <c r="D2705" s="107" t="s">
        <v>8458</v>
      </c>
      <c r="E2705" s="107" t="s">
        <v>8459</v>
      </c>
      <c r="F2705" s="91" t="s">
        <v>8460</v>
      </c>
      <c r="G2705" s="96">
        <v>24533</v>
      </c>
      <c r="H2705" s="97">
        <v>15864</v>
      </c>
      <c r="I2705" s="100" t="s">
        <v>8461</v>
      </c>
      <c r="J2705" s="94" t="s">
        <v>58</v>
      </c>
      <c r="K2705" s="91">
        <v>981561821</v>
      </c>
      <c r="L2705" s="91" t="s">
        <v>60</v>
      </c>
      <c r="M2705" s="98">
        <f ca="1">(TODAY()-H2705)/365</f>
        <v>82.569863013698637</v>
      </c>
      <c r="N2705" s="99">
        <f>(G2705-H2705)/365</f>
        <v>23.75068493150685</v>
      </c>
      <c r="O2705" s="98">
        <f ca="1">(TODAY()-G2705)/365</f>
        <v>58.819178082191783</v>
      </c>
      <c r="P2705" s="91" t="s">
        <v>43</v>
      </c>
      <c r="Q2705" s="91">
        <v>0</v>
      </c>
      <c r="R2705" s="91">
        <v>0</v>
      </c>
      <c r="S2705" s="91">
        <v>0</v>
      </c>
      <c r="T2705" s="91"/>
      <c r="U2705" s="91"/>
      <c r="V2705" s="91"/>
      <c r="W2705" s="91"/>
      <c r="X2705" s="91"/>
      <c r="Y2705" s="91"/>
      <c r="Z2705" s="91"/>
      <c r="AA2705" s="91"/>
      <c r="AB2705" s="91"/>
      <c r="AC2705" s="91"/>
      <c r="AD2705" s="91"/>
      <c r="AE2705" s="91"/>
      <c r="AF2705" s="91"/>
      <c r="AG2705" s="91"/>
      <c r="AH2705" s="91"/>
      <c r="AI2705" s="91"/>
      <c r="AJ2705" s="91"/>
      <c r="AK2705" s="91"/>
      <c r="AL2705" s="91"/>
      <c r="AM2705" s="91"/>
    </row>
    <row r="2706" spans="1:39" ht="20.25" hidden="1" customHeight="1">
      <c r="A2706" s="91"/>
      <c r="B2706" s="93" t="s">
        <v>8452</v>
      </c>
      <c r="C2706" s="91" t="s">
        <v>36</v>
      </c>
      <c r="D2706" s="107" t="s">
        <v>8462</v>
      </c>
      <c r="E2706" s="107" t="s">
        <v>8463</v>
      </c>
      <c r="F2706" s="91" t="s">
        <v>8464</v>
      </c>
      <c r="G2706" s="96">
        <v>43164</v>
      </c>
      <c r="H2706" s="97">
        <v>32283</v>
      </c>
      <c r="I2706" s="100" t="s">
        <v>8465</v>
      </c>
      <c r="J2706" s="100" t="s">
        <v>8466</v>
      </c>
      <c r="K2706" s="91">
        <v>97779989</v>
      </c>
      <c r="L2706" s="91" t="s">
        <v>60</v>
      </c>
      <c r="M2706" s="98">
        <f ca="1">(TODAY()-H2706)/365</f>
        <v>37.586301369863016</v>
      </c>
      <c r="N2706" s="99">
        <f>(G2706-H2706)/365</f>
        <v>29.81095890410959</v>
      </c>
      <c r="O2706" s="98">
        <f ca="1">(TODAY()-G2706)/365</f>
        <v>7.7753424657534245</v>
      </c>
      <c r="P2706" s="91" t="s">
        <v>272</v>
      </c>
      <c r="Q2706" s="91">
        <v>0</v>
      </c>
      <c r="R2706" s="91">
        <v>1</v>
      </c>
      <c r="S2706" s="91">
        <v>0</v>
      </c>
      <c r="T2706" s="91">
        <v>2004</v>
      </c>
      <c r="U2706" s="91"/>
      <c r="V2706" s="91"/>
      <c r="W2706" s="91"/>
      <c r="X2706" s="91"/>
      <c r="Y2706" s="91"/>
      <c r="Z2706" s="91"/>
      <c r="AA2706" s="91"/>
      <c r="AB2706" s="91"/>
      <c r="AC2706" s="91"/>
      <c r="AD2706" s="91"/>
      <c r="AE2706" s="91"/>
      <c r="AF2706" s="91"/>
      <c r="AG2706" s="91"/>
      <c r="AH2706" s="91"/>
      <c r="AI2706" s="91"/>
      <c r="AJ2706" s="91"/>
      <c r="AK2706" s="91"/>
      <c r="AL2706" s="91"/>
      <c r="AM2706" s="91"/>
    </row>
    <row r="2707" spans="1:39" ht="20.25" hidden="1" customHeight="1">
      <c r="A2707" s="91"/>
      <c r="B2707" s="93" t="s">
        <v>8452</v>
      </c>
      <c r="C2707" s="91" t="s">
        <v>36</v>
      </c>
      <c r="D2707" s="107" t="s">
        <v>8467</v>
      </c>
      <c r="E2707" s="107" t="s">
        <v>8468</v>
      </c>
      <c r="F2707" s="91" t="s">
        <v>8469</v>
      </c>
      <c r="G2707" s="96">
        <v>43796</v>
      </c>
      <c r="H2707" s="97">
        <v>30077</v>
      </c>
      <c r="I2707" s="100" t="s">
        <v>8470</v>
      </c>
      <c r="J2707" s="100" t="s">
        <v>8471</v>
      </c>
      <c r="K2707" s="91">
        <v>978811891</v>
      </c>
      <c r="L2707" s="91" t="s">
        <v>60</v>
      </c>
      <c r="M2707" s="98">
        <f ca="1">(TODAY()-H2707)/365</f>
        <v>43.630136986301373</v>
      </c>
      <c r="N2707" s="99">
        <f>(G2707-H2707)/365</f>
        <v>37.586301369863016</v>
      </c>
      <c r="O2707" s="98">
        <f ca="1">(TODAY()-G2707)/365</f>
        <v>6.043835616438356</v>
      </c>
      <c r="P2707" s="91" t="s">
        <v>43</v>
      </c>
      <c r="Q2707" s="91">
        <v>0</v>
      </c>
      <c r="R2707" s="91">
        <v>0</v>
      </c>
      <c r="S2707" s="91">
        <v>0</v>
      </c>
      <c r="T2707" s="91"/>
      <c r="U2707" s="91"/>
      <c r="V2707" s="91"/>
      <c r="W2707" s="91"/>
      <c r="X2707" s="91"/>
      <c r="Y2707" s="91"/>
      <c r="Z2707" s="91"/>
      <c r="AA2707" s="91"/>
      <c r="AB2707" s="91"/>
      <c r="AC2707" s="91"/>
      <c r="AD2707" s="91"/>
      <c r="AE2707" s="91"/>
      <c r="AF2707" s="91"/>
      <c r="AG2707" s="91"/>
      <c r="AH2707" s="91"/>
      <c r="AI2707" s="91"/>
      <c r="AJ2707" s="91"/>
      <c r="AK2707" s="91"/>
      <c r="AL2707" s="91"/>
      <c r="AM2707" s="91"/>
    </row>
    <row r="2708" spans="1:39" ht="20.25" hidden="1" customHeight="1">
      <c r="A2708" s="91"/>
      <c r="B2708" s="93" t="s">
        <v>8452</v>
      </c>
      <c r="C2708" s="91" t="s">
        <v>36</v>
      </c>
      <c r="D2708" s="107" t="s">
        <v>5051</v>
      </c>
      <c r="E2708" s="107" t="s">
        <v>8472</v>
      </c>
      <c r="F2708" s="91" t="s">
        <v>8473</v>
      </c>
      <c r="G2708" s="96">
        <v>45156</v>
      </c>
      <c r="H2708" s="97">
        <v>30679</v>
      </c>
      <c r="I2708" s="100" t="s">
        <v>8474</v>
      </c>
      <c r="J2708" s="100" t="s">
        <v>8475</v>
      </c>
      <c r="K2708" s="95" t="s">
        <v>58</v>
      </c>
      <c r="L2708" s="91" t="s">
        <v>60</v>
      </c>
      <c r="M2708" s="98">
        <f ca="1">(TODAY()-H2708)/365</f>
        <v>41.980821917808221</v>
      </c>
      <c r="N2708" s="99">
        <f>(G2708-H2708)/365</f>
        <v>39.663013698630138</v>
      </c>
      <c r="O2708" s="98">
        <f ca="1">(TODAY()-G2708)/365</f>
        <v>2.3178082191780822</v>
      </c>
      <c r="P2708" s="91" t="s">
        <v>43</v>
      </c>
      <c r="Q2708" s="91">
        <v>0</v>
      </c>
      <c r="R2708" s="91">
        <v>0</v>
      </c>
      <c r="S2708" s="91">
        <v>0</v>
      </c>
      <c r="T2708" s="91"/>
      <c r="U2708" s="91"/>
      <c r="V2708" s="91"/>
      <c r="W2708" s="91"/>
      <c r="X2708" s="91"/>
      <c r="Y2708" s="91"/>
      <c r="Z2708" s="91"/>
      <c r="AA2708" s="91"/>
      <c r="AB2708" s="91"/>
      <c r="AC2708" s="91"/>
      <c r="AD2708" s="91"/>
      <c r="AE2708" s="91"/>
      <c r="AF2708" s="91"/>
      <c r="AG2708" s="91"/>
      <c r="AH2708" s="91"/>
      <c r="AI2708" s="91"/>
      <c r="AJ2708" s="91"/>
      <c r="AK2708" s="91"/>
      <c r="AL2708" s="91"/>
      <c r="AM2708" s="91"/>
    </row>
    <row r="2709" spans="1:39" ht="20.25" hidden="1" customHeight="1">
      <c r="A2709" s="91"/>
      <c r="B2709" s="93" t="s">
        <v>8452</v>
      </c>
      <c r="C2709" s="91" t="s">
        <v>36</v>
      </c>
      <c r="D2709" s="107" t="s">
        <v>8476</v>
      </c>
      <c r="E2709" s="107" t="s">
        <v>8477</v>
      </c>
      <c r="F2709" s="91" t="s">
        <v>8478</v>
      </c>
      <c r="G2709" s="96">
        <v>41348</v>
      </c>
      <c r="H2709" s="97">
        <v>25740</v>
      </c>
      <c r="I2709" s="100" t="s">
        <v>8479</v>
      </c>
      <c r="J2709" s="100" t="s">
        <v>8480</v>
      </c>
      <c r="K2709" s="95" t="s">
        <v>58</v>
      </c>
      <c r="L2709" s="91" t="s">
        <v>60</v>
      </c>
      <c r="M2709" s="98">
        <f ca="1">(TODAY()-H2709)/365</f>
        <v>55.512328767123286</v>
      </c>
      <c r="N2709" s="99">
        <f>(G2709-H2709)/365</f>
        <v>42.761643835616439</v>
      </c>
      <c r="O2709" s="98">
        <f ca="1">(TODAY()-G2709)/365</f>
        <v>12.75068493150685</v>
      </c>
      <c r="P2709" s="91" t="s">
        <v>43</v>
      </c>
      <c r="Q2709" s="91">
        <v>0</v>
      </c>
      <c r="R2709" s="91">
        <v>0</v>
      </c>
      <c r="S2709" s="91">
        <v>0</v>
      </c>
      <c r="T2709" s="91"/>
      <c r="U2709" s="91"/>
      <c r="V2709" s="91"/>
      <c r="W2709" s="91"/>
      <c r="X2709" s="91"/>
      <c r="Y2709" s="91"/>
      <c r="Z2709" s="91"/>
      <c r="AA2709" s="91"/>
      <c r="AB2709" s="91"/>
      <c r="AC2709" s="91"/>
      <c r="AD2709" s="91"/>
      <c r="AE2709" s="91"/>
      <c r="AF2709" s="91"/>
      <c r="AG2709" s="91"/>
      <c r="AH2709" s="91"/>
      <c r="AI2709" s="91"/>
      <c r="AJ2709" s="91"/>
      <c r="AK2709" s="91"/>
      <c r="AL2709" s="91"/>
      <c r="AM2709" s="91"/>
    </row>
    <row r="2710" spans="1:39" ht="20.25" hidden="1" customHeight="1">
      <c r="A2710" s="91"/>
      <c r="B2710" s="93" t="s">
        <v>8452</v>
      </c>
      <c r="C2710" s="91" t="s">
        <v>36</v>
      </c>
      <c r="D2710" s="107" t="s">
        <v>3177</v>
      </c>
      <c r="E2710" s="107" t="s">
        <v>8481</v>
      </c>
      <c r="F2710" s="91" t="s">
        <v>8482</v>
      </c>
      <c r="G2710" s="96">
        <v>41304</v>
      </c>
      <c r="H2710" s="97">
        <v>25244</v>
      </c>
      <c r="I2710" s="100" t="s">
        <v>8483</v>
      </c>
      <c r="J2710" s="100" t="s">
        <v>8484</v>
      </c>
      <c r="K2710" s="91">
        <v>994663451</v>
      </c>
      <c r="L2710" s="91" t="s">
        <v>60</v>
      </c>
      <c r="M2710" s="98">
        <f ca="1">(TODAY()-H2710)/365</f>
        <v>56.871232876712327</v>
      </c>
      <c r="N2710" s="99">
        <f>(G2710-H2710)/365</f>
        <v>44</v>
      </c>
      <c r="O2710" s="98">
        <f ca="1">(TODAY()-G2710)/365</f>
        <v>12.871232876712329</v>
      </c>
      <c r="P2710" s="91" t="s">
        <v>43</v>
      </c>
      <c r="Q2710" s="91">
        <v>0</v>
      </c>
      <c r="R2710" s="91">
        <v>0</v>
      </c>
      <c r="S2710" s="91">
        <v>0</v>
      </c>
      <c r="T2710" s="91"/>
      <c r="U2710" s="91"/>
      <c r="V2710" s="91"/>
      <c r="W2710" s="91"/>
      <c r="X2710" s="91"/>
      <c r="Y2710" s="91"/>
      <c r="Z2710" s="91"/>
      <c r="AA2710" s="91"/>
      <c r="AB2710" s="91"/>
      <c r="AC2710" s="91"/>
      <c r="AD2710" s="91"/>
      <c r="AE2710" s="91"/>
      <c r="AF2710" s="91"/>
      <c r="AG2710" s="91"/>
      <c r="AH2710" s="91"/>
      <c r="AI2710" s="91"/>
      <c r="AJ2710" s="91"/>
      <c r="AK2710" s="91"/>
      <c r="AL2710" s="91"/>
      <c r="AM2710" s="91"/>
    </row>
    <row r="2711" spans="1:39" ht="20.25" hidden="1" customHeight="1">
      <c r="A2711" s="91"/>
      <c r="B2711" s="93" t="s">
        <v>8452</v>
      </c>
      <c r="C2711" s="91" t="s">
        <v>36</v>
      </c>
      <c r="D2711" s="107" t="s">
        <v>8485</v>
      </c>
      <c r="E2711" s="107" t="s">
        <v>8486</v>
      </c>
      <c r="F2711" s="91" t="s">
        <v>8228</v>
      </c>
      <c r="G2711" s="96">
        <v>36916</v>
      </c>
      <c r="H2711" s="97">
        <v>18260</v>
      </c>
      <c r="I2711" s="100" t="s">
        <v>8487</v>
      </c>
      <c r="J2711" s="100" t="s">
        <v>8488</v>
      </c>
      <c r="K2711" s="91">
        <v>984010185</v>
      </c>
      <c r="L2711" s="91" t="s">
        <v>60</v>
      </c>
      <c r="M2711" s="98">
        <f ca="1">(TODAY()-H2711)/365</f>
        <v>76.0054794520548</v>
      </c>
      <c r="N2711" s="99">
        <f>(G2711-H2711)/365</f>
        <v>51.112328767123287</v>
      </c>
      <c r="O2711" s="98">
        <f ca="1">(TODAY()-G2711)/365</f>
        <v>24.893150684931506</v>
      </c>
      <c r="P2711" s="91" t="s">
        <v>43</v>
      </c>
      <c r="Q2711" s="91">
        <v>0</v>
      </c>
      <c r="R2711" s="91">
        <v>0</v>
      </c>
      <c r="S2711" s="91">
        <v>0</v>
      </c>
      <c r="T2711" s="91"/>
      <c r="U2711" s="91"/>
      <c r="V2711" s="91"/>
      <c r="W2711" s="91"/>
      <c r="X2711" s="91"/>
      <c r="Y2711" s="91"/>
      <c r="Z2711" s="91"/>
      <c r="AA2711" s="91"/>
      <c r="AB2711" s="91"/>
      <c r="AC2711" s="91"/>
      <c r="AD2711" s="91"/>
      <c r="AE2711" s="91"/>
      <c r="AF2711" s="91"/>
      <c r="AG2711" s="91"/>
      <c r="AH2711" s="91"/>
      <c r="AI2711" s="91"/>
      <c r="AJ2711" s="91"/>
      <c r="AK2711" s="91"/>
      <c r="AL2711" s="91"/>
      <c r="AM2711" s="91"/>
    </row>
    <row r="2712" spans="1:39" ht="20.25" hidden="1" customHeight="1">
      <c r="A2712" s="91"/>
      <c r="B2712" s="93" t="s">
        <v>8452</v>
      </c>
      <c r="C2712" s="91" t="s">
        <v>36</v>
      </c>
      <c r="D2712" s="107" t="s">
        <v>8489</v>
      </c>
      <c r="E2712" s="107" t="s">
        <v>8490</v>
      </c>
      <c r="F2712" s="91" t="s">
        <v>8491</v>
      </c>
      <c r="G2712" s="96">
        <v>44992</v>
      </c>
      <c r="H2712" s="97">
        <v>23285</v>
      </c>
      <c r="I2712" s="100" t="s">
        <v>8492</v>
      </c>
      <c r="J2712" s="100" t="s">
        <v>8493</v>
      </c>
      <c r="K2712" s="91">
        <v>994397283</v>
      </c>
      <c r="L2712" s="91" t="s">
        <v>60</v>
      </c>
      <c r="M2712" s="98">
        <f ca="1">(TODAY()-H2712)/365</f>
        <v>62.238356164383561</v>
      </c>
      <c r="N2712" s="99">
        <f>(G2712-H2712)/365</f>
        <v>59.471232876712328</v>
      </c>
      <c r="O2712" s="98">
        <f ca="1">(TODAY()-G2712)/365</f>
        <v>2.7671232876712328</v>
      </c>
      <c r="P2712" s="91" t="s">
        <v>43</v>
      </c>
      <c r="Q2712" s="91">
        <v>0</v>
      </c>
      <c r="R2712" s="91">
        <v>0</v>
      </c>
      <c r="S2712" s="91">
        <v>0</v>
      </c>
      <c r="T2712" s="91"/>
      <c r="U2712" s="91"/>
      <c r="V2712" s="91"/>
      <c r="W2712" s="91"/>
      <c r="X2712" s="91"/>
      <c r="Y2712" s="91"/>
      <c r="Z2712" s="91"/>
      <c r="AA2712" s="91"/>
      <c r="AB2712" s="91"/>
      <c r="AC2712" s="91"/>
      <c r="AD2712" s="91"/>
      <c r="AE2712" s="91"/>
      <c r="AF2712" s="91"/>
      <c r="AG2712" s="91"/>
      <c r="AH2712" s="91"/>
      <c r="AI2712" s="91"/>
      <c r="AJ2712" s="91"/>
      <c r="AK2712" s="91"/>
      <c r="AL2712" s="91"/>
      <c r="AM2712" s="91"/>
    </row>
    <row r="2713" spans="1:39" ht="20.25" hidden="1" customHeight="1">
      <c r="A2713" s="91"/>
      <c r="B2713" s="93" t="s">
        <v>10354</v>
      </c>
      <c r="C2713" s="91" t="s">
        <v>36</v>
      </c>
      <c r="D2713" s="106" t="s">
        <v>416</v>
      </c>
      <c r="E2713" s="106" t="s">
        <v>10355</v>
      </c>
      <c r="F2713" s="92" t="s">
        <v>10356</v>
      </c>
      <c r="G2713" s="103">
        <v>2006</v>
      </c>
      <c r="H2713" s="103">
        <v>21264</v>
      </c>
      <c r="I2713" s="94" t="s">
        <v>10357</v>
      </c>
      <c r="J2713" s="94" t="s">
        <v>10358</v>
      </c>
      <c r="K2713" s="92">
        <v>988678879</v>
      </c>
      <c r="L2713" s="91"/>
      <c r="M2713" s="98">
        <f ca="1">(TODAY()-H2713)/365</f>
        <v>67.775342465753425</v>
      </c>
      <c r="N2713" s="99">
        <f>(G2713-H2713)/365</f>
        <v>-52.761643835616439</v>
      </c>
      <c r="O2713" s="98">
        <f ca="1">(TODAY()-G2713)/365</f>
        <v>120.53698630136986</v>
      </c>
      <c r="P2713" s="91" t="s">
        <v>43</v>
      </c>
      <c r="Q2713" s="91"/>
      <c r="R2713" s="91"/>
      <c r="S2713" s="91"/>
      <c r="T2713" s="91"/>
      <c r="U2713" s="91"/>
      <c r="V2713" s="91"/>
      <c r="W2713" s="91"/>
      <c r="X2713" s="91"/>
      <c r="Y2713" s="91"/>
      <c r="Z2713" s="91"/>
      <c r="AA2713" s="91"/>
      <c r="AB2713" s="91"/>
      <c r="AC2713" s="91"/>
      <c r="AD2713" s="91"/>
      <c r="AE2713" s="91"/>
      <c r="AF2713" s="91"/>
      <c r="AG2713" s="91"/>
      <c r="AH2713" s="91"/>
      <c r="AI2713" s="91"/>
      <c r="AJ2713" s="91"/>
      <c r="AK2713" s="91"/>
      <c r="AL2713" s="91"/>
      <c r="AM2713" s="91"/>
    </row>
    <row r="2714" spans="1:39" ht="20.25" hidden="1" customHeight="1">
      <c r="A2714" s="91"/>
      <c r="B2714" s="93" t="s">
        <v>10354</v>
      </c>
      <c r="C2714" s="91" t="s">
        <v>36</v>
      </c>
      <c r="D2714" s="106" t="s">
        <v>3699</v>
      </c>
      <c r="E2714" s="106" t="s">
        <v>10359</v>
      </c>
      <c r="F2714" s="92" t="s">
        <v>10360</v>
      </c>
      <c r="G2714" s="103">
        <v>38353</v>
      </c>
      <c r="H2714" s="103">
        <v>32888</v>
      </c>
      <c r="I2714" s="94" t="s">
        <v>10361</v>
      </c>
      <c r="J2714" s="94" t="s">
        <v>10362</v>
      </c>
      <c r="K2714" s="92">
        <v>974784950</v>
      </c>
      <c r="L2714" s="91"/>
      <c r="M2714" s="98">
        <f ca="1">(TODAY()-H2714)/365</f>
        <v>35.92876712328767</v>
      </c>
      <c r="N2714" s="99">
        <f>(G2714-H2714)/365</f>
        <v>14.972602739726028</v>
      </c>
      <c r="O2714" s="98">
        <f ca="1">(TODAY()-G2714)/365</f>
        <v>20.956164383561642</v>
      </c>
      <c r="P2714" s="91" t="s">
        <v>43</v>
      </c>
      <c r="Q2714" s="91"/>
      <c r="R2714" s="91"/>
      <c r="S2714" s="91"/>
      <c r="T2714" s="91"/>
      <c r="U2714" s="91"/>
      <c r="V2714" s="91"/>
      <c r="W2714" s="91"/>
      <c r="X2714" s="91"/>
      <c r="Y2714" s="91"/>
      <c r="Z2714" s="91"/>
      <c r="AA2714" s="91"/>
      <c r="AB2714" s="91"/>
      <c r="AC2714" s="91"/>
      <c r="AD2714" s="91"/>
      <c r="AE2714" s="91"/>
      <c r="AF2714" s="91"/>
      <c r="AG2714" s="91"/>
      <c r="AH2714" s="91"/>
      <c r="AI2714" s="91"/>
      <c r="AJ2714" s="91"/>
      <c r="AK2714" s="91"/>
      <c r="AL2714" s="91"/>
      <c r="AM2714" s="91"/>
    </row>
    <row r="2715" spans="1:39" ht="20.25" hidden="1" customHeight="1">
      <c r="A2715" s="91"/>
      <c r="B2715" s="93" t="s">
        <v>10354</v>
      </c>
      <c r="C2715" s="91" t="s">
        <v>36</v>
      </c>
      <c r="D2715" s="106" t="s">
        <v>443</v>
      </c>
      <c r="E2715" s="106" t="s">
        <v>10363</v>
      </c>
      <c r="F2715" s="92" t="s">
        <v>10364</v>
      </c>
      <c r="G2715" s="103">
        <v>39083</v>
      </c>
      <c r="H2715" s="103">
        <v>35325</v>
      </c>
      <c r="I2715" s="94" t="s">
        <v>10365</v>
      </c>
      <c r="J2715" s="94" t="s">
        <v>10362</v>
      </c>
      <c r="K2715" s="95" t="s">
        <v>58</v>
      </c>
      <c r="L2715" s="91"/>
      <c r="M2715" s="98">
        <f ca="1">(TODAY()-H2715)/365</f>
        <v>29.252054794520546</v>
      </c>
      <c r="N2715" s="99">
        <f>(G2715-H2715)/365</f>
        <v>10.295890410958904</v>
      </c>
      <c r="O2715" s="98">
        <f ca="1">(TODAY()-G2715)/365</f>
        <v>18.956164383561642</v>
      </c>
      <c r="P2715" s="91" t="s">
        <v>272</v>
      </c>
      <c r="Q2715" s="91"/>
      <c r="R2715" s="91"/>
      <c r="S2715" s="91"/>
      <c r="T2715" s="91"/>
      <c r="U2715" s="91"/>
      <c r="V2715" s="91"/>
      <c r="W2715" s="91"/>
      <c r="X2715" s="91"/>
      <c r="Y2715" s="91"/>
      <c r="Z2715" s="91"/>
      <c r="AA2715" s="91"/>
      <c r="AB2715" s="91"/>
      <c r="AC2715" s="91"/>
      <c r="AD2715" s="91"/>
      <c r="AE2715" s="91"/>
      <c r="AF2715" s="91"/>
      <c r="AG2715" s="91"/>
      <c r="AH2715" s="91"/>
      <c r="AI2715" s="91"/>
      <c r="AJ2715" s="91"/>
      <c r="AK2715" s="91"/>
      <c r="AL2715" s="91"/>
      <c r="AM2715" s="91"/>
    </row>
    <row r="2716" spans="1:39" ht="20.25" hidden="1" customHeight="1">
      <c r="A2716" s="91"/>
      <c r="B2716" s="93" t="s">
        <v>10354</v>
      </c>
      <c r="C2716" s="91" t="s">
        <v>36</v>
      </c>
      <c r="D2716" s="106" t="s">
        <v>10366</v>
      </c>
      <c r="E2716" s="106" t="s">
        <v>10367</v>
      </c>
      <c r="F2716" s="92" t="s">
        <v>10368</v>
      </c>
      <c r="G2716" s="103">
        <v>39083</v>
      </c>
      <c r="H2716" s="103">
        <v>35377</v>
      </c>
      <c r="I2716" s="94" t="s">
        <v>10369</v>
      </c>
      <c r="J2716" s="94" t="s">
        <v>10370</v>
      </c>
      <c r="K2716" s="92">
        <v>968270687</v>
      </c>
      <c r="L2716" s="91"/>
      <c r="M2716" s="98">
        <f ca="1">(TODAY()-H2716)/365</f>
        <v>29.109589041095891</v>
      </c>
      <c r="N2716" s="99">
        <f>(G2716-H2716)/365</f>
        <v>10.153424657534247</v>
      </c>
      <c r="O2716" s="98">
        <f ca="1">(TODAY()-G2716)/365</f>
        <v>18.956164383561642</v>
      </c>
      <c r="P2716" s="91" t="s">
        <v>272</v>
      </c>
      <c r="Q2716" s="91"/>
      <c r="R2716" s="91"/>
      <c r="S2716" s="91"/>
      <c r="T2716" s="91"/>
      <c r="U2716" s="91"/>
      <c r="V2716" s="91"/>
      <c r="W2716" s="91"/>
      <c r="X2716" s="91"/>
      <c r="Y2716" s="91"/>
      <c r="Z2716" s="91"/>
      <c r="AA2716" s="91"/>
      <c r="AB2716" s="91"/>
      <c r="AC2716" s="91"/>
      <c r="AD2716" s="91"/>
      <c r="AE2716" s="91"/>
      <c r="AF2716" s="91"/>
      <c r="AG2716" s="91"/>
      <c r="AH2716" s="91"/>
      <c r="AI2716" s="91"/>
      <c r="AJ2716" s="91"/>
      <c r="AK2716" s="91"/>
      <c r="AL2716" s="91"/>
      <c r="AM2716" s="91"/>
    </row>
    <row r="2717" spans="1:39" ht="20.25" hidden="1" customHeight="1">
      <c r="A2717" s="91"/>
      <c r="B2717" s="93" t="s">
        <v>10354</v>
      </c>
      <c r="C2717" s="91" t="s">
        <v>36</v>
      </c>
      <c r="D2717" s="106" t="s">
        <v>10371</v>
      </c>
      <c r="E2717" s="106" t="s">
        <v>10372</v>
      </c>
      <c r="F2717" s="92" t="s">
        <v>10373</v>
      </c>
      <c r="G2717" s="103">
        <v>45474</v>
      </c>
      <c r="H2717" s="103">
        <v>36672</v>
      </c>
      <c r="I2717" s="94" t="s">
        <v>10374</v>
      </c>
      <c r="J2717" s="94" t="s">
        <v>10375</v>
      </c>
      <c r="K2717" s="92">
        <v>946710640</v>
      </c>
      <c r="L2717" s="91"/>
      <c r="M2717" s="98">
        <f ca="1">(TODAY()-H2717)/365</f>
        <v>25.561643835616437</v>
      </c>
      <c r="N2717" s="99">
        <f>(G2717-H2717)/365</f>
        <v>24.115068493150684</v>
      </c>
      <c r="O2717" s="98">
        <f ca="1">(TODAY()-G2717)/365</f>
        <v>1.4465753424657535</v>
      </c>
      <c r="P2717" s="91" t="s">
        <v>43</v>
      </c>
      <c r="Q2717" s="91"/>
      <c r="R2717" s="91"/>
      <c r="S2717" s="91"/>
      <c r="T2717" s="91"/>
      <c r="U2717" s="91"/>
      <c r="V2717" s="91"/>
      <c r="W2717" s="91"/>
      <c r="X2717" s="91"/>
      <c r="Y2717" s="91"/>
      <c r="Z2717" s="91"/>
      <c r="AA2717" s="91"/>
      <c r="AB2717" s="91"/>
      <c r="AC2717" s="91"/>
      <c r="AD2717" s="91"/>
      <c r="AE2717" s="91"/>
      <c r="AF2717" s="91"/>
      <c r="AG2717" s="91"/>
      <c r="AH2717" s="91"/>
      <c r="AI2717" s="91"/>
      <c r="AJ2717" s="91"/>
      <c r="AK2717" s="91"/>
      <c r="AL2717" s="91"/>
      <c r="AM2717" s="91"/>
    </row>
    <row r="2718" spans="1:39" ht="20.25" hidden="1" customHeight="1">
      <c r="A2718" s="91"/>
      <c r="B2718" s="93" t="s">
        <v>10354</v>
      </c>
      <c r="C2718" s="91" t="s">
        <v>36</v>
      </c>
      <c r="D2718" s="106" t="s">
        <v>249</v>
      </c>
      <c r="E2718" s="106" t="s">
        <v>10376</v>
      </c>
      <c r="F2718" s="92" t="s">
        <v>10377</v>
      </c>
      <c r="G2718" s="103">
        <v>45506</v>
      </c>
      <c r="H2718" s="103">
        <v>35543</v>
      </c>
      <c r="I2718" s="94" t="s">
        <v>10378</v>
      </c>
      <c r="J2718" s="94" t="s">
        <v>10379</v>
      </c>
      <c r="K2718" s="92">
        <v>95446313</v>
      </c>
      <c r="L2718" s="91"/>
      <c r="M2718" s="98">
        <f ca="1">(TODAY()-H2718)/365</f>
        <v>28.654794520547945</v>
      </c>
      <c r="N2718" s="99">
        <f>(G2718-H2718)/365</f>
        <v>27.295890410958904</v>
      </c>
      <c r="O2718" s="98">
        <f ca="1">(TODAY()-G2718)/365</f>
        <v>1.3589041095890411</v>
      </c>
      <c r="P2718" s="91" t="s">
        <v>272</v>
      </c>
      <c r="Q2718" s="91"/>
      <c r="R2718" s="91"/>
      <c r="S2718" s="91"/>
      <c r="T2718" s="91"/>
      <c r="U2718" s="91"/>
      <c r="V2718" s="91"/>
      <c r="W2718" s="91"/>
      <c r="X2718" s="91"/>
      <c r="Y2718" s="91"/>
      <c r="Z2718" s="91"/>
      <c r="AA2718" s="91"/>
      <c r="AB2718" s="91"/>
      <c r="AC2718" s="91"/>
      <c r="AD2718" s="91"/>
      <c r="AE2718" s="91"/>
      <c r="AF2718" s="91"/>
      <c r="AG2718" s="91"/>
      <c r="AH2718" s="91"/>
      <c r="AI2718" s="91"/>
      <c r="AJ2718" s="91"/>
      <c r="AK2718" s="91"/>
      <c r="AL2718" s="91"/>
      <c r="AM2718" s="91"/>
    </row>
    <row r="2719" spans="1:39" ht="20.25" hidden="1" customHeight="1">
      <c r="A2719" s="91"/>
      <c r="B2719" s="93" t="s">
        <v>10354</v>
      </c>
      <c r="C2719" s="91" t="s">
        <v>36</v>
      </c>
      <c r="D2719" s="106" t="s">
        <v>3971</v>
      </c>
      <c r="E2719" s="106" t="s">
        <v>10380</v>
      </c>
      <c r="F2719" s="92" t="s">
        <v>10381</v>
      </c>
      <c r="G2719" s="103">
        <v>45540</v>
      </c>
      <c r="H2719" s="103">
        <v>37407</v>
      </c>
      <c r="I2719" s="94" t="s">
        <v>10382</v>
      </c>
      <c r="J2719" s="94" t="s">
        <v>10383</v>
      </c>
      <c r="K2719" s="92">
        <v>972809392</v>
      </c>
      <c r="L2719" s="91"/>
      <c r="M2719" s="98">
        <f ca="1">(TODAY()-H2719)/365</f>
        <v>23.547945205479451</v>
      </c>
      <c r="N2719" s="99">
        <f>(G2719-H2719)/365</f>
        <v>22.282191780821918</v>
      </c>
      <c r="O2719" s="98">
        <f ca="1">(TODAY()-G2719)/365</f>
        <v>1.2657534246575342</v>
      </c>
      <c r="P2719" s="91" t="s">
        <v>272</v>
      </c>
      <c r="Q2719" s="91"/>
      <c r="R2719" s="91"/>
      <c r="S2719" s="91"/>
      <c r="T2719" s="91"/>
      <c r="U2719" s="91"/>
      <c r="V2719" s="91"/>
      <c r="W2719" s="91"/>
      <c r="X2719" s="91"/>
      <c r="Y2719" s="91"/>
      <c r="Z2719" s="91"/>
      <c r="AA2719" s="91"/>
      <c r="AB2719" s="91"/>
      <c r="AC2719" s="91"/>
      <c r="AD2719" s="91"/>
      <c r="AE2719" s="91"/>
      <c r="AF2719" s="91"/>
      <c r="AG2719" s="91"/>
      <c r="AH2719" s="91"/>
      <c r="AI2719" s="91"/>
      <c r="AJ2719" s="91"/>
      <c r="AK2719" s="91"/>
      <c r="AL2719" s="91"/>
      <c r="AM2719" s="91"/>
    </row>
    <row r="2720" spans="1:39" ht="20.25" hidden="1" customHeight="1">
      <c r="A2720" s="91"/>
      <c r="B2720" s="93" t="s">
        <v>10354</v>
      </c>
      <c r="C2720" s="91" t="s">
        <v>36</v>
      </c>
      <c r="D2720" s="106" t="s">
        <v>10384</v>
      </c>
      <c r="E2720" s="106" t="s">
        <v>10385</v>
      </c>
      <c r="F2720" s="92" t="s">
        <v>10386</v>
      </c>
      <c r="G2720" s="103">
        <v>33403</v>
      </c>
      <c r="H2720" s="103">
        <v>14031</v>
      </c>
      <c r="I2720" s="94" t="s">
        <v>58</v>
      </c>
      <c r="J2720" s="94" t="s">
        <v>10387</v>
      </c>
      <c r="K2720" s="92">
        <v>96401668</v>
      </c>
      <c r="L2720" s="91"/>
      <c r="M2720" s="98">
        <f ca="1">(TODAY()-H2720)/365</f>
        <v>87.591780821917808</v>
      </c>
      <c r="N2720" s="99">
        <f>(G2720-H2720)/365</f>
        <v>53.073972602739723</v>
      </c>
      <c r="O2720" s="98">
        <f ca="1">(TODAY()-G2720)/365</f>
        <v>34.517808219178079</v>
      </c>
      <c r="P2720" s="91" t="s">
        <v>43</v>
      </c>
      <c r="Q2720" s="91"/>
      <c r="R2720" s="91"/>
      <c r="S2720" s="91"/>
      <c r="T2720" s="91"/>
      <c r="U2720" s="91"/>
      <c r="V2720" s="91"/>
      <c r="W2720" s="91"/>
      <c r="X2720" s="91"/>
      <c r="Y2720" s="91"/>
      <c r="Z2720" s="91"/>
      <c r="AA2720" s="91"/>
      <c r="AB2720" s="91"/>
      <c r="AC2720" s="91"/>
      <c r="AD2720" s="91"/>
      <c r="AE2720" s="91"/>
      <c r="AF2720" s="91"/>
      <c r="AG2720" s="91"/>
      <c r="AH2720" s="91"/>
      <c r="AI2720" s="91"/>
      <c r="AJ2720" s="91"/>
      <c r="AK2720" s="91"/>
      <c r="AL2720" s="91"/>
      <c r="AM2720" s="91"/>
    </row>
    <row r="2721" spans="1:39" ht="20.25" customHeight="1">
      <c r="A2721" s="91"/>
      <c r="B2721" s="93" t="s">
        <v>8287</v>
      </c>
      <c r="C2721" s="91" t="s">
        <v>73</v>
      </c>
      <c r="D2721" s="94" t="s">
        <v>2691</v>
      </c>
      <c r="E2721" s="94" t="s">
        <v>8312</v>
      </c>
      <c r="F2721" s="95" t="s">
        <v>8313</v>
      </c>
      <c r="G2721" s="96">
        <v>45059</v>
      </c>
      <c r="H2721" s="97">
        <v>37653</v>
      </c>
      <c r="I2721" s="94" t="s">
        <v>8314</v>
      </c>
      <c r="J2721" s="100" t="s">
        <v>58</v>
      </c>
      <c r="K2721" s="91" t="s">
        <v>58</v>
      </c>
      <c r="L2721" s="91" t="s">
        <v>60</v>
      </c>
      <c r="M2721" s="98">
        <f ca="1">(TODAY()-H2721)/365</f>
        <v>22.873972602739727</v>
      </c>
      <c r="N2721" s="99">
        <f>(G2721-H2721)/365</f>
        <v>20.290410958904111</v>
      </c>
      <c r="O2721" s="98">
        <f ca="1">(TODAY()-G2721)/365</f>
        <v>2.5835616438356164</v>
      </c>
      <c r="P2721" s="91" t="s">
        <v>43</v>
      </c>
      <c r="Q2721" s="91">
        <v>0</v>
      </c>
      <c r="R2721" s="91">
        <v>0</v>
      </c>
      <c r="S2721" s="91">
        <v>0</v>
      </c>
      <c r="T2721" s="91"/>
      <c r="U2721" s="91"/>
      <c r="V2721" s="91"/>
      <c r="W2721" s="91"/>
      <c r="X2721" s="91"/>
      <c r="Y2721" s="91"/>
      <c r="Z2721" s="91"/>
      <c r="AA2721" s="91"/>
      <c r="AB2721" s="91"/>
      <c r="AC2721" s="91"/>
      <c r="AD2721" s="91"/>
      <c r="AE2721" s="91"/>
      <c r="AF2721" s="91"/>
      <c r="AG2721" s="91"/>
      <c r="AH2721" s="91"/>
      <c r="AI2721" s="91"/>
      <c r="AJ2721" s="91"/>
      <c r="AK2721" s="91"/>
      <c r="AL2721" s="91"/>
      <c r="AM2721" s="91"/>
    </row>
    <row r="2722" spans="1:39" ht="20.25" hidden="1" customHeight="1">
      <c r="A2722" s="91"/>
      <c r="B2722" s="93" t="s">
        <v>8494</v>
      </c>
      <c r="C2722" s="91" t="s">
        <v>36</v>
      </c>
      <c r="D2722" s="107" t="s">
        <v>5700</v>
      </c>
      <c r="E2722" s="107" t="s">
        <v>8495</v>
      </c>
      <c r="F2722" s="91" t="s">
        <v>8496</v>
      </c>
      <c r="G2722" s="96">
        <v>39576</v>
      </c>
      <c r="H2722" s="97">
        <v>34542</v>
      </c>
      <c r="I2722" s="105" t="s">
        <v>8497</v>
      </c>
      <c r="J2722" s="94" t="s">
        <v>8498</v>
      </c>
      <c r="K2722" s="95">
        <v>957264929</v>
      </c>
      <c r="L2722" s="91" t="s">
        <v>66</v>
      </c>
      <c r="M2722" s="98">
        <f ca="1">(TODAY()-H2722)/365</f>
        <v>31.397260273972602</v>
      </c>
      <c r="N2722" s="99">
        <f>(G2722-H2722)/365</f>
        <v>13.791780821917808</v>
      </c>
      <c r="O2722" s="98">
        <f ca="1">(TODAY()-G2722)/365</f>
        <v>17.605479452054794</v>
      </c>
      <c r="P2722" s="91" t="s">
        <v>43</v>
      </c>
      <c r="Q2722" s="91">
        <v>0</v>
      </c>
      <c r="R2722" s="91">
        <v>1</v>
      </c>
      <c r="S2722" s="91">
        <v>0</v>
      </c>
      <c r="T2722" s="91"/>
      <c r="U2722" s="91"/>
      <c r="V2722" s="91"/>
      <c r="W2722" s="91"/>
      <c r="X2722" s="91"/>
      <c r="Y2722" s="91"/>
      <c r="Z2722" s="91"/>
      <c r="AA2722" s="91"/>
      <c r="AB2722" s="91"/>
      <c r="AC2722" s="91"/>
      <c r="AD2722" s="91"/>
      <c r="AE2722" s="91"/>
      <c r="AF2722" s="91"/>
      <c r="AG2722" s="91"/>
      <c r="AH2722" s="91"/>
      <c r="AI2722" s="91"/>
      <c r="AJ2722" s="91"/>
      <c r="AK2722" s="91"/>
      <c r="AL2722" s="91"/>
      <c r="AM2722" s="91"/>
    </row>
    <row r="2723" spans="1:39" ht="20.25" hidden="1" customHeight="1">
      <c r="A2723" s="91"/>
      <c r="B2723" s="93" t="s">
        <v>8494</v>
      </c>
      <c r="C2723" s="91" t="s">
        <v>36</v>
      </c>
      <c r="D2723" s="107" t="s">
        <v>875</v>
      </c>
      <c r="E2723" s="107" t="s">
        <v>8499</v>
      </c>
      <c r="F2723" s="91" t="s">
        <v>8500</v>
      </c>
      <c r="G2723" s="96">
        <v>37143</v>
      </c>
      <c r="H2723" s="97">
        <v>24913</v>
      </c>
      <c r="I2723" s="108" t="s">
        <v>12471</v>
      </c>
      <c r="J2723" s="94" t="s">
        <v>8501</v>
      </c>
      <c r="K2723" s="95">
        <v>959615345</v>
      </c>
      <c r="L2723" s="91" t="s">
        <v>167</v>
      </c>
      <c r="M2723" s="98">
        <f ca="1">(TODAY()-H2723)/365</f>
        <v>57.778082191780825</v>
      </c>
      <c r="N2723" s="99">
        <f>(G2723-H2723)/365</f>
        <v>33.506849315068493</v>
      </c>
      <c r="O2723" s="98">
        <f ca="1">(TODAY()-G2723)/365</f>
        <v>24.271232876712329</v>
      </c>
      <c r="P2723" s="91" t="s">
        <v>43</v>
      </c>
      <c r="Q2723" s="91">
        <v>0</v>
      </c>
      <c r="R2723" s="91">
        <v>1</v>
      </c>
      <c r="S2723" s="91">
        <v>1</v>
      </c>
      <c r="T2723" s="91"/>
      <c r="U2723" s="91"/>
      <c r="V2723" s="91"/>
      <c r="W2723" s="91"/>
      <c r="X2723" s="91"/>
      <c r="Y2723" s="91"/>
      <c r="Z2723" s="91"/>
      <c r="AA2723" s="91"/>
      <c r="AB2723" s="91"/>
      <c r="AC2723" s="91"/>
      <c r="AD2723" s="91"/>
      <c r="AE2723" s="91"/>
      <c r="AF2723" s="91"/>
      <c r="AG2723" s="91"/>
      <c r="AH2723" s="91"/>
      <c r="AI2723" s="91"/>
      <c r="AJ2723" s="91"/>
      <c r="AK2723" s="91"/>
      <c r="AL2723" s="91"/>
      <c r="AM2723" s="91"/>
    </row>
    <row r="2724" spans="1:39" ht="20.25" hidden="1" customHeight="1">
      <c r="A2724" s="91"/>
      <c r="B2724" s="93" t="s">
        <v>8494</v>
      </c>
      <c r="C2724" s="91" t="s">
        <v>36</v>
      </c>
      <c r="D2724" s="107" t="s">
        <v>4879</v>
      </c>
      <c r="E2724" s="107" t="s">
        <v>8502</v>
      </c>
      <c r="F2724" s="91" t="s">
        <v>8503</v>
      </c>
      <c r="G2724" s="96">
        <v>34792</v>
      </c>
      <c r="H2724" s="97">
        <v>21978</v>
      </c>
      <c r="I2724" s="94" t="s">
        <v>8504</v>
      </c>
      <c r="J2724" s="94" t="s">
        <v>8505</v>
      </c>
      <c r="K2724" s="95">
        <v>981370465</v>
      </c>
      <c r="L2724" s="91" t="s">
        <v>42</v>
      </c>
      <c r="M2724" s="98">
        <f ca="1">(TODAY()-H2724)/365</f>
        <v>65.819178082191783</v>
      </c>
      <c r="N2724" s="99">
        <f>(G2724-H2724)/365</f>
        <v>35.106849315068494</v>
      </c>
      <c r="O2724" s="98">
        <f ca="1">(TODAY()-G2724)/365</f>
        <v>30.712328767123289</v>
      </c>
      <c r="P2724" s="91" t="s">
        <v>43</v>
      </c>
      <c r="Q2724" s="91">
        <v>0</v>
      </c>
      <c r="R2724" s="91">
        <v>0</v>
      </c>
      <c r="S2724" s="91">
        <v>0</v>
      </c>
      <c r="T2724" s="91"/>
      <c r="U2724" s="91"/>
      <c r="V2724" s="91"/>
      <c r="W2724" s="91"/>
      <c r="X2724" s="91"/>
      <c r="Y2724" s="91"/>
      <c r="Z2724" s="91"/>
      <c r="AA2724" s="91"/>
      <c r="AB2724" s="91"/>
      <c r="AC2724" s="91"/>
      <c r="AD2724" s="91"/>
      <c r="AE2724" s="91"/>
      <c r="AF2724" s="91"/>
      <c r="AG2724" s="91"/>
      <c r="AH2724" s="91"/>
      <c r="AI2724" s="91"/>
      <c r="AJ2724" s="91"/>
      <c r="AK2724" s="91"/>
      <c r="AL2724" s="91"/>
      <c r="AM2724" s="91"/>
    </row>
    <row r="2725" spans="1:39" ht="20.25" hidden="1" customHeight="1">
      <c r="A2725" s="91"/>
      <c r="B2725" s="93" t="s">
        <v>8494</v>
      </c>
      <c r="C2725" s="91" t="s">
        <v>36</v>
      </c>
      <c r="D2725" s="107" t="s">
        <v>1412</v>
      </c>
      <c r="E2725" s="107" t="s">
        <v>7870</v>
      </c>
      <c r="F2725" s="91" t="s">
        <v>7871</v>
      </c>
      <c r="G2725" s="96">
        <v>43740</v>
      </c>
      <c r="H2725" s="97">
        <v>29399</v>
      </c>
      <c r="I2725" s="94" t="s">
        <v>8506</v>
      </c>
      <c r="J2725" s="94" t="s">
        <v>8507</v>
      </c>
      <c r="K2725" s="95">
        <v>957559583</v>
      </c>
      <c r="L2725" s="91" t="s">
        <v>151</v>
      </c>
      <c r="M2725" s="98">
        <f ca="1">(TODAY()-H2725)/365</f>
        <v>45.487671232876714</v>
      </c>
      <c r="N2725" s="99">
        <f>(G2725-H2725)/365</f>
        <v>39.290410958904111</v>
      </c>
      <c r="O2725" s="98">
        <f ca="1">(TODAY()-G2725)/365</f>
        <v>6.1972602739726028</v>
      </c>
      <c r="P2725" s="91" t="s">
        <v>272</v>
      </c>
      <c r="Q2725" s="91">
        <v>0</v>
      </c>
      <c r="R2725" s="91">
        <v>1</v>
      </c>
      <c r="S2725" s="91">
        <v>1</v>
      </c>
      <c r="T2725" s="91"/>
      <c r="U2725" s="91"/>
      <c r="V2725" s="91"/>
      <c r="W2725" s="91"/>
      <c r="X2725" s="91"/>
      <c r="Y2725" s="91"/>
      <c r="Z2725" s="91"/>
      <c r="AA2725" s="91"/>
      <c r="AB2725" s="91"/>
      <c r="AC2725" s="91"/>
      <c r="AD2725" s="91"/>
      <c r="AE2725" s="91"/>
      <c r="AF2725" s="91"/>
      <c r="AG2725" s="91"/>
      <c r="AH2725" s="91"/>
      <c r="AI2725" s="91"/>
      <c r="AJ2725" s="91"/>
      <c r="AK2725" s="91"/>
      <c r="AL2725" s="91"/>
      <c r="AM2725" s="91"/>
    </row>
    <row r="2726" spans="1:39" ht="20.25" hidden="1" customHeight="1">
      <c r="A2726" s="91"/>
      <c r="B2726" s="93" t="s">
        <v>8494</v>
      </c>
      <c r="C2726" s="91" t="s">
        <v>36</v>
      </c>
      <c r="D2726" s="107" t="s">
        <v>840</v>
      </c>
      <c r="E2726" s="107" t="s">
        <v>8508</v>
      </c>
      <c r="F2726" s="91" t="s">
        <v>8509</v>
      </c>
      <c r="G2726" s="96">
        <v>37817</v>
      </c>
      <c r="H2726" s="97">
        <v>23422</v>
      </c>
      <c r="I2726" s="108" t="s">
        <v>12472</v>
      </c>
      <c r="J2726" s="94" t="s">
        <v>8510</v>
      </c>
      <c r="K2726" s="95">
        <v>987372013</v>
      </c>
      <c r="L2726" s="91" t="s">
        <v>197</v>
      </c>
      <c r="M2726" s="98">
        <f ca="1">(TODAY()-H2726)/365</f>
        <v>61.863013698630134</v>
      </c>
      <c r="N2726" s="99">
        <f>(G2726-H2726)/365</f>
        <v>39.438356164383563</v>
      </c>
      <c r="O2726" s="98">
        <f ca="1">(TODAY()-G2726)/365</f>
        <v>22.424657534246574</v>
      </c>
      <c r="P2726" s="91" t="s">
        <v>43</v>
      </c>
      <c r="Q2726" s="91">
        <v>0</v>
      </c>
      <c r="R2726" s="91">
        <v>0</v>
      </c>
      <c r="S2726" s="91">
        <v>0</v>
      </c>
      <c r="T2726" s="91"/>
      <c r="U2726" s="91"/>
      <c r="V2726" s="91"/>
      <c r="W2726" s="91"/>
      <c r="X2726" s="91"/>
      <c r="Y2726" s="91"/>
      <c r="Z2726" s="91"/>
      <c r="AA2726" s="91"/>
      <c r="AB2726" s="91"/>
      <c r="AC2726" s="91"/>
      <c r="AD2726" s="91"/>
      <c r="AE2726" s="91"/>
      <c r="AF2726" s="91"/>
      <c r="AG2726" s="91"/>
      <c r="AH2726" s="91"/>
      <c r="AI2726" s="91"/>
      <c r="AJ2726" s="91"/>
      <c r="AK2726" s="91"/>
      <c r="AL2726" s="91"/>
      <c r="AM2726" s="91"/>
    </row>
    <row r="2727" spans="1:39" ht="20.25" hidden="1" customHeight="1">
      <c r="A2727" s="91"/>
      <c r="B2727" s="93" t="s">
        <v>8494</v>
      </c>
      <c r="C2727" s="91" t="s">
        <v>36</v>
      </c>
      <c r="D2727" s="107" t="s">
        <v>666</v>
      </c>
      <c r="E2727" s="107" t="s">
        <v>8511</v>
      </c>
      <c r="F2727" s="91" t="s">
        <v>8512</v>
      </c>
      <c r="G2727" s="96">
        <v>40662</v>
      </c>
      <c r="H2727" s="97">
        <v>22011</v>
      </c>
      <c r="I2727" s="108" t="s">
        <v>12473</v>
      </c>
      <c r="J2727" s="94" t="s">
        <v>8513</v>
      </c>
      <c r="K2727" s="95">
        <v>991293162</v>
      </c>
      <c r="L2727" s="91" t="s">
        <v>60</v>
      </c>
      <c r="M2727" s="98">
        <f ca="1">(TODAY()-H2727)/365</f>
        <v>65.728767123287668</v>
      </c>
      <c r="N2727" s="99">
        <f>(G2727-H2727)/365</f>
        <v>51.098630136986301</v>
      </c>
      <c r="O2727" s="98">
        <f ca="1">(TODAY()-G2727)/365</f>
        <v>14.63013698630137</v>
      </c>
      <c r="P2727" s="91" t="s">
        <v>43</v>
      </c>
      <c r="Q2727" s="91">
        <v>0</v>
      </c>
      <c r="R2727" s="91">
        <v>0</v>
      </c>
      <c r="S2727" s="91">
        <v>0</v>
      </c>
      <c r="T2727" s="91"/>
      <c r="U2727" s="91"/>
      <c r="V2727" s="91"/>
      <c r="W2727" s="91"/>
      <c r="X2727" s="91"/>
      <c r="Y2727" s="91"/>
      <c r="Z2727" s="91"/>
      <c r="AA2727" s="91"/>
      <c r="AB2727" s="91"/>
      <c r="AC2727" s="91"/>
      <c r="AD2727" s="91"/>
      <c r="AE2727" s="91"/>
      <c r="AF2727" s="91"/>
      <c r="AG2727" s="91"/>
      <c r="AH2727" s="91"/>
      <c r="AI2727" s="91"/>
      <c r="AJ2727" s="91"/>
      <c r="AK2727" s="91"/>
      <c r="AL2727" s="91"/>
      <c r="AM2727" s="91"/>
    </row>
    <row r="2728" spans="1:39" ht="20.25" hidden="1" customHeight="1">
      <c r="A2728" s="91"/>
      <c r="B2728" s="93" t="s">
        <v>8494</v>
      </c>
      <c r="C2728" s="91" t="s">
        <v>36</v>
      </c>
      <c r="D2728" s="107" t="s">
        <v>1309</v>
      </c>
      <c r="E2728" s="107" t="s">
        <v>7893</v>
      </c>
      <c r="F2728" s="91" t="s">
        <v>58</v>
      </c>
      <c r="G2728" s="97" t="s">
        <v>58</v>
      </c>
      <c r="H2728" s="97" t="s">
        <v>58</v>
      </c>
      <c r="I2728" s="100" t="s">
        <v>58</v>
      </c>
      <c r="J2728" s="100" t="s">
        <v>58</v>
      </c>
      <c r="K2728" s="91" t="s">
        <v>58</v>
      </c>
      <c r="L2728" s="91" t="s">
        <v>72</v>
      </c>
      <c r="M2728" s="98">
        <v>0</v>
      </c>
      <c r="N2728" s="91"/>
      <c r="O2728" s="98" t="e">
        <f ca="1">(TODAY()-G2728)/365</f>
        <v>#VALUE!</v>
      </c>
      <c r="P2728" s="91" t="s">
        <v>43</v>
      </c>
      <c r="Q2728" s="91">
        <v>0</v>
      </c>
      <c r="R2728" s="91">
        <v>0</v>
      </c>
      <c r="S2728" s="91">
        <v>0</v>
      </c>
      <c r="T2728" s="91"/>
      <c r="U2728" s="91"/>
      <c r="V2728" s="91"/>
      <c r="W2728" s="91"/>
      <c r="X2728" s="91"/>
      <c r="Y2728" s="91"/>
      <c r="Z2728" s="91"/>
      <c r="AA2728" s="91"/>
      <c r="AB2728" s="91"/>
      <c r="AC2728" s="91"/>
      <c r="AD2728" s="91"/>
      <c r="AE2728" s="91"/>
      <c r="AF2728" s="91"/>
      <c r="AG2728" s="91"/>
      <c r="AH2728" s="91"/>
      <c r="AI2728" s="91"/>
      <c r="AJ2728" s="91"/>
      <c r="AK2728" s="91"/>
      <c r="AL2728" s="91"/>
      <c r="AM2728" s="91"/>
    </row>
    <row r="2729" spans="1:39" ht="20.25" hidden="1" customHeight="1">
      <c r="A2729" s="91"/>
      <c r="B2729" s="93" t="s">
        <v>8494</v>
      </c>
      <c r="C2729" s="91" t="s">
        <v>36</v>
      </c>
      <c r="D2729" s="107" t="s">
        <v>8514</v>
      </c>
      <c r="E2729" s="107" t="s">
        <v>8515</v>
      </c>
      <c r="F2729" s="91" t="s">
        <v>8516</v>
      </c>
      <c r="G2729" s="96">
        <v>44258</v>
      </c>
      <c r="H2729" s="97">
        <v>24802</v>
      </c>
      <c r="I2729" s="108" t="s">
        <v>12474</v>
      </c>
      <c r="J2729" s="94" t="s">
        <v>8517</v>
      </c>
      <c r="K2729" s="95">
        <v>931201617</v>
      </c>
      <c r="L2729" s="91" t="s">
        <v>60</v>
      </c>
      <c r="M2729" s="98">
        <f ca="1">(TODAY()-H2729)/365</f>
        <v>58.082191780821915</v>
      </c>
      <c r="N2729" s="99">
        <f>(G2729-H2729)/365</f>
        <v>53.304109589041097</v>
      </c>
      <c r="O2729" s="98">
        <f ca="1">(TODAY()-G2729)/365</f>
        <v>4.7780821917808218</v>
      </c>
      <c r="P2729" s="91" t="s">
        <v>272</v>
      </c>
      <c r="Q2729" s="91">
        <v>0</v>
      </c>
      <c r="R2729" s="91">
        <v>0</v>
      </c>
      <c r="S2729" s="91">
        <v>0</v>
      </c>
      <c r="T2729" s="91"/>
      <c r="U2729" s="91"/>
      <c r="V2729" s="91"/>
      <c r="W2729" s="91"/>
      <c r="X2729" s="91"/>
      <c r="Y2729" s="91"/>
      <c r="Z2729" s="91"/>
      <c r="AA2729" s="91"/>
      <c r="AB2729" s="91"/>
      <c r="AC2729" s="91"/>
      <c r="AD2729" s="91"/>
      <c r="AE2729" s="91"/>
      <c r="AF2729" s="91"/>
      <c r="AG2729" s="91"/>
      <c r="AH2729" s="91"/>
      <c r="AI2729" s="91"/>
      <c r="AJ2729" s="91"/>
      <c r="AK2729" s="91"/>
      <c r="AL2729" s="91"/>
      <c r="AM2729" s="91"/>
    </row>
    <row r="2730" spans="1:39" ht="20.25" hidden="1" customHeight="1">
      <c r="A2730" s="91"/>
      <c r="B2730" s="93" t="s">
        <v>8494</v>
      </c>
      <c r="C2730" s="91" t="s">
        <v>36</v>
      </c>
      <c r="D2730" s="107" t="s">
        <v>361</v>
      </c>
      <c r="E2730" s="107" t="s">
        <v>8518</v>
      </c>
      <c r="F2730" s="91" t="s">
        <v>8519</v>
      </c>
      <c r="G2730" s="96">
        <v>39877</v>
      </c>
      <c r="H2730" s="97">
        <v>19910</v>
      </c>
      <c r="I2730" s="108" t="s">
        <v>12475</v>
      </c>
      <c r="J2730" s="94" t="s">
        <v>8520</v>
      </c>
      <c r="K2730" s="95">
        <v>983916541</v>
      </c>
      <c r="L2730" s="91" t="s">
        <v>54</v>
      </c>
      <c r="M2730" s="98">
        <f ca="1">(TODAY()-H2730)/365</f>
        <v>71.484931506849321</v>
      </c>
      <c r="N2730" s="99">
        <f>(G2730-H2730)/365</f>
        <v>54.704109589041096</v>
      </c>
      <c r="O2730" s="98">
        <f ca="1">(TODAY()-G2730)/365</f>
        <v>16.780821917808218</v>
      </c>
      <c r="P2730" s="91" t="s">
        <v>43</v>
      </c>
      <c r="Q2730" s="91">
        <v>0</v>
      </c>
      <c r="R2730" s="91">
        <v>0</v>
      </c>
      <c r="S2730" s="91">
        <v>0</v>
      </c>
      <c r="T2730" s="91"/>
      <c r="U2730" s="91"/>
      <c r="V2730" s="91"/>
      <c r="W2730" s="91"/>
      <c r="X2730" s="91"/>
      <c r="Y2730" s="91"/>
      <c r="Z2730" s="91"/>
      <c r="AA2730" s="91"/>
      <c r="AB2730" s="91"/>
      <c r="AC2730" s="91"/>
      <c r="AD2730" s="91"/>
      <c r="AE2730" s="91"/>
      <c r="AF2730" s="91"/>
      <c r="AG2730" s="91"/>
      <c r="AH2730" s="91"/>
      <c r="AI2730" s="91"/>
      <c r="AJ2730" s="91"/>
      <c r="AK2730" s="91"/>
      <c r="AL2730" s="91"/>
      <c r="AM2730" s="91"/>
    </row>
    <row r="2731" spans="1:39" ht="20.25" hidden="1" customHeight="1">
      <c r="A2731" s="91"/>
      <c r="B2731" s="93" t="s">
        <v>8494</v>
      </c>
      <c r="C2731" s="91" t="s">
        <v>36</v>
      </c>
      <c r="D2731" s="107" t="s">
        <v>6507</v>
      </c>
      <c r="E2731" s="107" t="s">
        <v>8521</v>
      </c>
      <c r="F2731" s="91" t="s">
        <v>8522</v>
      </c>
      <c r="G2731" s="96">
        <v>38568</v>
      </c>
      <c r="H2731" s="97">
        <v>18294</v>
      </c>
      <c r="I2731" s="108" t="s">
        <v>12476</v>
      </c>
      <c r="J2731" s="94" t="s">
        <v>8523</v>
      </c>
      <c r="K2731" s="95">
        <v>95612419</v>
      </c>
      <c r="L2731" s="91" t="s">
        <v>49</v>
      </c>
      <c r="M2731" s="98">
        <f ca="1">(TODAY()-H2731)/365</f>
        <v>75.912328767123284</v>
      </c>
      <c r="N2731" s="99">
        <f>(G2731-H2731)/365</f>
        <v>55.545205479452058</v>
      </c>
      <c r="O2731" s="98">
        <f ca="1">(TODAY()-G2731)/365</f>
        <v>20.367123287671234</v>
      </c>
      <c r="P2731" s="91" t="s">
        <v>43</v>
      </c>
      <c r="Q2731" s="91">
        <v>0</v>
      </c>
      <c r="R2731" s="91">
        <v>0</v>
      </c>
      <c r="S2731" s="91">
        <v>0</v>
      </c>
      <c r="T2731" s="91"/>
      <c r="U2731" s="91"/>
      <c r="V2731" s="91"/>
      <c r="W2731" s="91"/>
      <c r="X2731" s="91"/>
      <c r="Y2731" s="91"/>
      <c r="Z2731" s="91"/>
      <c r="AA2731" s="91"/>
      <c r="AB2731" s="91"/>
      <c r="AC2731" s="91"/>
      <c r="AD2731" s="91"/>
      <c r="AE2731" s="91"/>
      <c r="AF2731" s="91"/>
      <c r="AG2731" s="91"/>
      <c r="AH2731" s="91"/>
      <c r="AI2731" s="91"/>
      <c r="AJ2731" s="91"/>
      <c r="AK2731" s="91"/>
      <c r="AL2731" s="91"/>
      <c r="AM2731" s="91"/>
    </row>
    <row r="2732" spans="1:39" ht="20.25" hidden="1" customHeight="1">
      <c r="A2732" s="91"/>
      <c r="B2732" s="93" t="s">
        <v>8524</v>
      </c>
      <c r="C2732" s="91" t="s">
        <v>36</v>
      </c>
      <c r="D2732" s="94" t="s">
        <v>716</v>
      </c>
      <c r="E2732" s="94" t="s">
        <v>8525</v>
      </c>
      <c r="F2732" s="95" t="s">
        <v>8526</v>
      </c>
      <c r="G2732" s="97" t="s">
        <v>58</v>
      </c>
      <c r="H2732" s="96">
        <v>20305</v>
      </c>
      <c r="I2732" s="100" t="s">
        <v>8527</v>
      </c>
      <c r="J2732" s="100" t="s">
        <v>58</v>
      </c>
      <c r="K2732" s="95">
        <v>999987499</v>
      </c>
      <c r="L2732" s="91" t="s">
        <v>42</v>
      </c>
      <c r="M2732" s="98">
        <f ca="1">(TODAY()-H2732)/365</f>
        <v>70.402739726027391</v>
      </c>
      <c r="N2732" s="99"/>
      <c r="O2732" s="98" t="e">
        <f ca="1">(TODAY()-G2732)/365</f>
        <v>#VALUE!</v>
      </c>
      <c r="P2732" s="91" t="s">
        <v>43</v>
      </c>
      <c r="Q2732" s="91">
        <v>0</v>
      </c>
      <c r="R2732" s="91">
        <v>0</v>
      </c>
      <c r="S2732" s="91">
        <v>0</v>
      </c>
      <c r="T2732" s="91"/>
      <c r="U2732" s="91"/>
      <c r="V2732" s="91"/>
      <c r="W2732" s="91"/>
      <c r="X2732" s="91"/>
      <c r="Y2732" s="91">
        <v>2022</v>
      </c>
      <c r="Z2732" s="91"/>
      <c r="AA2732" s="91"/>
      <c r="AB2732" s="91"/>
      <c r="AC2732" s="91"/>
      <c r="AD2732" s="91"/>
      <c r="AE2732" s="91"/>
      <c r="AF2732" s="91"/>
      <c r="AG2732" s="91"/>
      <c r="AH2732" s="91"/>
      <c r="AI2732" s="91"/>
      <c r="AJ2732" s="91"/>
      <c r="AK2732" s="91"/>
      <c r="AL2732" s="91"/>
      <c r="AM2732" s="91"/>
    </row>
    <row r="2733" spans="1:39" ht="20.25" hidden="1" customHeight="1">
      <c r="A2733" s="91"/>
      <c r="B2733" s="93" t="s">
        <v>8524</v>
      </c>
      <c r="C2733" s="91" t="s">
        <v>36</v>
      </c>
      <c r="D2733" s="94" t="s">
        <v>8528</v>
      </c>
      <c r="E2733" s="94" t="s">
        <v>8529</v>
      </c>
      <c r="F2733" s="95" t="s">
        <v>8530</v>
      </c>
      <c r="G2733" s="97" t="s">
        <v>58</v>
      </c>
      <c r="H2733" s="96">
        <v>29099</v>
      </c>
      <c r="I2733" s="94" t="s">
        <v>8531</v>
      </c>
      <c r="J2733" s="94" t="s">
        <v>8532</v>
      </c>
      <c r="K2733" s="95">
        <v>963622799</v>
      </c>
      <c r="L2733" s="91" t="s">
        <v>49</v>
      </c>
      <c r="M2733" s="98">
        <f ca="1">(TODAY()-H2733)/365</f>
        <v>46.30958904109589</v>
      </c>
      <c r="N2733" s="99"/>
      <c r="O2733" s="98" t="e">
        <f ca="1">(TODAY()-G2733)/365</f>
        <v>#VALUE!</v>
      </c>
      <c r="P2733" s="91" t="s">
        <v>43</v>
      </c>
      <c r="Q2733" s="91">
        <v>0</v>
      </c>
      <c r="R2733" s="91">
        <v>0</v>
      </c>
      <c r="S2733" s="91">
        <v>0</v>
      </c>
      <c r="T2733" s="91"/>
      <c r="U2733" s="91"/>
      <c r="V2733" s="91"/>
      <c r="W2733" s="91"/>
      <c r="X2733" s="91"/>
      <c r="Y2733" s="91"/>
      <c r="Z2733" s="91"/>
      <c r="AA2733" s="91"/>
      <c r="AB2733" s="91"/>
      <c r="AC2733" s="91"/>
      <c r="AD2733" s="91"/>
      <c r="AE2733" s="91"/>
      <c r="AF2733" s="91"/>
      <c r="AG2733" s="91"/>
      <c r="AH2733" s="91"/>
      <c r="AI2733" s="91"/>
      <c r="AJ2733" s="91"/>
      <c r="AK2733" s="91"/>
      <c r="AL2733" s="91"/>
      <c r="AM2733" s="91"/>
    </row>
    <row r="2734" spans="1:39" ht="20.25" hidden="1" customHeight="1">
      <c r="A2734" s="91"/>
      <c r="B2734" s="93" t="s">
        <v>8524</v>
      </c>
      <c r="C2734" s="91" t="s">
        <v>36</v>
      </c>
      <c r="D2734" s="94" t="s">
        <v>346</v>
      </c>
      <c r="E2734" s="94" t="s">
        <v>8533</v>
      </c>
      <c r="F2734" s="95" t="s">
        <v>8534</v>
      </c>
      <c r="G2734" s="96">
        <v>31516</v>
      </c>
      <c r="H2734" s="96">
        <v>23168</v>
      </c>
      <c r="I2734" s="100" t="s">
        <v>8535</v>
      </c>
      <c r="J2734" s="94" t="s">
        <v>8536</v>
      </c>
      <c r="K2734" s="95">
        <v>990309875</v>
      </c>
      <c r="L2734" s="91" t="s">
        <v>54</v>
      </c>
      <c r="M2734" s="98">
        <f ca="1">(TODAY()-H2734)/365</f>
        <v>62.558904109589044</v>
      </c>
      <c r="N2734" s="99">
        <f>(G2734-H2734)/365</f>
        <v>22.87123287671233</v>
      </c>
      <c r="O2734" s="98">
        <f ca="1">(TODAY()-G2734)/365</f>
        <v>39.68767123287671</v>
      </c>
      <c r="P2734" s="91" t="s">
        <v>43</v>
      </c>
      <c r="Q2734" s="91">
        <v>1</v>
      </c>
      <c r="R2734" s="91">
        <v>0</v>
      </c>
      <c r="S2734" s="91">
        <v>0</v>
      </c>
      <c r="T2734" s="91"/>
      <c r="U2734" s="91"/>
      <c r="V2734" s="91"/>
      <c r="W2734" s="91"/>
      <c r="X2734" s="91"/>
      <c r="Y2734" s="91"/>
      <c r="Z2734" s="91"/>
      <c r="AA2734" s="91"/>
      <c r="AB2734" s="91"/>
      <c r="AC2734" s="91"/>
      <c r="AD2734" s="91"/>
      <c r="AE2734" s="91"/>
      <c r="AF2734" s="91"/>
      <c r="AG2734" s="91"/>
      <c r="AH2734" s="91"/>
      <c r="AI2734" s="91"/>
      <c r="AJ2734" s="91"/>
      <c r="AK2734" s="91"/>
      <c r="AL2734" s="91"/>
      <c r="AM2734" s="91"/>
    </row>
    <row r="2735" spans="1:39" ht="20.25" hidden="1" customHeight="1">
      <c r="A2735" s="91"/>
      <c r="B2735" s="93" t="s">
        <v>8524</v>
      </c>
      <c r="C2735" s="91" t="s">
        <v>36</v>
      </c>
      <c r="D2735" s="94" t="s">
        <v>8537</v>
      </c>
      <c r="E2735" s="94" t="s">
        <v>8538</v>
      </c>
      <c r="F2735" s="95" t="s">
        <v>8539</v>
      </c>
      <c r="G2735" s="96">
        <v>34031</v>
      </c>
      <c r="H2735" s="96">
        <v>30700</v>
      </c>
      <c r="I2735" s="94" t="s">
        <v>8540</v>
      </c>
      <c r="J2735" s="94" t="s">
        <v>8541</v>
      </c>
      <c r="K2735" s="95">
        <v>944122114</v>
      </c>
      <c r="L2735" s="91" t="s">
        <v>66</v>
      </c>
      <c r="M2735" s="98">
        <f ca="1">(TODAY()-H2735)/365</f>
        <v>41.923287671232877</v>
      </c>
      <c r="N2735" s="99">
        <f>(G2735-H2735)/365</f>
        <v>9.1260273972602732</v>
      </c>
      <c r="O2735" s="98">
        <f ca="1">(TODAY()-G2735)/365</f>
        <v>32.797260273972604</v>
      </c>
      <c r="P2735" s="91" t="s">
        <v>272</v>
      </c>
      <c r="Q2735" s="91">
        <v>0</v>
      </c>
      <c r="R2735" s="91">
        <v>1</v>
      </c>
      <c r="S2735" s="91">
        <v>0</v>
      </c>
      <c r="T2735" s="91">
        <v>2024</v>
      </c>
      <c r="U2735" s="91"/>
      <c r="V2735" s="91"/>
      <c r="W2735" s="91"/>
      <c r="X2735" s="91"/>
      <c r="Y2735" s="91"/>
      <c r="Z2735" s="91"/>
      <c r="AA2735" s="91"/>
      <c r="AB2735" s="91"/>
      <c r="AC2735" s="91"/>
      <c r="AD2735" s="91"/>
      <c r="AE2735" s="91"/>
      <c r="AF2735" s="91"/>
      <c r="AG2735" s="91"/>
      <c r="AH2735" s="91"/>
      <c r="AI2735" s="91"/>
      <c r="AJ2735" s="91"/>
      <c r="AK2735" s="91"/>
      <c r="AL2735" s="91"/>
      <c r="AM2735" s="91"/>
    </row>
    <row r="2736" spans="1:39" ht="20.25" hidden="1" customHeight="1">
      <c r="A2736" s="91"/>
      <c r="B2736" s="93" t="s">
        <v>8524</v>
      </c>
      <c r="C2736" s="91" t="s">
        <v>36</v>
      </c>
      <c r="D2736" s="94" t="s">
        <v>8542</v>
      </c>
      <c r="E2736" s="94" t="s">
        <v>8543</v>
      </c>
      <c r="F2736" s="95" t="s">
        <v>8544</v>
      </c>
      <c r="G2736" s="97" t="s">
        <v>58</v>
      </c>
      <c r="H2736" s="96">
        <v>23701</v>
      </c>
      <c r="I2736" s="94" t="s">
        <v>8545</v>
      </c>
      <c r="J2736" s="94" t="s">
        <v>8546</v>
      </c>
      <c r="K2736" s="95">
        <v>936503306</v>
      </c>
      <c r="L2736" s="91" t="s">
        <v>197</v>
      </c>
      <c r="M2736" s="98">
        <f ca="1">(TODAY()-H2736)/365</f>
        <v>61.098630136986301</v>
      </c>
      <c r="N2736" s="99"/>
      <c r="O2736" s="98" t="e">
        <f ca="1">(TODAY()-G2736)/365</f>
        <v>#VALUE!</v>
      </c>
      <c r="P2736" s="91" t="s">
        <v>43</v>
      </c>
      <c r="Q2736" s="91">
        <v>0</v>
      </c>
      <c r="R2736" s="91">
        <v>1</v>
      </c>
      <c r="S2736" s="91">
        <v>0</v>
      </c>
      <c r="T2736" s="91"/>
      <c r="U2736" s="91"/>
      <c r="V2736" s="91">
        <v>2022</v>
      </c>
      <c r="W2736" s="91">
        <v>2022</v>
      </c>
      <c r="X2736" s="91"/>
      <c r="Y2736" s="91">
        <v>2022</v>
      </c>
      <c r="Z2736" s="91"/>
      <c r="AA2736" s="91"/>
      <c r="AB2736" s="91"/>
      <c r="AC2736" s="91"/>
      <c r="AD2736" s="91"/>
      <c r="AE2736" s="91"/>
      <c r="AF2736" s="91"/>
      <c r="AG2736" s="91"/>
      <c r="AH2736" s="91"/>
      <c r="AI2736" s="91"/>
      <c r="AJ2736" s="91"/>
      <c r="AK2736" s="91"/>
      <c r="AL2736" s="91"/>
      <c r="AM2736" s="91"/>
    </row>
    <row r="2737" spans="1:39" ht="20.25" hidden="1" customHeight="1">
      <c r="A2737" s="91"/>
      <c r="B2737" s="93" t="s">
        <v>8524</v>
      </c>
      <c r="C2737" s="91" t="s">
        <v>36</v>
      </c>
      <c r="D2737" s="94" t="s">
        <v>8547</v>
      </c>
      <c r="E2737" s="94" t="s">
        <v>8548</v>
      </c>
      <c r="F2737" s="95" t="s">
        <v>8549</v>
      </c>
      <c r="G2737" s="96">
        <v>40140</v>
      </c>
      <c r="H2737" s="96">
        <v>23610</v>
      </c>
      <c r="I2737" s="100" t="s">
        <v>8550</v>
      </c>
      <c r="J2737" s="94" t="s">
        <v>8551</v>
      </c>
      <c r="K2737" s="95">
        <v>963099109</v>
      </c>
      <c r="L2737" s="91" t="s">
        <v>72</v>
      </c>
      <c r="M2737" s="98">
        <f ca="1">(TODAY()-H2737)/365</f>
        <v>61.347945205479455</v>
      </c>
      <c r="N2737" s="99">
        <f>(G2737-H2737)/365</f>
        <v>45.287671232876711</v>
      </c>
      <c r="O2737" s="98">
        <f ca="1">(TODAY()-G2737)/365</f>
        <v>16.06027397260274</v>
      </c>
      <c r="P2737" s="91" t="s">
        <v>43</v>
      </c>
      <c r="Q2737" s="91">
        <v>0</v>
      </c>
      <c r="R2737" s="91">
        <v>0</v>
      </c>
      <c r="S2737" s="91">
        <v>0</v>
      </c>
      <c r="T2737" s="91"/>
      <c r="U2737" s="91"/>
      <c r="V2737" s="91"/>
      <c r="W2737" s="91"/>
      <c r="X2737" s="91"/>
      <c r="Y2737" s="91"/>
      <c r="Z2737" s="91"/>
      <c r="AA2737" s="91"/>
      <c r="AB2737" s="91"/>
      <c r="AC2737" s="91"/>
      <c r="AD2737" s="91"/>
      <c r="AE2737" s="91"/>
      <c r="AF2737" s="91"/>
      <c r="AG2737" s="91"/>
      <c r="AH2737" s="91"/>
      <c r="AI2737" s="91"/>
      <c r="AJ2737" s="91"/>
      <c r="AK2737" s="91"/>
      <c r="AL2737" s="91"/>
      <c r="AM2737" s="91"/>
    </row>
    <row r="2738" spans="1:39" ht="20.25" hidden="1" customHeight="1">
      <c r="A2738" s="91"/>
      <c r="B2738" s="93" t="s">
        <v>8524</v>
      </c>
      <c r="C2738" s="91" t="s">
        <v>36</v>
      </c>
      <c r="D2738" s="94" t="s">
        <v>8552</v>
      </c>
      <c r="E2738" s="94" t="s">
        <v>8553</v>
      </c>
      <c r="F2738" s="95" t="s">
        <v>8554</v>
      </c>
      <c r="G2738" s="96">
        <v>41351</v>
      </c>
      <c r="H2738" s="96">
        <v>19721</v>
      </c>
      <c r="I2738" s="100" t="s">
        <v>8555</v>
      </c>
      <c r="J2738" s="94" t="s">
        <v>8556</v>
      </c>
      <c r="K2738" s="95">
        <v>989432664</v>
      </c>
      <c r="L2738" s="91" t="s">
        <v>167</v>
      </c>
      <c r="M2738" s="98">
        <f ca="1">(TODAY()-H2738)/365</f>
        <v>72.0027397260274</v>
      </c>
      <c r="N2738" s="99">
        <f>(G2738-H2738)/365</f>
        <v>59.260273972602739</v>
      </c>
      <c r="O2738" s="98">
        <f ca="1">(TODAY()-G2738)/365</f>
        <v>12.742465753424657</v>
      </c>
      <c r="P2738" s="91" t="s">
        <v>43</v>
      </c>
      <c r="Q2738" s="91">
        <v>0</v>
      </c>
      <c r="R2738" s="91">
        <v>0</v>
      </c>
      <c r="S2738" s="91">
        <v>0</v>
      </c>
      <c r="T2738" s="91"/>
      <c r="U2738" s="91"/>
      <c r="V2738" s="91"/>
      <c r="W2738" s="91"/>
      <c r="X2738" s="91"/>
      <c r="Y2738" s="91"/>
      <c r="Z2738" s="91"/>
      <c r="AA2738" s="91"/>
      <c r="AB2738" s="91"/>
      <c r="AC2738" s="91"/>
      <c r="AD2738" s="91"/>
      <c r="AE2738" s="91"/>
      <c r="AF2738" s="91"/>
      <c r="AG2738" s="91"/>
      <c r="AH2738" s="91"/>
      <c r="AI2738" s="91"/>
      <c r="AJ2738" s="91"/>
      <c r="AK2738" s="91"/>
      <c r="AL2738" s="91"/>
      <c r="AM2738" s="91"/>
    </row>
    <row r="2739" spans="1:39" ht="20.25" hidden="1" customHeight="1">
      <c r="A2739" s="91"/>
      <c r="B2739" s="93" t="s">
        <v>8524</v>
      </c>
      <c r="C2739" s="91" t="s">
        <v>36</v>
      </c>
      <c r="D2739" s="94" t="s">
        <v>8557</v>
      </c>
      <c r="E2739" s="94" t="s">
        <v>8558</v>
      </c>
      <c r="F2739" s="95" t="s">
        <v>8559</v>
      </c>
      <c r="G2739" s="96">
        <v>41722</v>
      </c>
      <c r="H2739" s="96">
        <v>35450</v>
      </c>
      <c r="I2739" s="100" t="s">
        <v>8560</v>
      </c>
      <c r="J2739" s="94" t="s">
        <v>8561</v>
      </c>
      <c r="K2739" s="95">
        <v>965085810</v>
      </c>
      <c r="L2739" s="91" t="s">
        <v>121</v>
      </c>
      <c r="M2739" s="98">
        <f ca="1">(TODAY()-H2739)/365</f>
        <v>28.909589041095892</v>
      </c>
      <c r="N2739" s="99">
        <f>(G2739-H2739)/365</f>
        <v>17.183561643835617</v>
      </c>
      <c r="O2739" s="98">
        <f ca="1">(TODAY()-G2739)/365</f>
        <v>11.726027397260275</v>
      </c>
      <c r="P2739" s="91" t="s">
        <v>272</v>
      </c>
      <c r="Q2739" s="91">
        <v>0</v>
      </c>
      <c r="R2739" s="91">
        <v>1</v>
      </c>
      <c r="S2739" s="91">
        <v>0</v>
      </c>
      <c r="T2739" s="91"/>
      <c r="U2739" s="91"/>
      <c r="V2739" s="91"/>
      <c r="W2739" s="91"/>
      <c r="X2739" s="91"/>
      <c r="Y2739" s="91"/>
      <c r="Z2739" s="91"/>
      <c r="AA2739" s="91"/>
      <c r="AB2739" s="91"/>
      <c r="AC2739" s="91"/>
      <c r="AD2739" s="91"/>
      <c r="AE2739" s="91"/>
      <c r="AF2739" s="91"/>
      <c r="AG2739" s="91"/>
      <c r="AH2739" s="91"/>
      <c r="AI2739" s="91"/>
      <c r="AJ2739" s="91"/>
      <c r="AK2739" s="91"/>
      <c r="AL2739" s="91"/>
      <c r="AM2739" s="91"/>
    </row>
    <row r="2740" spans="1:39" ht="20.25" hidden="1" customHeight="1">
      <c r="A2740" s="91"/>
      <c r="B2740" s="93" t="s">
        <v>8524</v>
      </c>
      <c r="C2740" s="91" t="s">
        <v>36</v>
      </c>
      <c r="D2740" s="94" t="s">
        <v>242</v>
      </c>
      <c r="E2740" s="94" t="s">
        <v>8562</v>
      </c>
      <c r="F2740" s="95" t="s">
        <v>8563</v>
      </c>
      <c r="G2740" s="96">
        <v>44774</v>
      </c>
      <c r="H2740" s="96">
        <v>28154</v>
      </c>
      <c r="I2740" s="100" t="s">
        <v>8564</v>
      </c>
      <c r="J2740" s="94" t="s">
        <v>8565</v>
      </c>
      <c r="K2740" s="95">
        <v>965461929</v>
      </c>
      <c r="L2740" s="91" t="s">
        <v>216</v>
      </c>
      <c r="M2740" s="98">
        <f ca="1">(TODAY()-H2740)/365</f>
        <v>48.898630136986299</v>
      </c>
      <c r="N2740" s="99">
        <f>(G2740-H2740)/365</f>
        <v>45.534246575342465</v>
      </c>
      <c r="O2740" s="98">
        <f ca="1">(TODAY()-G2740)/365</f>
        <v>3.3643835616438356</v>
      </c>
      <c r="P2740" s="91" t="s">
        <v>272</v>
      </c>
      <c r="Q2740" s="91">
        <v>0</v>
      </c>
      <c r="R2740" s="91">
        <v>0</v>
      </c>
      <c r="S2740" s="91">
        <v>0</v>
      </c>
      <c r="T2740" s="91"/>
      <c r="U2740" s="91"/>
      <c r="V2740" s="91"/>
      <c r="W2740" s="91"/>
      <c r="X2740" s="91"/>
      <c r="Y2740" s="91"/>
      <c r="Z2740" s="91"/>
      <c r="AA2740" s="91"/>
      <c r="AB2740" s="91"/>
      <c r="AC2740" s="91"/>
      <c r="AD2740" s="91"/>
      <c r="AE2740" s="91"/>
      <c r="AF2740" s="91"/>
      <c r="AG2740" s="91"/>
      <c r="AH2740" s="91"/>
      <c r="AI2740" s="91"/>
      <c r="AJ2740" s="91"/>
      <c r="AK2740" s="91"/>
      <c r="AL2740" s="91"/>
      <c r="AM2740" s="91"/>
    </row>
    <row r="2741" spans="1:39" ht="20.25" hidden="1" customHeight="1">
      <c r="A2741" s="91"/>
      <c r="B2741" s="93" t="s">
        <v>8524</v>
      </c>
      <c r="C2741" s="91" t="s">
        <v>36</v>
      </c>
      <c r="D2741" s="94" t="s">
        <v>5807</v>
      </c>
      <c r="E2741" s="94" t="s">
        <v>8566</v>
      </c>
      <c r="F2741" s="95" t="s">
        <v>7261</v>
      </c>
      <c r="G2741" s="96">
        <v>45324</v>
      </c>
      <c r="H2741" s="96">
        <v>36489</v>
      </c>
      <c r="I2741" s="94" t="s">
        <v>8567</v>
      </c>
      <c r="J2741" s="94" t="s">
        <v>8568</v>
      </c>
      <c r="K2741" s="95">
        <v>944555939</v>
      </c>
      <c r="L2741" s="91" t="s">
        <v>60</v>
      </c>
      <c r="M2741" s="98">
        <f ca="1">(TODAY()-H2741)/365</f>
        <v>26.063013698630137</v>
      </c>
      <c r="N2741" s="99">
        <f>(G2741-H2741)/365</f>
        <v>24.205479452054796</v>
      </c>
      <c r="O2741" s="98">
        <f ca="1">(TODAY()-G2741)/365</f>
        <v>1.8575342465753424</v>
      </c>
      <c r="P2741" s="91" t="s">
        <v>272</v>
      </c>
      <c r="Q2741" s="91">
        <v>0</v>
      </c>
      <c r="R2741" s="91">
        <v>0</v>
      </c>
      <c r="S2741" s="91">
        <v>0</v>
      </c>
      <c r="T2741" s="91"/>
      <c r="U2741" s="91"/>
      <c r="V2741" s="91"/>
      <c r="W2741" s="91"/>
      <c r="X2741" s="91"/>
      <c r="Y2741" s="91"/>
      <c r="Z2741" s="91"/>
      <c r="AA2741" s="91"/>
      <c r="AB2741" s="91"/>
      <c r="AC2741" s="91"/>
      <c r="AD2741" s="91"/>
      <c r="AE2741" s="91"/>
      <c r="AF2741" s="91"/>
      <c r="AG2741" s="91"/>
      <c r="AH2741" s="91"/>
      <c r="AI2741" s="91"/>
      <c r="AJ2741" s="91"/>
      <c r="AK2741" s="91"/>
      <c r="AL2741" s="91"/>
      <c r="AM2741" s="91"/>
    </row>
    <row r="2742" spans="1:39" ht="20.25" hidden="1" customHeight="1">
      <c r="A2742" s="91"/>
      <c r="B2742" s="93" t="s">
        <v>8524</v>
      </c>
      <c r="C2742" s="91" t="s">
        <v>36</v>
      </c>
      <c r="D2742" s="94" t="s">
        <v>8569</v>
      </c>
      <c r="E2742" s="94" t="s">
        <v>8570</v>
      </c>
      <c r="F2742" s="95" t="s">
        <v>8571</v>
      </c>
      <c r="G2742" s="96">
        <v>40262</v>
      </c>
      <c r="H2742" s="96">
        <v>34578</v>
      </c>
      <c r="I2742" s="94" t="s">
        <v>8572</v>
      </c>
      <c r="J2742" s="94" t="s">
        <v>8546</v>
      </c>
      <c r="K2742" s="95">
        <v>945327374</v>
      </c>
      <c r="L2742" s="91" t="s">
        <v>60</v>
      </c>
      <c r="M2742" s="98">
        <f ca="1">(TODAY()-H2742)/365</f>
        <v>31.298630136986301</v>
      </c>
      <c r="N2742" s="123">
        <f>(G2742-H2742)/365</f>
        <v>15.572602739726028</v>
      </c>
      <c r="O2742" s="98">
        <f ca="1">(TODAY()-G2742)/365</f>
        <v>15.726027397260275</v>
      </c>
      <c r="P2742" s="91" t="s">
        <v>43</v>
      </c>
      <c r="Q2742" s="91">
        <v>0</v>
      </c>
      <c r="R2742" s="91">
        <v>0</v>
      </c>
      <c r="S2742" s="91">
        <v>0</v>
      </c>
      <c r="T2742" s="91"/>
      <c r="U2742" s="91"/>
      <c r="V2742" s="91"/>
      <c r="W2742" s="91"/>
      <c r="X2742" s="91"/>
      <c r="Y2742" s="91"/>
      <c r="Z2742" s="91"/>
      <c r="AA2742" s="91"/>
      <c r="AB2742" s="91"/>
      <c r="AC2742" s="91"/>
      <c r="AD2742" s="91"/>
      <c r="AE2742" s="91"/>
      <c r="AF2742" s="91"/>
      <c r="AG2742" s="91"/>
      <c r="AH2742" s="91"/>
      <c r="AI2742" s="91"/>
      <c r="AJ2742" s="91"/>
      <c r="AK2742" s="91"/>
      <c r="AL2742" s="91"/>
      <c r="AM2742" s="91"/>
    </row>
    <row r="2743" spans="1:39" ht="20.25" hidden="1" customHeight="1">
      <c r="A2743" s="91"/>
      <c r="B2743" s="93" t="s">
        <v>8524</v>
      </c>
      <c r="C2743" s="91" t="s">
        <v>36</v>
      </c>
      <c r="D2743" s="94" t="s">
        <v>7741</v>
      </c>
      <c r="E2743" s="94" t="s">
        <v>8573</v>
      </c>
      <c r="F2743" s="95" t="s">
        <v>8574</v>
      </c>
      <c r="G2743" s="96">
        <v>45566</v>
      </c>
      <c r="H2743" s="96">
        <v>35380</v>
      </c>
      <c r="I2743" s="94" t="s">
        <v>8575</v>
      </c>
      <c r="J2743" s="94" t="s">
        <v>8576</v>
      </c>
      <c r="K2743" s="95">
        <v>966380303</v>
      </c>
      <c r="L2743" s="91" t="s">
        <v>60</v>
      </c>
      <c r="M2743" s="98">
        <f ca="1">(TODAY()-H2743)/365</f>
        <v>29.101369863013698</v>
      </c>
      <c r="N2743" s="99">
        <f>(G2743-H2743)/365</f>
        <v>27.906849315068492</v>
      </c>
      <c r="O2743" s="98">
        <f ca="1">(TODAY()-G2743)/365</f>
        <v>1.1945205479452055</v>
      </c>
      <c r="P2743" s="91" t="s">
        <v>43</v>
      </c>
      <c r="Q2743" s="91">
        <v>0</v>
      </c>
      <c r="R2743" s="91">
        <v>0</v>
      </c>
      <c r="S2743" s="91">
        <v>0</v>
      </c>
      <c r="T2743" s="91"/>
      <c r="U2743" s="91"/>
      <c r="V2743" s="91"/>
      <c r="W2743" s="91"/>
      <c r="X2743" s="91"/>
      <c r="Y2743" s="91"/>
      <c r="Z2743" s="91"/>
      <c r="AA2743" s="91"/>
      <c r="AB2743" s="91"/>
      <c r="AC2743" s="91"/>
      <c r="AD2743" s="91"/>
      <c r="AE2743" s="91"/>
      <c r="AF2743" s="91"/>
      <c r="AG2743" s="91"/>
      <c r="AH2743" s="91"/>
      <c r="AI2743" s="91"/>
      <c r="AJ2743" s="91"/>
      <c r="AK2743" s="91"/>
      <c r="AL2743" s="91"/>
      <c r="AM2743" s="91"/>
    </row>
    <row r="2744" spans="1:39" ht="20.25" hidden="1" customHeight="1">
      <c r="A2744" s="91"/>
      <c r="B2744" s="93" t="s">
        <v>8524</v>
      </c>
      <c r="C2744" s="91" t="s">
        <v>36</v>
      </c>
      <c r="D2744" s="94" t="s">
        <v>8577</v>
      </c>
      <c r="E2744" s="94" t="s">
        <v>8578</v>
      </c>
      <c r="F2744" s="95" t="s">
        <v>8579</v>
      </c>
      <c r="G2744" s="96">
        <v>44242</v>
      </c>
      <c r="H2744" s="96">
        <v>38640</v>
      </c>
      <c r="I2744" s="94" t="s">
        <v>8580</v>
      </c>
      <c r="J2744" s="100" t="s">
        <v>58</v>
      </c>
      <c r="K2744" s="91" t="s">
        <v>58</v>
      </c>
      <c r="L2744" s="91" t="s">
        <v>60</v>
      </c>
      <c r="M2744" s="98">
        <f ca="1">(TODAY()-H2744)/365</f>
        <v>20.169863013698631</v>
      </c>
      <c r="N2744" s="123">
        <f>(G2744-H2744)/365</f>
        <v>15.347945205479451</v>
      </c>
      <c r="O2744" s="98">
        <f ca="1">(TODAY()-H2744)/365</f>
        <v>20.169863013698631</v>
      </c>
      <c r="P2744" s="91" t="s">
        <v>272</v>
      </c>
      <c r="Q2744" s="91">
        <v>0</v>
      </c>
      <c r="R2744" s="91">
        <v>0</v>
      </c>
      <c r="S2744" s="91">
        <v>0</v>
      </c>
      <c r="T2744" s="91"/>
      <c r="U2744" s="91"/>
      <c r="V2744" s="91"/>
      <c r="W2744" s="91"/>
      <c r="X2744" s="91"/>
      <c r="Y2744" s="91"/>
      <c r="Z2744" s="91"/>
      <c r="AA2744" s="91"/>
      <c r="AB2744" s="91"/>
      <c r="AC2744" s="91"/>
      <c r="AD2744" s="91"/>
      <c r="AE2744" s="91"/>
      <c r="AF2744" s="91"/>
      <c r="AG2744" s="91"/>
      <c r="AH2744" s="91"/>
      <c r="AI2744" s="91"/>
      <c r="AJ2744" s="91"/>
      <c r="AK2744" s="91"/>
      <c r="AL2744" s="91"/>
      <c r="AM2744" s="91"/>
    </row>
    <row r="2745" spans="1:39" ht="20.25" hidden="1" customHeight="1">
      <c r="A2745" s="91"/>
      <c r="B2745" s="93" t="s">
        <v>8524</v>
      </c>
      <c r="C2745" s="91" t="s">
        <v>36</v>
      </c>
      <c r="D2745" s="94" t="s">
        <v>8581</v>
      </c>
      <c r="E2745" s="94" t="s">
        <v>8582</v>
      </c>
      <c r="F2745" s="95" t="s">
        <v>8583</v>
      </c>
      <c r="G2745" s="96">
        <v>44348</v>
      </c>
      <c r="H2745" s="96">
        <v>37652</v>
      </c>
      <c r="I2745" s="94" t="s">
        <v>8584</v>
      </c>
      <c r="J2745" s="100" t="s">
        <v>58</v>
      </c>
      <c r="K2745" s="91" t="s">
        <v>58</v>
      </c>
      <c r="L2745" s="91" t="s">
        <v>60</v>
      </c>
      <c r="M2745" s="98">
        <f ca="1">(TODAY()-H2745)/365</f>
        <v>22.876712328767123</v>
      </c>
      <c r="N2745" s="99">
        <f>(G2745-H2745)/365</f>
        <v>18.345205479452055</v>
      </c>
      <c r="O2745" s="98">
        <f ca="1">(TODAY()-G2745)/365</f>
        <v>4.5315068493150683</v>
      </c>
      <c r="P2745" s="91" t="s">
        <v>43</v>
      </c>
      <c r="Q2745" s="91">
        <v>0</v>
      </c>
      <c r="R2745" s="91">
        <v>0</v>
      </c>
      <c r="S2745" s="91">
        <v>0</v>
      </c>
      <c r="T2745" s="91"/>
      <c r="U2745" s="91"/>
      <c r="V2745" s="91"/>
      <c r="W2745" s="91"/>
      <c r="X2745" s="91"/>
      <c r="Y2745" s="91"/>
      <c r="Z2745" s="91"/>
      <c r="AA2745" s="91"/>
      <c r="AB2745" s="91"/>
      <c r="AC2745" s="91"/>
      <c r="AD2745" s="91"/>
      <c r="AE2745" s="91"/>
      <c r="AF2745" s="91"/>
      <c r="AG2745" s="91"/>
      <c r="AH2745" s="91"/>
      <c r="AI2745" s="91"/>
      <c r="AJ2745" s="91"/>
      <c r="AK2745" s="91"/>
      <c r="AL2745" s="91"/>
      <c r="AM2745" s="91"/>
    </row>
    <row r="2746" spans="1:39" ht="20.25" hidden="1" customHeight="1">
      <c r="A2746" s="91"/>
      <c r="B2746" s="93" t="s">
        <v>8524</v>
      </c>
      <c r="C2746" s="91" t="s">
        <v>36</v>
      </c>
      <c r="D2746" s="94" t="s">
        <v>8585</v>
      </c>
      <c r="E2746" s="94" t="s">
        <v>8586</v>
      </c>
      <c r="F2746" s="95" t="s">
        <v>8587</v>
      </c>
      <c r="G2746" s="96">
        <v>44774</v>
      </c>
      <c r="H2746" s="96" t="s">
        <v>58</v>
      </c>
      <c r="I2746" s="94" t="s">
        <v>58</v>
      </c>
      <c r="J2746" s="100" t="s">
        <v>58</v>
      </c>
      <c r="K2746" s="91" t="s">
        <v>58</v>
      </c>
      <c r="L2746" s="91" t="s">
        <v>60</v>
      </c>
      <c r="M2746" s="98"/>
      <c r="N2746" s="99"/>
      <c r="O2746" s="98">
        <f ca="1">(TODAY()-G2746)/365</f>
        <v>3.3643835616438356</v>
      </c>
      <c r="P2746" s="91" t="s">
        <v>43</v>
      </c>
      <c r="Q2746" s="91">
        <v>0</v>
      </c>
      <c r="R2746" s="91">
        <v>0</v>
      </c>
      <c r="S2746" s="91">
        <v>0</v>
      </c>
      <c r="T2746" s="91"/>
      <c r="U2746" s="91"/>
      <c r="V2746" s="91"/>
      <c r="W2746" s="91"/>
      <c r="X2746" s="91"/>
      <c r="Y2746" s="91"/>
      <c r="Z2746" s="91"/>
      <c r="AA2746" s="91"/>
      <c r="AB2746" s="91"/>
      <c r="AC2746" s="91"/>
      <c r="AD2746" s="91"/>
      <c r="AE2746" s="91"/>
      <c r="AF2746" s="91"/>
      <c r="AG2746" s="91"/>
      <c r="AH2746" s="91"/>
      <c r="AI2746" s="91"/>
      <c r="AJ2746" s="91"/>
      <c r="AK2746" s="91"/>
      <c r="AL2746" s="91"/>
      <c r="AM2746" s="91"/>
    </row>
    <row r="2747" spans="1:39" ht="20.25" customHeight="1">
      <c r="A2747" s="91"/>
      <c r="B2747" s="93" t="s">
        <v>3374</v>
      </c>
      <c r="C2747" s="91" t="s">
        <v>73</v>
      </c>
      <c r="D2747" s="107" t="s">
        <v>3443</v>
      </c>
      <c r="E2747" s="107" t="s">
        <v>3444</v>
      </c>
      <c r="F2747" s="91" t="s">
        <v>3445</v>
      </c>
      <c r="G2747" s="96">
        <v>45387</v>
      </c>
      <c r="H2747" s="103">
        <v>31966</v>
      </c>
      <c r="I2747" s="94" t="s">
        <v>3446</v>
      </c>
      <c r="J2747" s="94" t="s">
        <v>58</v>
      </c>
      <c r="K2747" s="95" t="s">
        <v>58</v>
      </c>
      <c r="L2747" s="91" t="s">
        <v>60</v>
      </c>
      <c r="M2747" s="98">
        <f ca="1">(TODAY()-H2747)/365</f>
        <v>38.454794520547942</v>
      </c>
      <c r="N2747" s="99">
        <f>(G2747-H2747)/365</f>
        <v>36.769863013698632</v>
      </c>
      <c r="O2747" s="98">
        <f ca="1">(TODAY()-G2747)/365</f>
        <v>1.6849315068493151</v>
      </c>
      <c r="P2747" s="91" t="s">
        <v>272</v>
      </c>
      <c r="Q2747" s="91"/>
      <c r="R2747" s="91"/>
      <c r="S2747" s="91"/>
      <c r="T2747" s="91"/>
      <c r="U2747" s="91"/>
      <c r="V2747" s="91"/>
      <c r="W2747" s="91"/>
      <c r="X2747" s="91"/>
      <c r="Y2747" s="91"/>
      <c r="Z2747" s="91"/>
      <c r="AA2747" s="91"/>
      <c r="AB2747" s="91"/>
      <c r="AC2747" s="91"/>
      <c r="AD2747" s="91"/>
      <c r="AE2747" s="91"/>
      <c r="AF2747" s="91"/>
      <c r="AG2747" s="91"/>
      <c r="AH2747" s="91"/>
      <c r="AI2747" s="91"/>
      <c r="AJ2747" s="91"/>
      <c r="AK2747" s="91"/>
      <c r="AL2747" s="91"/>
      <c r="AM2747" s="91"/>
    </row>
    <row r="2748" spans="1:39" ht="20.25" customHeight="1">
      <c r="A2748" s="128"/>
      <c r="B2748" s="93" t="s">
        <v>11444</v>
      </c>
      <c r="C2748" s="91" t="s">
        <v>73</v>
      </c>
      <c r="D2748" s="106" t="s">
        <v>11480</v>
      </c>
      <c r="E2748" s="106" t="s">
        <v>11481</v>
      </c>
      <c r="F2748" s="92" t="s">
        <v>12691</v>
      </c>
      <c r="G2748" s="103">
        <v>45601</v>
      </c>
      <c r="H2748" s="103" t="s">
        <v>58</v>
      </c>
      <c r="I2748" s="94" t="s">
        <v>58</v>
      </c>
      <c r="J2748" s="100" t="s">
        <v>58</v>
      </c>
      <c r="K2748" s="95" t="s">
        <v>58</v>
      </c>
      <c r="L2748" s="91"/>
      <c r="M2748" s="98"/>
      <c r="N2748" s="99" t="e">
        <f>(G2748-H2748)/365</f>
        <v>#VALUE!</v>
      </c>
      <c r="O2748" s="98">
        <f ca="1">(TODAY()-G2748)/365</f>
        <v>1.0986301369863014</v>
      </c>
      <c r="P2748" s="91" t="s">
        <v>43</v>
      </c>
      <c r="Q2748" s="91"/>
      <c r="R2748" s="91"/>
      <c r="S2748" s="91"/>
      <c r="T2748" s="91"/>
      <c r="U2748" s="91"/>
      <c r="V2748" s="91"/>
      <c r="W2748" s="91"/>
      <c r="X2748" s="91"/>
      <c r="Y2748" s="91"/>
      <c r="Z2748" s="91"/>
      <c r="AA2748" s="91"/>
      <c r="AB2748" s="91"/>
      <c r="AC2748" s="91"/>
      <c r="AD2748" s="91"/>
      <c r="AE2748" s="91"/>
      <c r="AF2748" s="91"/>
      <c r="AG2748" s="91"/>
      <c r="AH2748" s="91"/>
      <c r="AI2748" s="91"/>
      <c r="AJ2748" s="91"/>
      <c r="AK2748" s="91"/>
      <c r="AL2748" s="91"/>
      <c r="AM2748" s="91"/>
    </row>
    <row r="2749" spans="1:39" ht="20.25" customHeight="1">
      <c r="A2749" s="91"/>
      <c r="B2749" s="93" t="s">
        <v>7126</v>
      </c>
      <c r="C2749" s="91" t="s">
        <v>73</v>
      </c>
      <c r="D2749" s="94" t="s">
        <v>7186</v>
      </c>
      <c r="E2749" s="94" t="s">
        <v>7187</v>
      </c>
      <c r="F2749" s="95" t="s">
        <v>7188</v>
      </c>
      <c r="G2749" s="96">
        <v>35312</v>
      </c>
      <c r="H2749" s="97">
        <v>21523</v>
      </c>
      <c r="I2749" s="94" t="s">
        <v>58</v>
      </c>
      <c r="J2749" s="94" t="s">
        <v>58</v>
      </c>
      <c r="K2749" s="95" t="s">
        <v>58</v>
      </c>
      <c r="L2749" s="91" t="s">
        <v>60</v>
      </c>
      <c r="M2749" s="98">
        <f ca="1">(TODAY()-H2749)/365</f>
        <v>67.06575342465753</v>
      </c>
      <c r="N2749" s="99">
        <f>(G2749-H2749)/365</f>
        <v>37.778082191780825</v>
      </c>
      <c r="O2749" s="98">
        <f ca="1">(TODAY()-G2749)/365</f>
        <v>29.287671232876711</v>
      </c>
      <c r="P2749" s="91" t="s">
        <v>43</v>
      </c>
      <c r="Q2749" s="91">
        <v>0</v>
      </c>
      <c r="R2749" s="91">
        <v>0</v>
      </c>
      <c r="S2749" s="91">
        <v>0</v>
      </c>
      <c r="T2749" s="91"/>
      <c r="U2749" s="91"/>
      <c r="V2749" s="91"/>
      <c r="W2749" s="91"/>
      <c r="X2749" s="91"/>
      <c r="Y2749" s="91"/>
      <c r="Z2749" s="91"/>
      <c r="AA2749" s="91"/>
      <c r="AB2749" s="91"/>
      <c r="AC2749" s="91"/>
      <c r="AD2749" s="91"/>
      <c r="AE2749" s="91"/>
      <c r="AF2749" s="91"/>
      <c r="AG2749" s="91"/>
      <c r="AH2749" s="91"/>
      <c r="AI2749" s="91"/>
      <c r="AJ2749" s="91"/>
      <c r="AK2749" s="91"/>
      <c r="AL2749" s="91"/>
      <c r="AM2749" s="91"/>
    </row>
    <row r="2750" spans="1:39" ht="20.25" customHeight="1">
      <c r="A2750" s="91"/>
      <c r="B2750" s="93" t="s">
        <v>5365</v>
      </c>
      <c r="C2750" s="91" t="s">
        <v>73</v>
      </c>
      <c r="D2750" s="94" t="s">
        <v>5404</v>
      </c>
      <c r="E2750" s="94" t="s">
        <v>5405</v>
      </c>
      <c r="F2750" s="95" t="s">
        <v>5406</v>
      </c>
      <c r="G2750" s="96">
        <v>34379</v>
      </c>
      <c r="H2750" s="97">
        <v>20904</v>
      </c>
      <c r="I2750" s="102" t="s">
        <v>5407</v>
      </c>
      <c r="J2750" s="100" t="s">
        <v>58</v>
      </c>
      <c r="K2750" s="91" t="s">
        <v>58</v>
      </c>
      <c r="L2750" s="91" t="s">
        <v>60</v>
      </c>
      <c r="M2750" s="98">
        <f ca="1">(TODAY()-H2750)/365</f>
        <v>68.761643835616439</v>
      </c>
      <c r="N2750" s="99">
        <f>(G2750-H2750)/365</f>
        <v>36.917808219178085</v>
      </c>
      <c r="O2750" s="98">
        <f ca="1">(TODAY()-G2750)/365</f>
        <v>31.843835616438355</v>
      </c>
      <c r="P2750" s="91" t="s">
        <v>43</v>
      </c>
      <c r="Q2750" s="91">
        <v>0</v>
      </c>
      <c r="R2750" s="91">
        <v>0</v>
      </c>
      <c r="S2750" s="91">
        <v>0</v>
      </c>
      <c r="T2750" s="91"/>
      <c r="U2750" s="91"/>
      <c r="V2750" s="91"/>
      <c r="W2750" s="91"/>
      <c r="X2750" s="91"/>
      <c r="Y2750" s="91"/>
      <c r="Z2750" s="91"/>
      <c r="AA2750" s="91"/>
      <c r="AB2750" s="91"/>
      <c r="AC2750" s="91"/>
      <c r="AD2750" s="91"/>
      <c r="AE2750" s="91"/>
      <c r="AF2750" s="91"/>
      <c r="AG2750" s="91"/>
      <c r="AH2750" s="91"/>
      <c r="AI2750" s="91"/>
      <c r="AJ2750" s="91"/>
      <c r="AK2750" s="91"/>
      <c r="AL2750" s="91"/>
      <c r="AM2750" s="91"/>
    </row>
    <row r="2751" spans="1:39" ht="20.25" customHeight="1">
      <c r="A2751" s="91"/>
      <c r="B2751" s="93" t="s">
        <v>10981</v>
      </c>
      <c r="C2751" s="91" t="s">
        <v>73</v>
      </c>
      <c r="D2751" s="106" t="s">
        <v>11082</v>
      </c>
      <c r="E2751" s="106" t="s">
        <v>11083</v>
      </c>
      <c r="F2751" s="92" t="s">
        <v>11084</v>
      </c>
      <c r="G2751" s="103">
        <v>43216</v>
      </c>
      <c r="H2751" s="103">
        <v>23833</v>
      </c>
      <c r="I2751" s="94" t="s">
        <v>58</v>
      </c>
      <c r="J2751" s="100" t="s">
        <v>58</v>
      </c>
      <c r="K2751" s="95" t="s">
        <v>58</v>
      </c>
      <c r="L2751" s="91"/>
      <c r="M2751" s="98">
        <f ca="1">(TODAY()-H2751)/365</f>
        <v>60.736986301369861</v>
      </c>
      <c r="N2751" s="99">
        <f>(G2751-H2751)/365</f>
        <v>53.104109589041094</v>
      </c>
      <c r="O2751" s="98">
        <f ca="1">(TODAY()-G2751)/365</f>
        <v>7.6328767123287671</v>
      </c>
      <c r="P2751" s="91" t="s">
        <v>43</v>
      </c>
      <c r="Q2751" s="91"/>
      <c r="R2751" s="91"/>
      <c r="S2751" s="91"/>
      <c r="T2751" s="91"/>
      <c r="U2751" s="91"/>
      <c r="V2751" s="91"/>
      <c r="W2751" s="91"/>
      <c r="X2751" s="91"/>
      <c r="Y2751" s="91"/>
      <c r="Z2751" s="91"/>
      <c r="AA2751" s="91"/>
      <c r="AB2751" s="91"/>
      <c r="AC2751" s="91"/>
      <c r="AD2751" s="91"/>
      <c r="AE2751" s="91"/>
      <c r="AF2751" s="91"/>
      <c r="AG2751" s="91"/>
      <c r="AH2751" s="91"/>
      <c r="AI2751" s="91"/>
      <c r="AJ2751" s="91"/>
      <c r="AK2751" s="91"/>
      <c r="AL2751" s="91"/>
      <c r="AM2751" s="91"/>
    </row>
    <row r="2752" spans="1:39" ht="20.25" hidden="1" customHeight="1">
      <c r="A2752" s="91"/>
      <c r="B2752" s="93" t="s">
        <v>8524</v>
      </c>
      <c r="C2752" s="91" t="s">
        <v>36</v>
      </c>
      <c r="D2752" s="94" t="s">
        <v>686</v>
      </c>
      <c r="E2752" s="94" t="s">
        <v>7051</v>
      </c>
      <c r="F2752" s="95" t="s">
        <v>7052</v>
      </c>
      <c r="G2752" s="96" t="s">
        <v>58</v>
      </c>
      <c r="H2752" s="96" t="s">
        <v>58</v>
      </c>
      <c r="I2752" s="94" t="s">
        <v>7053</v>
      </c>
      <c r="J2752" s="100" t="s">
        <v>58</v>
      </c>
      <c r="K2752" s="91" t="s">
        <v>58</v>
      </c>
      <c r="L2752" s="91" t="s">
        <v>60</v>
      </c>
      <c r="M2752" s="98">
        <v>0</v>
      </c>
      <c r="N2752" s="99"/>
      <c r="O2752" s="98" t="e">
        <f ca="1">(TODAY()-G2752)/365</f>
        <v>#VALUE!</v>
      </c>
      <c r="P2752" s="91" t="s">
        <v>43</v>
      </c>
      <c r="Q2752" s="91">
        <v>1</v>
      </c>
      <c r="R2752" s="91">
        <v>0</v>
      </c>
      <c r="S2752" s="91">
        <v>0</v>
      </c>
      <c r="T2752" s="91"/>
      <c r="U2752" s="91"/>
      <c r="V2752" s="91"/>
      <c r="W2752" s="91"/>
      <c r="X2752" s="91"/>
      <c r="Y2752" s="91"/>
      <c r="Z2752" s="91"/>
      <c r="AA2752" s="91"/>
      <c r="AB2752" s="91"/>
      <c r="AC2752" s="91"/>
      <c r="AD2752" s="91"/>
      <c r="AE2752" s="91"/>
      <c r="AF2752" s="91"/>
      <c r="AG2752" s="91"/>
      <c r="AH2752" s="91"/>
      <c r="AI2752" s="91"/>
      <c r="AJ2752" s="91"/>
      <c r="AK2752" s="91"/>
      <c r="AL2752" s="91"/>
      <c r="AM2752" s="91"/>
    </row>
    <row r="2753" spans="1:39" ht="20.25" hidden="1" customHeight="1">
      <c r="A2753" s="91"/>
      <c r="B2753" s="93" t="s">
        <v>8524</v>
      </c>
      <c r="C2753" s="91" t="s">
        <v>36</v>
      </c>
      <c r="D2753" s="94" t="s">
        <v>3771</v>
      </c>
      <c r="E2753" s="94" t="s">
        <v>5730</v>
      </c>
      <c r="F2753" s="95" t="s">
        <v>8605</v>
      </c>
      <c r="G2753" s="96" t="s">
        <v>58</v>
      </c>
      <c r="H2753" s="96" t="s">
        <v>58</v>
      </c>
      <c r="I2753" s="94" t="s">
        <v>8606</v>
      </c>
      <c r="J2753" s="100" t="s">
        <v>58</v>
      </c>
      <c r="K2753" s="91" t="s">
        <v>58</v>
      </c>
      <c r="L2753" s="91" t="s">
        <v>60</v>
      </c>
      <c r="M2753" s="98">
        <v>0</v>
      </c>
      <c r="N2753" s="99"/>
      <c r="O2753" s="98" t="e">
        <f ca="1">(TODAY()-G2753)/365</f>
        <v>#VALUE!</v>
      </c>
      <c r="P2753" s="91" t="s">
        <v>272</v>
      </c>
      <c r="Q2753" s="91">
        <v>1</v>
      </c>
      <c r="R2753" s="91">
        <v>0</v>
      </c>
      <c r="S2753" s="91">
        <v>0</v>
      </c>
      <c r="T2753" s="91"/>
      <c r="U2753" s="91"/>
      <c r="V2753" s="91"/>
      <c r="W2753" s="91"/>
      <c r="X2753" s="91"/>
      <c r="Y2753" s="91"/>
      <c r="Z2753" s="91"/>
      <c r="AA2753" s="91"/>
      <c r="AB2753" s="91"/>
      <c r="AC2753" s="91"/>
      <c r="AD2753" s="91"/>
      <c r="AE2753" s="91"/>
      <c r="AF2753" s="91"/>
      <c r="AG2753" s="91"/>
      <c r="AH2753" s="91"/>
      <c r="AI2753" s="91"/>
      <c r="AJ2753" s="91"/>
      <c r="AK2753" s="91"/>
      <c r="AL2753" s="91"/>
      <c r="AM2753" s="91"/>
    </row>
    <row r="2754" spans="1:39" ht="20.25" hidden="1" customHeight="1">
      <c r="A2754" s="91"/>
      <c r="B2754" s="93" t="s">
        <v>8524</v>
      </c>
      <c r="C2754" s="91" t="s">
        <v>36</v>
      </c>
      <c r="D2754" s="94" t="s">
        <v>3636</v>
      </c>
      <c r="E2754" s="94" t="s">
        <v>8607</v>
      </c>
      <c r="F2754" s="95" t="s">
        <v>8608</v>
      </c>
      <c r="G2754" s="96" t="s">
        <v>58</v>
      </c>
      <c r="H2754" s="96" t="s">
        <v>58</v>
      </c>
      <c r="I2754" s="124" t="s">
        <v>8609</v>
      </c>
      <c r="J2754" s="100" t="s">
        <v>58</v>
      </c>
      <c r="K2754" s="91" t="s">
        <v>58</v>
      </c>
      <c r="L2754" s="91" t="s">
        <v>60</v>
      </c>
      <c r="M2754" s="98">
        <v>0</v>
      </c>
      <c r="N2754" s="99"/>
      <c r="O2754" s="98" t="e">
        <f ca="1">(TODAY()-G2754)/365</f>
        <v>#VALUE!</v>
      </c>
      <c r="P2754" s="91" t="s">
        <v>43</v>
      </c>
      <c r="Q2754" s="91">
        <v>1</v>
      </c>
      <c r="R2754" s="91">
        <v>0</v>
      </c>
      <c r="S2754" s="91">
        <v>0</v>
      </c>
      <c r="T2754" s="91"/>
      <c r="U2754" s="91"/>
      <c r="V2754" s="91"/>
      <c r="W2754" s="91"/>
      <c r="X2754" s="91"/>
      <c r="Y2754" s="91"/>
      <c r="Z2754" s="91"/>
      <c r="AA2754" s="91"/>
      <c r="AB2754" s="91"/>
      <c r="AC2754" s="91"/>
      <c r="AD2754" s="91"/>
      <c r="AE2754" s="91"/>
      <c r="AF2754" s="91"/>
      <c r="AG2754" s="91"/>
      <c r="AH2754" s="91"/>
      <c r="AI2754" s="91"/>
      <c r="AJ2754" s="91"/>
      <c r="AK2754" s="91"/>
      <c r="AL2754" s="91"/>
      <c r="AM2754" s="91"/>
    </row>
    <row r="2755" spans="1:39" ht="20.25" hidden="1" customHeight="1">
      <c r="A2755" s="91"/>
      <c r="B2755" s="93" t="s">
        <v>8524</v>
      </c>
      <c r="C2755" s="91" t="s">
        <v>36</v>
      </c>
      <c r="D2755" s="94" t="s">
        <v>8610</v>
      </c>
      <c r="E2755" s="94" t="s">
        <v>8611</v>
      </c>
      <c r="F2755" s="95" t="s">
        <v>8612</v>
      </c>
      <c r="G2755" s="96" t="s">
        <v>58</v>
      </c>
      <c r="H2755" s="96" t="s">
        <v>58</v>
      </c>
      <c r="I2755" s="94" t="s">
        <v>8613</v>
      </c>
      <c r="J2755" s="100" t="s">
        <v>58</v>
      </c>
      <c r="K2755" s="91" t="s">
        <v>58</v>
      </c>
      <c r="L2755" s="91" t="s">
        <v>60</v>
      </c>
      <c r="M2755" s="98">
        <v>0</v>
      </c>
      <c r="N2755" s="99"/>
      <c r="O2755" s="98" t="e">
        <f ca="1">(TODAY()-G2755)/365</f>
        <v>#VALUE!</v>
      </c>
      <c r="P2755" s="91" t="s">
        <v>43</v>
      </c>
      <c r="Q2755" s="91">
        <v>1</v>
      </c>
      <c r="R2755" s="91">
        <v>0</v>
      </c>
      <c r="S2755" s="91">
        <v>0</v>
      </c>
      <c r="T2755" s="91"/>
      <c r="U2755" s="91"/>
      <c r="V2755" s="91"/>
      <c r="W2755" s="91"/>
      <c r="X2755" s="91"/>
      <c r="Y2755" s="91"/>
      <c r="Z2755" s="91"/>
      <c r="AA2755" s="91"/>
      <c r="AB2755" s="91"/>
      <c r="AC2755" s="91"/>
      <c r="AD2755" s="91"/>
      <c r="AE2755" s="91"/>
      <c r="AF2755" s="91"/>
      <c r="AG2755" s="91"/>
      <c r="AH2755" s="91"/>
      <c r="AI2755" s="91"/>
      <c r="AJ2755" s="91"/>
      <c r="AK2755" s="91"/>
      <c r="AL2755" s="91"/>
      <c r="AM2755" s="91"/>
    </row>
    <row r="2756" spans="1:39" ht="20.25" hidden="1" customHeight="1">
      <c r="A2756" s="91"/>
      <c r="B2756" s="93" t="s">
        <v>8524</v>
      </c>
      <c r="C2756" s="91" t="s">
        <v>36</v>
      </c>
      <c r="D2756" s="94" t="s">
        <v>431</v>
      </c>
      <c r="E2756" s="94" t="s">
        <v>2256</v>
      </c>
      <c r="F2756" s="95" t="s">
        <v>2257</v>
      </c>
      <c r="G2756" s="96" t="s">
        <v>58</v>
      </c>
      <c r="H2756" s="96" t="s">
        <v>58</v>
      </c>
      <c r="I2756" s="94" t="s">
        <v>8614</v>
      </c>
      <c r="J2756" s="100" t="s">
        <v>58</v>
      </c>
      <c r="K2756" s="91" t="s">
        <v>58</v>
      </c>
      <c r="L2756" s="91" t="s">
        <v>60</v>
      </c>
      <c r="M2756" s="98">
        <v>0</v>
      </c>
      <c r="N2756" s="99"/>
      <c r="O2756" s="98" t="e">
        <f ca="1">(TODAY()-G2756)/365</f>
        <v>#VALUE!</v>
      </c>
      <c r="P2756" s="91" t="s">
        <v>272</v>
      </c>
      <c r="Q2756" s="91">
        <v>1</v>
      </c>
      <c r="R2756" s="91">
        <v>0</v>
      </c>
      <c r="S2756" s="91">
        <v>0</v>
      </c>
      <c r="T2756" s="91"/>
      <c r="U2756" s="91"/>
      <c r="V2756" s="91"/>
      <c r="W2756" s="91"/>
      <c r="X2756" s="91"/>
      <c r="Y2756" s="91"/>
      <c r="Z2756" s="91"/>
      <c r="AA2756" s="91"/>
      <c r="AB2756" s="91"/>
      <c r="AC2756" s="91"/>
      <c r="AD2756" s="91"/>
      <c r="AE2756" s="91"/>
      <c r="AF2756" s="91"/>
      <c r="AG2756" s="91"/>
      <c r="AH2756" s="91"/>
      <c r="AI2756" s="91"/>
      <c r="AJ2756" s="91"/>
      <c r="AK2756" s="91"/>
      <c r="AL2756" s="91"/>
      <c r="AM2756" s="91"/>
    </row>
    <row r="2757" spans="1:39" ht="20.25" hidden="1" customHeight="1">
      <c r="A2757" s="91"/>
      <c r="B2757" s="93" t="s">
        <v>8524</v>
      </c>
      <c r="C2757" s="91" t="s">
        <v>36</v>
      </c>
      <c r="D2757" s="94" t="s">
        <v>666</v>
      </c>
      <c r="E2757" s="94" t="s">
        <v>7652</v>
      </c>
      <c r="F2757" s="95" t="s">
        <v>7653</v>
      </c>
      <c r="G2757" s="96" t="s">
        <v>58</v>
      </c>
      <c r="H2757" s="96" t="s">
        <v>58</v>
      </c>
      <c r="I2757" s="94" t="s">
        <v>8615</v>
      </c>
      <c r="J2757" s="100" t="s">
        <v>58</v>
      </c>
      <c r="K2757" s="91" t="s">
        <v>58</v>
      </c>
      <c r="L2757" s="91" t="s">
        <v>60</v>
      </c>
      <c r="M2757" s="98">
        <v>0</v>
      </c>
      <c r="N2757" s="99"/>
      <c r="O2757" s="98" t="e">
        <f ca="1">(TODAY()-G2757)/365</f>
        <v>#VALUE!</v>
      </c>
      <c r="P2757" s="91" t="s">
        <v>43</v>
      </c>
      <c r="Q2757" s="91">
        <v>1</v>
      </c>
      <c r="R2757" s="91">
        <v>0</v>
      </c>
      <c r="S2757" s="91">
        <v>0</v>
      </c>
      <c r="T2757" s="91"/>
      <c r="U2757" s="91"/>
      <c r="V2757" s="91"/>
      <c r="W2757" s="91"/>
      <c r="X2757" s="91"/>
      <c r="Y2757" s="91"/>
      <c r="Z2757" s="91"/>
      <c r="AA2757" s="91"/>
      <c r="AB2757" s="91"/>
      <c r="AC2757" s="91"/>
      <c r="AD2757" s="91"/>
      <c r="AE2757" s="91"/>
      <c r="AF2757" s="91"/>
      <c r="AG2757" s="91"/>
      <c r="AH2757" s="91"/>
      <c r="AI2757" s="91"/>
      <c r="AJ2757" s="91"/>
      <c r="AK2757" s="91"/>
      <c r="AL2757" s="91"/>
      <c r="AM2757" s="91"/>
    </row>
    <row r="2758" spans="1:39" ht="20.25" hidden="1" customHeight="1">
      <c r="A2758" s="91"/>
      <c r="B2758" s="93" t="s">
        <v>8524</v>
      </c>
      <c r="C2758" s="91" t="s">
        <v>36</v>
      </c>
      <c r="D2758" s="94" t="s">
        <v>8616</v>
      </c>
      <c r="E2758" s="94" t="s">
        <v>8617</v>
      </c>
      <c r="F2758" s="95" t="s">
        <v>8618</v>
      </c>
      <c r="G2758" s="96" t="s">
        <v>58</v>
      </c>
      <c r="H2758" s="96" t="s">
        <v>58</v>
      </c>
      <c r="I2758" s="94" t="s">
        <v>8619</v>
      </c>
      <c r="J2758" s="100" t="s">
        <v>58</v>
      </c>
      <c r="K2758" s="91" t="s">
        <v>58</v>
      </c>
      <c r="L2758" s="91" t="s">
        <v>60</v>
      </c>
      <c r="M2758" s="98">
        <v>0</v>
      </c>
      <c r="N2758" s="99"/>
      <c r="O2758" s="98" t="e">
        <f ca="1">(TODAY()-G2758)/365</f>
        <v>#VALUE!</v>
      </c>
      <c r="P2758" s="91" t="s">
        <v>272</v>
      </c>
      <c r="Q2758" s="91">
        <v>0</v>
      </c>
      <c r="R2758" s="91">
        <v>1</v>
      </c>
      <c r="S2758" s="91">
        <v>0</v>
      </c>
      <c r="T2758" s="91"/>
      <c r="U2758" s="91"/>
      <c r="V2758" s="91"/>
      <c r="W2758" s="91"/>
      <c r="X2758" s="91"/>
      <c r="Y2758" s="91"/>
      <c r="Z2758" s="91"/>
      <c r="AA2758" s="91"/>
      <c r="AB2758" s="91"/>
      <c r="AC2758" s="91"/>
      <c r="AD2758" s="91"/>
      <c r="AE2758" s="91"/>
      <c r="AF2758" s="91"/>
      <c r="AG2758" s="91"/>
      <c r="AH2758" s="91"/>
      <c r="AI2758" s="91"/>
      <c r="AJ2758" s="91"/>
      <c r="AK2758" s="91"/>
      <c r="AL2758" s="91"/>
      <c r="AM2758" s="91"/>
    </row>
    <row r="2759" spans="1:39" ht="20.25" hidden="1" customHeight="1">
      <c r="A2759" s="91"/>
      <c r="B2759" s="93" t="s">
        <v>8524</v>
      </c>
      <c r="C2759" s="91" t="s">
        <v>36</v>
      </c>
      <c r="D2759" s="94" t="s">
        <v>367</v>
      </c>
      <c r="E2759" s="94" t="s">
        <v>8620</v>
      </c>
      <c r="F2759" s="95" t="s">
        <v>8621</v>
      </c>
      <c r="G2759" s="96" t="s">
        <v>58</v>
      </c>
      <c r="H2759" s="96" t="s">
        <v>58</v>
      </c>
      <c r="I2759" s="94" t="s">
        <v>8622</v>
      </c>
      <c r="J2759" s="100" t="s">
        <v>58</v>
      </c>
      <c r="K2759" s="91" t="s">
        <v>58</v>
      </c>
      <c r="L2759" s="91" t="s">
        <v>60</v>
      </c>
      <c r="M2759" s="98">
        <v>0</v>
      </c>
      <c r="N2759" s="99"/>
      <c r="O2759" s="98" t="e">
        <f ca="1">(TODAY()-G2759)/365</f>
        <v>#VALUE!</v>
      </c>
      <c r="P2759" s="91" t="s">
        <v>43</v>
      </c>
      <c r="Q2759" s="91">
        <v>0</v>
      </c>
      <c r="R2759" s="91">
        <v>1</v>
      </c>
      <c r="S2759" s="91">
        <v>0</v>
      </c>
      <c r="T2759" s="91"/>
      <c r="U2759" s="91"/>
      <c r="V2759" s="91"/>
      <c r="W2759" s="91"/>
      <c r="X2759" s="91"/>
      <c r="Y2759" s="91"/>
      <c r="Z2759" s="91"/>
      <c r="AA2759" s="91"/>
      <c r="AB2759" s="91"/>
      <c r="AC2759" s="91"/>
      <c r="AD2759" s="91"/>
      <c r="AE2759" s="91"/>
      <c r="AF2759" s="91"/>
      <c r="AG2759" s="91"/>
      <c r="AH2759" s="91"/>
      <c r="AI2759" s="91"/>
      <c r="AJ2759" s="91"/>
      <c r="AK2759" s="91"/>
      <c r="AL2759" s="91"/>
      <c r="AM2759" s="91"/>
    </row>
    <row r="2760" spans="1:39" ht="20.25" hidden="1" customHeight="1">
      <c r="A2760" s="91"/>
      <c r="B2760" s="93" t="s">
        <v>8524</v>
      </c>
      <c r="C2760" s="91" t="s">
        <v>36</v>
      </c>
      <c r="D2760" s="94" t="s">
        <v>4315</v>
      </c>
      <c r="E2760" s="94" t="s">
        <v>8623</v>
      </c>
      <c r="F2760" s="95" t="s">
        <v>8624</v>
      </c>
      <c r="G2760" s="96" t="s">
        <v>58</v>
      </c>
      <c r="H2760" s="96" t="s">
        <v>58</v>
      </c>
      <c r="I2760" s="94" t="s">
        <v>8625</v>
      </c>
      <c r="J2760" s="100" t="s">
        <v>58</v>
      </c>
      <c r="K2760" s="91" t="s">
        <v>58</v>
      </c>
      <c r="L2760" s="91" t="s">
        <v>60</v>
      </c>
      <c r="M2760" s="98">
        <v>0</v>
      </c>
      <c r="N2760" s="99"/>
      <c r="O2760" s="98" t="e">
        <f ca="1">(TODAY()-G2760)/365</f>
        <v>#VALUE!</v>
      </c>
      <c r="P2760" s="91" t="s">
        <v>43</v>
      </c>
      <c r="Q2760" s="91">
        <v>0</v>
      </c>
      <c r="R2760" s="91">
        <v>1</v>
      </c>
      <c r="S2760" s="91">
        <v>0</v>
      </c>
      <c r="T2760" s="91"/>
      <c r="U2760" s="91"/>
      <c r="V2760" s="91"/>
      <c r="W2760" s="91"/>
      <c r="X2760" s="91"/>
      <c r="Y2760" s="91"/>
      <c r="Z2760" s="91"/>
      <c r="AA2760" s="91"/>
      <c r="AB2760" s="91"/>
      <c r="AC2760" s="91"/>
      <c r="AD2760" s="91"/>
      <c r="AE2760" s="91"/>
      <c r="AF2760" s="91"/>
      <c r="AG2760" s="91"/>
      <c r="AH2760" s="91"/>
      <c r="AI2760" s="91"/>
      <c r="AJ2760" s="91"/>
      <c r="AK2760" s="91"/>
      <c r="AL2760" s="91"/>
      <c r="AM2760" s="91"/>
    </row>
    <row r="2761" spans="1:39" ht="20.25" hidden="1" customHeight="1">
      <c r="A2761" s="91"/>
      <c r="B2761" s="93" t="s">
        <v>8524</v>
      </c>
      <c r="C2761" s="91" t="s">
        <v>36</v>
      </c>
      <c r="D2761" s="94" t="s">
        <v>646</v>
      </c>
      <c r="E2761" s="94" t="s">
        <v>7229</v>
      </c>
      <c r="F2761" s="95" t="s">
        <v>7230</v>
      </c>
      <c r="G2761" s="96" t="s">
        <v>58</v>
      </c>
      <c r="H2761" s="96" t="s">
        <v>58</v>
      </c>
      <c r="I2761" s="94" t="s">
        <v>8626</v>
      </c>
      <c r="J2761" s="100" t="s">
        <v>58</v>
      </c>
      <c r="K2761" s="91" t="s">
        <v>58</v>
      </c>
      <c r="L2761" s="91" t="s">
        <v>60</v>
      </c>
      <c r="M2761" s="98">
        <v>0</v>
      </c>
      <c r="N2761" s="99"/>
      <c r="O2761" s="98" t="e">
        <f ca="1">(TODAY()-G2761)/365</f>
        <v>#VALUE!</v>
      </c>
      <c r="P2761" s="91" t="s">
        <v>43</v>
      </c>
      <c r="Q2761" s="91">
        <v>0</v>
      </c>
      <c r="R2761" s="91">
        <v>1</v>
      </c>
      <c r="S2761" s="91">
        <v>0</v>
      </c>
      <c r="T2761" s="91"/>
      <c r="U2761" s="91"/>
      <c r="V2761" s="91"/>
      <c r="W2761" s="91"/>
      <c r="X2761" s="91"/>
      <c r="Y2761" s="91"/>
      <c r="Z2761" s="91"/>
      <c r="AA2761" s="91"/>
      <c r="AB2761" s="91"/>
      <c r="AC2761" s="91"/>
      <c r="AD2761" s="91"/>
      <c r="AE2761" s="91"/>
      <c r="AF2761" s="91"/>
      <c r="AG2761" s="91"/>
      <c r="AH2761" s="91"/>
      <c r="AI2761" s="91"/>
      <c r="AJ2761" s="91"/>
      <c r="AK2761" s="91"/>
      <c r="AL2761" s="91"/>
      <c r="AM2761" s="91"/>
    </row>
    <row r="2762" spans="1:39" ht="20.25" hidden="1" customHeight="1">
      <c r="A2762" s="91"/>
      <c r="B2762" s="93" t="s">
        <v>8524</v>
      </c>
      <c r="C2762" s="91" t="s">
        <v>36</v>
      </c>
      <c r="D2762" s="94" t="s">
        <v>1271</v>
      </c>
      <c r="E2762" s="94" t="s">
        <v>8627</v>
      </c>
      <c r="F2762" s="95" t="s">
        <v>8628</v>
      </c>
      <c r="G2762" s="96" t="s">
        <v>58</v>
      </c>
      <c r="H2762" s="96" t="s">
        <v>58</v>
      </c>
      <c r="I2762" s="94" t="s">
        <v>8629</v>
      </c>
      <c r="J2762" s="100" t="s">
        <v>58</v>
      </c>
      <c r="K2762" s="91" t="s">
        <v>58</v>
      </c>
      <c r="L2762" s="91" t="s">
        <v>60</v>
      </c>
      <c r="M2762" s="98">
        <v>0</v>
      </c>
      <c r="N2762" s="99"/>
      <c r="O2762" s="98" t="e">
        <f ca="1">(TODAY()-G2762)/365</f>
        <v>#VALUE!</v>
      </c>
      <c r="P2762" s="91" t="s">
        <v>43</v>
      </c>
      <c r="Q2762" s="91">
        <v>1</v>
      </c>
      <c r="R2762" s="91">
        <v>0</v>
      </c>
      <c r="S2762" s="91">
        <v>0</v>
      </c>
      <c r="T2762" s="91"/>
      <c r="U2762" s="91"/>
      <c r="V2762" s="91"/>
      <c r="W2762" s="91"/>
      <c r="X2762" s="91"/>
      <c r="Y2762" s="91"/>
      <c r="Z2762" s="91"/>
      <c r="AA2762" s="91"/>
      <c r="AB2762" s="91"/>
      <c r="AC2762" s="91"/>
      <c r="AD2762" s="91"/>
      <c r="AE2762" s="91"/>
      <c r="AF2762" s="91"/>
      <c r="AG2762" s="91"/>
      <c r="AH2762" s="91"/>
      <c r="AI2762" s="91"/>
      <c r="AJ2762" s="91"/>
      <c r="AK2762" s="91"/>
      <c r="AL2762" s="91"/>
      <c r="AM2762" s="91"/>
    </row>
    <row r="2763" spans="1:39" ht="20.25" customHeight="1">
      <c r="A2763" s="91"/>
      <c r="B2763" s="93" t="s">
        <v>3374</v>
      </c>
      <c r="C2763" s="91" t="s">
        <v>73</v>
      </c>
      <c r="D2763" s="107" t="s">
        <v>3552</v>
      </c>
      <c r="E2763" s="107" t="s">
        <v>3553</v>
      </c>
      <c r="F2763" s="91" t="s">
        <v>3504</v>
      </c>
      <c r="G2763" s="96" t="s">
        <v>58</v>
      </c>
      <c r="H2763" s="97">
        <v>38827</v>
      </c>
      <c r="I2763" s="100" t="s">
        <v>3450</v>
      </c>
      <c r="J2763" s="94" t="s">
        <v>58</v>
      </c>
      <c r="K2763" s="95" t="s">
        <v>58</v>
      </c>
      <c r="L2763" s="91" t="s">
        <v>60</v>
      </c>
      <c r="M2763" s="98">
        <f ca="1">(TODAY()-H2763)/365</f>
        <v>19.657534246575342</v>
      </c>
      <c r="N2763" s="95" t="s">
        <v>58</v>
      </c>
      <c r="O2763" s="98" t="e">
        <f ca="1">(TODAY()-G2763)/365</f>
        <v>#VALUE!</v>
      </c>
      <c r="P2763" s="91" t="s">
        <v>43</v>
      </c>
      <c r="Q2763" s="91"/>
      <c r="R2763" s="91"/>
      <c r="S2763" s="91"/>
      <c r="T2763" s="91"/>
      <c r="U2763" s="91"/>
      <c r="V2763" s="91"/>
      <c r="W2763" s="91"/>
      <c r="X2763" s="91"/>
      <c r="Y2763" s="91"/>
      <c r="Z2763" s="91"/>
      <c r="AA2763" s="91"/>
      <c r="AB2763" s="91"/>
      <c r="AC2763" s="91"/>
      <c r="AD2763" s="91"/>
      <c r="AE2763" s="91"/>
      <c r="AF2763" s="91"/>
      <c r="AG2763" s="91"/>
      <c r="AH2763" s="91"/>
      <c r="AI2763" s="91"/>
      <c r="AJ2763" s="91"/>
      <c r="AK2763" s="91"/>
      <c r="AL2763" s="91"/>
      <c r="AM2763" s="91"/>
    </row>
    <row r="2764" spans="1:39" ht="20.25" customHeight="1">
      <c r="A2764" s="91"/>
      <c r="B2764" s="93" t="s">
        <v>11748</v>
      </c>
      <c r="C2764" s="91" t="s">
        <v>73</v>
      </c>
      <c r="D2764" s="107" t="s">
        <v>2840</v>
      </c>
      <c r="E2764" s="107" t="s">
        <v>2841</v>
      </c>
      <c r="F2764" s="91" t="s">
        <v>2842</v>
      </c>
      <c r="G2764" s="96">
        <v>34115</v>
      </c>
      <c r="H2764" s="97">
        <v>15525</v>
      </c>
      <c r="I2764" s="94" t="s">
        <v>58</v>
      </c>
      <c r="J2764" s="94" t="s">
        <v>58</v>
      </c>
      <c r="K2764" s="95" t="s">
        <v>58</v>
      </c>
      <c r="L2764" s="91" t="s">
        <v>60</v>
      </c>
      <c r="M2764" s="98">
        <f ca="1">(TODAY()-H2764)/365</f>
        <v>83.498630136986307</v>
      </c>
      <c r="N2764" s="99">
        <f>(G2764-H2764)/365</f>
        <v>50.93150684931507</v>
      </c>
      <c r="O2764" s="98">
        <f ca="1">(TODAY()-G2764)/365</f>
        <v>32.56712328767123</v>
      </c>
      <c r="P2764" s="91" t="s">
        <v>43</v>
      </c>
      <c r="Q2764" s="91">
        <v>0</v>
      </c>
      <c r="R2764" s="91">
        <v>0</v>
      </c>
      <c r="S2764" s="91">
        <v>0</v>
      </c>
      <c r="T2764" s="91"/>
      <c r="U2764" s="91"/>
      <c r="V2764" s="91"/>
      <c r="W2764" s="91"/>
      <c r="X2764" s="91"/>
      <c r="Y2764" s="91"/>
      <c r="Z2764" s="91"/>
      <c r="AA2764" s="91"/>
      <c r="AB2764" s="91"/>
      <c r="AC2764" s="91"/>
      <c r="AD2764" s="91"/>
      <c r="AE2764" s="91"/>
      <c r="AF2764" s="91"/>
      <c r="AG2764" s="91"/>
      <c r="AH2764" s="91"/>
      <c r="AI2764" s="91"/>
      <c r="AJ2764" s="91"/>
      <c r="AK2764" s="91"/>
      <c r="AL2764" s="91"/>
      <c r="AM2764" s="91"/>
    </row>
    <row r="2765" spans="1:39" ht="20.25" hidden="1" customHeight="1">
      <c r="A2765" s="91"/>
      <c r="B2765" s="93" t="s">
        <v>8630</v>
      </c>
      <c r="C2765" s="91" t="s">
        <v>36</v>
      </c>
      <c r="D2765" s="94" t="s">
        <v>3160</v>
      </c>
      <c r="E2765" s="94" t="s">
        <v>8639</v>
      </c>
      <c r="F2765" s="95" t="s">
        <v>8640</v>
      </c>
      <c r="G2765" s="96">
        <v>45449</v>
      </c>
      <c r="H2765" s="97">
        <v>37237</v>
      </c>
      <c r="I2765" s="108" t="s">
        <v>12478</v>
      </c>
      <c r="J2765" s="94" t="s">
        <v>8641</v>
      </c>
      <c r="K2765" s="95">
        <f>56957613426</f>
        <v>56957613426</v>
      </c>
      <c r="L2765" s="91" t="s">
        <v>60</v>
      </c>
      <c r="M2765" s="98">
        <f ca="1">(TODAY()-H2765)/365</f>
        <v>24.013698630136986</v>
      </c>
      <c r="N2765" s="99">
        <f>(G2765-H2765)/365</f>
        <v>22.4986301369863</v>
      </c>
      <c r="O2765" s="98">
        <f ca="1">(TODAY()-G2765)/365</f>
        <v>1.515068493150685</v>
      </c>
      <c r="P2765" s="91" t="s">
        <v>272</v>
      </c>
      <c r="Q2765" s="91">
        <v>0</v>
      </c>
      <c r="R2765" s="91">
        <v>0</v>
      </c>
      <c r="S2765" s="91">
        <v>0</v>
      </c>
      <c r="T2765" s="91"/>
      <c r="U2765" s="91"/>
      <c r="V2765" s="91"/>
      <c r="W2765" s="91"/>
      <c r="X2765" s="91"/>
      <c r="Y2765" s="91"/>
      <c r="Z2765" s="91"/>
      <c r="AA2765" s="91"/>
      <c r="AB2765" s="91"/>
      <c r="AC2765" s="91"/>
      <c r="AD2765" s="91"/>
      <c r="AE2765" s="91"/>
      <c r="AF2765" s="91"/>
      <c r="AG2765" s="91"/>
      <c r="AH2765" s="91"/>
      <c r="AI2765" s="91"/>
      <c r="AJ2765" s="91"/>
      <c r="AK2765" s="91"/>
      <c r="AL2765" s="91"/>
      <c r="AM2765" s="91"/>
    </row>
    <row r="2766" spans="1:39" ht="20.25" hidden="1" customHeight="1">
      <c r="A2766" s="91"/>
      <c r="B2766" s="93" t="s">
        <v>8630</v>
      </c>
      <c r="C2766" s="91" t="s">
        <v>36</v>
      </c>
      <c r="D2766" s="94" t="s">
        <v>2840</v>
      </c>
      <c r="E2766" s="94" t="s">
        <v>8280</v>
      </c>
      <c r="F2766" s="95" t="s">
        <v>8281</v>
      </c>
      <c r="G2766" s="96">
        <v>33665</v>
      </c>
      <c r="H2766" s="97">
        <v>24816</v>
      </c>
      <c r="I2766" s="108" t="s">
        <v>12479</v>
      </c>
      <c r="J2766" s="94" t="s">
        <v>8642</v>
      </c>
      <c r="K2766" s="95">
        <f>56976066646</f>
        <v>56976066646</v>
      </c>
      <c r="L2766" s="91" t="s">
        <v>54</v>
      </c>
      <c r="M2766" s="98">
        <f ca="1">(TODAY()-H2766)/365</f>
        <v>58.043835616438358</v>
      </c>
      <c r="N2766" s="99">
        <f>(G2766-H2766)/365</f>
        <v>24.243835616438357</v>
      </c>
      <c r="O2766" s="98">
        <f ca="1">(TODAY()-G2766)/365</f>
        <v>33.799999999999997</v>
      </c>
      <c r="P2766" s="91" t="s">
        <v>43</v>
      </c>
      <c r="Q2766" s="91">
        <v>0</v>
      </c>
      <c r="R2766" s="91">
        <v>0</v>
      </c>
      <c r="S2766" s="91">
        <v>0</v>
      </c>
      <c r="T2766" s="91"/>
      <c r="U2766" s="91"/>
      <c r="V2766" s="91"/>
      <c r="W2766" s="91"/>
      <c r="X2766" s="91"/>
      <c r="Y2766" s="91"/>
      <c r="Z2766" s="91"/>
      <c r="AA2766" s="91"/>
      <c r="AB2766" s="91"/>
      <c r="AC2766" s="91"/>
      <c r="AD2766" s="91"/>
      <c r="AE2766" s="91"/>
      <c r="AF2766" s="91"/>
      <c r="AG2766" s="91"/>
      <c r="AH2766" s="91"/>
      <c r="AI2766" s="91"/>
      <c r="AJ2766" s="91"/>
      <c r="AK2766" s="91"/>
      <c r="AL2766" s="91"/>
      <c r="AM2766" s="91"/>
    </row>
    <row r="2767" spans="1:39" ht="20.25" customHeight="1">
      <c r="A2767" s="91"/>
      <c r="B2767" s="93" t="s">
        <v>3374</v>
      </c>
      <c r="C2767" s="91" t="s">
        <v>73</v>
      </c>
      <c r="D2767" s="107" t="s">
        <v>3384</v>
      </c>
      <c r="E2767" s="107" t="s">
        <v>3385</v>
      </c>
      <c r="F2767" s="91" t="s">
        <v>3386</v>
      </c>
      <c r="G2767" s="96">
        <v>44323</v>
      </c>
      <c r="H2767" s="97">
        <v>38004</v>
      </c>
      <c r="I2767" s="94" t="s">
        <v>3387</v>
      </c>
      <c r="J2767" s="94" t="s">
        <v>58</v>
      </c>
      <c r="K2767" s="95" t="s">
        <v>58</v>
      </c>
      <c r="L2767" s="91" t="s">
        <v>60</v>
      </c>
      <c r="M2767" s="98">
        <f ca="1">(TODAY()-H2767)/365</f>
        <v>21.912328767123288</v>
      </c>
      <c r="N2767" s="99">
        <f>(G2767-H2767)/365</f>
        <v>17.312328767123287</v>
      </c>
      <c r="O2767" s="98">
        <f ca="1">(TODAY()-G2767)/365</f>
        <v>4.5999999999999996</v>
      </c>
      <c r="P2767" s="91" t="s">
        <v>43</v>
      </c>
      <c r="Q2767" s="91"/>
      <c r="R2767" s="91"/>
      <c r="S2767" s="91"/>
      <c r="T2767" s="91"/>
      <c r="U2767" s="91"/>
      <c r="V2767" s="91"/>
      <c r="W2767" s="91"/>
      <c r="X2767" s="91"/>
      <c r="Y2767" s="91"/>
      <c r="Z2767" s="91"/>
      <c r="AA2767" s="91"/>
      <c r="AB2767" s="91"/>
      <c r="AC2767" s="91"/>
      <c r="AD2767" s="91"/>
      <c r="AE2767" s="91"/>
      <c r="AF2767" s="91"/>
      <c r="AG2767" s="91"/>
      <c r="AH2767" s="91"/>
      <c r="AI2767" s="91"/>
      <c r="AJ2767" s="91"/>
      <c r="AK2767" s="91"/>
      <c r="AL2767" s="91"/>
      <c r="AM2767" s="91"/>
    </row>
    <row r="2768" spans="1:39" ht="20.25" hidden="1" customHeight="1">
      <c r="A2768" s="91"/>
      <c r="B2768" s="93" t="s">
        <v>8630</v>
      </c>
      <c r="C2768" s="91" t="s">
        <v>36</v>
      </c>
      <c r="D2768" s="94" t="s">
        <v>8647</v>
      </c>
      <c r="E2768" s="94" t="s">
        <v>8648</v>
      </c>
      <c r="F2768" s="95" t="s">
        <v>8649</v>
      </c>
      <c r="G2768" s="96">
        <v>44359</v>
      </c>
      <c r="H2768" s="97">
        <v>34654</v>
      </c>
      <c r="I2768" s="108" t="s">
        <v>12480</v>
      </c>
      <c r="J2768" s="94" t="s">
        <v>8650</v>
      </c>
      <c r="K2768" s="95">
        <f>56953995794</f>
        <v>56953995794</v>
      </c>
      <c r="L2768" s="91" t="s">
        <v>60</v>
      </c>
      <c r="M2768" s="98">
        <f ca="1">(TODAY()-H2768)/365</f>
        <v>31.090410958904108</v>
      </c>
      <c r="N2768" s="99">
        <f>(G2768-H2768)/365</f>
        <v>26.589041095890412</v>
      </c>
      <c r="O2768" s="98">
        <f ca="1">(TODAY()-G2768)/365</f>
        <v>4.5013698630136982</v>
      </c>
      <c r="P2768" s="91" t="s">
        <v>43</v>
      </c>
      <c r="Q2768" s="91">
        <v>0</v>
      </c>
      <c r="R2768" s="91">
        <v>0</v>
      </c>
      <c r="S2768" s="91">
        <v>0</v>
      </c>
      <c r="T2768" s="91"/>
      <c r="U2768" s="91"/>
      <c r="V2768" s="91"/>
      <c r="W2768" s="91"/>
      <c r="X2768" s="91"/>
      <c r="Y2768" s="91"/>
      <c r="Z2768" s="91"/>
      <c r="AA2768" s="91"/>
      <c r="AB2768" s="91"/>
      <c r="AC2768" s="91"/>
      <c r="AD2768" s="91"/>
      <c r="AE2768" s="91"/>
      <c r="AF2768" s="91"/>
      <c r="AG2768" s="91"/>
      <c r="AH2768" s="91"/>
      <c r="AI2768" s="91"/>
      <c r="AJ2768" s="91"/>
      <c r="AK2768" s="91"/>
      <c r="AL2768" s="91"/>
      <c r="AM2768" s="91"/>
    </row>
    <row r="2769" spans="1:39" ht="20.25" hidden="1" customHeight="1">
      <c r="A2769" s="91"/>
      <c r="B2769" s="93" t="s">
        <v>8630</v>
      </c>
      <c r="C2769" s="91" t="s">
        <v>36</v>
      </c>
      <c r="D2769" s="94" t="s">
        <v>8651</v>
      </c>
      <c r="E2769" s="94" t="s">
        <v>8652</v>
      </c>
      <c r="F2769" s="95" t="s">
        <v>8653</v>
      </c>
      <c r="G2769" s="96">
        <v>33512</v>
      </c>
      <c r="H2769" s="97">
        <v>22192</v>
      </c>
      <c r="I2769" s="108" t="s">
        <v>12481</v>
      </c>
      <c r="J2769" s="94" t="s">
        <v>8654</v>
      </c>
      <c r="K2769" s="95">
        <f>56942129088</f>
        <v>56942129088</v>
      </c>
      <c r="L2769" s="91" t="s">
        <v>42</v>
      </c>
      <c r="M2769" s="98">
        <f ca="1">(TODAY()-H2769)/365</f>
        <v>65.232876712328761</v>
      </c>
      <c r="N2769" s="99">
        <f>(G2769-H2769)/365</f>
        <v>31.013698630136986</v>
      </c>
      <c r="O2769" s="98">
        <f ca="1">(TODAY()-G2769)/365</f>
        <v>34.219178082191782</v>
      </c>
      <c r="P2769" s="91" t="s">
        <v>43</v>
      </c>
      <c r="Q2769" s="91">
        <v>0</v>
      </c>
      <c r="R2769" s="91">
        <v>0</v>
      </c>
      <c r="S2769" s="91">
        <v>0</v>
      </c>
      <c r="T2769" s="91"/>
      <c r="U2769" s="91"/>
      <c r="V2769" s="91"/>
      <c r="W2769" s="91"/>
      <c r="X2769" s="91"/>
      <c r="Y2769" s="91"/>
      <c r="Z2769" s="91"/>
      <c r="AA2769" s="91"/>
      <c r="AB2769" s="91"/>
      <c r="AC2769" s="91"/>
      <c r="AD2769" s="91"/>
      <c r="AE2769" s="91"/>
      <c r="AF2769" s="91"/>
      <c r="AG2769" s="91"/>
      <c r="AH2769" s="91"/>
      <c r="AI2769" s="91"/>
      <c r="AJ2769" s="91"/>
      <c r="AK2769" s="91"/>
      <c r="AL2769" s="91"/>
      <c r="AM2769" s="91"/>
    </row>
    <row r="2770" spans="1:39" ht="20.25" customHeight="1">
      <c r="A2770" s="91"/>
      <c r="B2770" s="93" t="s">
        <v>10232</v>
      </c>
      <c r="C2770" s="91" t="s">
        <v>73</v>
      </c>
      <c r="D2770" s="106" t="s">
        <v>1238</v>
      </c>
      <c r="E2770" s="106" t="s">
        <v>10257</v>
      </c>
      <c r="F2770" s="92" t="s">
        <v>10258</v>
      </c>
      <c r="G2770" s="103">
        <v>45006</v>
      </c>
      <c r="H2770" s="103">
        <v>21086</v>
      </c>
      <c r="I2770" s="108" t="s">
        <v>12602</v>
      </c>
      <c r="J2770" s="94" t="s">
        <v>10259</v>
      </c>
      <c r="K2770" s="92">
        <v>989970739</v>
      </c>
      <c r="L2770" s="91"/>
      <c r="M2770" s="98">
        <f ca="1">(TODAY()-H2770)/365</f>
        <v>68.263013698630132</v>
      </c>
      <c r="N2770" s="99">
        <f>(G2770-H2770)/365</f>
        <v>65.534246575342465</v>
      </c>
      <c r="O2770" s="98">
        <f ca="1">(TODAY()-G2770)/365</f>
        <v>2.7287671232876711</v>
      </c>
      <c r="P2770" s="91" t="s">
        <v>43</v>
      </c>
      <c r="Q2770" s="91"/>
      <c r="R2770" s="91"/>
      <c r="S2770" s="91"/>
      <c r="T2770" s="91"/>
      <c r="U2770" s="91"/>
      <c r="V2770" s="91"/>
      <c r="W2770" s="91"/>
      <c r="X2770" s="91"/>
      <c r="Y2770" s="91"/>
      <c r="Z2770" s="91"/>
      <c r="AA2770" s="91"/>
      <c r="AB2770" s="91"/>
      <c r="AC2770" s="91"/>
      <c r="AD2770" s="91"/>
      <c r="AE2770" s="91"/>
      <c r="AF2770" s="91"/>
      <c r="AG2770" s="91"/>
      <c r="AH2770" s="91"/>
      <c r="AI2770" s="91"/>
      <c r="AJ2770" s="91"/>
      <c r="AK2770" s="91"/>
      <c r="AL2770" s="91"/>
      <c r="AM2770" s="91"/>
    </row>
    <row r="2771" spans="1:39" ht="20.25" customHeight="1">
      <c r="A2771" s="91"/>
      <c r="B2771" s="93" t="s">
        <v>12263</v>
      </c>
      <c r="C2771" s="91" t="s">
        <v>73</v>
      </c>
      <c r="D2771" s="106" t="s">
        <v>8346</v>
      </c>
      <c r="E2771" s="106" t="s">
        <v>11217</v>
      </c>
      <c r="F2771" s="92" t="s">
        <v>11218</v>
      </c>
      <c r="G2771" s="103">
        <v>44405</v>
      </c>
      <c r="H2771" s="103">
        <v>37640</v>
      </c>
      <c r="I2771" s="94" t="s">
        <v>58</v>
      </c>
      <c r="J2771" s="100" t="s">
        <v>58</v>
      </c>
      <c r="K2771" s="95" t="s">
        <v>58</v>
      </c>
      <c r="L2771" s="91"/>
      <c r="M2771" s="98">
        <f ca="1">(TODAY()-H2771)/365</f>
        <v>22.909589041095892</v>
      </c>
      <c r="N2771" s="99">
        <f>(G2771-H2771)/365</f>
        <v>18.534246575342465</v>
      </c>
      <c r="O2771" s="98">
        <f ca="1">(TODAY()-G2771)/365</f>
        <v>4.375342465753425</v>
      </c>
      <c r="P2771" s="91" t="s">
        <v>272</v>
      </c>
      <c r="Q2771" s="91"/>
      <c r="R2771" s="91"/>
      <c r="S2771" s="91"/>
      <c r="T2771" s="91"/>
      <c r="U2771" s="91"/>
      <c r="V2771" s="91"/>
      <c r="W2771" s="91"/>
      <c r="X2771" s="91"/>
      <c r="Y2771" s="91"/>
      <c r="Z2771" s="91"/>
      <c r="AA2771" s="91"/>
      <c r="AB2771" s="91"/>
      <c r="AC2771" s="91"/>
      <c r="AD2771" s="91"/>
      <c r="AE2771" s="91"/>
      <c r="AF2771" s="91"/>
      <c r="AG2771" s="91"/>
      <c r="AH2771" s="91"/>
      <c r="AI2771" s="91"/>
      <c r="AJ2771" s="91"/>
      <c r="AK2771" s="91"/>
      <c r="AL2771" s="91"/>
      <c r="AM2771" s="91"/>
    </row>
    <row r="2772" spans="1:39" ht="20.25" hidden="1" customHeight="1">
      <c r="A2772" s="91"/>
      <c r="B2772" s="93" t="s">
        <v>8630</v>
      </c>
      <c r="C2772" s="91" t="s">
        <v>36</v>
      </c>
      <c r="D2772" s="94" t="s">
        <v>666</v>
      </c>
      <c r="E2772" s="94" t="s">
        <v>8662</v>
      </c>
      <c r="F2772" s="95" t="s">
        <v>8663</v>
      </c>
      <c r="G2772" s="96">
        <v>45427</v>
      </c>
      <c r="H2772" s="97">
        <v>30178</v>
      </c>
      <c r="I2772" s="108" t="s">
        <v>12482</v>
      </c>
      <c r="J2772" s="94" t="s">
        <v>8641</v>
      </c>
      <c r="K2772" s="95">
        <f>56993166985</f>
        <v>56993166985</v>
      </c>
      <c r="L2772" s="91" t="s">
        <v>60</v>
      </c>
      <c r="M2772" s="98">
        <f ca="1">(TODAY()-H2772)/365</f>
        <v>43.353424657534248</v>
      </c>
      <c r="N2772" s="99">
        <f>(G2772-H2772)/365</f>
        <v>41.778082191780825</v>
      </c>
      <c r="O2772" s="98">
        <f ca="1">(TODAY()-G2772)/365</f>
        <v>1.5753424657534247</v>
      </c>
      <c r="P2772" s="91" t="s">
        <v>43</v>
      </c>
      <c r="Q2772" s="91">
        <v>0</v>
      </c>
      <c r="R2772" s="91">
        <v>0</v>
      </c>
      <c r="S2772" s="91">
        <v>0</v>
      </c>
      <c r="T2772" s="91"/>
      <c r="U2772" s="91"/>
      <c r="V2772" s="91"/>
      <c r="W2772" s="91"/>
      <c r="X2772" s="91"/>
      <c r="Y2772" s="91"/>
      <c r="Z2772" s="91"/>
      <c r="AA2772" s="91"/>
      <c r="AB2772" s="91"/>
      <c r="AC2772" s="91"/>
      <c r="AD2772" s="91"/>
      <c r="AE2772" s="91"/>
      <c r="AF2772" s="91"/>
      <c r="AG2772" s="91"/>
      <c r="AH2772" s="91"/>
      <c r="AI2772" s="91"/>
      <c r="AJ2772" s="91"/>
      <c r="AK2772" s="91"/>
      <c r="AL2772" s="91"/>
      <c r="AM2772" s="91"/>
    </row>
    <row r="2773" spans="1:39" ht="20.25" hidden="1" customHeight="1">
      <c r="A2773" s="91"/>
      <c r="B2773" s="93" t="s">
        <v>8630</v>
      </c>
      <c r="C2773" s="91" t="s">
        <v>36</v>
      </c>
      <c r="D2773" s="94" t="s">
        <v>8664</v>
      </c>
      <c r="E2773" s="94" t="s">
        <v>8665</v>
      </c>
      <c r="F2773" s="95" t="s">
        <v>8666</v>
      </c>
      <c r="G2773" s="96">
        <v>45242</v>
      </c>
      <c r="H2773" s="97">
        <v>29708</v>
      </c>
      <c r="I2773" s="108" t="s">
        <v>12483</v>
      </c>
      <c r="J2773" s="94" t="s">
        <v>8667</v>
      </c>
      <c r="K2773" s="95">
        <f>56932430259</f>
        <v>56932430259</v>
      </c>
      <c r="L2773" s="91" t="s">
        <v>60</v>
      </c>
      <c r="M2773" s="98">
        <f ca="1">(TODAY()-H2773)/365</f>
        <v>44.641095890410959</v>
      </c>
      <c r="N2773" s="99">
        <f>(G2773-H2773)/365</f>
        <v>42.558904109589044</v>
      </c>
      <c r="O2773" s="98">
        <f ca="1">(TODAY()-G2773)/365</f>
        <v>2.0821917808219177</v>
      </c>
      <c r="P2773" s="91" t="s">
        <v>43</v>
      </c>
      <c r="Q2773" s="91">
        <v>0</v>
      </c>
      <c r="R2773" s="91">
        <v>0</v>
      </c>
      <c r="S2773" s="91">
        <v>0</v>
      </c>
      <c r="T2773" s="91"/>
      <c r="U2773" s="91"/>
      <c r="V2773" s="91"/>
      <c r="W2773" s="91"/>
      <c r="X2773" s="91"/>
      <c r="Y2773" s="91"/>
      <c r="Z2773" s="91"/>
      <c r="AA2773" s="91"/>
      <c r="AB2773" s="91"/>
      <c r="AC2773" s="91"/>
      <c r="AD2773" s="91"/>
      <c r="AE2773" s="91"/>
      <c r="AF2773" s="91"/>
      <c r="AG2773" s="91"/>
      <c r="AH2773" s="91"/>
      <c r="AI2773" s="91"/>
      <c r="AJ2773" s="91"/>
      <c r="AK2773" s="91"/>
      <c r="AL2773" s="91"/>
      <c r="AM2773" s="91"/>
    </row>
    <row r="2774" spans="1:39" ht="20.25" hidden="1" customHeight="1">
      <c r="A2774" s="91"/>
      <c r="B2774" s="93" t="s">
        <v>8630</v>
      </c>
      <c r="C2774" s="91" t="s">
        <v>36</v>
      </c>
      <c r="D2774" s="94" t="s">
        <v>5296</v>
      </c>
      <c r="E2774" s="94" t="s">
        <v>8668</v>
      </c>
      <c r="F2774" s="95" t="s">
        <v>8669</v>
      </c>
      <c r="G2774" s="96">
        <v>33512</v>
      </c>
      <c r="H2774" s="97">
        <v>17574</v>
      </c>
      <c r="I2774" s="108" t="s">
        <v>12484</v>
      </c>
      <c r="J2774" s="94" t="s">
        <v>8670</v>
      </c>
      <c r="K2774" s="95">
        <f>56983290872</f>
        <v>56983290872</v>
      </c>
      <c r="L2774" s="91" t="s">
        <v>60</v>
      </c>
      <c r="M2774" s="98">
        <f ca="1">(TODAY()-H2774)/365</f>
        <v>77.884931506849313</v>
      </c>
      <c r="N2774" s="99">
        <f>(G2774-H2774)/365</f>
        <v>43.665753424657531</v>
      </c>
      <c r="O2774" s="98">
        <f ca="1">(TODAY()-G2774)/365</f>
        <v>34.219178082191782</v>
      </c>
      <c r="P2774" s="91" t="s">
        <v>43</v>
      </c>
      <c r="Q2774" s="91">
        <v>0</v>
      </c>
      <c r="R2774" s="91">
        <v>0</v>
      </c>
      <c r="S2774" s="91">
        <v>0</v>
      </c>
      <c r="T2774" s="91"/>
      <c r="U2774" s="91"/>
      <c r="V2774" s="91"/>
      <c r="W2774" s="91"/>
      <c r="X2774" s="91"/>
      <c r="Y2774" s="91"/>
      <c r="Z2774" s="91"/>
      <c r="AA2774" s="91"/>
      <c r="AB2774" s="91"/>
      <c r="AC2774" s="91"/>
      <c r="AD2774" s="91"/>
      <c r="AE2774" s="91"/>
      <c r="AF2774" s="91"/>
      <c r="AG2774" s="91"/>
      <c r="AH2774" s="91"/>
      <c r="AI2774" s="91"/>
      <c r="AJ2774" s="91"/>
      <c r="AK2774" s="91"/>
      <c r="AL2774" s="91"/>
      <c r="AM2774" s="91"/>
    </row>
    <row r="2775" spans="1:39" ht="20.25" customHeight="1">
      <c r="A2775" s="91"/>
      <c r="B2775" s="93" t="s">
        <v>12263</v>
      </c>
      <c r="C2775" s="91" t="s">
        <v>73</v>
      </c>
      <c r="D2775" s="106" t="s">
        <v>7462</v>
      </c>
      <c r="E2775" s="106" t="s">
        <v>11217</v>
      </c>
      <c r="F2775" s="92" t="s">
        <v>11219</v>
      </c>
      <c r="G2775" s="103">
        <v>42758</v>
      </c>
      <c r="H2775" s="103">
        <v>36780</v>
      </c>
      <c r="I2775" s="94" t="s">
        <v>58</v>
      </c>
      <c r="J2775" s="100" t="s">
        <v>58</v>
      </c>
      <c r="K2775" s="95" t="s">
        <v>58</v>
      </c>
      <c r="L2775" s="91"/>
      <c r="M2775" s="98">
        <f ca="1">(TODAY()-H2775)/365</f>
        <v>25.265753424657536</v>
      </c>
      <c r="N2775" s="99">
        <f>(G2775-H2775)/365</f>
        <v>16.378082191780823</v>
      </c>
      <c r="O2775" s="98">
        <f ca="1">(TODAY()-G2775)/365</f>
        <v>8.8876712328767127</v>
      </c>
      <c r="P2775" s="91" t="s">
        <v>272</v>
      </c>
      <c r="Q2775" s="91"/>
      <c r="R2775" s="91"/>
      <c r="S2775" s="91"/>
      <c r="T2775" s="91"/>
      <c r="U2775" s="91"/>
      <c r="V2775" s="91"/>
      <c r="W2775" s="91"/>
      <c r="X2775" s="91"/>
      <c r="Y2775" s="91"/>
      <c r="Z2775" s="91"/>
      <c r="AA2775" s="91"/>
      <c r="AB2775" s="91"/>
      <c r="AC2775" s="91"/>
      <c r="AD2775" s="91"/>
      <c r="AE2775" s="91"/>
      <c r="AF2775" s="91"/>
      <c r="AG2775" s="91"/>
      <c r="AH2775" s="91"/>
      <c r="AI2775" s="91"/>
      <c r="AJ2775" s="91"/>
      <c r="AK2775" s="91"/>
      <c r="AL2775" s="91"/>
      <c r="AM2775" s="91"/>
    </row>
    <row r="2776" spans="1:39" ht="20.25" hidden="1" customHeight="1">
      <c r="A2776" s="91"/>
      <c r="B2776" s="93" t="s">
        <v>8630</v>
      </c>
      <c r="C2776" s="91" t="s">
        <v>36</v>
      </c>
      <c r="D2776" s="94" t="s">
        <v>8675</v>
      </c>
      <c r="E2776" s="94" t="s">
        <v>8676</v>
      </c>
      <c r="F2776" s="95" t="s">
        <v>8677</v>
      </c>
      <c r="G2776" s="96">
        <v>42037</v>
      </c>
      <c r="H2776" s="97">
        <v>24930</v>
      </c>
      <c r="I2776" s="108" t="s">
        <v>12485</v>
      </c>
      <c r="J2776" s="94" t="s">
        <v>8678</v>
      </c>
      <c r="K2776" s="95">
        <f>56994786362</f>
        <v>56994786362</v>
      </c>
      <c r="L2776" s="91" t="s">
        <v>49</v>
      </c>
      <c r="M2776" s="98">
        <f ca="1">(TODAY()-H2776)/365</f>
        <v>57.731506849315068</v>
      </c>
      <c r="N2776" s="99">
        <f>(G2776-H2776)/365</f>
        <v>46.868493150684934</v>
      </c>
      <c r="O2776" s="98">
        <f ca="1">(TODAY()-G2776)/365</f>
        <v>10.863013698630137</v>
      </c>
      <c r="P2776" s="91" t="s">
        <v>43</v>
      </c>
      <c r="Q2776" s="91">
        <v>0</v>
      </c>
      <c r="R2776" s="91">
        <v>0</v>
      </c>
      <c r="S2776" s="91">
        <v>0</v>
      </c>
      <c r="T2776" s="91"/>
      <c r="U2776" s="91"/>
      <c r="V2776" s="91"/>
      <c r="W2776" s="91"/>
      <c r="X2776" s="91"/>
      <c r="Y2776" s="91"/>
      <c r="Z2776" s="91"/>
      <c r="AA2776" s="91"/>
      <c r="AB2776" s="91"/>
      <c r="AC2776" s="91"/>
      <c r="AD2776" s="91"/>
      <c r="AE2776" s="91"/>
      <c r="AF2776" s="91"/>
      <c r="AG2776" s="91"/>
      <c r="AH2776" s="91"/>
      <c r="AI2776" s="91"/>
      <c r="AJ2776" s="91"/>
      <c r="AK2776" s="91"/>
      <c r="AL2776" s="91"/>
      <c r="AM2776" s="91"/>
    </row>
    <row r="2777" spans="1:39" ht="20.25" hidden="1" customHeight="1">
      <c r="A2777" s="91"/>
      <c r="B2777" s="93" t="s">
        <v>8630</v>
      </c>
      <c r="C2777" s="91" t="s">
        <v>36</v>
      </c>
      <c r="D2777" s="94" t="s">
        <v>310</v>
      </c>
      <c r="E2777" s="94" t="s">
        <v>8679</v>
      </c>
      <c r="F2777" s="95" t="s">
        <v>8680</v>
      </c>
      <c r="G2777" s="96">
        <v>45373</v>
      </c>
      <c r="H2777" s="97">
        <v>26527</v>
      </c>
      <c r="I2777" s="108" t="s">
        <v>12486</v>
      </c>
      <c r="J2777" s="94" t="s">
        <v>8681</v>
      </c>
      <c r="K2777" s="95">
        <f>56977510726</f>
        <v>56977510726</v>
      </c>
      <c r="L2777" s="91" t="s">
        <v>60</v>
      </c>
      <c r="M2777" s="98">
        <f ca="1">(TODAY()-H2777)/365</f>
        <v>53.356164383561641</v>
      </c>
      <c r="N2777" s="99">
        <f>(G2777-H2777)/365</f>
        <v>51.632876712328766</v>
      </c>
      <c r="O2777" s="98">
        <f ca="1">(TODAY()-G2777)/365</f>
        <v>1.7232876712328766</v>
      </c>
      <c r="P2777" s="91" t="s">
        <v>43</v>
      </c>
      <c r="Q2777" s="91">
        <v>0</v>
      </c>
      <c r="R2777" s="91">
        <v>0</v>
      </c>
      <c r="S2777" s="91">
        <v>0</v>
      </c>
      <c r="T2777" s="91"/>
      <c r="U2777" s="91"/>
      <c r="V2777" s="91"/>
      <c r="W2777" s="91"/>
      <c r="X2777" s="91"/>
      <c r="Y2777" s="91"/>
      <c r="Z2777" s="91"/>
      <c r="AA2777" s="91"/>
      <c r="AB2777" s="91"/>
      <c r="AC2777" s="91"/>
      <c r="AD2777" s="91"/>
      <c r="AE2777" s="91"/>
      <c r="AF2777" s="91"/>
      <c r="AG2777" s="91"/>
      <c r="AH2777" s="91"/>
      <c r="AI2777" s="91"/>
      <c r="AJ2777" s="91"/>
      <c r="AK2777" s="91"/>
      <c r="AL2777" s="91"/>
      <c r="AM2777" s="91"/>
    </row>
    <row r="2778" spans="1:39" ht="20.25" hidden="1" customHeight="1">
      <c r="A2778" s="91"/>
      <c r="B2778" s="93" t="s">
        <v>8630</v>
      </c>
      <c r="C2778" s="91" t="s">
        <v>36</v>
      </c>
      <c r="D2778" s="94" t="s">
        <v>8682</v>
      </c>
      <c r="E2778" s="94" t="s">
        <v>8683</v>
      </c>
      <c r="F2778" s="95" t="s">
        <v>8684</v>
      </c>
      <c r="G2778" s="96">
        <v>44339</v>
      </c>
      <c r="H2778" s="97">
        <v>24329</v>
      </c>
      <c r="I2778" s="108" t="s">
        <v>12487</v>
      </c>
      <c r="J2778" s="94" t="s">
        <v>8685</v>
      </c>
      <c r="K2778" s="95">
        <f>56940630028</f>
        <v>56940630028</v>
      </c>
      <c r="L2778" s="91" t="s">
        <v>60</v>
      </c>
      <c r="M2778" s="98">
        <f ca="1">(TODAY()-H2778)/365</f>
        <v>59.37808219178082</v>
      </c>
      <c r="N2778" s="99">
        <f>(G2778-H2778)/365</f>
        <v>54.821917808219176</v>
      </c>
      <c r="O2778" s="98">
        <f ca="1">(TODAY()-G2778)/365</f>
        <v>4.5561643835616437</v>
      </c>
      <c r="P2778" s="91" t="s">
        <v>272</v>
      </c>
      <c r="Q2778" s="91">
        <v>0</v>
      </c>
      <c r="R2778" s="91">
        <v>0</v>
      </c>
      <c r="S2778" s="91">
        <v>0</v>
      </c>
      <c r="T2778" s="91"/>
      <c r="U2778" s="91"/>
      <c r="V2778" s="91"/>
      <c r="W2778" s="91"/>
      <c r="X2778" s="91"/>
      <c r="Y2778" s="91"/>
      <c r="Z2778" s="91"/>
      <c r="AA2778" s="91"/>
      <c r="AB2778" s="91"/>
      <c r="AC2778" s="91"/>
      <c r="AD2778" s="91"/>
      <c r="AE2778" s="91"/>
      <c r="AF2778" s="91"/>
      <c r="AG2778" s="91"/>
      <c r="AH2778" s="91"/>
      <c r="AI2778" s="91"/>
      <c r="AJ2778" s="91"/>
      <c r="AK2778" s="91"/>
      <c r="AL2778" s="91"/>
      <c r="AM2778" s="91"/>
    </row>
    <row r="2779" spans="1:39" ht="20.25" hidden="1" customHeight="1">
      <c r="A2779" s="91"/>
      <c r="B2779" s="93" t="s">
        <v>8630</v>
      </c>
      <c r="C2779" s="91" t="s">
        <v>36</v>
      </c>
      <c r="D2779" s="94" t="s">
        <v>8686</v>
      </c>
      <c r="E2779" s="94" t="s">
        <v>8687</v>
      </c>
      <c r="F2779" s="95" t="s">
        <v>8688</v>
      </c>
      <c r="G2779" s="96">
        <v>43617</v>
      </c>
      <c r="H2779" s="97">
        <v>23578</v>
      </c>
      <c r="I2779" s="108" t="s">
        <v>12488</v>
      </c>
      <c r="J2779" s="94" t="s">
        <v>8689</v>
      </c>
      <c r="K2779" s="95">
        <f>56942675273</f>
        <v>56942675273</v>
      </c>
      <c r="L2779" s="91" t="s">
        <v>72</v>
      </c>
      <c r="M2779" s="98">
        <f ca="1">(TODAY()-H2779)/365</f>
        <v>61.435616438356163</v>
      </c>
      <c r="N2779" s="99">
        <f>(G2779-H2779)/365</f>
        <v>54.901369863013699</v>
      </c>
      <c r="O2779" s="98">
        <f ca="1">(TODAY()-G2779)/365</f>
        <v>6.5342465753424657</v>
      </c>
      <c r="P2779" s="91" t="s">
        <v>43</v>
      </c>
      <c r="Q2779" s="91">
        <v>0</v>
      </c>
      <c r="R2779" s="91">
        <v>0</v>
      </c>
      <c r="S2779" s="91">
        <v>0</v>
      </c>
      <c r="T2779" s="91"/>
      <c r="U2779" s="91"/>
      <c r="V2779" s="91"/>
      <c r="W2779" s="91"/>
      <c r="X2779" s="91"/>
      <c r="Y2779" s="91"/>
      <c r="Z2779" s="91"/>
      <c r="AA2779" s="91"/>
      <c r="AB2779" s="91"/>
      <c r="AC2779" s="91"/>
      <c r="AD2779" s="91"/>
      <c r="AE2779" s="91"/>
      <c r="AF2779" s="91"/>
      <c r="AG2779" s="91"/>
      <c r="AH2779" s="91"/>
      <c r="AI2779" s="91"/>
      <c r="AJ2779" s="91"/>
      <c r="AK2779" s="91"/>
      <c r="AL2779" s="91"/>
      <c r="AM2779" s="91"/>
    </row>
    <row r="2780" spans="1:39" ht="20.25" hidden="1" customHeight="1">
      <c r="A2780" s="91"/>
      <c r="B2780" s="93" t="s">
        <v>8630</v>
      </c>
      <c r="C2780" s="91" t="s">
        <v>36</v>
      </c>
      <c r="D2780" s="94" t="s">
        <v>8690</v>
      </c>
      <c r="E2780" s="94" t="s">
        <v>8691</v>
      </c>
      <c r="F2780" s="95" t="s">
        <v>8692</v>
      </c>
      <c r="G2780" s="96">
        <v>44295</v>
      </c>
      <c r="H2780" s="97">
        <v>24230</v>
      </c>
      <c r="I2780" s="108" t="s">
        <v>12489</v>
      </c>
      <c r="J2780" s="94" t="s">
        <v>8693</v>
      </c>
      <c r="K2780" s="95">
        <f>56976687654</f>
        <v>56976687654</v>
      </c>
      <c r="L2780" s="91" t="s">
        <v>197</v>
      </c>
      <c r="M2780" s="98">
        <f ca="1">(TODAY()-H2780)/365</f>
        <v>59.649315068493152</v>
      </c>
      <c r="N2780" s="99">
        <f>(G2780-H2780)/365</f>
        <v>54.972602739726028</v>
      </c>
      <c r="O2780" s="98">
        <f ca="1">(TODAY()-G2780)/365</f>
        <v>4.6767123287671231</v>
      </c>
      <c r="P2780" s="91" t="s">
        <v>43</v>
      </c>
      <c r="Q2780" s="91">
        <v>0</v>
      </c>
      <c r="R2780" s="91">
        <v>0</v>
      </c>
      <c r="S2780" s="91">
        <v>0</v>
      </c>
      <c r="T2780" s="91"/>
      <c r="U2780" s="91"/>
      <c r="V2780" s="91"/>
      <c r="W2780" s="91"/>
      <c r="X2780" s="91"/>
      <c r="Y2780" s="91"/>
      <c r="Z2780" s="91"/>
      <c r="AA2780" s="91"/>
      <c r="AB2780" s="91"/>
      <c r="AC2780" s="91"/>
      <c r="AD2780" s="91"/>
      <c r="AE2780" s="91"/>
      <c r="AF2780" s="91"/>
      <c r="AG2780" s="91"/>
      <c r="AH2780" s="91"/>
      <c r="AI2780" s="91"/>
      <c r="AJ2780" s="91"/>
      <c r="AK2780" s="91"/>
      <c r="AL2780" s="91"/>
      <c r="AM2780" s="91"/>
    </row>
    <row r="2781" spans="1:39" ht="20.25" hidden="1" customHeight="1">
      <c r="A2781" s="91"/>
      <c r="B2781" s="93" t="s">
        <v>8630</v>
      </c>
      <c r="C2781" s="91" t="s">
        <v>36</v>
      </c>
      <c r="D2781" s="94" t="s">
        <v>8694</v>
      </c>
      <c r="E2781" s="94" t="s">
        <v>8695</v>
      </c>
      <c r="F2781" s="95" t="s">
        <v>8696</v>
      </c>
      <c r="G2781" s="96">
        <v>45569</v>
      </c>
      <c r="H2781" s="97">
        <v>24507</v>
      </c>
      <c r="I2781" s="108" t="s">
        <v>12490</v>
      </c>
      <c r="J2781" s="94" t="s">
        <v>8697</v>
      </c>
      <c r="K2781" s="95">
        <f>56942334413</f>
        <v>56942334413</v>
      </c>
      <c r="L2781" s="91" t="s">
        <v>60</v>
      </c>
      <c r="M2781" s="98">
        <f ca="1">(TODAY()-H2781)/365</f>
        <v>58.890410958904113</v>
      </c>
      <c r="N2781" s="99">
        <f>(G2781-H2781)/365</f>
        <v>57.704109589041096</v>
      </c>
      <c r="O2781" s="98">
        <f ca="1">(TODAY()-G2781)/365</f>
        <v>1.1863013698630136</v>
      </c>
      <c r="P2781" s="91" t="s">
        <v>43</v>
      </c>
      <c r="Q2781" s="91">
        <v>0</v>
      </c>
      <c r="R2781" s="91">
        <v>0</v>
      </c>
      <c r="S2781" s="91">
        <v>0</v>
      </c>
      <c r="T2781" s="91"/>
      <c r="U2781" s="91"/>
      <c r="V2781" s="91"/>
      <c r="W2781" s="91"/>
      <c r="X2781" s="91"/>
      <c r="Y2781" s="91"/>
      <c r="Z2781" s="91"/>
      <c r="AA2781" s="91"/>
      <c r="AB2781" s="91"/>
      <c r="AC2781" s="91"/>
      <c r="AD2781" s="91"/>
      <c r="AE2781" s="91"/>
      <c r="AF2781" s="91"/>
      <c r="AG2781" s="91"/>
      <c r="AH2781" s="91"/>
      <c r="AI2781" s="91"/>
      <c r="AJ2781" s="91"/>
      <c r="AK2781" s="91"/>
      <c r="AL2781" s="91"/>
      <c r="AM2781" s="91"/>
    </row>
    <row r="2782" spans="1:39" ht="20.25" customHeight="1">
      <c r="A2782" s="91"/>
      <c r="B2782" s="93" t="s">
        <v>8369</v>
      </c>
      <c r="C2782" s="91" t="s">
        <v>73</v>
      </c>
      <c r="D2782" s="107" t="s">
        <v>3948</v>
      </c>
      <c r="E2782" s="107" t="s">
        <v>8378</v>
      </c>
      <c r="F2782" s="95" t="s">
        <v>8379</v>
      </c>
      <c r="G2782" s="96">
        <v>45061</v>
      </c>
      <c r="H2782" s="97">
        <v>38822</v>
      </c>
      <c r="I2782" s="94" t="s">
        <v>8380</v>
      </c>
      <c r="J2782" s="100" t="s">
        <v>58</v>
      </c>
      <c r="K2782" s="91" t="s">
        <v>58</v>
      </c>
      <c r="L2782" s="91" t="s">
        <v>60</v>
      </c>
      <c r="M2782" s="98">
        <f ca="1">(TODAY()-H2782)/365</f>
        <v>19.671232876712327</v>
      </c>
      <c r="N2782" s="99">
        <f>(G2782-H2782)/365</f>
        <v>17.093150684931508</v>
      </c>
      <c r="O2782" s="98">
        <f ca="1">(TODAY()-G2782)/365</f>
        <v>2.5780821917808221</v>
      </c>
      <c r="P2782" s="91" t="s">
        <v>272</v>
      </c>
      <c r="Q2782" s="91">
        <v>0</v>
      </c>
      <c r="R2782" s="91">
        <v>0</v>
      </c>
      <c r="S2782" s="91">
        <v>0</v>
      </c>
      <c r="T2782" s="91"/>
      <c r="U2782" s="91"/>
      <c r="V2782" s="91"/>
      <c r="W2782" s="91"/>
      <c r="X2782" s="91"/>
      <c r="Y2782" s="91"/>
      <c r="Z2782" s="91"/>
      <c r="AA2782" s="91"/>
      <c r="AB2782" s="91"/>
      <c r="AC2782" s="91"/>
      <c r="AD2782" s="91"/>
      <c r="AE2782" s="91"/>
      <c r="AF2782" s="91"/>
      <c r="AG2782" s="91"/>
      <c r="AH2782" s="91"/>
      <c r="AI2782" s="91"/>
      <c r="AJ2782" s="91"/>
      <c r="AK2782" s="91"/>
      <c r="AL2782" s="91"/>
      <c r="AM2782" s="91"/>
    </row>
    <row r="2783" spans="1:39" ht="20.25" hidden="1" customHeight="1">
      <c r="A2783" s="91"/>
      <c r="B2783" s="93" t="s">
        <v>8630</v>
      </c>
      <c r="C2783" s="91" t="s">
        <v>36</v>
      </c>
      <c r="D2783" s="94" t="s">
        <v>8700</v>
      </c>
      <c r="E2783" s="94" t="s">
        <v>8701</v>
      </c>
      <c r="F2783" s="95" t="s">
        <v>8702</v>
      </c>
      <c r="G2783" s="96">
        <v>45418</v>
      </c>
      <c r="H2783" s="97">
        <v>22569</v>
      </c>
      <c r="I2783" s="108" t="s">
        <v>12491</v>
      </c>
      <c r="J2783" s="94" t="s">
        <v>8703</v>
      </c>
      <c r="K2783" s="95">
        <f>56956848726</f>
        <v>56956848726</v>
      </c>
      <c r="L2783" s="91" t="s">
        <v>60</v>
      </c>
      <c r="M2783" s="98">
        <f ca="1">(TODAY()-H2783)/365</f>
        <v>64.2</v>
      </c>
      <c r="N2783" s="99">
        <f>(G2783-H2783)/365</f>
        <v>62.6</v>
      </c>
      <c r="O2783" s="98">
        <f ca="1">(TODAY()-G2783)/365</f>
        <v>1.6</v>
      </c>
      <c r="P2783" s="91" t="s">
        <v>43</v>
      </c>
      <c r="Q2783" s="91">
        <v>0</v>
      </c>
      <c r="R2783" s="91">
        <v>0</v>
      </c>
      <c r="S2783" s="91">
        <v>0</v>
      </c>
      <c r="T2783" s="91"/>
      <c r="U2783" s="91"/>
      <c r="V2783" s="91"/>
      <c r="W2783" s="91"/>
      <c r="X2783" s="91"/>
      <c r="Y2783" s="91"/>
      <c r="Z2783" s="91"/>
      <c r="AA2783" s="91"/>
      <c r="AB2783" s="91"/>
      <c r="AC2783" s="91"/>
      <c r="AD2783" s="91"/>
      <c r="AE2783" s="91"/>
      <c r="AF2783" s="91"/>
      <c r="AG2783" s="91"/>
      <c r="AH2783" s="91"/>
      <c r="AI2783" s="91"/>
      <c r="AJ2783" s="91"/>
      <c r="AK2783" s="91"/>
      <c r="AL2783" s="91"/>
      <c r="AM2783" s="91"/>
    </row>
    <row r="2784" spans="1:39" ht="20.25" customHeight="1">
      <c r="A2784" s="91"/>
      <c r="B2784" s="93" t="s">
        <v>5023</v>
      </c>
      <c r="C2784" s="91" t="s">
        <v>73</v>
      </c>
      <c r="D2784" s="107" t="s">
        <v>5072</v>
      </c>
      <c r="E2784" s="107" t="s">
        <v>5073</v>
      </c>
      <c r="F2784" s="91" t="s">
        <v>5074</v>
      </c>
      <c r="G2784" s="96">
        <v>31366</v>
      </c>
      <c r="H2784" s="97">
        <v>20614</v>
      </c>
      <c r="I2784" s="100" t="s">
        <v>5075</v>
      </c>
      <c r="J2784" s="94" t="s">
        <v>58</v>
      </c>
      <c r="K2784" s="95" t="s">
        <v>58</v>
      </c>
      <c r="L2784" s="91" t="s">
        <v>60</v>
      </c>
      <c r="M2784" s="98">
        <f ca="1">(TODAY()-H2784)/365</f>
        <v>69.556164383561651</v>
      </c>
      <c r="N2784" s="99">
        <f>(G2784-H2784)/365</f>
        <v>29.457534246575342</v>
      </c>
      <c r="O2784" s="98">
        <f ca="1">(TODAY()-G2784)/365</f>
        <v>40.098630136986301</v>
      </c>
      <c r="P2784" s="91" t="s">
        <v>43</v>
      </c>
      <c r="Q2784" s="91">
        <v>0</v>
      </c>
      <c r="R2784" s="91">
        <v>0</v>
      </c>
      <c r="S2784" s="91">
        <v>0</v>
      </c>
      <c r="T2784" s="91"/>
      <c r="U2784" s="91"/>
      <c r="V2784" s="91"/>
      <c r="W2784" s="91"/>
      <c r="X2784" s="91"/>
      <c r="Y2784" s="91"/>
      <c r="Z2784" s="91"/>
      <c r="AA2784" s="91"/>
      <c r="AB2784" s="91"/>
      <c r="AC2784" s="91"/>
      <c r="AD2784" s="91"/>
      <c r="AE2784" s="91"/>
      <c r="AF2784" s="91"/>
      <c r="AG2784" s="91"/>
      <c r="AH2784" s="91"/>
      <c r="AI2784" s="91"/>
      <c r="AJ2784" s="91"/>
      <c r="AK2784" s="91"/>
      <c r="AL2784" s="91"/>
      <c r="AM2784" s="91"/>
    </row>
    <row r="2785" spans="1:39" ht="20.25" hidden="1" customHeight="1">
      <c r="A2785" s="91"/>
      <c r="B2785" s="93" t="s">
        <v>8630</v>
      </c>
      <c r="C2785" s="91" t="s">
        <v>36</v>
      </c>
      <c r="D2785" s="94" t="s">
        <v>8707</v>
      </c>
      <c r="E2785" s="94" t="s">
        <v>8708</v>
      </c>
      <c r="F2785" s="95" t="s">
        <v>8709</v>
      </c>
      <c r="G2785" s="96">
        <v>45446</v>
      </c>
      <c r="H2785" s="97">
        <v>22448</v>
      </c>
      <c r="I2785" s="108" t="s">
        <v>12492</v>
      </c>
      <c r="J2785" s="94" t="s">
        <v>8710</v>
      </c>
      <c r="K2785" s="95">
        <f>56944950042</f>
        <v>56944950042</v>
      </c>
      <c r="L2785" s="91" t="s">
        <v>60</v>
      </c>
      <c r="M2785" s="98">
        <f ca="1">(TODAY()-H2785)/365</f>
        <v>64.531506849315065</v>
      </c>
      <c r="N2785" s="99">
        <f>(G2785-H2785)/365</f>
        <v>63.008219178082193</v>
      </c>
      <c r="O2785" s="98">
        <f ca="1">(TODAY()-G2785)/365</f>
        <v>1.5232876712328767</v>
      </c>
      <c r="P2785" s="91" t="s">
        <v>43</v>
      </c>
      <c r="Q2785" s="91">
        <v>0</v>
      </c>
      <c r="R2785" s="91">
        <v>0</v>
      </c>
      <c r="S2785" s="91">
        <v>0</v>
      </c>
      <c r="T2785" s="91"/>
      <c r="U2785" s="91"/>
      <c r="V2785" s="91"/>
      <c r="W2785" s="91"/>
      <c r="X2785" s="91"/>
      <c r="Y2785" s="91"/>
      <c r="Z2785" s="91"/>
      <c r="AA2785" s="91"/>
      <c r="AB2785" s="91"/>
      <c r="AC2785" s="91"/>
      <c r="AD2785" s="91"/>
      <c r="AE2785" s="91"/>
      <c r="AF2785" s="91"/>
      <c r="AG2785" s="91"/>
      <c r="AH2785" s="91"/>
      <c r="AI2785" s="91"/>
      <c r="AJ2785" s="91"/>
      <c r="AK2785" s="91"/>
      <c r="AL2785" s="91"/>
      <c r="AM2785" s="91"/>
    </row>
    <row r="2786" spans="1:39" ht="20.25" hidden="1" customHeight="1">
      <c r="A2786" s="91"/>
      <c r="B2786" s="93" t="s">
        <v>8630</v>
      </c>
      <c r="C2786" s="91" t="s">
        <v>36</v>
      </c>
      <c r="D2786" s="94" t="s">
        <v>8711</v>
      </c>
      <c r="E2786" s="94" t="s">
        <v>8708</v>
      </c>
      <c r="F2786" s="95" t="s">
        <v>8712</v>
      </c>
      <c r="G2786" s="96">
        <v>45643</v>
      </c>
      <c r="H2786" s="97">
        <v>22601</v>
      </c>
      <c r="I2786" s="94" t="s">
        <v>58</v>
      </c>
      <c r="J2786" s="94" t="s">
        <v>8713</v>
      </c>
      <c r="K2786" s="95">
        <f>56948096447</f>
        <v>56948096447</v>
      </c>
      <c r="L2786" s="91" t="s">
        <v>60</v>
      </c>
      <c r="M2786" s="98">
        <f ca="1">(TODAY()-H2786)/365</f>
        <v>64.112328767123287</v>
      </c>
      <c r="N2786" s="99">
        <f>(G2786-H2786)/365</f>
        <v>63.128767123287673</v>
      </c>
      <c r="O2786" s="98">
        <f ca="1">(TODAY()-G2786)/365</f>
        <v>0.98356164383561639</v>
      </c>
      <c r="P2786" s="91" t="s">
        <v>43</v>
      </c>
      <c r="Q2786" s="91">
        <v>0</v>
      </c>
      <c r="R2786" s="91">
        <v>0</v>
      </c>
      <c r="S2786" s="91">
        <v>0</v>
      </c>
      <c r="T2786" s="91"/>
      <c r="U2786" s="91"/>
      <c r="V2786" s="91"/>
      <c r="W2786" s="91"/>
      <c r="X2786" s="91"/>
      <c r="Y2786" s="91"/>
      <c r="Z2786" s="91"/>
      <c r="AA2786" s="91"/>
      <c r="AB2786" s="91"/>
      <c r="AC2786" s="91"/>
      <c r="AD2786" s="91"/>
      <c r="AE2786" s="91"/>
      <c r="AF2786" s="91"/>
      <c r="AG2786" s="91"/>
      <c r="AH2786" s="91"/>
      <c r="AI2786" s="91"/>
      <c r="AJ2786" s="91"/>
      <c r="AK2786" s="91"/>
      <c r="AL2786" s="91"/>
      <c r="AM2786" s="91"/>
    </row>
    <row r="2787" spans="1:39" ht="20.25" hidden="1" customHeight="1">
      <c r="A2787" s="91"/>
      <c r="B2787" s="93" t="s">
        <v>10232</v>
      </c>
      <c r="C2787" s="91" t="s">
        <v>36</v>
      </c>
      <c r="D2787" s="106" t="s">
        <v>3121</v>
      </c>
      <c r="E2787" s="106" t="s">
        <v>10233</v>
      </c>
      <c r="F2787" s="92" t="s">
        <v>10234</v>
      </c>
      <c r="G2787" s="103">
        <v>42743</v>
      </c>
      <c r="H2787" s="103">
        <v>18518</v>
      </c>
      <c r="I2787" s="108" t="s">
        <v>12595</v>
      </c>
      <c r="J2787" s="94" t="s">
        <v>10235</v>
      </c>
      <c r="K2787" s="92">
        <v>984165797</v>
      </c>
      <c r="L2787" s="91"/>
      <c r="M2787" s="98">
        <f ca="1">(TODAY()-H2787)/365</f>
        <v>75.298630136986304</v>
      </c>
      <c r="N2787" s="99">
        <f>(G2787-H2787)/365</f>
        <v>66.369863013698634</v>
      </c>
      <c r="O2787" s="98">
        <f ca="1">(TODAY()-G2787)/365</f>
        <v>8.9287671232876704</v>
      </c>
      <c r="P2787" s="91" t="s">
        <v>43</v>
      </c>
      <c r="Q2787" s="91"/>
      <c r="R2787" s="91"/>
      <c r="S2787" s="91"/>
      <c r="T2787" s="91"/>
      <c r="U2787" s="91"/>
      <c r="V2787" s="91"/>
      <c r="W2787" s="91"/>
      <c r="X2787" s="91"/>
      <c r="Y2787" s="91"/>
      <c r="Z2787" s="91"/>
      <c r="AA2787" s="91"/>
      <c r="AB2787" s="91"/>
      <c r="AC2787" s="91"/>
      <c r="AD2787" s="91"/>
      <c r="AE2787" s="91"/>
      <c r="AF2787" s="91"/>
      <c r="AG2787" s="91"/>
      <c r="AH2787" s="91"/>
      <c r="AI2787" s="91"/>
      <c r="AJ2787" s="91"/>
      <c r="AK2787" s="91"/>
      <c r="AL2787" s="91"/>
      <c r="AM2787" s="91"/>
    </row>
    <row r="2788" spans="1:39" ht="20.25" hidden="1" customHeight="1">
      <c r="A2788" s="91"/>
      <c r="B2788" s="93" t="s">
        <v>10232</v>
      </c>
      <c r="C2788" s="91" t="s">
        <v>36</v>
      </c>
      <c r="D2788" s="106" t="s">
        <v>10236</v>
      </c>
      <c r="E2788" s="106" t="s">
        <v>5144</v>
      </c>
      <c r="F2788" s="92" t="s">
        <v>10237</v>
      </c>
      <c r="G2788" s="103">
        <v>43107</v>
      </c>
      <c r="H2788" s="103">
        <v>29101</v>
      </c>
      <c r="I2788" s="108" t="s">
        <v>12596</v>
      </c>
      <c r="J2788" s="94" t="s">
        <v>10238</v>
      </c>
      <c r="K2788" s="92">
        <v>962317050</v>
      </c>
      <c r="L2788" s="91"/>
      <c r="M2788" s="98">
        <f ca="1">(TODAY()-H2788)/365</f>
        <v>46.304109589041097</v>
      </c>
      <c r="N2788" s="99">
        <f>(G2788-H2788)/365</f>
        <v>38.372602739726027</v>
      </c>
      <c r="O2788" s="98">
        <f ca="1">(TODAY()-G2788)/365</f>
        <v>7.9315068493150687</v>
      </c>
      <c r="P2788" s="91" t="s">
        <v>43</v>
      </c>
      <c r="Q2788" s="91"/>
      <c r="R2788" s="91"/>
      <c r="S2788" s="91"/>
      <c r="T2788" s="91"/>
      <c r="U2788" s="91"/>
      <c r="V2788" s="91"/>
      <c r="W2788" s="91"/>
      <c r="X2788" s="91"/>
      <c r="Y2788" s="91"/>
      <c r="Z2788" s="91"/>
      <c r="AA2788" s="91"/>
      <c r="AB2788" s="91"/>
      <c r="AC2788" s="91"/>
      <c r="AD2788" s="91"/>
      <c r="AE2788" s="91"/>
      <c r="AF2788" s="91"/>
      <c r="AG2788" s="91"/>
      <c r="AH2788" s="91"/>
      <c r="AI2788" s="91"/>
      <c r="AJ2788" s="91"/>
      <c r="AK2788" s="91"/>
      <c r="AL2788" s="91"/>
      <c r="AM2788" s="91"/>
    </row>
    <row r="2789" spans="1:39" ht="20.25" hidden="1" customHeight="1">
      <c r="A2789" s="91"/>
      <c r="B2789" s="93" t="s">
        <v>10232</v>
      </c>
      <c r="C2789" s="91" t="s">
        <v>36</v>
      </c>
      <c r="D2789" s="106" t="s">
        <v>10239</v>
      </c>
      <c r="E2789" s="106" t="s">
        <v>10240</v>
      </c>
      <c r="F2789" s="92" t="s">
        <v>10241</v>
      </c>
      <c r="G2789" s="103">
        <v>40912</v>
      </c>
      <c r="H2789" s="103">
        <v>26314</v>
      </c>
      <c r="I2789" s="108" t="s">
        <v>12597</v>
      </c>
      <c r="J2789" s="94" t="s">
        <v>10242</v>
      </c>
      <c r="K2789" s="92">
        <v>982383360</v>
      </c>
      <c r="L2789" s="91"/>
      <c r="M2789" s="98">
        <f ca="1">(TODAY()-H2789)/365</f>
        <v>53.939726027397263</v>
      </c>
      <c r="N2789" s="99">
        <f>(G2789-H2789)/365</f>
        <v>39.994520547945207</v>
      </c>
      <c r="O2789" s="98">
        <f ca="1">(TODAY()-G2789)/365</f>
        <v>13.945205479452055</v>
      </c>
      <c r="P2789" s="91" t="s">
        <v>43</v>
      </c>
      <c r="Q2789" s="91"/>
      <c r="R2789" s="91"/>
      <c r="S2789" s="91"/>
      <c r="T2789" s="91"/>
      <c r="U2789" s="91"/>
      <c r="V2789" s="91"/>
      <c r="W2789" s="91"/>
      <c r="X2789" s="91"/>
      <c r="Y2789" s="91"/>
      <c r="Z2789" s="91"/>
      <c r="AA2789" s="91"/>
      <c r="AB2789" s="91"/>
      <c r="AC2789" s="91"/>
      <c r="AD2789" s="91"/>
      <c r="AE2789" s="91"/>
      <c r="AF2789" s="91"/>
      <c r="AG2789" s="91"/>
      <c r="AH2789" s="91"/>
      <c r="AI2789" s="91"/>
      <c r="AJ2789" s="91"/>
      <c r="AK2789" s="91"/>
      <c r="AL2789" s="91"/>
      <c r="AM2789" s="91"/>
    </row>
    <row r="2790" spans="1:39" ht="20.25" hidden="1" customHeight="1">
      <c r="A2790" s="91"/>
      <c r="B2790" s="93" t="s">
        <v>10232</v>
      </c>
      <c r="C2790" s="91" t="s">
        <v>36</v>
      </c>
      <c r="D2790" s="106" t="s">
        <v>10243</v>
      </c>
      <c r="E2790" s="106" t="s">
        <v>10244</v>
      </c>
      <c r="F2790" s="92" t="s">
        <v>10245</v>
      </c>
      <c r="G2790" s="103">
        <v>36802</v>
      </c>
      <c r="H2790" s="103">
        <v>23323</v>
      </c>
      <c r="I2790" s="108" t="s">
        <v>12598</v>
      </c>
      <c r="J2790" s="94" t="s">
        <v>10246</v>
      </c>
      <c r="K2790" s="92">
        <v>984762356</v>
      </c>
      <c r="L2790" s="91"/>
      <c r="M2790" s="98">
        <f ca="1">(TODAY()-H2790)/365</f>
        <v>62.134246575342466</v>
      </c>
      <c r="N2790" s="99">
        <f>(G2790-H2790)/365</f>
        <v>36.92876712328767</v>
      </c>
      <c r="O2790" s="98">
        <f ca="1">(TODAY()-G2790)/365</f>
        <v>25.205479452054796</v>
      </c>
      <c r="P2790" s="91" t="s">
        <v>43</v>
      </c>
      <c r="Q2790" s="91"/>
      <c r="R2790" s="91"/>
      <c r="S2790" s="91"/>
      <c r="T2790" s="91"/>
      <c r="U2790" s="91"/>
      <c r="V2790" s="91"/>
      <c r="W2790" s="91"/>
      <c r="X2790" s="91"/>
      <c r="Y2790" s="91"/>
      <c r="Z2790" s="91"/>
      <c r="AA2790" s="91"/>
      <c r="AB2790" s="91"/>
      <c r="AC2790" s="91"/>
      <c r="AD2790" s="91"/>
      <c r="AE2790" s="91"/>
      <c r="AF2790" s="91"/>
      <c r="AG2790" s="91"/>
      <c r="AH2790" s="91"/>
      <c r="AI2790" s="91"/>
      <c r="AJ2790" s="91"/>
      <c r="AK2790" s="91"/>
      <c r="AL2790" s="91"/>
      <c r="AM2790" s="91"/>
    </row>
    <row r="2791" spans="1:39" ht="20.25" hidden="1" customHeight="1">
      <c r="A2791" s="91"/>
      <c r="B2791" s="93" t="s">
        <v>10232</v>
      </c>
      <c r="C2791" s="91" t="s">
        <v>36</v>
      </c>
      <c r="D2791" s="106" t="s">
        <v>10247</v>
      </c>
      <c r="E2791" s="106" t="s">
        <v>4696</v>
      </c>
      <c r="F2791" s="92" t="s">
        <v>10248</v>
      </c>
      <c r="G2791" s="103">
        <v>42743</v>
      </c>
      <c r="H2791" s="103">
        <v>23016</v>
      </c>
      <c r="I2791" s="108" t="s">
        <v>12599</v>
      </c>
      <c r="J2791" s="94" t="s">
        <v>10249</v>
      </c>
      <c r="K2791" s="92">
        <v>956173125</v>
      </c>
      <c r="L2791" s="91"/>
      <c r="M2791" s="98">
        <f ca="1">(TODAY()-H2791)/365</f>
        <v>62.975342465753428</v>
      </c>
      <c r="N2791" s="99">
        <f>(G2791-H2791)/365</f>
        <v>54.046575342465751</v>
      </c>
      <c r="O2791" s="98">
        <f ca="1">(TODAY()-G2791)/365</f>
        <v>8.9287671232876704</v>
      </c>
      <c r="P2791" s="91" t="s">
        <v>43</v>
      </c>
      <c r="Q2791" s="91"/>
      <c r="R2791" s="91"/>
      <c r="S2791" s="91"/>
      <c r="T2791" s="91"/>
      <c r="U2791" s="91"/>
      <c r="V2791" s="91"/>
      <c r="W2791" s="91"/>
      <c r="X2791" s="91"/>
      <c r="Y2791" s="91"/>
      <c r="Z2791" s="91"/>
      <c r="AA2791" s="91"/>
      <c r="AB2791" s="91"/>
      <c r="AC2791" s="91"/>
      <c r="AD2791" s="91"/>
      <c r="AE2791" s="91"/>
      <c r="AF2791" s="91"/>
      <c r="AG2791" s="91"/>
      <c r="AH2791" s="91"/>
      <c r="AI2791" s="91"/>
      <c r="AJ2791" s="91"/>
      <c r="AK2791" s="91"/>
      <c r="AL2791" s="91"/>
      <c r="AM2791" s="91"/>
    </row>
    <row r="2792" spans="1:39" ht="20.25" customHeight="1">
      <c r="A2792" s="91"/>
      <c r="B2792" s="93" t="s">
        <v>4396</v>
      </c>
      <c r="C2792" s="91" t="s">
        <v>73</v>
      </c>
      <c r="D2792" s="106" t="s">
        <v>3766</v>
      </c>
      <c r="E2792" s="106" t="s">
        <v>4442</v>
      </c>
      <c r="F2792" s="92" t="s">
        <v>4443</v>
      </c>
      <c r="G2792" s="96">
        <v>44986</v>
      </c>
      <c r="H2792" s="97" t="s">
        <v>58</v>
      </c>
      <c r="I2792" s="100" t="s">
        <v>58</v>
      </c>
      <c r="J2792" s="100" t="s">
        <v>58</v>
      </c>
      <c r="K2792" s="92" t="s">
        <v>4444</v>
      </c>
      <c r="L2792" s="91" t="s">
        <v>60</v>
      </c>
      <c r="M2792" s="98">
        <v>0</v>
      </c>
      <c r="N2792" s="91"/>
      <c r="O2792" s="98">
        <f ca="1">(TODAY()-G2792)/365</f>
        <v>2.7835616438356166</v>
      </c>
      <c r="P2792" s="91" t="s">
        <v>43</v>
      </c>
      <c r="Q2792" s="91">
        <v>0</v>
      </c>
      <c r="R2792" s="91">
        <v>0</v>
      </c>
      <c r="S2792" s="91">
        <v>0</v>
      </c>
      <c r="T2792" s="91"/>
      <c r="U2792" s="91"/>
      <c r="V2792" s="91"/>
      <c r="W2792" s="91"/>
      <c r="X2792" s="91"/>
      <c r="Y2792" s="91"/>
      <c r="Z2792" s="91"/>
      <c r="AA2792" s="91"/>
      <c r="AB2792" s="91"/>
      <c r="AC2792" s="91"/>
      <c r="AD2792" s="91"/>
      <c r="AE2792" s="91"/>
      <c r="AF2792" s="91"/>
      <c r="AG2792" s="91"/>
      <c r="AH2792" s="91"/>
      <c r="AI2792" s="91"/>
      <c r="AJ2792" s="91"/>
      <c r="AK2792" s="91"/>
      <c r="AL2792" s="91"/>
      <c r="AM2792" s="91"/>
    </row>
    <row r="2793" spans="1:39" ht="20.25" customHeight="1">
      <c r="A2793" s="91"/>
      <c r="B2793" s="93" t="s">
        <v>11748</v>
      </c>
      <c r="C2793" s="91" t="s">
        <v>73</v>
      </c>
      <c r="D2793" s="107" t="s">
        <v>1309</v>
      </c>
      <c r="E2793" s="107" t="s">
        <v>2759</v>
      </c>
      <c r="F2793" s="91" t="s">
        <v>2760</v>
      </c>
      <c r="G2793" s="96">
        <v>44635</v>
      </c>
      <c r="H2793" s="97">
        <v>37367</v>
      </c>
      <c r="I2793" s="94" t="s">
        <v>58</v>
      </c>
      <c r="J2793" s="94" t="s">
        <v>58</v>
      </c>
      <c r="K2793" s="95" t="s">
        <v>58</v>
      </c>
      <c r="L2793" s="91" t="s">
        <v>60</v>
      </c>
      <c r="M2793" s="98">
        <f ca="1">(TODAY()-H2793)/365</f>
        <v>23.657534246575342</v>
      </c>
      <c r="N2793" s="99">
        <f>(G2793-H2793)/365</f>
        <v>19.912328767123288</v>
      </c>
      <c r="O2793" s="98">
        <f ca="1">(TODAY()-G2793)/365</f>
        <v>3.7452054794520548</v>
      </c>
      <c r="P2793" s="91" t="s">
        <v>43</v>
      </c>
      <c r="Q2793" s="91">
        <v>0</v>
      </c>
      <c r="R2793" s="91">
        <v>0</v>
      </c>
      <c r="S2793" s="91">
        <v>0</v>
      </c>
      <c r="T2793" s="91"/>
      <c r="U2793" s="91"/>
      <c r="V2793" s="91"/>
      <c r="W2793" s="91"/>
      <c r="X2793" s="91"/>
      <c r="Y2793" s="91"/>
      <c r="Z2793" s="91"/>
      <c r="AA2793" s="91"/>
      <c r="AB2793" s="91"/>
      <c r="AC2793" s="91"/>
      <c r="AD2793" s="91"/>
      <c r="AE2793" s="91"/>
      <c r="AF2793" s="91"/>
      <c r="AG2793" s="91"/>
      <c r="AH2793" s="91"/>
      <c r="AI2793" s="91"/>
      <c r="AJ2793" s="91"/>
      <c r="AK2793" s="91"/>
      <c r="AL2793" s="91"/>
      <c r="AM2793" s="91"/>
    </row>
    <row r="2794" spans="1:39" ht="20.25" customHeight="1">
      <c r="A2794" s="91"/>
      <c r="B2794" s="93" t="s">
        <v>8287</v>
      </c>
      <c r="C2794" s="91" t="s">
        <v>73</v>
      </c>
      <c r="D2794" s="94" t="s">
        <v>3944</v>
      </c>
      <c r="E2794" s="94" t="s">
        <v>8340</v>
      </c>
      <c r="F2794" s="95" t="s">
        <v>8341</v>
      </c>
      <c r="G2794" s="96">
        <v>45256</v>
      </c>
      <c r="H2794" s="97">
        <v>35964</v>
      </c>
      <c r="I2794" s="94" t="s">
        <v>8342</v>
      </c>
      <c r="J2794" s="100" t="s">
        <v>58</v>
      </c>
      <c r="K2794" s="91" t="s">
        <v>58</v>
      </c>
      <c r="L2794" s="91" t="s">
        <v>60</v>
      </c>
      <c r="M2794" s="98">
        <f ca="1">(TODAY()-H2794)/365</f>
        <v>27.5013698630137</v>
      </c>
      <c r="N2794" s="99">
        <f>(G2794-H2794)/365</f>
        <v>25.457534246575342</v>
      </c>
      <c r="O2794" s="98">
        <f ca="1">(TODAY()-G2794)/365</f>
        <v>2.043835616438356</v>
      </c>
      <c r="P2794" s="91" t="s">
        <v>43</v>
      </c>
      <c r="Q2794" s="91">
        <v>0</v>
      </c>
      <c r="R2794" s="91">
        <v>0</v>
      </c>
      <c r="S2794" s="91">
        <v>0</v>
      </c>
      <c r="T2794" s="91"/>
      <c r="U2794" s="91"/>
      <c r="V2794" s="91"/>
      <c r="W2794" s="91"/>
      <c r="X2794" s="91"/>
      <c r="Y2794" s="91"/>
      <c r="Z2794" s="91"/>
      <c r="AA2794" s="91"/>
      <c r="AB2794" s="91"/>
      <c r="AC2794" s="91"/>
      <c r="AD2794" s="91"/>
      <c r="AE2794" s="91"/>
      <c r="AF2794" s="91"/>
      <c r="AG2794" s="91"/>
      <c r="AH2794" s="91"/>
      <c r="AI2794" s="91"/>
      <c r="AJ2794" s="91"/>
      <c r="AK2794" s="91"/>
      <c r="AL2794" s="91"/>
      <c r="AM2794" s="91"/>
    </row>
    <row r="2795" spans="1:39" ht="20.25" customHeight="1">
      <c r="A2795" s="128"/>
      <c r="B2795" s="93" t="s">
        <v>11558</v>
      </c>
      <c r="C2795" s="91" t="s">
        <v>73</v>
      </c>
      <c r="D2795" s="106" t="s">
        <v>11602</v>
      </c>
      <c r="E2795" s="106" t="s">
        <v>11603</v>
      </c>
      <c r="F2795" s="92" t="s">
        <v>11604</v>
      </c>
      <c r="G2795" s="103">
        <v>45352</v>
      </c>
      <c r="H2795" s="103">
        <v>36355</v>
      </c>
      <c r="I2795" s="94" t="s">
        <v>11605</v>
      </c>
      <c r="J2795" s="100" t="s">
        <v>58</v>
      </c>
      <c r="K2795" s="95" t="s">
        <v>58</v>
      </c>
      <c r="L2795" s="91"/>
      <c r="M2795" s="98">
        <f ca="1">(TODAY()-H2795)/365</f>
        <v>26.43013698630137</v>
      </c>
      <c r="N2795" s="99">
        <f>(G2795-H2795)/365</f>
        <v>24.649315068493152</v>
      </c>
      <c r="O2795" s="98">
        <f ca="1">(TODAY()-G2795)/365</f>
        <v>1.7808219178082192</v>
      </c>
      <c r="P2795" s="91" t="s">
        <v>43</v>
      </c>
      <c r="Q2795" s="91"/>
      <c r="R2795" s="91"/>
      <c r="S2795" s="91"/>
      <c r="T2795" s="91"/>
      <c r="U2795" s="91"/>
      <c r="V2795" s="91"/>
      <c r="W2795" s="91"/>
      <c r="X2795" s="91"/>
      <c r="Y2795" s="91"/>
      <c r="Z2795" s="91"/>
      <c r="AA2795" s="91"/>
      <c r="AB2795" s="91"/>
      <c r="AC2795" s="91"/>
      <c r="AD2795" s="91"/>
      <c r="AE2795" s="91"/>
      <c r="AF2795" s="91"/>
      <c r="AG2795" s="91"/>
      <c r="AH2795" s="91"/>
      <c r="AI2795" s="91"/>
      <c r="AJ2795" s="91"/>
      <c r="AK2795" s="91"/>
      <c r="AL2795" s="91"/>
      <c r="AM2795" s="91"/>
    </row>
    <row r="2796" spans="1:39" ht="20.25" hidden="1" customHeight="1">
      <c r="A2796" s="91"/>
      <c r="B2796" s="93" t="s">
        <v>8714</v>
      </c>
      <c r="C2796" s="91" t="s">
        <v>36</v>
      </c>
      <c r="D2796" s="106" t="s">
        <v>8715</v>
      </c>
      <c r="E2796" s="106" t="s">
        <v>8716</v>
      </c>
      <c r="F2796" s="92" t="s">
        <v>8717</v>
      </c>
      <c r="G2796" s="96">
        <v>45292</v>
      </c>
      <c r="H2796" s="97">
        <v>39581</v>
      </c>
      <c r="I2796" s="94" t="s">
        <v>8718</v>
      </c>
      <c r="J2796" s="94" t="s">
        <v>8719</v>
      </c>
      <c r="K2796" s="92" t="s">
        <v>8720</v>
      </c>
      <c r="L2796" s="91" t="s">
        <v>60</v>
      </c>
      <c r="M2796" s="98">
        <f ca="1">(TODAY()-H2796)/365</f>
        <v>17.591780821917808</v>
      </c>
      <c r="N2796" s="99">
        <f>(G2796-H2796)/365</f>
        <v>15.646575342465754</v>
      </c>
      <c r="O2796" s="98">
        <f ca="1">(TODAY()-G2796)/365</f>
        <v>1.9452054794520548</v>
      </c>
      <c r="P2796" s="91" t="s">
        <v>43</v>
      </c>
      <c r="Q2796" s="91">
        <v>0</v>
      </c>
      <c r="R2796" s="91">
        <v>0</v>
      </c>
      <c r="S2796" s="91">
        <v>0</v>
      </c>
      <c r="T2796" s="91"/>
      <c r="U2796" s="91"/>
      <c r="V2796" s="91"/>
      <c r="W2796" s="91"/>
      <c r="X2796" s="91"/>
      <c r="Y2796" s="91"/>
      <c r="Z2796" s="91"/>
      <c r="AA2796" s="91"/>
      <c r="AB2796" s="91"/>
      <c r="AC2796" s="91"/>
      <c r="AD2796" s="91"/>
      <c r="AE2796" s="91"/>
      <c r="AF2796" s="91"/>
      <c r="AG2796" s="91"/>
      <c r="AH2796" s="91"/>
      <c r="AI2796" s="91"/>
      <c r="AJ2796" s="91"/>
      <c r="AK2796" s="91"/>
      <c r="AL2796" s="91"/>
      <c r="AM2796" s="91"/>
    </row>
    <row r="2797" spans="1:39" ht="20.25" customHeight="1">
      <c r="A2797" s="91"/>
      <c r="B2797" s="93" t="s">
        <v>5484</v>
      </c>
      <c r="C2797" s="91" t="s">
        <v>73</v>
      </c>
      <c r="D2797" s="107" t="s">
        <v>513</v>
      </c>
      <c r="E2797" s="107" t="s">
        <v>5687</v>
      </c>
      <c r="F2797" s="91" t="s">
        <v>5688</v>
      </c>
      <c r="G2797" s="96">
        <v>36241</v>
      </c>
      <c r="H2797" s="103" t="s">
        <v>58</v>
      </c>
      <c r="I2797" s="100" t="s">
        <v>5689</v>
      </c>
      <c r="J2797" s="100" t="s">
        <v>58</v>
      </c>
      <c r="K2797" s="91" t="s">
        <v>58</v>
      </c>
      <c r="L2797" s="91" t="s">
        <v>60</v>
      </c>
      <c r="M2797" s="98">
        <v>0</v>
      </c>
      <c r="N2797" s="91"/>
      <c r="O2797" s="98">
        <f ca="1">(TODAY()-G2797)/365</f>
        <v>26.742465753424657</v>
      </c>
      <c r="P2797" s="91" t="s">
        <v>43</v>
      </c>
      <c r="Q2797" s="91">
        <v>0</v>
      </c>
      <c r="R2797" s="91">
        <v>0</v>
      </c>
      <c r="S2797" s="91">
        <v>0</v>
      </c>
      <c r="T2797" s="91"/>
      <c r="U2797" s="91"/>
      <c r="V2797" s="91"/>
      <c r="W2797" s="91"/>
      <c r="X2797" s="91"/>
      <c r="Y2797" s="91"/>
      <c r="Z2797" s="91"/>
      <c r="AA2797" s="91"/>
      <c r="AB2797" s="91"/>
      <c r="AC2797" s="91"/>
      <c r="AD2797" s="91"/>
      <c r="AE2797" s="91"/>
      <c r="AF2797" s="91"/>
      <c r="AG2797" s="91"/>
      <c r="AH2797" s="91"/>
      <c r="AI2797" s="91"/>
      <c r="AJ2797" s="91"/>
      <c r="AK2797" s="91"/>
      <c r="AL2797" s="91"/>
      <c r="AM2797" s="91"/>
    </row>
    <row r="2798" spans="1:39" ht="20.25" hidden="1" customHeight="1">
      <c r="A2798" s="91"/>
      <c r="B2798" s="93" t="s">
        <v>8714</v>
      </c>
      <c r="C2798" s="91" t="s">
        <v>36</v>
      </c>
      <c r="D2798" s="106" t="s">
        <v>8725</v>
      </c>
      <c r="E2798" s="106" t="s">
        <v>8726</v>
      </c>
      <c r="F2798" s="92" t="s">
        <v>8727</v>
      </c>
      <c r="G2798" s="96">
        <v>44927</v>
      </c>
      <c r="H2798" s="97">
        <v>37802</v>
      </c>
      <c r="I2798" s="94" t="s">
        <v>8728</v>
      </c>
      <c r="J2798" s="94" t="s">
        <v>8729</v>
      </c>
      <c r="K2798" s="92" t="s">
        <v>8730</v>
      </c>
      <c r="L2798" s="91" t="s">
        <v>60</v>
      </c>
      <c r="M2798" s="98">
        <f ca="1">(TODAY()-H2798)/365</f>
        <v>22.465753424657535</v>
      </c>
      <c r="N2798" s="99">
        <f>(G2798-H2798)/365</f>
        <v>19.520547945205479</v>
      </c>
      <c r="O2798" s="98">
        <f ca="1">(TODAY()-G2798)/365</f>
        <v>2.9452054794520546</v>
      </c>
      <c r="P2798" s="91" t="s">
        <v>43</v>
      </c>
      <c r="Q2798" s="91">
        <v>0</v>
      </c>
      <c r="R2798" s="91">
        <v>0</v>
      </c>
      <c r="S2798" s="91">
        <v>0</v>
      </c>
      <c r="T2798" s="91"/>
      <c r="U2798" s="91"/>
      <c r="V2798" s="91"/>
      <c r="W2798" s="91"/>
      <c r="X2798" s="91"/>
      <c r="Y2798" s="91"/>
      <c r="Z2798" s="91"/>
      <c r="AA2798" s="91"/>
      <c r="AB2798" s="91"/>
      <c r="AC2798" s="91"/>
      <c r="AD2798" s="91"/>
      <c r="AE2798" s="91"/>
      <c r="AF2798" s="91"/>
      <c r="AG2798" s="91"/>
      <c r="AH2798" s="91"/>
      <c r="AI2798" s="91"/>
      <c r="AJ2798" s="91"/>
      <c r="AK2798" s="91"/>
      <c r="AL2798" s="91"/>
      <c r="AM2798" s="91"/>
    </row>
    <row r="2799" spans="1:39" ht="20.25" hidden="1" customHeight="1">
      <c r="A2799" s="91"/>
      <c r="B2799" s="93" t="s">
        <v>8714</v>
      </c>
      <c r="C2799" s="91" t="s">
        <v>36</v>
      </c>
      <c r="D2799" s="106" t="s">
        <v>8731</v>
      </c>
      <c r="E2799" s="106" t="s">
        <v>8732</v>
      </c>
      <c r="F2799" s="92" t="s">
        <v>8733</v>
      </c>
      <c r="G2799" s="96">
        <v>42588</v>
      </c>
      <c r="H2799" s="97">
        <v>35353</v>
      </c>
      <c r="I2799" s="94" t="s">
        <v>58</v>
      </c>
      <c r="J2799" s="94" t="s">
        <v>8734</v>
      </c>
      <c r="K2799" s="92" t="s">
        <v>8735</v>
      </c>
      <c r="L2799" s="91" t="s">
        <v>60</v>
      </c>
      <c r="M2799" s="98">
        <f ca="1">(TODAY()-H2799)/365</f>
        <v>29.175342465753424</v>
      </c>
      <c r="N2799" s="99">
        <f>(G2799-H2799)/365</f>
        <v>19.82191780821918</v>
      </c>
      <c r="O2799" s="98">
        <f ca="1">(TODAY()-G2799)/365</f>
        <v>9.3534246575342461</v>
      </c>
      <c r="P2799" s="91" t="s">
        <v>43</v>
      </c>
      <c r="Q2799" s="91">
        <v>0</v>
      </c>
      <c r="R2799" s="91">
        <v>0</v>
      </c>
      <c r="S2799" s="91">
        <v>0</v>
      </c>
      <c r="T2799" s="91"/>
      <c r="U2799" s="91"/>
      <c r="V2799" s="91"/>
      <c r="W2799" s="91"/>
      <c r="X2799" s="91"/>
      <c r="Y2799" s="91"/>
      <c r="Z2799" s="91"/>
      <c r="AA2799" s="91"/>
      <c r="AB2799" s="91"/>
      <c r="AC2799" s="91"/>
      <c r="AD2799" s="91"/>
      <c r="AE2799" s="91"/>
      <c r="AF2799" s="91"/>
      <c r="AG2799" s="91"/>
      <c r="AH2799" s="91"/>
      <c r="AI2799" s="91"/>
      <c r="AJ2799" s="91"/>
      <c r="AK2799" s="91"/>
      <c r="AL2799" s="91"/>
      <c r="AM2799" s="91"/>
    </row>
    <row r="2800" spans="1:39" ht="20.25" hidden="1" customHeight="1">
      <c r="A2800" s="91"/>
      <c r="B2800" s="93" t="s">
        <v>8714</v>
      </c>
      <c r="C2800" s="91" t="s">
        <v>36</v>
      </c>
      <c r="D2800" s="106" t="s">
        <v>5871</v>
      </c>
      <c r="E2800" s="106" t="s">
        <v>8736</v>
      </c>
      <c r="F2800" s="92" t="s">
        <v>8737</v>
      </c>
      <c r="G2800" s="96">
        <v>39756</v>
      </c>
      <c r="H2800" s="97">
        <v>32377</v>
      </c>
      <c r="I2800" s="105" t="s">
        <v>12493</v>
      </c>
      <c r="J2800" s="94" t="s">
        <v>8738</v>
      </c>
      <c r="K2800" s="92" t="s">
        <v>8739</v>
      </c>
      <c r="L2800" s="91" t="s">
        <v>60</v>
      </c>
      <c r="M2800" s="98">
        <f ca="1">(TODAY()-H2800)/365</f>
        <v>37.328767123287669</v>
      </c>
      <c r="N2800" s="99">
        <f>(G2800-H2800)/365</f>
        <v>20.216438356164385</v>
      </c>
      <c r="O2800" s="98">
        <f ca="1">(TODAY()-G2800)/365</f>
        <v>17.112328767123287</v>
      </c>
      <c r="P2800" s="91" t="s">
        <v>43</v>
      </c>
      <c r="Q2800" s="91">
        <v>1</v>
      </c>
      <c r="R2800" s="91">
        <v>0</v>
      </c>
      <c r="S2800" s="91">
        <v>1</v>
      </c>
      <c r="T2800" s="91"/>
      <c r="U2800" s="91"/>
      <c r="V2800" s="91"/>
      <c r="W2800" s="91"/>
      <c r="X2800" s="91"/>
      <c r="Y2800" s="91"/>
      <c r="Z2800" s="91"/>
      <c r="AA2800" s="91"/>
      <c r="AB2800" s="91"/>
      <c r="AC2800" s="91"/>
      <c r="AD2800" s="91"/>
      <c r="AE2800" s="91"/>
      <c r="AF2800" s="91"/>
      <c r="AG2800" s="91"/>
      <c r="AH2800" s="91"/>
      <c r="AI2800" s="91"/>
      <c r="AJ2800" s="91"/>
      <c r="AK2800" s="91"/>
      <c r="AL2800" s="91"/>
      <c r="AM2800" s="91"/>
    </row>
    <row r="2801" spans="1:39" ht="20.25" customHeight="1">
      <c r="A2801" s="91"/>
      <c r="B2801" s="93" t="s">
        <v>5365</v>
      </c>
      <c r="C2801" s="91" t="s">
        <v>73</v>
      </c>
      <c r="D2801" s="94" t="s">
        <v>5395</v>
      </c>
      <c r="E2801" s="94" t="s">
        <v>5396</v>
      </c>
      <c r="F2801" s="95" t="s">
        <v>5397</v>
      </c>
      <c r="G2801" s="96">
        <v>32741</v>
      </c>
      <c r="H2801" s="97">
        <v>20258</v>
      </c>
      <c r="I2801" s="100" t="s">
        <v>58</v>
      </c>
      <c r="J2801" s="94" t="s">
        <v>58</v>
      </c>
      <c r="K2801" s="91" t="s">
        <v>58</v>
      </c>
      <c r="L2801" s="91" t="s">
        <v>60</v>
      </c>
      <c r="M2801" s="98">
        <f ca="1">(TODAY()-H2801)/365</f>
        <v>70.531506849315065</v>
      </c>
      <c r="N2801" s="99">
        <f>(G2801-H2801)/365</f>
        <v>34.200000000000003</v>
      </c>
      <c r="O2801" s="98">
        <f ca="1">(TODAY()-G2801)/365</f>
        <v>36.331506849315069</v>
      </c>
      <c r="P2801" s="91" t="s">
        <v>43</v>
      </c>
      <c r="Q2801" s="91">
        <v>0</v>
      </c>
      <c r="R2801" s="91">
        <v>0</v>
      </c>
      <c r="S2801" s="91">
        <v>0</v>
      </c>
      <c r="T2801" s="91"/>
      <c r="U2801" s="91"/>
      <c r="V2801" s="91"/>
      <c r="W2801" s="91"/>
      <c r="X2801" s="91"/>
      <c r="Y2801" s="91"/>
      <c r="Z2801" s="91"/>
      <c r="AA2801" s="91"/>
      <c r="AB2801" s="91"/>
      <c r="AC2801" s="91"/>
      <c r="AD2801" s="91"/>
      <c r="AE2801" s="91"/>
      <c r="AF2801" s="91"/>
      <c r="AG2801" s="91"/>
      <c r="AH2801" s="91"/>
      <c r="AI2801" s="91"/>
      <c r="AJ2801" s="91"/>
      <c r="AK2801" s="91"/>
      <c r="AL2801" s="91"/>
      <c r="AM2801" s="91"/>
    </row>
    <row r="2802" spans="1:39" ht="20.25" hidden="1" customHeight="1">
      <c r="A2802" s="91"/>
      <c r="B2802" s="93" t="s">
        <v>8714</v>
      </c>
      <c r="C2802" s="91" t="s">
        <v>36</v>
      </c>
      <c r="D2802" s="106" t="s">
        <v>8744</v>
      </c>
      <c r="E2802" s="106" t="s">
        <v>8745</v>
      </c>
      <c r="F2802" s="92" t="s">
        <v>8746</v>
      </c>
      <c r="G2802" s="96">
        <v>29660</v>
      </c>
      <c r="H2802" s="97">
        <v>22103</v>
      </c>
      <c r="I2802" s="94" t="s">
        <v>8747</v>
      </c>
      <c r="J2802" s="100" t="s">
        <v>8748</v>
      </c>
      <c r="K2802" s="92" t="s">
        <v>8749</v>
      </c>
      <c r="L2802" s="91" t="s">
        <v>60</v>
      </c>
      <c r="M2802" s="98">
        <f ca="1">(TODAY()-H2802)/365</f>
        <v>65.476712328767121</v>
      </c>
      <c r="N2802" s="99">
        <f>(G2802-H2802)/365</f>
        <v>20.704109589041096</v>
      </c>
      <c r="O2802" s="98">
        <f ca="1">(TODAY()-G2802)/365</f>
        <v>44.772602739726025</v>
      </c>
      <c r="P2802" s="91" t="s">
        <v>43</v>
      </c>
      <c r="Q2802" s="91">
        <v>0</v>
      </c>
      <c r="R2802" s="91">
        <v>0</v>
      </c>
      <c r="S2802" s="91">
        <v>0</v>
      </c>
      <c r="T2802" s="91"/>
      <c r="U2802" s="91"/>
      <c r="V2802" s="91"/>
      <c r="W2802" s="91"/>
      <c r="X2802" s="91"/>
      <c r="Y2802" s="91"/>
      <c r="Z2802" s="91"/>
      <c r="AA2802" s="91"/>
      <c r="AB2802" s="91"/>
      <c r="AC2802" s="91"/>
      <c r="AD2802" s="91"/>
      <c r="AE2802" s="91"/>
      <c r="AF2802" s="91"/>
      <c r="AG2802" s="91"/>
      <c r="AH2802" s="91"/>
      <c r="AI2802" s="91"/>
      <c r="AJ2802" s="91"/>
      <c r="AK2802" s="91"/>
      <c r="AL2802" s="91"/>
      <c r="AM2802" s="91"/>
    </row>
    <row r="2803" spans="1:39" ht="20.25" customHeight="1">
      <c r="A2803" s="91"/>
      <c r="B2803" s="93" t="s">
        <v>1477</v>
      </c>
      <c r="C2803" s="91" t="s">
        <v>73</v>
      </c>
      <c r="D2803" s="94" t="s">
        <v>922</v>
      </c>
      <c r="E2803" s="94" t="s">
        <v>1614</v>
      </c>
      <c r="F2803" s="95" t="s">
        <v>1615</v>
      </c>
      <c r="G2803" s="96">
        <v>44839</v>
      </c>
      <c r="H2803" s="97">
        <v>31260</v>
      </c>
      <c r="I2803" s="94" t="s">
        <v>1616</v>
      </c>
      <c r="J2803" s="100" t="s">
        <v>58</v>
      </c>
      <c r="K2803" s="91" t="s">
        <v>58</v>
      </c>
      <c r="L2803" s="91" t="s">
        <v>60</v>
      </c>
      <c r="M2803" s="98">
        <f ca="1">(TODAY()-H2803)/365</f>
        <v>40.389041095890413</v>
      </c>
      <c r="N2803" s="99">
        <f>(G2803-H2803)/365</f>
        <v>37.202739726027396</v>
      </c>
      <c r="O2803" s="98">
        <f ca="1">(TODAY()-G2803)/365</f>
        <v>3.1863013698630138</v>
      </c>
      <c r="P2803" s="91" t="s">
        <v>43</v>
      </c>
      <c r="Q2803" s="91">
        <v>0</v>
      </c>
      <c r="R2803" s="91">
        <v>0</v>
      </c>
      <c r="S2803" s="91">
        <v>0</v>
      </c>
      <c r="T2803" s="91"/>
      <c r="U2803" s="91"/>
      <c r="V2803" s="91"/>
      <c r="W2803" s="91"/>
      <c r="X2803" s="91"/>
      <c r="Y2803" s="91"/>
      <c r="Z2803" s="91"/>
      <c r="AA2803" s="91"/>
      <c r="AB2803" s="91"/>
      <c r="AC2803" s="91"/>
      <c r="AD2803" s="91"/>
      <c r="AE2803" s="91"/>
      <c r="AF2803" s="91"/>
      <c r="AG2803" s="91"/>
      <c r="AH2803" s="91"/>
      <c r="AI2803" s="91"/>
      <c r="AJ2803" s="91"/>
      <c r="AK2803" s="91"/>
      <c r="AL2803" s="91"/>
      <c r="AM2803" s="91"/>
    </row>
    <row r="2804" spans="1:39" ht="20.25" hidden="1" customHeight="1">
      <c r="A2804" s="91"/>
      <c r="B2804" s="93" t="s">
        <v>8714</v>
      </c>
      <c r="C2804" s="91" t="s">
        <v>36</v>
      </c>
      <c r="D2804" s="106" t="s">
        <v>8754</v>
      </c>
      <c r="E2804" s="106" t="s">
        <v>8755</v>
      </c>
      <c r="F2804" s="92" t="s">
        <v>8756</v>
      </c>
      <c r="G2804" s="96">
        <v>44960</v>
      </c>
      <c r="H2804" s="97">
        <v>37072</v>
      </c>
      <c r="I2804" s="94" t="s">
        <v>8757</v>
      </c>
      <c r="J2804" s="94" t="s">
        <v>8758</v>
      </c>
      <c r="K2804" s="92" t="s">
        <v>8759</v>
      </c>
      <c r="L2804" s="91" t="s">
        <v>60</v>
      </c>
      <c r="M2804" s="98">
        <f ca="1">(TODAY()-H2804)/365</f>
        <v>24.465753424657535</v>
      </c>
      <c r="N2804" s="99">
        <f>(G2804-H2804)/365</f>
        <v>21.610958904109587</v>
      </c>
      <c r="O2804" s="98">
        <f ca="1">(TODAY()-G2804)/365</f>
        <v>2.8547945205479452</v>
      </c>
      <c r="P2804" s="91" t="s">
        <v>43</v>
      </c>
      <c r="Q2804" s="91">
        <v>0</v>
      </c>
      <c r="R2804" s="91">
        <v>0</v>
      </c>
      <c r="S2804" s="91">
        <v>0</v>
      </c>
      <c r="T2804" s="91"/>
      <c r="U2804" s="91"/>
      <c r="V2804" s="91"/>
      <c r="W2804" s="91"/>
      <c r="X2804" s="91"/>
      <c r="Y2804" s="91"/>
      <c r="Z2804" s="91"/>
      <c r="AA2804" s="91"/>
      <c r="AB2804" s="91"/>
      <c r="AC2804" s="91"/>
      <c r="AD2804" s="91"/>
      <c r="AE2804" s="91"/>
      <c r="AF2804" s="91"/>
      <c r="AG2804" s="91"/>
      <c r="AH2804" s="91"/>
      <c r="AI2804" s="91"/>
      <c r="AJ2804" s="91"/>
      <c r="AK2804" s="91"/>
      <c r="AL2804" s="91"/>
      <c r="AM2804" s="91"/>
    </row>
    <row r="2805" spans="1:39" ht="20.25" hidden="1" customHeight="1">
      <c r="A2805" s="91"/>
      <c r="B2805" s="93" t="s">
        <v>8714</v>
      </c>
      <c r="C2805" s="91" t="s">
        <v>36</v>
      </c>
      <c r="D2805" s="106" t="s">
        <v>8760</v>
      </c>
      <c r="E2805" s="106" t="s">
        <v>8761</v>
      </c>
      <c r="F2805" s="92" t="s">
        <v>8762</v>
      </c>
      <c r="G2805" s="96">
        <v>44927</v>
      </c>
      <c r="H2805" s="97">
        <v>36933</v>
      </c>
      <c r="I2805" s="105" t="s">
        <v>12494</v>
      </c>
      <c r="J2805" s="94" t="s">
        <v>8763</v>
      </c>
      <c r="K2805" s="92" t="s">
        <v>8764</v>
      </c>
      <c r="L2805" s="91" t="s">
        <v>60</v>
      </c>
      <c r="M2805" s="98">
        <f ca="1">(TODAY()-H2805)/365</f>
        <v>24.846575342465755</v>
      </c>
      <c r="N2805" s="99">
        <f>(G2805-H2805)/365</f>
        <v>21.901369863013699</v>
      </c>
      <c r="O2805" s="98">
        <f ca="1">(TODAY()-G2805)/365</f>
        <v>2.9452054794520546</v>
      </c>
      <c r="P2805" s="91" t="s">
        <v>43</v>
      </c>
      <c r="Q2805" s="91">
        <v>0</v>
      </c>
      <c r="R2805" s="91">
        <v>0</v>
      </c>
      <c r="S2805" s="91">
        <v>0</v>
      </c>
      <c r="T2805" s="91"/>
      <c r="U2805" s="91"/>
      <c r="V2805" s="91"/>
      <c r="W2805" s="91"/>
      <c r="X2805" s="91"/>
      <c r="Y2805" s="91"/>
      <c r="Z2805" s="91"/>
      <c r="AA2805" s="91"/>
      <c r="AB2805" s="91"/>
      <c r="AC2805" s="91"/>
      <c r="AD2805" s="91"/>
      <c r="AE2805" s="91"/>
      <c r="AF2805" s="91"/>
      <c r="AG2805" s="91"/>
      <c r="AH2805" s="91"/>
      <c r="AI2805" s="91"/>
      <c r="AJ2805" s="91"/>
      <c r="AK2805" s="91"/>
      <c r="AL2805" s="91"/>
      <c r="AM2805" s="91"/>
    </row>
    <row r="2806" spans="1:39" ht="20.25" hidden="1" customHeight="1">
      <c r="A2806" s="91"/>
      <c r="B2806" s="93" t="s">
        <v>8714</v>
      </c>
      <c r="C2806" s="91" t="s">
        <v>36</v>
      </c>
      <c r="D2806" s="106" t="s">
        <v>8765</v>
      </c>
      <c r="E2806" s="106" t="s">
        <v>8766</v>
      </c>
      <c r="F2806" s="92" t="s">
        <v>8767</v>
      </c>
      <c r="G2806" s="96">
        <v>40669</v>
      </c>
      <c r="H2806" s="97">
        <v>31991</v>
      </c>
      <c r="I2806" s="94" t="s">
        <v>8768</v>
      </c>
      <c r="J2806" s="94" t="s">
        <v>8769</v>
      </c>
      <c r="K2806" s="92" t="s">
        <v>8770</v>
      </c>
      <c r="L2806" s="91" t="s">
        <v>60</v>
      </c>
      <c r="M2806" s="98">
        <f ca="1">(TODAY()-H2806)/365</f>
        <v>38.386301369863013</v>
      </c>
      <c r="N2806" s="99">
        <f>(G2806-H2806)/365</f>
        <v>23.775342465753425</v>
      </c>
      <c r="O2806" s="98">
        <f ca="1">(TODAY()-G2806)/365</f>
        <v>14.610958904109589</v>
      </c>
      <c r="P2806" s="91" t="s">
        <v>272</v>
      </c>
      <c r="Q2806" s="91">
        <v>0</v>
      </c>
      <c r="R2806" s="91">
        <v>0</v>
      </c>
      <c r="S2806" s="91">
        <v>0</v>
      </c>
      <c r="T2806" s="91"/>
      <c r="U2806" s="91"/>
      <c r="V2806" s="91"/>
      <c r="W2806" s="91"/>
      <c r="X2806" s="91"/>
      <c r="Y2806" s="91"/>
      <c r="Z2806" s="91"/>
      <c r="AA2806" s="91"/>
      <c r="AB2806" s="91"/>
      <c r="AC2806" s="91"/>
      <c r="AD2806" s="91"/>
      <c r="AE2806" s="91"/>
      <c r="AF2806" s="91"/>
      <c r="AG2806" s="91"/>
      <c r="AH2806" s="91"/>
      <c r="AI2806" s="91"/>
      <c r="AJ2806" s="91"/>
      <c r="AK2806" s="91"/>
      <c r="AL2806" s="91"/>
      <c r="AM2806" s="91"/>
    </row>
    <row r="2807" spans="1:39" ht="20.25" customHeight="1">
      <c r="A2807" s="91"/>
      <c r="B2807" s="93" t="s">
        <v>8095</v>
      </c>
      <c r="C2807" s="91" t="s">
        <v>73</v>
      </c>
      <c r="D2807" s="94" t="s">
        <v>8183</v>
      </c>
      <c r="E2807" s="94" t="s">
        <v>8184</v>
      </c>
      <c r="F2807" s="95" t="s">
        <v>8185</v>
      </c>
      <c r="G2807" s="96">
        <v>44974</v>
      </c>
      <c r="H2807" s="97">
        <v>26716</v>
      </c>
      <c r="I2807" s="94" t="s">
        <v>8186</v>
      </c>
      <c r="J2807" s="100" t="s">
        <v>58</v>
      </c>
      <c r="K2807" s="91" t="s">
        <v>58</v>
      </c>
      <c r="L2807" s="91" t="s">
        <v>60</v>
      </c>
      <c r="M2807" s="98">
        <f ca="1">(TODAY()-H2807)/365</f>
        <v>52.838356164383562</v>
      </c>
      <c r="N2807" s="99">
        <f>(G2807-H2807)/365</f>
        <v>50.021917808219179</v>
      </c>
      <c r="O2807" s="98">
        <f ca="1">(TODAY()-G2807)/365</f>
        <v>2.8164383561643835</v>
      </c>
      <c r="P2807" s="91" t="s">
        <v>43</v>
      </c>
      <c r="Q2807" s="91">
        <v>0</v>
      </c>
      <c r="R2807" s="91">
        <v>0</v>
      </c>
      <c r="S2807" s="91">
        <v>0</v>
      </c>
      <c r="T2807" s="91"/>
      <c r="U2807" s="91"/>
      <c r="V2807" s="91"/>
      <c r="W2807" s="91"/>
      <c r="X2807" s="91"/>
      <c r="Y2807" s="91"/>
      <c r="Z2807" s="91"/>
      <c r="AA2807" s="91"/>
      <c r="AB2807" s="91"/>
      <c r="AC2807" s="91"/>
      <c r="AD2807" s="91"/>
      <c r="AE2807" s="91"/>
      <c r="AF2807" s="91"/>
      <c r="AG2807" s="91"/>
      <c r="AH2807" s="91"/>
      <c r="AI2807" s="91"/>
      <c r="AJ2807" s="91"/>
      <c r="AK2807" s="91"/>
      <c r="AL2807" s="91"/>
      <c r="AM2807" s="91"/>
    </row>
    <row r="2808" spans="1:39" ht="20.25" hidden="1" customHeight="1">
      <c r="A2808" s="91"/>
      <c r="B2808" s="93" t="s">
        <v>8714</v>
      </c>
      <c r="C2808" s="91" t="s">
        <v>36</v>
      </c>
      <c r="D2808" s="106" t="s">
        <v>8775</v>
      </c>
      <c r="E2808" s="106" t="s">
        <v>8776</v>
      </c>
      <c r="F2808" s="92" t="s">
        <v>8777</v>
      </c>
      <c r="G2808" s="96">
        <v>32580</v>
      </c>
      <c r="H2808" s="97">
        <v>22706</v>
      </c>
      <c r="I2808" s="94" t="s">
        <v>8778</v>
      </c>
      <c r="J2808" s="94" t="s">
        <v>58</v>
      </c>
      <c r="K2808" s="92" t="s">
        <v>8779</v>
      </c>
      <c r="L2808" s="91" t="s">
        <v>66</v>
      </c>
      <c r="M2808" s="98">
        <f ca="1">(TODAY()-H2808)/365</f>
        <v>63.824657534246576</v>
      </c>
      <c r="N2808" s="99">
        <f>(G2808-H2808)/365</f>
        <v>27.052054794520547</v>
      </c>
      <c r="O2808" s="98">
        <f ca="1">(TODAY()-G2808)/365</f>
        <v>36.772602739726025</v>
      </c>
      <c r="P2808" s="91" t="s">
        <v>43</v>
      </c>
      <c r="Q2808" s="91">
        <v>0</v>
      </c>
      <c r="R2808" s="91">
        <v>0</v>
      </c>
      <c r="S2808" s="91">
        <v>0</v>
      </c>
      <c r="T2808" s="91"/>
      <c r="U2808" s="91"/>
      <c r="V2808" s="91"/>
      <c r="W2808" s="91"/>
      <c r="X2808" s="91"/>
      <c r="Y2808" s="91"/>
      <c r="Z2808" s="91"/>
      <c r="AA2808" s="91"/>
      <c r="AB2808" s="91"/>
      <c r="AC2808" s="91"/>
      <c r="AD2808" s="91"/>
      <c r="AE2808" s="91"/>
      <c r="AF2808" s="91"/>
      <c r="AG2808" s="91"/>
      <c r="AH2808" s="91"/>
      <c r="AI2808" s="91"/>
      <c r="AJ2808" s="91"/>
      <c r="AK2808" s="91"/>
      <c r="AL2808" s="91"/>
      <c r="AM2808" s="91"/>
    </row>
    <row r="2809" spans="1:39" ht="20.25" hidden="1" customHeight="1">
      <c r="A2809" s="91"/>
      <c r="B2809" s="93" t="s">
        <v>8714</v>
      </c>
      <c r="C2809" s="91" t="s">
        <v>36</v>
      </c>
      <c r="D2809" s="106" t="s">
        <v>8780</v>
      </c>
      <c r="E2809" s="106" t="s">
        <v>8781</v>
      </c>
      <c r="F2809" s="92" t="s">
        <v>8782</v>
      </c>
      <c r="G2809" s="96">
        <v>32980</v>
      </c>
      <c r="H2809" s="97">
        <v>21832</v>
      </c>
      <c r="I2809" s="105" t="s">
        <v>12495</v>
      </c>
      <c r="J2809" s="94" t="s">
        <v>58</v>
      </c>
      <c r="K2809" s="92" t="s">
        <v>8783</v>
      </c>
      <c r="L2809" s="91" t="s">
        <v>60</v>
      </c>
      <c r="M2809" s="98">
        <f ca="1">(TODAY()-H2809)/365</f>
        <v>66.219178082191775</v>
      </c>
      <c r="N2809" s="99">
        <f>(G2809-H2809)/365</f>
        <v>30.542465753424658</v>
      </c>
      <c r="O2809" s="98">
        <f ca="1">(TODAY()-G2809)/365</f>
        <v>35.676712328767124</v>
      </c>
      <c r="P2809" s="91" t="s">
        <v>43</v>
      </c>
      <c r="Q2809" s="91">
        <v>0</v>
      </c>
      <c r="R2809" s="91">
        <v>0</v>
      </c>
      <c r="S2809" s="91">
        <v>0</v>
      </c>
      <c r="T2809" s="91"/>
      <c r="U2809" s="91"/>
      <c r="V2809" s="91"/>
      <c r="W2809" s="91"/>
      <c r="X2809" s="91"/>
      <c r="Y2809" s="91"/>
      <c r="Z2809" s="91"/>
      <c r="AA2809" s="91"/>
      <c r="AB2809" s="91"/>
      <c r="AC2809" s="91"/>
      <c r="AD2809" s="91"/>
      <c r="AE2809" s="91"/>
      <c r="AF2809" s="91"/>
      <c r="AG2809" s="91"/>
      <c r="AH2809" s="91"/>
      <c r="AI2809" s="91"/>
      <c r="AJ2809" s="91"/>
      <c r="AK2809" s="91"/>
      <c r="AL2809" s="91"/>
      <c r="AM2809" s="91"/>
    </row>
    <row r="2810" spans="1:39" ht="20.25" hidden="1" customHeight="1">
      <c r="A2810" s="91"/>
      <c r="B2810" s="93" t="s">
        <v>8714</v>
      </c>
      <c r="C2810" s="91" t="s">
        <v>36</v>
      </c>
      <c r="D2810" s="106" t="s">
        <v>8784</v>
      </c>
      <c r="E2810" s="106" t="s">
        <v>8785</v>
      </c>
      <c r="F2810" s="92" t="s">
        <v>8786</v>
      </c>
      <c r="G2810" s="96">
        <v>33689</v>
      </c>
      <c r="H2810" s="97">
        <v>19353</v>
      </c>
      <c r="I2810" s="94" t="s">
        <v>8787</v>
      </c>
      <c r="J2810" s="94" t="s">
        <v>8788</v>
      </c>
      <c r="K2810" s="92" t="s">
        <v>8789</v>
      </c>
      <c r="L2810" s="91" t="s">
        <v>60</v>
      </c>
      <c r="M2810" s="98">
        <f ca="1">(TODAY()-H2810)/365</f>
        <v>73.010958904109586</v>
      </c>
      <c r="N2810" s="99">
        <f>(G2810-H2810)/365</f>
        <v>39.276712328767125</v>
      </c>
      <c r="O2810" s="98">
        <f ca="1">(TODAY()-G2810)/365</f>
        <v>33.734246575342468</v>
      </c>
      <c r="P2810" s="91" t="s">
        <v>43</v>
      </c>
      <c r="Q2810" s="91">
        <v>1</v>
      </c>
      <c r="R2810" s="91">
        <v>0</v>
      </c>
      <c r="S2810" s="91">
        <v>0</v>
      </c>
      <c r="T2810" s="91"/>
      <c r="U2810" s="91"/>
      <c r="V2810" s="91"/>
      <c r="W2810" s="91"/>
      <c r="X2810" s="91"/>
      <c r="Y2810" s="91"/>
      <c r="Z2810" s="91"/>
      <c r="AA2810" s="91"/>
      <c r="AB2810" s="91"/>
      <c r="AC2810" s="91"/>
      <c r="AD2810" s="91"/>
      <c r="AE2810" s="91"/>
      <c r="AF2810" s="91"/>
      <c r="AG2810" s="91"/>
      <c r="AH2810" s="91"/>
      <c r="AI2810" s="91"/>
      <c r="AJ2810" s="91"/>
      <c r="AK2810" s="91"/>
      <c r="AL2810" s="91"/>
      <c r="AM2810" s="91"/>
    </row>
    <row r="2811" spans="1:39" ht="20.25" hidden="1" customHeight="1">
      <c r="A2811" s="91"/>
      <c r="B2811" s="93" t="s">
        <v>8714</v>
      </c>
      <c r="C2811" s="91" t="s">
        <v>36</v>
      </c>
      <c r="D2811" s="106" t="s">
        <v>8790</v>
      </c>
      <c r="E2811" s="106" t="s">
        <v>8791</v>
      </c>
      <c r="F2811" s="92" t="s">
        <v>8792</v>
      </c>
      <c r="G2811" s="96">
        <v>44927</v>
      </c>
      <c r="H2811" s="97">
        <v>29789</v>
      </c>
      <c r="I2811" s="94" t="s">
        <v>58</v>
      </c>
      <c r="J2811" s="94" t="s">
        <v>8793</v>
      </c>
      <c r="K2811" s="92" t="s">
        <v>8794</v>
      </c>
      <c r="L2811" s="91" t="s">
        <v>60</v>
      </c>
      <c r="M2811" s="98">
        <f ca="1">(TODAY()-H2811)/365</f>
        <v>44.419178082191777</v>
      </c>
      <c r="N2811" s="99">
        <f>(G2811-H2811)/365</f>
        <v>41.473972602739728</v>
      </c>
      <c r="O2811" s="98">
        <f ca="1">(TODAY()-G2811)/365</f>
        <v>2.9452054794520546</v>
      </c>
      <c r="P2811" s="91" t="s">
        <v>43</v>
      </c>
      <c r="Q2811" s="91">
        <v>0</v>
      </c>
      <c r="R2811" s="91">
        <v>0</v>
      </c>
      <c r="S2811" s="91">
        <v>0</v>
      </c>
      <c r="T2811" s="91"/>
      <c r="U2811" s="91"/>
      <c r="V2811" s="91"/>
      <c r="W2811" s="91"/>
      <c r="X2811" s="91"/>
      <c r="Y2811" s="91"/>
      <c r="Z2811" s="91"/>
      <c r="AA2811" s="91"/>
      <c r="AB2811" s="91"/>
      <c r="AC2811" s="91"/>
      <c r="AD2811" s="91"/>
      <c r="AE2811" s="91"/>
      <c r="AF2811" s="91"/>
      <c r="AG2811" s="91"/>
      <c r="AH2811" s="91"/>
      <c r="AI2811" s="91"/>
      <c r="AJ2811" s="91"/>
      <c r="AK2811" s="91"/>
      <c r="AL2811" s="91"/>
      <c r="AM2811" s="91"/>
    </row>
    <row r="2812" spans="1:39" ht="20.25" customHeight="1">
      <c r="A2812" s="91"/>
      <c r="B2812" s="93" t="s">
        <v>4702</v>
      </c>
      <c r="C2812" s="91" t="s">
        <v>73</v>
      </c>
      <c r="D2812" s="107" t="s">
        <v>3594</v>
      </c>
      <c r="E2812" s="107" t="s">
        <v>4750</v>
      </c>
      <c r="F2812" s="91" t="s">
        <v>4751</v>
      </c>
      <c r="G2812" s="96">
        <v>43221</v>
      </c>
      <c r="H2812" s="97">
        <v>24814</v>
      </c>
      <c r="I2812" s="100" t="s">
        <v>4752</v>
      </c>
      <c r="J2812" s="94" t="s">
        <v>58</v>
      </c>
      <c r="K2812" s="95" t="s">
        <v>58</v>
      </c>
      <c r="L2812" s="91" t="s">
        <v>60</v>
      </c>
      <c r="M2812" s="98">
        <f ca="1">(TODAY()-H2812)/365</f>
        <v>58.049315068493151</v>
      </c>
      <c r="N2812" s="99">
        <f>(G2812-H2812)/365</f>
        <v>50.43013698630137</v>
      </c>
      <c r="O2812" s="98">
        <f ca="1">(TODAY()-G2812)/365</f>
        <v>7.6191780821917812</v>
      </c>
      <c r="P2812" s="91" t="s">
        <v>272</v>
      </c>
      <c r="Q2812" s="91">
        <v>0</v>
      </c>
      <c r="R2812" s="91">
        <v>0</v>
      </c>
      <c r="S2812" s="91">
        <v>0</v>
      </c>
      <c r="T2812" s="91"/>
      <c r="U2812" s="91"/>
      <c r="V2812" s="91"/>
      <c r="W2812" s="91"/>
      <c r="X2812" s="91"/>
      <c r="Y2812" s="91"/>
      <c r="Z2812" s="91"/>
      <c r="AA2812" s="91"/>
      <c r="AB2812" s="91"/>
      <c r="AC2812" s="91"/>
      <c r="AD2812" s="91"/>
      <c r="AE2812" s="91"/>
      <c r="AF2812" s="91"/>
      <c r="AG2812" s="91"/>
      <c r="AH2812" s="91"/>
      <c r="AI2812" s="91"/>
      <c r="AJ2812" s="91"/>
      <c r="AK2812" s="91"/>
      <c r="AL2812" s="91"/>
      <c r="AM2812" s="91"/>
    </row>
    <row r="2813" spans="1:39" ht="20.25" hidden="1" customHeight="1">
      <c r="A2813" s="91"/>
      <c r="B2813" s="93" t="s">
        <v>8714</v>
      </c>
      <c r="C2813" s="91" t="s">
        <v>36</v>
      </c>
      <c r="D2813" s="106" t="s">
        <v>8797</v>
      </c>
      <c r="E2813" s="106" t="s">
        <v>8798</v>
      </c>
      <c r="F2813" s="92" t="s">
        <v>8799</v>
      </c>
      <c r="G2813" s="96">
        <v>38971</v>
      </c>
      <c r="H2813" s="97">
        <v>23811</v>
      </c>
      <c r="I2813" s="94" t="s">
        <v>8800</v>
      </c>
      <c r="J2813" s="94" t="s">
        <v>8801</v>
      </c>
      <c r="K2813" s="92" t="s">
        <v>8802</v>
      </c>
      <c r="L2813" s="91" t="s">
        <v>60</v>
      </c>
      <c r="M2813" s="98">
        <f ca="1">(TODAY()-H2813)/365</f>
        <v>60.797260273972604</v>
      </c>
      <c r="N2813" s="99">
        <f>(G2813-H2813)/365</f>
        <v>41.534246575342465</v>
      </c>
      <c r="O2813" s="98">
        <f ca="1">(TODAY()-G2813)/365</f>
        <v>19.263013698630136</v>
      </c>
      <c r="P2813" s="91" t="s">
        <v>43</v>
      </c>
      <c r="Q2813" s="91">
        <v>0</v>
      </c>
      <c r="R2813" s="91">
        <v>0</v>
      </c>
      <c r="S2813" s="91">
        <v>0</v>
      </c>
      <c r="T2813" s="91"/>
      <c r="U2813" s="91"/>
      <c r="V2813" s="91"/>
      <c r="W2813" s="91"/>
      <c r="X2813" s="91"/>
      <c r="Y2813" s="91"/>
      <c r="Z2813" s="91"/>
      <c r="AA2813" s="91"/>
      <c r="AB2813" s="91"/>
      <c r="AC2813" s="91"/>
      <c r="AD2813" s="91"/>
      <c r="AE2813" s="91"/>
      <c r="AF2813" s="91"/>
      <c r="AG2813" s="91"/>
      <c r="AH2813" s="91"/>
      <c r="AI2813" s="91"/>
      <c r="AJ2813" s="91"/>
      <c r="AK2813" s="91"/>
      <c r="AL2813" s="91"/>
      <c r="AM2813" s="91"/>
    </row>
    <row r="2814" spans="1:39" ht="20.25" hidden="1" customHeight="1">
      <c r="A2814" s="91"/>
      <c r="B2814" s="93" t="s">
        <v>8714</v>
      </c>
      <c r="C2814" s="91" t="s">
        <v>36</v>
      </c>
      <c r="D2814" s="107" t="s">
        <v>8803</v>
      </c>
      <c r="E2814" s="107" t="s">
        <v>8804</v>
      </c>
      <c r="F2814" s="91" t="s">
        <v>8805</v>
      </c>
      <c r="G2814" s="96">
        <v>39448</v>
      </c>
      <c r="H2814" s="97">
        <v>23860</v>
      </c>
      <c r="I2814" s="100" t="s">
        <v>8806</v>
      </c>
      <c r="J2814" s="100" t="s">
        <v>8807</v>
      </c>
      <c r="K2814" s="91" t="s">
        <v>8808</v>
      </c>
      <c r="L2814" s="91" t="s">
        <v>42</v>
      </c>
      <c r="M2814" s="98">
        <f ca="1">(TODAY()-H2814)/365</f>
        <v>60.663013698630138</v>
      </c>
      <c r="N2814" s="99">
        <f>(G2814-H2814)/365</f>
        <v>42.706849315068496</v>
      </c>
      <c r="O2814" s="98">
        <f ca="1">(TODAY()-G2814)/365</f>
        <v>17.956164383561642</v>
      </c>
      <c r="P2814" s="91" t="s">
        <v>272</v>
      </c>
      <c r="Q2814" s="91">
        <v>0</v>
      </c>
      <c r="R2814" s="91">
        <v>0</v>
      </c>
      <c r="S2814" s="91">
        <v>0</v>
      </c>
      <c r="T2814" s="91"/>
      <c r="U2814" s="91"/>
      <c r="V2814" s="91"/>
      <c r="W2814" s="91"/>
      <c r="X2814" s="91"/>
      <c r="Y2814" s="91"/>
      <c r="Z2814" s="91"/>
      <c r="AA2814" s="91"/>
      <c r="AB2814" s="91"/>
      <c r="AC2814" s="91"/>
      <c r="AD2814" s="91"/>
      <c r="AE2814" s="91"/>
      <c r="AF2814" s="91"/>
      <c r="AG2814" s="91"/>
      <c r="AH2814" s="91"/>
      <c r="AI2814" s="91"/>
      <c r="AJ2814" s="91"/>
      <c r="AK2814" s="91"/>
      <c r="AL2814" s="91"/>
      <c r="AM2814" s="91"/>
    </row>
    <row r="2815" spans="1:39" ht="20.25" customHeight="1">
      <c r="A2815" s="91"/>
      <c r="B2815" s="93" t="s">
        <v>879</v>
      </c>
      <c r="C2815" s="91" t="s">
        <v>73</v>
      </c>
      <c r="D2815" s="94" t="s">
        <v>970</v>
      </c>
      <c r="E2815" s="94" t="s">
        <v>971</v>
      </c>
      <c r="F2815" s="95" t="s">
        <v>972</v>
      </c>
      <c r="G2815" s="96" t="s">
        <v>58</v>
      </c>
      <c r="H2815" s="97">
        <v>25104</v>
      </c>
      <c r="I2815" s="94" t="s">
        <v>58</v>
      </c>
      <c r="J2815" s="94" t="s">
        <v>58</v>
      </c>
      <c r="K2815" s="95" t="s">
        <v>58</v>
      </c>
      <c r="L2815" s="91" t="s">
        <v>60</v>
      </c>
      <c r="M2815" s="98">
        <f ca="1">(TODAY()-H2815)/365</f>
        <v>57.254794520547946</v>
      </c>
      <c r="N2815" s="95" t="s">
        <v>58</v>
      </c>
      <c r="O2815" s="98" t="e">
        <f ca="1">(TODAY()-G2815)/365</f>
        <v>#VALUE!</v>
      </c>
      <c r="P2815" s="91" t="s">
        <v>272</v>
      </c>
      <c r="Q2815" s="91">
        <v>0</v>
      </c>
      <c r="R2815" s="91">
        <v>0</v>
      </c>
      <c r="S2815" s="91">
        <v>0</v>
      </c>
      <c r="T2815" s="91"/>
      <c r="U2815" s="91"/>
      <c r="V2815" s="91"/>
      <c r="W2815" s="91"/>
      <c r="X2815" s="91"/>
      <c r="Y2815" s="91"/>
      <c r="Z2815" s="91"/>
      <c r="AA2815" s="91"/>
      <c r="AB2815" s="91"/>
      <c r="AC2815" s="91"/>
      <c r="AD2815" s="91"/>
      <c r="AE2815" s="91"/>
      <c r="AF2815" s="91"/>
      <c r="AG2815" s="91"/>
      <c r="AH2815" s="91"/>
      <c r="AI2815" s="91"/>
      <c r="AJ2815" s="91"/>
      <c r="AK2815" s="91"/>
      <c r="AL2815" s="91"/>
      <c r="AM2815" s="91"/>
    </row>
    <row r="2816" spans="1:39" ht="20.25" hidden="1" customHeight="1">
      <c r="A2816" s="91"/>
      <c r="B2816" s="93" t="s">
        <v>8714</v>
      </c>
      <c r="C2816" s="91" t="s">
        <v>36</v>
      </c>
      <c r="D2816" s="106" t="s">
        <v>8813</v>
      </c>
      <c r="E2816" s="106" t="s">
        <v>8814</v>
      </c>
      <c r="F2816" s="92" t="s">
        <v>8815</v>
      </c>
      <c r="G2816" s="96">
        <v>44711</v>
      </c>
      <c r="H2816" s="97">
        <v>26146</v>
      </c>
      <c r="I2816" s="94" t="s">
        <v>8816</v>
      </c>
      <c r="J2816" s="94" t="s">
        <v>8817</v>
      </c>
      <c r="K2816" s="92" t="s">
        <v>8818</v>
      </c>
      <c r="L2816" s="91" t="s">
        <v>60</v>
      </c>
      <c r="M2816" s="98">
        <f ca="1">(TODAY()-H2816)/365</f>
        <v>54.4</v>
      </c>
      <c r="N2816" s="99">
        <f>(G2816-H2816)/365</f>
        <v>50.863013698630134</v>
      </c>
      <c r="O2816" s="98">
        <f ca="1">(TODAY()-G2816)/365</f>
        <v>3.536986301369863</v>
      </c>
      <c r="P2816" s="91" t="s">
        <v>43</v>
      </c>
      <c r="Q2816" s="91">
        <v>0</v>
      </c>
      <c r="R2816" s="91">
        <v>0</v>
      </c>
      <c r="S2816" s="91">
        <v>0</v>
      </c>
      <c r="T2816" s="91"/>
      <c r="U2816" s="91"/>
      <c r="V2816" s="91"/>
      <c r="W2816" s="91"/>
      <c r="X2816" s="91"/>
      <c r="Y2816" s="91"/>
      <c r="Z2816" s="91"/>
      <c r="AA2816" s="91"/>
      <c r="AB2816" s="91"/>
      <c r="AC2816" s="91"/>
      <c r="AD2816" s="91"/>
      <c r="AE2816" s="91"/>
      <c r="AF2816" s="91"/>
      <c r="AG2816" s="91"/>
      <c r="AH2816" s="91"/>
      <c r="AI2816" s="91"/>
      <c r="AJ2816" s="91"/>
      <c r="AK2816" s="91"/>
      <c r="AL2816" s="91"/>
      <c r="AM2816" s="91"/>
    </row>
    <row r="2817" spans="1:39" ht="20.25" hidden="1" customHeight="1">
      <c r="A2817" s="91"/>
      <c r="B2817" s="93" t="s">
        <v>8714</v>
      </c>
      <c r="C2817" s="91" t="s">
        <v>36</v>
      </c>
      <c r="D2817" s="106" t="s">
        <v>8819</v>
      </c>
      <c r="E2817" s="106" t="s">
        <v>8820</v>
      </c>
      <c r="F2817" s="92" t="s">
        <v>8821</v>
      </c>
      <c r="G2817" s="96">
        <v>41315</v>
      </c>
      <c r="H2817" s="97">
        <v>20254</v>
      </c>
      <c r="I2817" s="105" t="s">
        <v>12496</v>
      </c>
      <c r="J2817" s="94" t="s">
        <v>8822</v>
      </c>
      <c r="K2817" s="92" t="s">
        <v>8823</v>
      </c>
      <c r="L2817" s="91" t="s">
        <v>60</v>
      </c>
      <c r="M2817" s="98">
        <f ca="1">(TODAY()-H2817)/365</f>
        <v>70.542465753424651</v>
      </c>
      <c r="N2817" s="99">
        <f>(G2817-H2817)/365</f>
        <v>57.701369863013696</v>
      </c>
      <c r="O2817" s="98">
        <f ca="1">(TODAY()-G2817)/365</f>
        <v>12.841095890410958</v>
      </c>
      <c r="P2817" s="91" t="s">
        <v>43</v>
      </c>
      <c r="Q2817" s="91">
        <v>0</v>
      </c>
      <c r="R2817" s="91">
        <v>0</v>
      </c>
      <c r="S2817" s="91">
        <v>0</v>
      </c>
      <c r="T2817" s="91"/>
      <c r="U2817" s="91"/>
      <c r="V2817" s="91"/>
      <c r="W2817" s="91"/>
      <c r="X2817" s="91"/>
      <c r="Y2817" s="91"/>
      <c r="Z2817" s="91"/>
      <c r="AA2817" s="91"/>
      <c r="AB2817" s="91"/>
      <c r="AC2817" s="91"/>
      <c r="AD2817" s="91"/>
      <c r="AE2817" s="91"/>
      <c r="AF2817" s="91"/>
      <c r="AG2817" s="91"/>
      <c r="AH2817" s="91"/>
      <c r="AI2817" s="91"/>
      <c r="AJ2817" s="91"/>
      <c r="AK2817" s="91"/>
      <c r="AL2817" s="91"/>
      <c r="AM2817" s="91"/>
    </row>
    <row r="2818" spans="1:39" ht="20.25" hidden="1" customHeight="1">
      <c r="A2818" s="91"/>
      <c r="B2818" s="93" t="s">
        <v>8714</v>
      </c>
      <c r="C2818" s="91" t="s">
        <v>36</v>
      </c>
      <c r="D2818" s="106" t="s">
        <v>662</v>
      </c>
      <c r="E2818" s="106" t="s">
        <v>8824</v>
      </c>
      <c r="F2818" s="92" t="s">
        <v>8825</v>
      </c>
      <c r="G2818" s="96">
        <v>44927</v>
      </c>
      <c r="H2818" s="97">
        <v>22865</v>
      </c>
      <c r="I2818" s="105" t="s">
        <v>12497</v>
      </c>
      <c r="J2818" s="94" t="s">
        <v>8826</v>
      </c>
      <c r="K2818" s="92" t="s">
        <v>8827</v>
      </c>
      <c r="L2818" s="91" t="s">
        <v>60</v>
      </c>
      <c r="M2818" s="98">
        <f ca="1">(TODAY()-H2818)/365</f>
        <v>63.389041095890413</v>
      </c>
      <c r="N2818" s="99">
        <f>(G2818-H2818)/365</f>
        <v>60.443835616438356</v>
      </c>
      <c r="O2818" s="98">
        <f ca="1">(TODAY()-G2818)/365</f>
        <v>2.9452054794520546</v>
      </c>
      <c r="P2818" s="91" t="s">
        <v>43</v>
      </c>
      <c r="Q2818" s="91">
        <v>0</v>
      </c>
      <c r="R2818" s="91">
        <v>0</v>
      </c>
      <c r="S2818" s="91">
        <v>0</v>
      </c>
      <c r="T2818" s="91"/>
      <c r="U2818" s="91"/>
      <c r="V2818" s="91"/>
      <c r="W2818" s="91"/>
      <c r="X2818" s="91"/>
      <c r="Y2818" s="91"/>
      <c r="Z2818" s="91"/>
      <c r="AA2818" s="91"/>
      <c r="AB2818" s="91"/>
      <c r="AC2818" s="91"/>
      <c r="AD2818" s="91"/>
      <c r="AE2818" s="91"/>
      <c r="AF2818" s="91"/>
      <c r="AG2818" s="91"/>
      <c r="AH2818" s="91"/>
      <c r="AI2818" s="91"/>
      <c r="AJ2818" s="91"/>
      <c r="AK2818" s="91"/>
      <c r="AL2818" s="91"/>
      <c r="AM2818" s="91"/>
    </row>
    <row r="2819" spans="1:39" ht="20.25" hidden="1" customHeight="1">
      <c r="A2819" s="91"/>
      <c r="B2819" s="93" t="s">
        <v>8714</v>
      </c>
      <c r="C2819" s="91" t="s">
        <v>36</v>
      </c>
      <c r="D2819" s="106" t="s">
        <v>8828</v>
      </c>
      <c r="E2819" s="106" t="s">
        <v>8829</v>
      </c>
      <c r="F2819" s="92" t="s">
        <v>8830</v>
      </c>
      <c r="G2819" s="96">
        <v>44681</v>
      </c>
      <c r="H2819" s="97">
        <v>22546</v>
      </c>
      <c r="I2819" s="105" t="s">
        <v>12498</v>
      </c>
      <c r="J2819" s="94" t="s">
        <v>8831</v>
      </c>
      <c r="K2819" s="92" t="s">
        <v>8832</v>
      </c>
      <c r="L2819" s="91" t="s">
        <v>60</v>
      </c>
      <c r="M2819" s="98">
        <f ca="1">(TODAY()-H2819)/365</f>
        <v>64.263013698630132</v>
      </c>
      <c r="N2819" s="99">
        <f>(G2819-H2819)/365</f>
        <v>60.643835616438359</v>
      </c>
      <c r="O2819" s="98">
        <f ca="1">(TODAY()-G2819)/365</f>
        <v>3.6191780821917807</v>
      </c>
      <c r="P2819" s="91" t="s">
        <v>43</v>
      </c>
      <c r="Q2819" s="91">
        <v>0</v>
      </c>
      <c r="R2819" s="91">
        <v>0</v>
      </c>
      <c r="S2819" s="91">
        <v>0</v>
      </c>
      <c r="T2819" s="91"/>
      <c r="U2819" s="91"/>
      <c r="V2819" s="91"/>
      <c r="W2819" s="91"/>
      <c r="X2819" s="91"/>
      <c r="Y2819" s="91"/>
      <c r="Z2819" s="91"/>
      <c r="AA2819" s="91"/>
      <c r="AB2819" s="91"/>
      <c r="AC2819" s="91"/>
      <c r="AD2819" s="91"/>
      <c r="AE2819" s="91"/>
      <c r="AF2819" s="91"/>
      <c r="AG2819" s="91"/>
      <c r="AH2819" s="91"/>
      <c r="AI2819" s="91"/>
      <c r="AJ2819" s="91"/>
      <c r="AK2819" s="91"/>
      <c r="AL2819" s="91"/>
      <c r="AM2819" s="91"/>
    </row>
    <row r="2820" spans="1:39" ht="20.25" hidden="1" customHeight="1">
      <c r="A2820" s="91"/>
      <c r="B2820" s="93" t="s">
        <v>8714</v>
      </c>
      <c r="C2820" s="91" t="s">
        <v>36</v>
      </c>
      <c r="D2820" s="106" t="s">
        <v>2641</v>
      </c>
      <c r="E2820" s="106" t="s">
        <v>8833</v>
      </c>
      <c r="F2820" s="92" t="s">
        <v>8834</v>
      </c>
      <c r="G2820" s="96">
        <v>44681</v>
      </c>
      <c r="H2820" s="97">
        <v>21712</v>
      </c>
      <c r="I2820" s="94" t="s">
        <v>8835</v>
      </c>
      <c r="J2820" s="125" t="s">
        <v>8836</v>
      </c>
      <c r="K2820" s="92" t="s">
        <v>8837</v>
      </c>
      <c r="L2820" s="91" t="s">
        <v>54</v>
      </c>
      <c r="M2820" s="98">
        <f ca="1">(TODAY()-H2820)/365</f>
        <v>66.547945205479451</v>
      </c>
      <c r="N2820" s="99">
        <f>(G2820-H2820)/365</f>
        <v>62.92876712328767</v>
      </c>
      <c r="O2820" s="98">
        <f ca="1">(TODAY()-G2820)/365</f>
        <v>3.6191780821917807</v>
      </c>
      <c r="P2820" s="91" t="s">
        <v>43</v>
      </c>
      <c r="Q2820" s="91">
        <v>0</v>
      </c>
      <c r="R2820" s="91">
        <v>0</v>
      </c>
      <c r="S2820" s="91">
        <v>0</v>
      </c>
      <c r="T2820" s="91"/>
      <c r="U2820" s="91"/>
      <c r="V2820" s="91"/>
      <c r="W2820" s="91"/>
      <c r="X2820" s="91"/>
      <c r="Y2820" s="91"/>
      <c r="Z2820" s="91"/>
      <c r="AA2820" s="91"/>
      <c r="AB2820" s="91"/>
      <c r="AC2820" s="91"/>
      <c r="AD2820" s="91"/>
      <c r="AE2820" s="91"/>
      <c r="AF2820" s="91"/>
      <c r="AG2820" s="91"/>
      <c r="AH2820" s="91"/>
      <c r="AI2820" s="91"/>
      <c r="AJ2820" s="91"/>
      <c r="AK2820" s="91"/>
      <c r="AL2820" s="91"/>
      <c r="AM2820" s="91"/>
    </row>
    <row r="2821" spans="1:39" ht="20.25" customHeight="1">
      <c r="A2821" s="91"/>
      <c r="B2821" s="93" t="s">
        <v>8524</v>
      </c>
      <c r="C2821" s="91" t="s">
        <v>73</v>
      </c>
      <c r="D2821" s="94" t="s">
        <v>1561</v>
      </c>
      <c r="E2821" s="94" t="s">
        <v>8591</v>
      </c>
      <c r="F2821" s="95" t="s">
        <v>8592</v>
      </c>
      <c r="G2821" s="96">
        <v>35217</v>
      </c>
      <c r="H2821" s="96">
        <v>27112</v>
      </c>
      <c r="I2821" s="94" t="s">
        <v>8593</v>
      </c>
      <c r="J2821" s="100" t="s">
        <v>58</v>
      </c>
      <c r="K2821" s="91" t="s">
        <v>58</v>
      </c>
      <c r="L2821" s="91" t="s">
        <v>60</v>
      </c>
      <c r="M2821" s="98">
        <f ca="1">(TODAY()-H2821)/365</f>
        <v>51.753424657534246</v>
      </c>
      <c r="N2821" s="99">
        <f>(G2821-H2821)/365</f>
        <v>22.205479452054796</v>
      </c>
      <c r="O2821" s="98">
        <f ca="1">(TODAY()-G2821)/365</f>
        <v>29.547945205479451</v>
      </c>
      <c r="P2821" s="91" t="s">
        <v>272</v>
      </c>
      <c r="Q2821" s="91">
        <v>0</v>
      </c>
      <c r="R2821" s="91">
        <v>0</v>
      </c>
      <c r="S2821" s="91">
        <v>0</v>
      </c>
      <c r="T2821" s="91"/>
      <c r="U2821" s="91"/>
      <c r="V2821" s="91"/>
      <c r="W2821" s="91"/>
      <c r="X2821" s="91"/>
      <c r="Y2821" s="91"/>
      <c r="Z2821" s="91"/>
      <c r="AA2821" s="91"/>
      <c r="AB2821" s="91"/>
      <c r="AC2821" s="91"/>
      <c r="AD2821" s="91"/>
      <c r="AE2821" s="91"/>
      <c r="AF2821" s="91"/>
      <c r="AG2821" s="91"/>
      <c r="AH2821" s="91"/>
      <c r="AI2821" s="91"/>
      <c r="AJ2821" s="91"/>
      <c r="AK2821" s="91"/>
      <c r="AL2821" s="91"/>
      <c r="AM2821" s="91"/>
    </row>
    <row r="2822" spans="1:39" ht="20.25" hidden="1" customHeight="1">
      <c r="A2822" s="91"/>
      <c r="B2822" s="93" t="s">
        <v>8714</v>
      </c>
      <c r="C2822" s="91" t="s">
        <v>36</v>
      </c>
      <c r="D2822" s="106" t="s">
        <v>8841</v>
      </c>
      <c r="E2822" s="106" t="s">
        <v>8804</v>
      </c>
      <c r="F2822" s="131" t="s">
        <v>8842</v>
      </c>
      <c r="G2822" s="96">
        <v>44681</v>
      </c>
      <c r="H2822" s="97">
        <v>21006</v>
      </c>
      <c r="I2822" s="105" t="s">
        <v>12499</v>
      </c>
      <c r="J2822" s="94" t="s">
        <v>8843</v>
      </c>
      <c r="K2822" s="92" t="s">
        <v>8844</v>
      </c>
      <c r="L2822" s="91" t="s">
        <v>72</v>
      </c>
      <c r="M2822" s="98">
        <f ca="1">(TODAY()-H2822)/365</f>
        <v>68.482191780821921</v>
      </c>
      <c r="N2822" s="99">
        <f>(G2822-H2822)/365</f>
        <v>64.863013698630141</v>
      </c>
      <c r="O2822" s="98">
        <f ca="1">(TODAY()-G2822)/365</f>
        <v>3.6191780821917807</v>
      </c>
      <c r="P2822" s="91" t="s">
        <v>43</v>
      </c>
      <c r="Q2822" s="91">
        <v>0</v>
      </c>
      <c r="R2822" s="91">
        <v>0</v>
      </c>
      <c r="S2822" s="91">
        <v>0</v>
      </c>
      <c r="T2822" s="91"/>
      <c r="U2822" s="91"/>
      <c r="V2822" s="91"/>
      <c r="W2822" s="91"/>
      <c r="X2822" s="91"/>
      <c r="Y2822" s="91"/>
      <c r="Z2822" s="91"/>
      <c r="AA2822" s="91"/>
      <c r="AB2822" s="91"/>
      <c r="AC2822" s="91"/>
      <c r="AD2822" s="91"/>
      <c r="AE2822" s="91"/>
      <c r="AF2822" s="91"/>
      <c r="AG2822" s="91"/>
      <c r="AH2822" s="91"/>
      <c r="AI2822" s="91"/>
      <c r="AJ2822" s="91"/>
      <c r="AK2822" s="91"/>
      <c r="AL2822" s="91"/>
      <c r="AM2822" s="91"/>
    </row>
    <row r="2823" spans="1:39" ht="20.25" customHeight="1">
      <c r="A2823" s="128"/>
      <c r="B2823" s="93" t="s">
        <v>11273</v>
      </c>
      <c r="C2823" s="91" t="s">
        <v>73</v>
      </c>
      <c r="D2823" s="106" t="s">
        <v>11433</v>
      </c>
      <c r="E2823" s="106" t="s">
        <v>11434</v>
      </c>
      <c r="F2823" s="92" t="s">
        <v>11435</v>
      </c>
      <c r="G2823" s="103">
        <v>45478</v>
      </c>
      <c r="H2823" s="103">
        <v>37950</v>
      </c>
      <c r="I2823" s="100" t="s">
        <v>11436</v>
      </c>
      <c r="J2823" s="100" t="s">
        <v>58</v>
      </c>
      <c r="K2823" s="95" t="s">
        <v>58</v>
      </c>
      <c r="L2823" s="91"/>
      <c r="M2823" s="98">
        <f ca="1">(TODAY()-H2823)/365</f>
        <v>22.06027397260274</v>
      </c>
      <c r="N2823" s="99">
        <f>(G2823-H2823)/365</f>
        <v>20.624657534246577</v>
      </c>
      <c r="O2823" s="98">
        <f ca="1">(TODAY()-G2823)/365</f>
        <v>1.4356164383561645</v>
      </c>
      <c r="P2823" s="91" t="s">
        <v>43</v>
      </c>
      <c r="Q2823" s="91"/>
      <c r="R2823" s="91"/>
      <c r="S2823" s="91"/>
      <c r="T2823" s="91"/>
      <c r="U2823" s="91"/>
      <c r="V2823" s="91"/>
      <c r="W2823" s="91"/>
      <c r="X2823" s="91"/>
      <c r="Y2823" s="91"/>
      <c r="Z2823" s="91"/>
      <c r="AA2823" s="91"/>
      <c r="AB2823" s="91"/>
      <c r="AC2823" s="91"/>
      <c r="AD2823" s="91"/>
      <c r="AE2823" s="91"/>
      <c r="AF2823" s="91"/>
      <c r="AG2823" s="91"/>
      <c r="AH2823" s="91"/>
      <c r="AI2823" s="91"/>
      <c r="AJ2823" s="91"/>
      <c r="AK2823" s="91"/>
      <c r="AL2823" s="91"/>
      <c r="AM2823" s="91"/>
    </row>
    <row r="2824" spans="1:39" ht="20.25" customHeight="1">
      <c r="A2824" s="91"/>
      <c r="B2824" s="93" t="s">
        <v>5023</v>
      </c>
      <c r="C2824" s="91" t="s">
        <v>73</v>
      </c>
      <c r="D2824" s="107" t="s">
        <v>4773</v>
      </c>
      <c r="E2824" s="107" t="s">
        <v>5130</v>
      </c>
      <c r="F2824" s="91" t="s">
        <v>5131</v>
      </c>
      <c r="G2824" s="96">
        <v>40898</v>
      </c>
      <c r="H2824" s="97">
        <v>19286</v>
      </c>
      <c r="I2824" s="108" t="s">
        <v>5132</v>
      </c>
      <c r="J2824" s="94" t="s">
        <v>58</v>
      </c>
      <c r="K2824" s="95" t="s">
        <v>58</v>
      </c>
      <c r="L2824" s="91" t="s">
        <v>60</v>
      </c>
      <c r="M2824" s="98">
        <f ca="1">(TODAY()-H2824)/365</f>
        <v>73.194520547945203</v>
      </c>
      <c r="N2824" s="99">
        <f>(G2824-H2824)/365</f>
        <v>59.210958904109589</v>
      </c>
      <c r="O2824" s="98">
        <f ca="1">(TODAY()-G2824)/365</f>
        <v>13.983561643835616</v>
      </c>
      <c r="P2824" s="91" t="s">
        <v>43</v>
      </c>
      <c r="Q2824" s="91">
        <v>0</v>
      </c>
      <c r="R2824" s="91">
        <v>0</v>
      </c>
      <c r="S2824" s="91">
        <v>0</v>
      </c>
      <c r="T2824" s="91"/>
      <c r="U2824" s="91"/>
      <c r="V2824" s="91"/>
      <c r="W2824" s="91"/>
      <c r="X2824" s="91"/>
      <c r="Y2824" s="91"/>
      <c r="Z2824" s="91"/>
      <c r="AA2824" s="91"/>
      <c r="AB2824" s="91"/>
      <c r="AC2824" s="91"/>
      <c r="AD2824" s="91"/>
      <c r="AE2824" s="91"/>
      <c r="AF2824" s="91"/>
      <c r="AG2824" s="91"/>
      <c r="AH2824" s="91"/>
      <c r="AI2824" s="91"/>
      <c r="AJ2824" s="91"/>
      <c r="AK2824" s="91"/>
      <c r="AL2824" s="91"/>
      <c r="AM2824" s="91"/>
    </row>
    <row r="2825" spans="1:39" ht="20.25" hidden="1" customHeight="1">
      <c r="A2825" s="91"/>
      <c r="B2825" s="93" t="s">
        <v>8852</v>
      </c>
      <c r="C2825" s="91" t="s">
        <v>36</v>
      </c>
      <c r="D2825" s="94" t="s">
        <v>8853</v>
      </c>
      <c r="E2825" s="94" t="s">
        <v>8854</v>
      </c>
      <c r="F2825" s="95" t="s">
        <v>8855</v>
      </c>
      <c r="G2825" s="96">
        <v>43132</v>
      </c>
      <c r="H2825" s="97">
        <v>35999</v>
      </c>
      <c r="I2825" s="108" t="s">
        <v>12500</v>
      </c>
      <c r="J2825" s="94" t="s">
        <v>8852</v>
      </c>
      <c r="K2825" s="95">
        <v>971074934</v>
      </c>
      <c r="L2825" s="91" t="s">
        <v>121</v>
      </c>
      <c r="M2825" s="98">
        <f ca="1">(TODAY()-H2825)/365</f>
        <v>27.405479452054795</v>
      </c>
      <c r="N2825" s="99">
        <f>(G2825-H2825)/365</f>
        <v>19.542465753424658</v>
      </c>
      <c r="O2825" s="98">
        <f ca="1">(TODAY()-G2825)/365</f>
        <v>7.8630136986301373</v>
      </c>
      <c r="P2825" s="91" t="s">
        <v>43</v>
      </c>
      <c r="Q2825" s="91">
        <v>0</v>
      </c>
      <c r="R2825" s="91">
        <v>0</v>
      </c>
      <c r="S2825" s="91">
        <v>0</v>
      </c>
      <c r="T2825" s="91"/>
      <c r="U2825" s="91"/>
      <c r="V2825" s="91"/>
      <c r="W2825" s="91"/>
      <c r="X2825" s="91"/>
      <c r="Y2825" s="91"/>
      <c r="Z2825" s="91"/>
      <c r="AA2825" s="91"/>
      <c r="AB2825" s="91"/>
      <c r="AC2825" s="91"/>
      <c r="AD2825" s="91"/>
      <c r="AE2825" s="91"/>
      <c r="AF2825" s="91"/>
      <c r="AG2825" s="91"/>
      <c r="AH2825" s="91"/>
      <c r="AI2825" s="91"/>
      <c r="AJ2825" s="91"/>
      <c r="AK2825" s="91"/>
      <c r="AL2825" s="91" t="s">
        <v>8374</v>
      </c>
      <c r="AM2825" s="91"/>
    </row>
    <row r="2826" spans="1:39" ht="20.25" hidden="1" customHeight="1">
      <c r="A2826" s="91"/>
      <c r="B2826" s="93" t="s">
        <v>8852</v>
      </c>
      <c r="C2826" s="91" t="s">
        <v>36</v>
      </c>
      <c r="D2826" s="94" t="s">
        <v>2772</v>
      </c>
      <c r="E2826" s="94" t="s">
        <v>8856</v>
      </c>
      <c r="F2826" s="95" t="s">
        <v>8857</v>
      </c>
      <c r="G2826" s="96">
        <v>43287</v>
      </c>
      <c r="H2826" s="97">
        <v>35836</v>
      </c>
      <c r="I2826" s="108" t="s">
        <v>12501</v>
      </c>
      <c r="J2826" s="94" t="s">
        <v>8858</v>
      </c>
      <c r="K2826" s="95">
        <v>991211417</v>
      </c>
      <c r="L2826" s="91" t="s">
        <v>60</v>
      </c>
      <c r="M2826" s="98">
        <f ca="1">(TODAY()-H2826)/365</f>
        <v>27.852054794520548</v>
      </c>
      <c r="N2826" s="99">
        <f>(G2826-H2826)/365</f>
        <v>20.413698630136988</v>
      </c>
      <c r="O2826" s="98">
        <f ca="1">(TODAY()-G2826)/365</f>
        <v>7.4383561643835616</v>
      </c>
      <c r="P2826" s="91" t="s">
        <v>272</v>
      </c>
      <c r="Q2826" s="91">
        <v>0</v>
      </c>
      <c r="R2826" s="91">
        <v>0</v>
      </c>
      <c r="S2826" s="91">
        <v>0</v>
      </c>
      <c r="T2826" s="91"/>
      <c r="U2826" s="91"/>
      <c r="V2826" s="91"/>
      <c r="W2826" s="91"/>
      <c r="X2826" s="91"/>
      <c r="Y2826" s="91"/>
      <c r="Z2826" s="91"/>
      <c r="AA2826" s="91"/>
      <c r="AB2826" s="91"/>
      <c r="AC2826" s="91"/>
      <c r="AD2826" s="91"/>
      <c r="AE2826" s="91"/>
      <c r="AF2826" s="91"/>
      <c r="AG2826" s="91"/>
      <c r="AH2826" s="91"/>
      <c r="AI2826" s="91"/>
      <c r="AJ2826" s="91"/>
      <c r="AK2826" s="91"/>
      <c r="AL2826" s="91"/>
      <c r="AM2826" s="91"/>
    </row>
    <row r="2827" spans="1:39" ht="20.25" hidden="1" customHeight="1">
      <c r="A2827" s="91"/>
      <c r="B2827" s="93" t="s">
        <v>8852</v>
      </c>
      <c r="C2827" s="91" t="s">
        <v>36</v>
      </c>
      <c r="D2827" s="94" t="s">
        <v>8859</v>
      </c>
      <c r="E2827" s="94" t="s">
        <v>8860</v>
      </c>
      <c r="F2827" s="95" t="s">
        <v>8861</v>
      </c>
      <c r="G2827" s="96">
        <v>45517</v>
      </c>
      <c r="H2827" s="97">
        <v>37997</v>
      </c>
      <c r="I2827" s="94" t="s">
        <v>58</v>
      </c>
      <c r="J2827" s="94" t="s">
        <v>8862</v>
      </c>
      <c r="K2827" s="95">
        <v>992975823</v>
      </c>
      <c r="L2827" s="91" t="s">
        <v>60</v>
      </c>
      <c r="M2827" s="98">
        <f ca="1">(TODAY()-H2827)/365</f>
        <v>21.931506849315067</v>
      </c>
      <c r="N2827" s="99">
        <f>(G2827-H2827)/365</f>
        <v>20.602739726027398</v>
      </c>
      <c r="O2827" s="98">
        <f ca="1">(TODAY()-G2827)/365</f>
        <v>1.3287671232876712</v>
      </c>
      <c r="P2827" s="91" t="s">
        <v>272</v>
      </c>
      <c r="Q2827" s="91">
        <v>0</v>
      </c>
      <c r="R2827" s="91">
        <v>0</v>
      </c>
      <c r="S2827" s="91">
        <v>0</v>
      </c>
      <c r="T2827" s="91"/>
      <c r="U2827" s="91"/>
      <c r="V2827" s="91"/>
      <c r="W2827" s="91"/>
      <c r="X2827" s="91"/>
      <c r="Y2827" s="91"/>
      <c r="Z2827" s="91"/>
      <c r="AA2827" s="91"/>
      <c r="AB2827" s="91"/>
      <c r="AC2827" s="91"/>
      <c r="AD2827" s="91"/>
      <c r="AE2827" s="91"/>
      <c r="AF2827" s="91"/>
      <c r="AG2827" s="91"/>
      <c r="AH2827" s="91"/>
      <c r="AI2827" s="91"/>
      <c r="AJ2827" s="91"/>
      <c r="AK2827" s="91"/>
      <c r="AL2827" s="91"/>
      <c r="AM2827" s="91"/>
    </row>
    <row r="2828" spans="1:39" ht="20.25" hidden="1" customHeight="1">
      <c r="A2828" s="91"/>
      <c r="B2828" s="93" t="s">
        <v>8852</v>
      </c>
      <c r="C2828" s="91" t="s">
        <v>36</v>
      </c>
      <c r="D2828" s="94" t="s">
        <v>8863</v>
      </c>
      <c r="E2828" s="94" t="s">
        <v>8864</v>
      </c>
      <c r="F2828" s="95" t="s">
        <v>8865</v>
      </c>
      <c r="G2828" s="96">
        <v>45566</v>
      </c>
      <c r="H2828" s="97">
        <v>37546</v>
      </c>
      <c r="I2828" s="108" t="s">
        <v>12502</v>
      </c>
      <c r="J2828" s="94" t="s">
        <v>8866</v>
      </c>
      <c r="K2828" s="95">
        <v>976583775</v>
      </c>
      <c r="L2828" s="91" t="s">
        <v>60</v>
      </c>
      <c r="M2828" s="98">
        <f ca="1">(TODAY()-H2828)/365</f>
        <v>23.167123287671235</v>
      </c>
      <c r="N2828" s="99">
        <f>(G2828-H2828)/365</f>
        <v>21.972602739726028</v>
      </c>
      <c r="O2828" s="98">
        <f ca="1">(TODAY()-G2828)/365</f>
        <v>1.1945205479452055</v>
      </c>
      <c r="P2828" s="91" t="s">
        <v>43</v>
      </c>
      <c r="Q2828" s="91">
        <v>0</v>
      </c>
      <c r="R2828" s="91">
        <v>0</v>
      </c>
      <c r="S2828" s="91">
        <v>0</v>
      </c>
      <c r="T2828" s="91"/>
      <c r="U2828" s="91"/>
      <c r="V2828" s="91"/>
      <c r="W2828" s="91"/>
      <c r="X2828" s="91"/>
      <c r="Y2828" s="91"/>
      <c r="Z2828" s="91"/>
      <c r="AA2828" s="91"/>
      <c r="AB2828" s="91"/>
      <c r="AC2828" s="91"/>
      <c r="AD2828" s="91"/>
      <c r="AE2828" s="91"/>
      <c r="AF2828" s="91"/>
      <c r="AG2828" s="91"/>
      <c r="AH2828" s="91"/>
      <c r="AI2828" s="91"/>
      <c r="AJ2828" s="91"/>
      <c r="AK2828" s="91"/>
      <c r="AL2828" s="91"/>
      <c r="AM2828" s="91"/>
    </row>
    <row r="2829" spans="1:39" ht="20.25" hidden="1" customHeight="1">
      <c r="A2829" s="91"/>
      <c r="B2829" s="93" t="s">
        <v>8852</v>
      </c>
      <c r="C2829" s="91" t="s">
        <v>36</v>
      </c>
      <c r="D2829" s="94" t="s">
        <v>6920</v>
      </c>
      <c r="E2829" s="94" t="s">
        <v>8867</v>
      </c>
      <c r="F2829" s="95" t="s">
        <v>8868</v>
      </c>
      <c r="G2829" s="96">
        <v>44784</v>
      </c>
      <c r="H2829" s="97">
        <v>34624</v>
      </c>
      <c r="I2829" s="108" t="s">
        <v>12503</v>
      </c>
      <c r="J2829" s="94" t="s">
        <v>8869</v>
      </c>
      <c r="K2829" s="95">
        <v>937300479</v>
      </c>
      <c r="L2829" s="91" t="s">
        <v>60</v>
      </c>
      <c r="M2829" s="98">
        <f ca="1">(TODAY()-H2829)/365</f>
        <v>31.172602739726027</v>
      </c>
      <c r="N2829" s="99">
        <f>(G2829-H2829)/365</f>
        <v>27.835616438356166</v>
      </c>
      <c r="O2829" s="98">
        <f ca="1">(TODAY()-G2829)/365</f>
        <v>3.3369863013698629</v>
      </c>
      <c r="P2829" s="91" t="s">
        <v>43</v>
      </c>
      <c r="Q2829" s="91">
        <v>0</v>
      </c>
      <c r="R2829" s="91">
        <v>0</v>
      </c>
      <c r="S2829" s="91">
        <v>0</v>
      </c>
      <c r="T2829" s="91"/>
      <c r="U2829" s="91"/>
      <c r="V2829" s="91"/>
      <c r="W2829" s="91"/>
      <c r="X2829" s="91"/>
      <c r="Y2829" s="91"/>
      <c r="Z2829" s="91"/>
      <c r="AA2829" s="91"/>
      <c r="AB2829" s="91"/>
      <c r="AC2829" s="91"/>
      <c r="AD2829" s="91"/>
      <c r="AE2829" s="91"/>
      <c r="AF2829" s="91"/>
      <c r="AG2829" s="91"/>
      <c r="AH2829" s="91"/>
      <c r="AI2829" s="91"/>
      <c r="AJ2829" s="91"/>
      <c r="AK2829" s="91"/>
      <c r="AL2829" s="91"/>
      <c r="AM2829" s="91"/>
    </row>
    <row r="2830" spans="1:39" ht="20.25" hidden="1" customHeight="1">
      <c r="A2830" s="91"/>
      <c r="B2830" s="93" t="s">
        <v>8852</v>
      </c>
      <c r="C2830" s="91" t="s">
        <v>36</v>
      </c>
      <c r="D2830" s="94" t="s">
        <v>1983</v>
      </c>
      <c r="E2830" s="94" t="s">
        <v>8870</v>
      </c>
      <c r="F2830" s="95" t="s">
        <v>8871</v>
      </c>
      <c r="G2830" s="96">
        <v>41122</v>
      </c>
      <c r="H2830" s="97">
        <v>30955</v>
      </c>
      <c r="I2830" s="108" t="s">
        <v>12504</v>
      </c>
      <c r="J2830" s="94" t="s">
        <v>8872</v>
      </c>
      <c r="K2830" s="95">
        <v>942616485</v>
      </c>
      <c r="L2830" s="91" t="s">
        <v>66</v>
      </c>
      <c r="M2830" s="98">
        <f ca="1">(TODAY()-H2830)/365</f>
        <v>41.224657534246575</v>
      </c>
      <c r="N2830" s="99">
        <f>(G2830-H2830)/365</f>
        <v>27.854794520547944</v>
      </c>
      <c r="O2830" s="98">
        <f ca="1">(TODAY()-G2830)/365</f>
        <v>13.36986301369863</v>
      </c>
      <c r="P2830" s="91" t="s">
        <v>43</v>
      </c>
      <c r="Q2830" s="91">
        <v>0</v>
      </c>
      <c r="R2830" s="91">
        <v>0</v>
      </c>
      <c r="S2830" s="91">
        <v>0</v>
      </c>
      <c r="T2830" s="91"/>
      <c r="U2830" s="91"/>
      <c r="V2830" s="91"/>
      <c r="W2830" s="91"/>
      <c r="X2830" s="91"/>
      <c r="Y2830" s="91"/>
      <c r="Z2830" s="91"/>
      <c r="AA2830" s="91"/>
      <c r="AB2830" s="91"/>
      <c r="AC2830" s="91"/>
      <c r="AD2830" s="91"/>
      <c r="AE2830" s="91"/>
      <c r="AF2830" s="91"/>
      <c r="AG2830" s="91"/>
      <c r="AH2830" s="91"/>
      <c r="AI2830" s="91"/>
      <c r="AJ2830" s="91"/>
      <c r="AK2830" s="91"/>
      <c r="AL2830" s="91">
        <v>2012</v>
      </c>
      <c r="AM2830" s="91"/>
    </row>
    <row r="2831" spans="1:39" ht="20.25" hidden="1" customHeight="1">
      <c r="A2831" s="91"/>
      <c r="B2831" s="93" t="s">
        <v>8852</v>
      </c>
      <c r="C2831" s="91" t="s">
        <v>36</v>
      </c>
      <c r="D2831" s="94" t="s">
        <v>3121</v>
      </c>
      <c r="E2831" s="94" t="s">
        <v>8873</v>
      </c>
      <c r="F2831" s="95" t="s">
        <v>8874</v>
      </c>
      <c r="G2831" s="96">
        <v>44784</v>
      </c>
      <c r="H2831" s="97">
        <v>33361</v>
      </c>
      <c r="I2831" s="108" t="s">
        <v>12505</v>
      </c>
      <c r="J2831" s="94" t="s">
        <v>8875</v>
      </c>
      <c r="K2831" s="95">
        <v>965569291</v>
      </c>
      <c r="L2831" s="91" t="s">
        <v>60</v>
      </c>
      <c r="M2831" s="98">
        <f ca="1">(TODAY()-H2831)/365</f>
        <v>34.632876712328766</v>
      </c>
      <c r="N2831" s="99">
        <f>(G2831-H2831)/365</f>
        <v>31.295890410958904</v>
      </c>
      <c r="O2831" s="98">
        <f ca="1">(TODAY()-G2831)/365</f>
        <v>3.3369863013698629</v>
      </c>
      <c r="P2831" s="91" t="s">
        <v>43</v>
      </c>
      <c r="Q2831" s="91">
        <v>0</v>
      </c>
      <c r="R2831" s="91">
        <v>0</v>
      </c>
      <c r="S2831" s="91">
        <v>0</v>
      </c>
      <c r="T2831" s="91"/>
      <c r="U2831" s="91"/>
      <c r="V2831" s="91"/>
      <c r="W2831" s="91"/>
      <c r="X2831" s="91"/>
      <c r="Y2831" s="91"/>
      <c r="Z2831" s="91"/>
      <c r="AA2831" s="91"/>
      <c r="AB2831" s="91"/>
      <c r="AC2831" s="91"/>
      <c r="AD2831" s="91"/>
      <c r="AE2831" s="91"/>
      <c r="AF2831" s="91"/>
      <c r="AG2831" s="91"/>
      <c r="AH2831" s="91"/>
      <c r="AI2831" s="91"/>
      <c r="AJ2831" s="91"/>
      <c r="AK2831" s="91"/>
      <c r="AL2831" s="91"/>
      <c r="AM2831" s="91"/>
    </row>
    <row r="2832" spans="1:39" ht="20.25" hidden="1" customHeight="1">
      <c r="A2832" s="91"/>
      <c r="B2832" s="93" t="s">
        <v>8852</v>
      </c>
      <c r="C2832" s="91" t="s">
        <v>36</v>
      </c>
      <c r="D2832" s="94" t="s">
        <v>8876</v>
      </c>
      <c r="E2832" s="94" t="s">
        <v>8877</v>
      </c>
      <c r="F2832" s="95" t="s">
        <v>8878</v>
      </c>
      <c r="G2832" s="96">
        <v>34174</v>
      </c>
      <c r="H2832" s="97">
        <v>22551</v>
      </c>
      <c r="I2832" s="108" t="s">
        <v>8879</v>
      </c>
      <c r="J2832" s="94" t="s">
        <v>8862</v>
      </c>
      <c r="K2832" s="95">
        <v>989063704</v>
      </c>
      <c r="L2832" s="91" t="s">
        <v>42</v>
      </c>
      <c r="M2832" s="98">
        <f ca="1">(TODAY()-H2832)/365</f>
        <v>64.249315068493146</v>
      </c>
      <c r="N2832" s="99">
        <f>(G2832-H2832)/365</f>
        <v>31.843835616438355</v>
      </c>
      <c r="O2832" s="98">
        <f ca="1">(TODAY()-G2832)/365</f>
        <v>32.405479452054792</v>
      </c>
      <c r="P2832" s="91" t="s">
        <v>43</v>
      </c>
      <c r="Q2832" s="91">
        <v>0</v>
      </c>
      <c r="R2832" s="91">
        <v>0</v>
      </c>
      <c r="S2832" s="91">
        <v>0</v>
      </c>
      <c r="T2832" s="91"/>
      <c r="U2832" s="91"/>
      <c r="V2832" s="91"/>
      <c r="W2832" s="91"/>
      <c r="X2832" s="91"/>
      <c r="Y2832" s="91"/>
      <c r="Z2832" s="91"/>
      <c r="AA2832" s="91"/>
      <c r="AB2832" s="91"/>
      <c r="AC2832" s="91"/>
      <c r="AD2832" s="91"/>
      <c r="AE2832" s="91"/>
      <c r="AF2832" s="91"/>
      <c r="AG2832" s="91"/>
      <c r="AH2832" s="91"/>
      <c r="AI2832" s="91"/>
      <c r="AJ2832" s="91"/>
      <c r="AK2832" s="91"/>
      <c r="AL2832" s="91"/>
      <c r="AM2832" s="91"/>
    </row>
    <row r="2833" spans="1:39" ht="20.25" hidden="1" customHeight="1">
      <c r="A2833" s="91"/>
      <c r="B2833" s="93" t="s">
        <v>8852</v>
      </c>
      <c r="C2833" s="91" t="s">
        <v>36</v>
      </c>
      <c r="D2833" s="94" t="s">
        <v>8880</v>
      </c>
      <c r="E2833" s="94" t="s">
        <v>8881</v>
      </c>
      <c r="F2833" s="95" t="s">
        <v>8882</v>
      </c>
      <c r="G2833" s="96">
        <v>43014</v>
      </c>
      <c r="H2833" s="97">
        <v>29945</v>
      </c>
      <c r="I2833" s="108" t="s">
        <v>12506</v>
      </c>
      <c r="J2833" s="94" t="s">
        <v>8883</v>
      </c>
      <c r="K2833" s="95">
        <v>993834974</v>
      </c>
      <c r="L2833" s="91" t="s">
        <v>60</v>
      </c>
      <c r="M2833" s="98">
        <f ca="1">(TODAY()-H2833)/365</f>
        <v>43.991780821917807</v>
      </c>
      <c r="N2833" s="99">
        <f>(G2833-H2833)/365</f>
        <v>35.805479452054797</v>
      </c>
      <c r="O2833" s="98">
        <f ca="1">(TODAY()-G2833)/365</f>
        <v>8.1863013698630134</v>
      </c>
      <c r="P2833" s="91" t="s">
        <v>43</v>
      </c>
      <c r="Q2833" s="91">
        <v>0</v>
      </c>
      <c r="R2833" s="91">
        <v>0</v>
      </c>
      <c r="S2833" s="91">
        <v>0</v>
      </c>
      <c r="T2833" s="91"/>
      <c r="U2833" s="91"/>
      <c r="V2833" s="91"/>
      <c r="W2833" s="91"/>
      <c r="X2833" s="91"/>
      <c r="Y2833" s="91"/>
      <c r="Z2833" s="91"/>
      <c r="AA2833" s="91"/>
      <c r="AB2833" s="91"/>
      <c r="AC2833" s="91"/>
      <c r="AD2833" s="91"/>
      <c r="AE2833" s="91"/>
      <c r="AF2833" s="91"/>
      <c r="AG2833" s="91"/>
      <c r="AH2833" s="91"/>
      <c r="AI2833" s="91"/>
      <c r="AJ2833" s="91"/>
      <c r="AK2833" s="91"/>
      <c r="AL2833" s="91"/>
      <c r="AM2833" s="91"/>
    </row>
    <row r="2834" spans="1:39" ht="20.25" hidden="1" customHeight="1">
      <c r="A2834" s="91"/>
      <c r="B2834" s="93" t="s">
        <v>8852</v>
      </c>
      <c r="C2834" s="91" t="s">
        <v>36</v>
      </c>
      <c r="D2834" s="94" t="s">
        <v>343</v>
      </c>
      <c r="E2834" s="94" t="s">
        <v>8884</v>
      </c>
      <c r="F2834" s="95" t="s">
        <v>8885</v>
      </c>
      <c r="G2834" s="96">
        <v>43166</v>
      </c>
      <c r="H2834" s="97">
        <v>29238</v>
      </c>
      <c r="I2834" s="108" t="s">
        <v>8886</v>
      </c>
      <c r="J2834" s="94" t="s">
        <v>8852</v>
      </c>
      <c r="K2834" s="95">
        <v>999979529</v>
      </c>
      <c r="L2834" s="91" t="s">
        <v>60</v>
      </c>
      <c r="M2834" s="98">
        <f ca="1">(TODAY()-H2834)/365</f>
        <v>45.92876712328767</v>
      </c>
      <c r="N2834" s="99">
        <f>(G2834-H2834)/365</f>
        <v>38.158904109589038</v>
      </c>
      <c r="O2834" s="98">
        <f ca="1">(TODAY()-G2834)/365</f>
        <v>7.7698630136986298</v>
      </c>
      <c r="P2834" s="91" t="s">
        <v>43</v>
      </c>
      <c r="Q2834" s="91">
        <v>0</v>
      </c>
      <c r="R2834" s="91">
        <v>0</v>
      </c>
      <c r="S2834" s="91">
        <v>0</v>
      </c>
      <c r="T2834" s="91"/>
      <c r="U2834" s="91"/>
      <c r="V2834" s="91"/>
      <c r="W2834" s="91"/>
      <c r="X2834" s="91"/>
      <c r="Y2834" s="91"/>
      <c r="Z2834" s="91"/>
      <c r="AA2834" s="91"/>
      <c r="AB2834" s="91"/>
      <c r="AC2834" s="91"/>
      <c r="AD2834" s="91"/>
      <c r="AE2834" s="91"/>
      <c r="AF2834" s="91"/>
      <c r="AG2834" s="91"/>
      <c r="AH2834" s="91"/>
      <c r="AI2834" s="91"/>
      <c r="AJ2834" s="91"/>
      <c r="AK2834" s="91"/>
      <c r="AL2834" s="91"/>
      <c r="AM2834" s="91"/>
    </row>
    <row r="2835" spans="1:39" ht="20.25" hidden="1" customHeight="1">
      <c r="A2835" s="91"/>
      <c r="B2835" s="93" t="s">
        <v>8852</v>
      </c>
      <c r="C2835" s="91" t="s">
        <v>36</v>
      </c>
      <c r="D2835" s="94" t="s">
        <v>2812</v>
      </c>
      <c r="E2835" s="94" t="s">
        <v>8887</v>
      </c>
      <c r="F2835" s="95" t="s">
        <v>8888</v>
      </c>
      <c r="G2835" s="96">
        <v>45530</v>
      </c>
      <c r="H2835" s="97">
        <v>30997</v>
      </c>
      <c r="I2835" s="108" t="s">
        <v>12507</v>
      </c>
      <c r="J2835" s="94" t="s">
        <v>8889</v>
      </c>
      <c r="K2835" s="95">
        <v>968608227</v>
      </c>
      <c r="L2835" s="91" t="s">
        <v>60</v>
      </c>
      <c r="M2835" s="98">
        <f ca="1">(TODAY()-H2835)/365</f>
        <v>41.109589041095887</v>
      </c>
      <c r="N2835" s="99">
        <f>(G2835-H2835)/365</f>
        <v>39.816438356164383</v>
      </c>
      <c r="O2835" s="98">
        <f ca="1">(TODAY()-G2835)/365</f>
        <v>1.2931506849315069</v>
      </c>
      <c r="P2835" s="91" t="s">
        <v>43</v>
      </c>
      <c r="Q2835" s="91">
        <v>0</v>
      </c>
      <c r="R2835" s="91">
        <v>0</v>
      </c>
      <c r="S2835" s="91">
        <v>0</v>
      </c>
      <c r="T2835" s="91"/>
      <c r="U2835" s="91"/>
      <c r="V2835" s="91"/>
      <c r="W2835" s="91"/>
      <c r="X2835" s="91"/>
      <c r="Y2835" s="91"/>
      <c r="Z2835" s="91"/>
      <c r="AA2835" s="91"/>
      <c r="AB2835" s="91"/>
      <c r="AC2835" s="91"/>
      <c r="AD2835" s="91"/>
      <c r="AE2835" s="91"/>
      <c r="AF2835" s="91"/>
      <c r="AG2835" s="91"/>
      <c r="AH2835" s="91"/>
      <c r="AI2835" s="91"/>
      <c r="AJ2835" s="91"/>
      <c r="AK2835" s="91"/>
      <c r="AL2835" s="91"/>
      <c r="AM2835" s="91"/>
    </row>
    <row r="2836" spans="1:39" ht="20.25" hidden="1" customHeight="1">
      <c r="A2836" s="91"/>
      <c r="B2836" s="93" t="s">
        <v>8852</v>
      </c>
      <c r="C2836" s="91" t="s">
        <v>36</v>
      </c>
      <c r="D2836" s="94" t="s">
        <v>4242</v>
      </c>
      <c r="E2836" s="94" t="s">
        <v>8890</v>
      </c>
      <c r="F2836" s="95" t="s">
        <v>8891</v>
      </c>
      <c r="G2836" s="96">
        <v>44908</v>
      </c>
      <c r="H2836" s="97">
        <v>29404</v>
      </c>
      <c r="I2836" s="108" t="s">
        <v>12508</v>
      </c>
      <c r="J2836" s="94" t="s">
        <v>8892</v>
      </c>
      <c r="K2836" s="95">
        <f>5694870432</f>
        <v>5694870432</v>
      </c>
      <c r="L2836" s="91" t="s">
        <v>167</v>
      </c>
      <c r="M2836" s="98">
        <f ca="1">(TODAY()-H2836)/365</f>
        <v>45.473972602739728</v>
      </c>
      <c r="N2836" s="99">
        <f>(G2836-H2836)/365</f>
        <v>42.476712328767121</v>
      </c>
      <c r="O2836" s="98">
        <f ca="1">(TODAY()-G2836)/365</f>
        <v>2.9972602739726026</v>
      </c>
      <c r="P2836" s="91" t="s">
        <v>43</v>
      </c>
      <c r="Q2836" s="91">
        <v>0</v>
      </c>
      <c r="R2836" s="91">
        <v>0</v>
      </c>
      <c r="S2836" s="91">
        <v>0</v>
      </c>
      <c r="T2836" s="91"/>
      <c r="U2836" s="91"/>
      <c r="V2836" s="91"/>
      <c r="W2836" s="91"/>
      <c r="X2836" s="91"/>
      <c r="Y2836" s="91"/>
      <c r="Z2836" s="91"/>
      <c r="AA2836" s="91"/>
      <c r="AB2836" s="91"/>
      <c r="AC2836" s="91"/>
      <c r="AD2836" s="91"/>
      <c r="AE2836" s="91"/>
      <c r="AF2836" s="91"/>
      <c r="AG2836" s="91"/>
      <c r="AH2836" s="91"/>
      <c r="AI2836" s="91"/>
      <c r="AJ2836" s="91"/>
      <c r="AK2836" s="91"/>
      <c r="AL2836" s="91"/>
      <c r="AM2836" s="91"/>
    </row>
    <row r="2837" spans="1:39" ht="20.25" customHeight="1">
      <c r="A2837" s="91"/>
      <c r="B2837" s="93" t="s">
        <v>8852</v>
      </c>
      <c r="C2837" s="91" t="s">
        <v>73</v>
      </c>
      <c r="D2837" s="94" t="s">
        <v>310</v>
      </c>
      <c r="E2837" s="94" t="s">
        <v>8893</v>
      </c>
      <c r="F2837" s="95" t="s">
        <v>8894</v>
      </c>
      <c r="G2837" s="96">
        <v>43713</v>
      </c>
      <c r="H2837" s="97">
        <v>27890</v>
      </c>
      <c r="I2837" s="108" t="s">
        <v>12509</v>
      </c>
      <c r="J2837" s="100" t="s">
        <v>58</v>
      </c>
      <c r="K2837" s="91" t="s">
        <v>58</v>
      </c>
      <c r="L2837" s="91" t="s">
        <v>60</v>
      </c>
      <c r="M2837" s="98">
        <f ca="1">(TODAY()-H2837)/365</f>
        <v>49.62191780821918</v>
      </c>
      <c r="N2837" s="99">
        <f>(G2837-H2837)/365</f>
        <v>43.350684931506848</v>
      </c>
      <c r="O2837" s="98">
        <f ca="1">(TODAY()-G2837)/365</f>
        <v>6.2712328767123289</v>
      </c>
      <c r="P2837" s="91" t="s">
        <v>43</v>
      </c>
      <c r="Q2837" s="91">
        <v>0</v>
      </c>
      <c r="R2837" s="91">
        <v>0</v>
      </c>
      <c r="S2837" s="91">
        <v>0</v>
      </c>
      <c r="T2837" s="91"/>
      <c r="U2837" s="91"/>
      <c r="V2837" s="91"/>
      <c r="W2837" s="91"/>
      <c r="X2837" s="91"/>
      <c r="Y2837" s="91"/>
      <c r="Z2837" s="91"/>
      <c r="AA2837" s="91"/>
      <c r="AB2837" s="91"/>
      <c r="AC2837" s="91"/>
      <c r="AD2837" s="91"/>
      <c r="AE2837" s="91"/>
      <c r="AF2837" s="91"/>
      <c r="AG2837" s="91"/>
      <c r="AH2837" s="91"/>
      <c r="AI2837" s="91"/>
      <c r="AJ2837" s="91"/>
      <c r="AK2837" s="91"/>
      <c r="AL2837" s="91"/>
      <c r="AM2837" s="91"/>
    </row>
    <row r="2838" spans="1:39" ht="20.25" hidden="1" customHeight="1">
      <c r="A2838" s="91"/>
      <c r="B2838" s="93" t="s">
        <v>8852</v>
      </c>
      <c r="C2838" s="91" t="s">
        <v>36</v>
      </c>
      <c r="D2838" s="94" t="s">
        <v>5112</v>
      </c>
      <c r="E2838" s="94" t="s">
        <v>8895</v>
      </c>
      <c r="F2838" s="95" t="s">
        <v>8896</v>
      </c>
      <c r="G2838" s="96">
        <v>40605</v>
      </c>
      <c r="H2838" s="97">
        <v>23025</v>
      </c>
      <c r="I2838" s="94" t="s">
        <v>58</v>
      </c>
      <c r="J2838" s="94" t="s">
        <v>8897</v>
      </c>
      <c r="K2838" s="95">
        <v>989758015</v>
      </c>
      <c r="L2838" s="91" t="s">
        <v>49</v>
      </c>
      <c r="M2838" s="98">
        <f ca="1">(TODAY()-H2838)/365</f>
        <v>62.950684931506849</v>
      </c>
      <c r="N2838" s="99">
        <f>(G2838-H2838)/365</f>
        <v>48.164383561643838</v>
      </c>
      <c r="O2838" s="98">
        <f ca="1">(TODAY()-G2838)/365</f>
        <v>14.786301369863013</v>
      </c>
      <c r="P2838" s="91" t="s">
        <v>43</v>
      </c>
      <c r="Q2838" s="91">
        <v>0</v>
      </c>
      <c r="R2838" s="91">
        <v>0</v>
      </c>
      <c r="S2838" s="91">
        <v>0</v>
      </c>
      <c r="T2838" s="91"/>
      <c r="U2838" s="91"/>
      <c r="V2838" s="91"/>
      <c r="W2838" s="91"/>
      <c r="X2838" s="91"/>
      <c r="Y2838" s="91"/>
      <c r="Z2838" s="91"/>
      <c r="AA2838" s="91"/>
      <c r="AB2838" s="91"/>
      <c r="AC2838" s="91"/>
      <c r="AD2838" s="91"/>
      <c r="AE2838" s="91"/>
      <c r="AF2838" s="91"/>
      <c r="AG2838" s="91"/>
      <c r="AH2838" s="91"/>
      <c r="AI2838" s="91"/>
      <c r="AJ2838" s="91"/>
      <c r="AK2838" s="91"/>
      <c r="AL2838" s="91"/>
      <c r="AM2838" s="91"/>
    </row>
    <row r="2839" spans="1:39" ht="20.25" hidden="1" customHeight="1">
      <c r="A2839" s="91"/>
      <c r="B2839" s="93" t="s">
        <v>8852</v>
      </c>
      <c r="C2839" s="91" t="s">
        <v>36</v>
      </c>
      <c r="D2839" s="94" t="s">
        <v>8898</v>
      </c>
      <c r="E2839" s="94" t="s">
        <v>8899</v>
      </c>
      <c r="F2839" s="95" t="s">
        <v>8900</v>
      </c>
      <c r="G2839" s="96">
        <v>43105</v>
      </c>
      <c r="H2839" s="97">
        <v>25068</v>
      </c>
      <c r="I2839" s="108" t="s">
        <v>12510</v>
      </c>
      <c r="J2839" s="94" t="s">
        <v>8901</v>
      </c>
      <c r="K2839" s="95">
        <v>984483362</v>
      </c>
      <c r="L2839" s="91" t="s">
        <v>60</v>
      </c>
      <c r="M2839" s="98">
        <f ca="1">(TODAY()-H2839)/365</f>
        <v>57.353424657534248</v>
      </c>
      <c r="N2839" s="99">
        <f>(G2839-H2839)/365</f>
        <v>49.416438356164385</v>
      </c>
      <c r="O2839" s="98">
        <f ca="1">(TODAY()-G2839)/365</f>
        <v>7.9369863013698634</v>
      </c>
      <c r="P2839" s="91" t="s">
        <v>43</v>
      </c>
      <c r="Q2839" s="91">
        <v>0</v>
      </c>
      <c r="R2839" s="91">
        <v>0</v>
      </c>
      <c r="S2839" s="91">
        <v>0</v>
      </c>
      <c r="T2839" s="91"/>
      <c r="U2839" s="91"/>
      <c r="V2839" s="91"/>
      <c r="W2839" s="91"/>
      <c r="X2839" s="91"/>
      <c r="Y2839" s="91"/>
      <c r="Z2839" s="91"/>
      <c r="AA2839" s="91"/>
      <c r="AB2839" s="91"/>
      <c r="AC2839" s="91"/>
      <c r="AD2839" s="91"/>
      <c r="AE2839" s="91"/>
      <c r="AF2839" s="91"/>
      <c r="AG2839" s="91"/>
      <c r="AH2839" s="91"/>
      <c r="AI2839" s="91"/>
      <c r="AJ2839" s="91"/>
      <c r="AK2839" s="91"/>
      <c r="AL2839" s="91"/>
      <c r="AM2839" s="91"/>
    </row>
    <row r="2840" spans="1:39" ht="20.25" hidden="1" customHeight="1">
      <c r="A2840" s="91"/>
      <c r="B2840" s="93" t="s">
        <v>8852</v>
      </c>
      <c r="C2840" s="91" t="s">
        <v>36</v>
      </c>
      <c r="D2840" s="94" t="s">
        <v>8902</v>
      </c>
      <c r="E2840" s="94" t="s">
        <v>8903</v>
      </c>
      <c r="F2840" s="95" t="s">
        <v>8904</v>
      </c>
      <c r="G2840" s="96">
        <v>43497</v>
      </c>
      <c r="H2840" s="97">
        <v>24156</v>
      </c>
      <c r="I2840" s="108" t="s">
        <v>12511</v>
      </c>
      <c r="J2840" s="94" t="s">
        <v>8905</v>
      </c>
      <c r="K2840" s="95">
        <v>976657294</v>
      </c>
      <c r="L2840" s="91" t="s">
        <v>60</v>
      </c>
      <c r="M2840" s="98">
        <f ca="1">(TODAY()-H2840)/365</f>
        <v>59.852054794520548</v>
      </c>
      <c r="N2840" s="99">
        <f>(G2840-H2840)/365</f>
        <v>52.989041095890414</v>
      </c>
      <c r="O2840" s="98">
        <f ca="1">(TODAY()-G2840)/365</f>
        <v>6.8630136986301373</v>
      </c>
      <c r="P2840" s="91" t="s">
        <v>43</v>
      </c>
      <c r="Q2840" s="91">
        <v>0</v>
      </c>
      <c r="R2840" s="91">
        <v>0</v>
      </c>
      <c r="S2840" s="91">
        <v>0</v>
      </c>
      <c r="T2840" s="91"/>
      <c r="U2840" s="91"/>
      <c r="V2840" s="91"/>
      <c r="W2840" s="91"/>
      <c r="X2840" s="91"/>
      <c r="Y2840" s="91"/>
      <c r="Z2840" s="91"/>
      <c r="AA2840" s="91"/>
      <c r="AB2840" s="91"/>
      <c r="AC2840" s="91"/>
      <c r="AD2840" s="91"/>
      <c r="AE2840" s="91"/>
      <c r="AF2840" s="91"/>
      <c r="AG2840" s="91"/>
      <c r="AH2840" s="91"/>
      <c r="AI2840" s="91"/>
      <c r="AJ2840" s="91"/>
      <c r="AK2840" s="91"/>
      <c r="AL2840" s="91"/>
      <c r="AM2840" s="91"/>
    </row>
    <row r="2841" spans="1:39" ht="20.25" hidden="1" customHeight="1">
      <c r="A2841" s="91"/>
      <c r="B2841" s="93" t="s">
        <v>8852</v>
      </c>
      <c r="C2841" s="91" t="s">
        <v>36</v>
      </c>
      <c r="D2841" s="94" t="s">
        <v>8906</v>
      </c>
      <c r="E2841" s="94" t="s">
        <v>8907</v>
      </c>
      <c r="F2841" s="95" t="s">
        <v>8908</v>
      </c>
      <c r="G2841" s="96">
        <v>45601</v>
      </c>
      <c r="H2841" s="97">
        <v>25841</v>
      </c>
      <c r="I2841" s="108" t="s">
        <v>12512</v>
      </c>
      <c r="J2841" s="94" t="s">
        <v>8909</v>
      </c>
      <c r="K2841" s="95">
        <v>995948400</v>
      </c>
      <c r="L2841" s="91" t="s">
        <v>60</v>
      </c>
      <c r="M2841" s="98">
        <f ca="1">(TODAY()-H2841)/365</f>
        <v>55.235616438356168</v>
      </c>
      <c r="N2841" s="99">
        <f>(G2841-H2841)/365</f>
        <v>54.136986301369866</v>
      </c>
      <c r="O2841" s="98">
        <f ca="1">(TODAY()-G2841)/365</f>
        <v>1.0986301369863014</v>
      </c>
      <c r="P2841" s="91" t="s">
        <v>43</v>
      </c>
      <c r="Q2841" s="91">
        <v>0</v>
      </c>
      <c r="R2841" s="91">
        <v>0</v>
      </c>
      <c r="S2841" s="91">
        <v>0</v>
      </c>
      <c r="T2841" s="91"/>
      <c r="U2841" s="91"/>
      <c r="V2841" s="91"/>
      <c r="W2841" s="91"/>
      <c r="X2841" s="91"/>
      <c r="Y2841" s="91"/>
      <c r="Z2841" s="91"/>
      <c r="AA2841" s="91"/>
      <c r="AB2841" s="91"/>
      <c r="AC2841" s="91"/>
      <c r="AD2841" s="91"/>
      <c r="AE2841" s="91"/>
      <c r="AF2841" s="91"/>
      <c r="AG2841" s="91"/>
      <c r="AH2841" s="91"/>
      <c r="AI2841" s="91"/>
      <c r="AJ2841" s="91"/>
      <c r="AK2841" s="91"/>
      <c r="AL2841" s="91"/>
      <c r="AM2841" s="91"/>
    </row>
    <row r="2842" spans="1:39" ht="20.25" hidden="1" customHeight="1">
      <c r="A2842" s="91"/>
      <c r="B2842" s="93" t="s">
        <v>8852</v>
      </c>
      <c r="C2842" s="91" t="s">
        <v>36</v>
      </c>
      <c r="D2842" s="94" t="s">
        <v>8910</v>
      </c>
      <c r="E2842" s="94" t="s">
        <v>8911</v>
      </c>
      <c r="F2842" s="95" t="s">
        <v>8912</v>
      </c>
      <c r="G2842" s="96">
        <v>42615</v>
      </c>
      <c r="H2842" s="97">
        <v>22344</v>
      </c>
      <c r="I2842" s="108" t="s">
        <v>12513</v>
      </c>
      <c r="J2842" s="94" t="s">
        <v>8913</v>
      </c>
      <c r="K2842" s="95">
        <v>979678832</v>
      </c>
      <c r="L2842" s="91" t="s">
        <v>54</v>
      </c>
      <c r="M2842" s="98">
        <f ca="1">(TODAY()-H2842)/365</f>
        <v>64.816438356164383</v>
      </c>
      <c r="N2842" s="99">
        <f>(G2842-H2842)/365</f>
        <v>55.536986301369865</v>
      </c>
      <c r="O2842" s="98">
        <f ca="1">(TODAY()-G2842)/365</f>
        <v>9.2794520547945201</v>
      </c>
      <c r="P2842" s="91" t="s">
        <v>43</v>
      </c>
      <c r="Q2842" s="91">
        <v>0</v>
      </c>
      <c r="R2842" s="91">
        <v>0</v>
      </c>
      <c r="S2842" s="91">
        <v>0</v>
      </c>
      <c r="T2842" s="91"/>
      <c r="U2842" s="91"/>
      <c r="V2842" s="91"/>
      <c r="W2842" s="91"/>
      <c r="X2842" s="91"/>
      <c r="Y2842" s="91"/>
      <c r="Z2842" s="91"/>
      <c r="AA2842" s="91"/>
      <c r="AB2842" s="91"/>
      <c r="AC2842" s="91"/>
      <c r="AD2842" s="91"/>
      <c r="AE2842" s="91"/>
      <c r="AF2842" s="91"/>
      <c r="AG2842" s="91"/>
      <c r="AH2842" s="91"/>
      <c r="AI2842" s="91"/>
      <c r="AJ2842" s="91"/>
      <c r="AK2842" s="91"/>
      <c r="AL2842" s="91"/>
      <c r="AM2842" s="91"/>
    </row>
    <row r="2843" spans="1:39" ht="20.25" hidden="1" customHeight="1">
      <c r="A2843" s="91"/>
      <c r="B2843" s="93" t="s">
        <v>8852</v>
      </c>
      <c r="C2843" s="91" t="s">
        <v>36</v>
      </c>
      <c r="D2843" s="94" t="s">
        <v>712</v>
      </c>
      <c r="E2843" s="94" t="s">
        <v>8914</v>
      </c>
      <c r="F2843" s="95" t="s">
        <v>8915</v>
      </c>
      <c r="G2843" s="96">
        <v>42228</v>
      </c>
      <c r="H2843" s="97">
        <v>21024</v>
      </c>
      <c r="I2843" s="94" t="s">
        <v>58</v>
      </c>
      <c r="J2843" s="94" t="s">
        <v>8916</v>
      </c>
      <c r="K2843" s="95">
        <v>950973856</v>
      </c>
      <c r="L2843" s="91" t="s">
        <v>60</v>
      </c>
      <c r="M2843" s="98">
        <f ca="1">(TODAY()-H2843)/365</f>
        <v>68.432876712328763</v>
      </c>
      <c r="N2843" s="99">
        <f>(G2843-H2843)/365</f>
        <v>58.093150684931508</v>
      </c>
      <c r="O2843" s="98">
        <f ca="1">(TODAY()-G2843)/365</f>
        <v>10.33972602739726</v>
      </c>
      <c r="P2843" s="91" t="s">
        <v>43</v>
      </c>
      <c r="Q2843" s="91">
        <v>0</v>
      </c>
      <c r="R2843" s="91">
        <v>0</v>
      </c>
      <c r="S2843" s="91">
        <v>0</v>
      </c>
      <c r="T2843" s="91"/>
      <c r="U2843" s="91"/>
      <c r="V2843" s="91"/>
      <c r="W2843" s="91"/>
      <c r="X2843" s="91"/>
      <c r="Y2843" s="91"/>
      <c r="Z2843" s="91"/>
      <c r="AA2843" s="91"/>
      <c r="AB2843" s="91"/>
      <c r="AC2843" s="91"/>
      <c r="AD2843" s="91"/>
      <c r="AE2843" s="91"/>
      <c r="AF2843" s="91"/>
      <c r="AG2843" s="91"/>
      <c r="AH2843" s="91"/>
      <c r="AI2843" s="91"/>
      <c r="AJ2843" s="91"/>
      <c r="AK2843" s="91"/>
      <c r="AL2843" s="91"/>
      <c r="AM2843" s="91"/>
    </row>
    <row r="2844" spans="1:39" ht="20.25" hidden="1" customHeight="1">
      <c r="A2844" s="91"/>
      <c r="B2844" s="93" t="s">
        <v>8852</v>
      </c>
      <c r="C2844" s="91" t="s">
        <v>36</v>
      </c>
      <c r="D2844" s="94" t="s">
        <v>8917</v>
      </c>
      <c r="E2844" s="94" t="s">
        <v>8918</v>
      </c>
      <c r="F2844" s="95" t="s">
        <v>8919</v>
      </c>
      <c r="G2844" s="96">
        <v>45143</v>
      </c>
      <c r="H2844" s="97">
        <v>23686</v>
      </c>
      <c r="I2844" s="108" t="s">
        <v>12514</v>
      </c>
      <c r="J2844" s="94" t="s">
        <v>12662</v>
      </c>
      <c r="K2844" s="95">
        <v>979586732</v>
      </c>
      <c r="L2844" s="91" t="s">
        <v>60</v>
      </c>
      <c r="M2844" s="98">
        <f ca="1">(TODAY()-H2844)/365</f>
        <v>61.139726027397259</v>
      </c>
      <c r="N2844" s="99">
        <f>(G2844-H2844)/365</f>
        <v>58.786301369863011</v>
      </c>
      <c r="O2844" s="98">
        <f ca="1">(TODAY()-G2844)/365</f>
        <v>2.3534246575342466</v>
      </c>
      <c r="P2844" s="91" t="s">
        <v>43</v>
      </c>
      <c r="Q2844" s="91">
        <v>0</v>
      </c>
      <c r="R2844" s="91">
        <v>0</v>
      </c>
      <c r="S2844" s="91">
        <v>0</v>
      </c>
      <c r="T2844" s="91"/>
      <c r="U2844" s="91"/>
      <c r="V2844" s="91"/>
      <c r="W2844" s="91"/>
      <c r="X2844" s="91"/>
      <c r="Y2844" s="91"/>
      <c r="Z2844" s="91"/>
      <c r="AA2844" s="91"/>
      <c r="AB2844" s="91"/>
      <c r="AC2844" s="91"/>
      <c r="AD2844" s="91"/>
      <c r="AE2844" s="91"/>
      <c r="AF2844" s="91"/>
      <c r="AG2844" s="91"/>
      <c r="AH2844" s="91"/>
      <c r="AI2844" s="91"/>
      <c r="AJ2844" s="91"/>
      <c r="AK2844" s="91"/>
      <c r="AL2844" s="91"/>
      <c r="AM2844" s="91"/>
    </row>
    <row r="2845" spans="1:39" ht="20.25" hidden="1" customHeight="1">
      <c r="A2845" s="91"/>
      <c r="B2845" s="93" t="s">
        <v>8852</v>
      </c>
      <c r="C2845" s="91" t="s">
        <v>36</v>
      </c>
      <c r="D2845" s="94" t="s">
        <v>8920</v>
      </c>
      <c r="E2845" s="94" t="s">
        <v>8921</v>
      </c>
      <c r="F2845" s="95" t="s">
        <v>8922</v>
      </c>
      <c r="G2845" s="96">
        <v>42748</v>
      </c>
      <c r="H2845" s="97">
        <v>19881</v>
      </c>
      <c r="I2845" s="94" t="s">
        <v>58</v>
      </c>
      <c r="J2845" s="94" t="s">
        <v>8923</v>
      </c>
      <c r="K2845" s="95">
        <v>991296078</v>
      </c>
      <c r="L2845" s="91" t="s">
        <v>60</v>
      </c>
      <c r="M2845" s="98">
        <f ca="1">(TODAY()-H2845)/365</f>
        <v>71.564383561643837</v>
      </c>
      <c r="N2845" s="99">
        <f>(G2845-H2845)/365</f>
        <v>62.649315068493152</v>
      </c>
      <c r="O2845" s="98">
        <f ca="1">(TODAY()-G2845)/365</f>
        <v>8.9150684931506845</v>
      </c>
      <c r="P2845" s="91" t="s">
        <v>272</v>
      </c>
      <c r="Q2845" s="91">
        <v>0</v>
      </c>
      <c r="R2845" s="91">
        <v>0</v>
      </c>
      <c r="S2845" s="91">
        <v>0</v>
      </c>
      <c r="T2845" s="91"/>
      <c r="U2845" s="91"/>
      <c r="V2845" s="91"/>
      <c r="W2845" s="91"/>
      <c r="X2845" s="91"/>
      <c r="Y2845" s="91"/>
      <c r="Z2845" s="91"/>
      <c r="AA2845" s="91"/>
      <c r="AB2845" s="91"/>
      <c r="AC2845" s="91"/>
      <c r="AD2845" s="91"/>
      <c r="AE2845" s="91"/>
      <c r="AF2845" s="91"/>
      <c r="AG2845" s="91"/>
      <c r="AH2845" s="91"/>
      <c r="AI2845" s="91"/>
      <c r="AJ2845" s="91"/>
      <c r="AK2845" s="91"/>
      <c r="AL2845" s="91"/>
      <c r="AM2845" s="91"/>
    </row>
    <row r="2846" spans="1:39" ht="20.25" hidden="1" customHeight="1">
      <c r="A2846" s="91"/>
      <c r="B2846" s="93" t="s">
        <v>8852</v>
      </c>
      <c r="C2846" s="91" t="s">
        <v>36</v>
      </c>
      <c r="D2846" s="94" t="s">
        <v>813</v>
      </c>
      <c r="E2846" s="94" t="s">
        <v>8924</v>
      </c>
      <c r="F2846" s="95" t="s">
        <v>8925</v>
      </c>
      <c r="G2846" s="96">
        <v>43833</v>
      </c>
      <c r="H2846" s="97">
        <v>20289</v>
      </c>
      <c r="I2846" s="94" t="s">
        <v>58</v>
      </c>
      <c r="J2846" s="94" t="s">
        <v>8862</v>
      </c>
      <c r="K2846" s="95">
        <v>992299666</v>
      </c>
      <c r="L2846" s="91" t="s">
        <v>60</v>
      </c>
      <c r="M2846" s="98">
        <f ca="1">(TODAY()-H2846)/365</f>
        <v>70.446575342465749</v>
      </c>
      <c r="N2846" s="99">
        <f>(G2846-H2846)/365</f>
        <v>64.504109589041093</v>
      </c>
      <c r="O2846" s="98">
        <f ca="1">(TODAY()-G2846)/365</f>
        <v>5.9424657534246572</v>
      </c>
      <c r="P2846" s="91" t="s">
        <v>272</v>
      </c>
      <c r="Q2846" s="91">
        <v>0</v>
      </c>
      <c r="R2846" s="91">
        <v>0</v>
      </c>
      <c r="S2846" s="91">
        <v>0</v>
      </c>
      <c r="T2846" s="91"/>
      <c r="U2846" s="91"/>
      <c r="V2846" s="91"/>
      <c r="W2846" s="91"/>
      <c r="X2846" s="91"/>
      <c r="Y2846" s="91"/>
      <c r="Z2846" s="91"/>
      <c r="AA2846" s="91"/>
      <c r="AB2846" s="91"/>
      <c r="AC2846" s="91"/>
      <c r="AD2846" s="91"/>
      <c r="AE2846" s="91"/>
      <c r="AF2846" s="91"/>
      <c r="AG2846" s="91"/>
      <c r="AH2846" s="91"/>
      <c r="AI2846" s="91"/>
      <c r="AJ2846" s="91"/>
      <c r="AK2846" s="91"/>
      <c r="AL2846" s="91"/>
      <c r="AM2846" s="91"/>
    </row>
    <row r="2847" spans="1:39" ht="20.25" hidden="1" customHeight="1">
      <c r="A2847" s="91"/>
      <c r="B2847" s="93" t="s">
        <v>8852</v>
      </c>
      <c r="C2847" s="91" t="s">
        <v>36</v>
      </c>
      <c r="D2847" s="94" t="s">
        <v>8926</v>
      </c>
      <c r="E2847" s="94" t="s">
        <v>8927</v>
      </c>
      <c r="F2847" s="95" t="s">
        <v>8928</v>
      </c>
      <c r="G2847" s="96">
        <v>45507</v>
      </c>
      <c r="H2847" s="97">
        <v>18934</v>
      </c>
      <c r="I2847" s="94" t="s">
        <v>58</v>
      </c>
      <c r="J2847" s="94" t="s">
        <v>8929</v>
      </c>
      <c r="K2847" s="95">
        <v>985037549</v>
      </c>
      <c r="L2847" s="91" t="s">
        <v>60</v>
      </c>
      <c r="M2847" s="98">
        <f ca="1">(TODAY()-H2847)/365</f>
        <v>74.158904109589045</v>
      </c>
      <c r="N2847" s="99">
        <f>(G2847-H2847)/365</f>
        <v>72.802739726027397</v>
      </c>
      <c r="O2847" s="98">
        <f ca="1">(TODAY()-G2847)/365</f>
        <v>1.3561643835616439</v>
      </c>
      <c r="P2847" s="91" t="s">
        <v>272</v>
      </c>
      <c r="Q2847" s="91">
        <v>0</v>
      </c>
      <c r="R2847" s="91">
        <v>0</v>
      </c>
      <c r="S2847" s="91">
        <v>0</v>
      </c>
      <c r="T2847" s="91"/>
      <c r="U2847" s="91"/>
      <c r="V2847" s="91"/>
      <c r="W2847" s="91"/>
      <c r="X2847" s="91"/>
      <c r="Y2847" s="91"/>
      <c r="Z2847" s="91"/>
      <c r="AA2847" s="91"/>
      <c r="AB2847" s="91"/>
      <c r="AC2847" s="91"/>
      <c r="AD2847" s="91"/>
      <c r="AE2847" s="91"/>
      <c r="AF2847" s="91"/>
      <c r="AG2847" s="91"/>
      <c r="AH2847" s="91"/>
      <c r="AI2847" s="91"/>
      <c r="AJ2847" s="91"/>
      <c r="AK2847" s="91"/>
      <c r="AL2847" s="91"/>
      <c r="AM2847" s="91"/>
    </row>
    <row r="2848" spans="1:39" ht="20.25" hidden="1" customHeight="1">
      <c r="A2848" s="128"/>
      <c r="B2848" s="93" t="s">
        <v>11444</v>
      </c>
      <c r="C2848" s="91" t="s">
        <v>36</v>
      </c>
      <c r="D2848" s="106" t="s">
        <v>5296</v>
      </c>
      <c r="E2848" s="106" t="s">
        <v>11445</v>
      </c>
      <c r="F2848" s="92" t="s">
        <v>12699</v>
      </c>
      <c r="G2848" s="103">
        <v>33188</v>
      </c>
      <c r="H2848" s="103">
        <v>20307</v>
      </c>
      <c r="I2848" s="108" t="s">
        <v>12649</v>
      </c>
      <c r="J2848" s="94" t="s">
        <v>11446</v>
      </c>
      <c r="K2848" s="92" t="s">
        <v>11447</v>
      </c>
      <c r="L2848" s="91"/>
      <c r="M2848" s="98">
        <f ca="1">(TODAY()-H2848)/365</f>
        <v>70.397260273972606</v>
      </c>
      <c r="N2848" s="99">
        <f>(G2848-H2848)/365</f>
        <v>35.290410958904111</v>
      </c>
      <c r="O2848" s="98">
        <f ca="1">(TODAY()-G2848)/365</f>
        <v>35.106849315068494</v>
      </c>
      <c r="P2848" s="91" t="s">
        <v>43</v>
      </c>
      <c r="Q2848" s="91"/>
      <c r="R2848" s="91" t="s">
        <v>8374</v>
      </c>
      <c r="S2848" s="91"/>
      <c r="T2848" s="91"/>
      <c r="U2848" s="91"/>
      <c r="V2848" s="91"/>
      <c r="W2848" s="91"/>
      <c r="X2848" s="91"/>
      <c r="Y2848" s="91"/>
      <c r="Z2848" s="91"/>
      <c r="AA2848" s="91"/>
      <c r="AB2848" s="91"/>
      <c r="AC2848" s="91"/>
      <c r="AD2848" s="91"/>
      <c r="AE2848" s="91"/>
      <c r="AF2848" s="91"/>
      <c r="AG2848" s="91"/>
      <c r="AH2848" s="91"/>
      <c r="AI2848" s="91"/>
      <c r="AJ2848" s="91"/>
      <c r="AK2848" s="91"/>
      <c r="AL2848" s="91"/>
      <c r="AM2848" s="91"/>
    </row>
    <row r="2849" spans="1:39" ht="20.25" hidden="1" customHeight="1">
      <c r="A2849" s="128"/>
      <c r="B2849" s="93" t="s">
        <v>11444</v>
      </c>
      <c r="C2849" s="91" t="s">
        <v>36</v>
      </c>
      <c r="D2849" s="106" t="s">
        <v>11448</v>
      </c>
      <c r="E2849" s="106" t="s">
        <v>11449</v>
      </c>
      <c r="F2849" s="92" t="s">
        <v>12698</v>
      </c>
      <c r="G2849" s="103">
        <v>41557</v>
      </c>
      <c r="H2849" s="103">
        <v>17631</v>
      </c>
      <c r="I2849" s="108" t="s">
        <v>12650</v>
      </c>
      <c r="J2849" s="94" t="s">
        <v>11450</v>
      </c>
      <c r="K2849" s="92" t="s">
        <v>11451</v>
      </c>
      <c r="L2849" s="91" t="s">
        <v>42</v>
      </c>
      <c r="M2849" s="98">
        <f ca="1">(TODAY()-H2849)/365</f>
        <v>77.728767123287668</v>
      </c>
      <c r="N2849" s="99">
        <f>(G2849-H2849)/365</f>
        <v>65.550684931506851</v>
      </c>
      <c r="O2849" s="98">
        <f ca="1">(TODAY()-G2849)/365</f>
        <v>12.178082191780822</v>
      </c>
      <c r="P2849" s="91" t="s">
        <v>43</v>
      </c>
      <c r="Q2849" s="91"/>
      <c r="R2849" s="91"/>
      <c r="S2849" s="91"/>
      <c r="T2849" s="91"/>
      <c r="U2849" s="91"/>
      <c r="V2849" s="91"/>
      <c r="W2849" s="91"/>
      <c r="X2849" s="91"/>
      <c r="Y2849" s="91"/>
      <c r="Z2849" s="91"/>
      <c r="AA2849" s="91"/>
      <c r="AB2849" s="91"/>
      <c r="AC2849" s="91"/>
      <c r="AD2849" s="91"/>
      <c r="AE2849" s="91"/>
      <c r="AF2849" s="91"/>
      <c r="AG2849" s="91"/>
      <c r="AH2849" s="91"/>
      <c r="AI2849" s="91"/>
      <c r="AJ2849" s="91"/>
      <c r="AK2849" s="91"/>
      <c r="AL2849" s="91"/>
      <c r="AM2849" s="91"/>
    </row>
    <row r="2850" spans="1:39" ht="20.25" hidden="1" customHeight="1">
      <c r="A2850" s="128"/>
      <c r="B2850" s="93" t="s">
        <v>11444</v>
      </c>
      <c r="C2850" s="91" t="s">
        <v>36</v>
      </c>
      <c r="D2850" s="106" t="s">
        <v>576</v>
      </c>
      <c r="E2850" s="106" t="s">
        <v>11452</v>
      </c>
      <c r="F2850" s="92" t="s">
        <v>12697</v>
      </c>
      <c r="G2850" s="103">
        <v>44942</v>
      </c>
      <c r="H2850" s="103">
        <v>22248</v>
      </c>
      <c r="I2850" s="108" t="s">
        <v>12651</v>
      </c>
      <c r="J2850" s="94" t="s">
        <v>11453</v>
      </c>
      <c r="K2850" s="92" t="s">
        <v>11454</v>
      </c>
      <c r="L2850" s="91"/>
      <c r="M2850" s="98">
        <f ca="1">(TODAY()-H2850)/365</f>
        <v>65.079452054794515</v>
      </c>
      <c r="N2850" s="99">
        <f>(G2850-H2850)/365</f>
        <v>62.175342465753424</v>
      </c>
      <c r="O2850" s="98">
        <f ca="1">(TODAY()-G2850)/365</f>
        <v>2.904109589041096</v>
      </c>
      <c r="P2850" s="91" t="s">
        <v>43</v>
      </c>
      <c r="Q2850" s="91"/>
      <c r="R2850" s="91"/>
      <c r="S2850" s="91"/>
      <c r="T2850" s="91"/>
      <c r="U2850" s="91"/>
      <c r="V2850" s="91"/>
      <c r="W2850" s="91"/>
      <c r="X2850" s="91"/>
      <c r="Y2850" s="91"/>
      <c r="Z2850" s="91"/>
      <c r="AA2850" s="91"/>
      <c r="AB2850" s="91"/>
      <c r="AC2850" s="91"/>
      <c r="AD2850" s="91"/>
      <c r="AE2850" s="91"/>
      <c r="AF2850" s="91"/>
      <c r="AG2850" s="91"/>
      <c r="AH2850" s="91"/>
      <c r="AI2850" s="91"/>
      <c r="AJ2850" s="91"/>
      <c r="AK2850" s="91"/>
      <c r="AL2850" s="91"/>
      <c r="AM2850" s="91"/>
    </row>
    <row r="2851" spans="1:39" ht="20.25" hidden="1" customHeight="1">
      <c r="A2851" s="128"/>
      <c r="B2851" s="93" t="s">
        <v>11444</v>
      </c>
      <c r="C2851" s="91" t="s">
        <v>36</v>
      </c>
      <c r="D2851" s="106" t="s">
        <v>416</v>
      </c>
      <c r="E2851" s="106" t="s">
        <v>11455</v>
      </c>
      <c r="F2851" s="92" t="s">
        <v>12696</v>
      </c>
      <c r="G2851" s="103">
        <v>44349</v>
      </c>
      <c r="H2851" s="103">
        <v>20122</v>
      </c>
      <c r="I2851" s="108" t="s">
        <v>12652</v>
      </c>
      <c r="J2851" s="94" t="s">
        <v>11456</v>
      </c>
      <c r="K2851" s="92" t="s">
        <v>11457</v>
      </c>
      <c r="L2851" s="91"/>
      <c r="M2851" s="98">
        <f ca="1">(TODAY()-H2851)/365</f>
        <v>70.904109589041099</v>
      </c>
      <c r="N2851" s="99">
        <f>(G2851-H2851)/365</f>
        <v>66.37534246575342</v>
      </c>
      <c r="O2851" s="98">
        <f ca="1">(TODAY()-G2851)/365</f>
        <v>4.5287671232876709</v>
      </c>
      <c r="P2851" s="91" t="s">
        <v>43</v>
      </c>
      <c r="Q2851" s="91"/>
      <c r="R2851" s="91"/>
      <c r="S2851" s="91"/>
      <c r="T2851" s="91"/>
      <c r="U2851" s="91"/>
      <c r="V2851" s="91"/>
      <c r="W2851" s="91"/>
      <c r="X2851" s="91"/>
      <c r="Y2851" s="91"/>
      <c r="Z2851" s="91"/>
      <c r="AA2851" s="91"/>
      <c r="AB2851" s="91"/>
      <c r="AC2851" s="91"/>
      <c r="AD2851" s="91"/>
      <c r="AE2851" s="91"/>
      <c r="AF2851" s="91"/>
      <c r="AG2851" s="91"/>
      <c r="AH2851" s="91"/>
      <c r="AI2851" s="91"/>
      <c r="AJ2851" s="91"/>
      <c r="AK2851" s="91"/>
      <c r="AL2851" s="91"/>
      <c r="AM2851" s="91"/>
    </row>
    <row r="2852" spans="1:39" ht="20.25" hidden="1" customHeight="1">
      <c r="A2852" s="128"/>
      <c r="B2852" s="93" t="s">
        <v>11444</v>
      </c>
      <c r="C2852" s="91" t="s">
        <v>36</v>
      </c>
      <c r="D2852" s="106" t="s">
        <v>367</v>
      </c>
      <c r="E2852" s="106" t="s">
        <v>11458</v>
      </c>
      <c r="F2852" s="92" t="s">
        <v>12695</v>
      </c>
      <c r="G2852" s="103">
        <v>43998</v>
      </c>
      <c r="H2852" s="103">
        <v>20085</v>
      </c>
      <c r="I2852" s="108" t="s">
        <v>12653</v>
      </c>
      <c r="J2852" s="94" t="s">
        <v>11459</v>
      </c>
      <c r="K2852" s="92" t="s">
        <v>11460</v>
      </c>
      <c r="L2852" s="91"/>
      <c r="M2852" s="98">
        <f ca="1">(TODAY()-H2852)/365</f>
        <v>71.0054794520548</v>
      </c>
      <c r="N2852" s="99">
        <f>(G2852-H2852)/365</f>
        <v>65.515068493150679</v>
      </c>
      <c r="O2852" s="98">
        <f ca="1">(TODAY()-G2852)/365</f>
        <v>5.4904109589041097</v>
      </c>
      <c r="P2852" s="91" t="s">
        <v>43</v>
      </c>
      <c r="Q2852" s="91"/>
      <c r="R2852" s="91"/>
      <c r="S2852" s="91"/>
      <c r="T2852" s="91"/>
      <c r="U2852" s="91"/>
      <c r="V2852" s="91"/>
      <c r="W2852" s="91"/>
      <c r="X2852" s="91"/>
      <c r="Y2852" s="91"/>
      <c r="Z2852" s="91"/>
      <c r="AA2852" s="91"/>
      <c r="AB2852" s="91"/>
      <c r="AC2852" s="91"/>
      <c r="AD2852" s="91"/>
      <c r="AE2852" s="91"/>
      <c r="AF2852" s="91"/>
      <c r="AG2852" s="91"/>
      <c r="AH2852" s="91"/>
      <c r="AI2852" s="91"/>
      <c r="AJ2852" s="91"/>
      <c r="AK2852" s="91"/>
      <c r="AL2852" s="91"/>
      <c r="AM2852" s="91"/>
    </row>
    <row r="2853" spans="1:39" ht="20.25" hidden="1" customHeight="1">
      <c r="A2853" s="128"/>
      <c r="B2853" s="93" t="s">
        <v>11444</v>
      </c>
      <c r="C2853" s="91" t="s">
        <v>36</v>
      </c>
      <c r="D2853" s="106" t="s">
        <v>716</v>
      </c>
      <c r="E2853" s="106" t="s">
        <v>11461</v>
      </c>
      <c r="F2853" s="92" t="s">
        <v>12694</v>
      </c>
      <c r="G2853" s="103">
        <v>44137</v>
      </c>
      <c r="H2853" s="103">
        <v>21363</v>
      </c>
      <c r="I2853" s="108" t="s">
        <v>12654</v>
      </c>
      <c r="J2853" s="94" t="s">
        <v>11462</v>
      </c>
      <c r="K2853" s="92" t="s">
        <v>11463</v>
      </c>
      <c r="L2853" s="91"/>
      <c r="M2853" s="98">
        <f ca="1">(TODAY()-H2853)/365</f>
        <v>67.504109589041093</v>
      </c>
      <c r="N2853" s="99">
        <f>(G2853-H2853)/365</f>
        <v>62.394520547945206</v>
      </c>
      <c r="O2853" s="98">
        <f ca="1">(TODAY()-G2853)/365</f>
        <v>5.1095890410958908</v>
      </c>
      <c r="P2853" s="91" t="s">
        <v>43</v>
      </c>
      <c r="Q2853" s="91"/>
      <c r="R2853" s="91"/>
      <c r="S2853" s="91"/>
      <c r="T2853" s="91"/>
      <c r="U2853" s="91"/>
      <c r="V2853" s="91"/>
      <c r="W2853" s="91"/>
      <c r="X2853" s="91"/>
      <c r="Y2853" s="91"/>
      <c r="Z2853" s="91"/>
      <c r="AA2853" s="91"/>
      <c r="AB2853" s="91"/>
      <c r="AC2853" s="91"/>
      <c r="AD2853" s="91"/>
      <c r="AE2853" s="91"/>
      <c r="AF2853" s="91"/>
      <c r="AG2853" s="91"/>
      <c r="AH2853" s="91"/>
      <c r="AI2853" s="91"/>
      <c r="AJ2853" s="91"/>
      <c r="AK2853" s="91"/>
      <c r="AL2853" s="91"/>
      <c r="AM2853" s="91"/>
    </row>
    <row r="2854" spans="1:39" ht="20.25" hidden="1" customHeight="1">
      <c r="A2854" s="128"/>
      <c r="B2854" s="93" t="s">
        <v>11444</v>
      </c>
      <c r="C2854" s="91" t="s">
        <v>36</v>
      </c>
      <c r="D2854" s="106" t="s">
        <v>675</v>
      </c>
      <c r="E2854" s="106" t="s">
        <v>11464</v>
      </c>
      <c r="F2854" s="92" t="s">
        <v>12693</v>
      </c>
      <c r="G2854" s="103">
        <v>45323</v>
      </c>
      <c r="H2854" s="103">
        <v>20179</v>
      </c>
      <c r="I2854" s="108" t="s">
        <v>12655</v>
      </c>
      <c r="J2854" s="94" t="s">
        <v>11465</v>
      </c>
      <c r="K2854" s="92" t="s">
        <v>11466</v>
      </c>
      <c r="L2854" s="91"/>
      <c r="M2854" s="98">
        <f ca="1">(TODAY()-H2854)/365</f>
        <v>70.747945205479454</v>
      </c>
      <c r="N2854" s="99">
        <f>(G2854-H2854)/365</f>
        <v>68.887671232876713</v>
      </c>
      <c r="O2854" s="98">
        <f ca="1">(TODAY()-G2854)/365</f>
        <v>1.8602739726027397</v>
      </c>
      <c r="P2854" s="91" t="s">
        <v>43</v>
      </c>
      <c r="Q2854" s="91"/>
      <c r="R2854" s="91"/>
      <c r="S2854" s="91"/>
      <c r="T2854" s="91"/>
      <c r="U2854" s="91"/>
      <c r="V2854" s="91"/>
      <c r="W2854" s="91"/>
      <c r="X2854" s="91"/>
      <c r="Y2854" s="91"/>
      <c r="Z2854" s="91"/>
      <c r="AA2854" s="91"/>
      <c r="AB2854" s="91"/>
      <c r="AC2854" s="91"/>
      <c r="AD2854" s="91"/>
      <c r="AE2854" s="91"/>
      <c r="AF2854" s="91"/>
      <c r="AG2854" s="91"/>
      <c r="AH2854" s="91"/>
      <c r="AI2854" s="91"/>
      <c r="AJ2854" s="91"/>
      <c r="AK2854" s="91"/>
      <c r="AL2854" s="91"/>
      <c r="AM2854" s="91"/>
    </row>
    <row r="2855" spans="1:39" ht="20.25" hidden="1" customHeight="1">
      <c r="A2855" s="128"/>
      <c r="B2855" s="93" t="s">
        <v>11444</v>
      </c>
      <c r="C2855" s="91" t="s">
        <v>36</v>
      </c>
      <c r="D2855" s="106" t="s">
        <v>4448</v>
      </c>
      <c r="E2855" s="106" t="s">
        <v>11467</v>
      </c>
      <c r="F2855" s="92" t="s">
        <v>12688</v>
      </c>
      <c r="G2855" s="103">
        <v>44277</v>
      </c>
      <c r="H2855" s="103">
        <v>27150</v>
      </c>
      <c r="I2855" s="94" t="s">
        <v>2480</v>
      </c>
      <c r="J2855" s="94" t="s">
        <v>11468</v>
      </c>
      <c r="K2855" s="92" t="s">
        <v>11469</v>
      </c>
      <c r="L2855" s="91"/>
      <c r="M2855" s="98">
        <f ca="1">(TODAY()-H2855)/365</f>
        <v>51.649315068493152</v>
      </c>
      <c r="N2855" s="99">
        <f>(G2855-H2855)/365</f>
        <v>46.923287671232877</v>
      </c>
      <c r="O2855" s="98">
        <f ca="1">(TODAY()-G2855)/365</f>
        <v>4.7260273972602738</v>
      </c>
      <c r="P2855" s="91" t="s">
        <v>43</v>
      </c>
      <c r="Q2855" s="91"/>
      <c r="R2855" s="91"/>
      <c r="S2855" s="91"/>
      <c r="T2855" s="91"/>
      <c r="U2855" s="91"/>
      <c r="V2855" s="91"/>
      <c r="W2855" s="91"/>
      <c r="X2855" s="91"/>
      <c r="Y2855" s="91"/>
      <c r="Z2855" s="91"/>
      <c r="AA2855" s="91"/>
      <c r="AB2855" s="91"/>
      <c r="AC2855" s="91"/>
      <c r="AD2855" s="91"/>
      <c r="AE2855" s="91"/>
      <c r="AF2855" s="91"/>
      <c r="AG2855" s="91"/>
      <c r="AH2855" s="91"/>
      <c r="AI2855" s="91"/>
      <c r="AJ2855" s="91"/>
      <c r="AK2855" s="91"/>
      <c r="AL2855" s="91"/>
      <c r="AM2855" s="91"/>
    </row>
    <row r="2856" spans="1:39" ht="20.25" hidden="1" customHeight="1">
      <c r="A2856" s="128"/>
      <c r="B2856" s="93" t="s">
        <v>11444</v>
      </c>
      <c r="C2856" s="91" t="s">
        <v>36</v>
      </c>
      <c r="D2856" s="106" t="s">
        <v>346</v>
      </c>
      <c r="E2856" s="106" t="s">
        <v>11470</v>
      </c>
      <c r="F2856" s="92" t="s">
        <v>12685</v>
      </c>
      <c r="G2856" s="103">
        <v>42674</v>
      </c>
      <c r="H2856" s="103">
        <v>20306</v>
      </c>
      <c r="I2856" s="108" t="s">
        <v>12656</v>
      </c>
      <c r="J2856" s="94" t="s">
        <v>11471</v>
      </c>
      <c r="K2856" s="92" t="s">
        <v>11472</v>
      </c>
      <c r="L2856" s="91"/>
      <c r="M2856" s="98">
        <f ca="1">(TODAY()-H2856)/365</f>
        <v>70.400000000000006</v>
      </c>
      <c r="N2856" s="99">
        <f>(G2856-H2856)/365</f>
        <v>61.282191780821918</v>
      </c>
      <c r="O2856" s="98">
        <f ca="1">(TODAY()-G2856)/365</f>
        <v>9.117808219178082</v>
      </c>
      <c r="P2856" s="91" t="s">
        <v>43</v>
      </c>
      <c r="Q2856" s="91"/>
      <c r="R2856" s="91"/>
      <c r="S2856" s="91"/>
      <c r="T2856" s="91"/>
      <c r="U2856" s="91"/>
      <c r="V2856" s="91"/>
      <c r="W2856" s="91"/>
      <c r="X2856" s="91"/>
      <c r="Y2856" s="91"/>
      <c r="Z2856" s="91"/>
      <c r="AA2856" s="91"/>
      <c r="AB2856" s="91"/>
      <c r="AC2856" s="91"/>
      <c r="AD2856" s="91"/>
      <c r="AE2856" s="91"/>
      <c r="AF2856" s="91"/>
      <c r="AG2856" s="91"/>
      <c r="AH2856" s="91"/>
      <c r="AI2856" s="91"/>
      <c r="AJ2856" s="91"/>
      <c r="AK2856" s="91"/>
      <c r="AL2856" s="91"/>
      <c r="AM2856" s="91"/>
    </row>
    <row r="2857" spans="1:39" ht="20.25" hidden="1" customHeight="1">
      <c r="A2857" s="128"/>
      <c r="B2857" s="93" t="s">
        <v>11444</v>
      </c>
      <c r="C2857" s="91" t="s">
        <v>36</v>
      </c>
      <c r="D2857" s="106" t="s">
        <v>7162</v>
      </c>
      <c r="E2857" s="106" t="s">
        <v>11473</v>
      </c>
      <c r="F2857" s="92" t="s">
        <v>12690</v>
      </c>
      <c r="G2857" s="103">
        <v>41260</v>
      </c>
      <c r="H2857" s="103">
        <v>18060</v>
      </c>
      <c r="I2857" s="108" t="s">
        <v>12657</v>
      </c>
      <c r="J2857" s="94" t="s">
        <v>11474</v>
      </c>
      <c r="K2857" s="92" t="s">
        <v>11475</v>
      </c>
      <c r="L2857" s="91"/>
      <c r="M2857" s="98">
        <f ca="1">(TODAY()-H2857)/365</f>
        <v>76.553424657534251</v>
      </c>
      <c r="N2857" s="99">
        <f>(G2857-H2857)/365</f>
        <v>63.561643835616437</v>
      </c>
      <c r="O2857" s="98">
        <f ca="1">(TODAY()-G2857)/365</f>
        <v>12.991780821917809</v>
      </c>
      <c r="P2857" s="91" t="s">
        <v>43</v>
      </c>
      <c r="Q2857" s="91"/>
      <c r="R2857" s="91"/>
      <c r="S2857" s="91"/>
      <c r="T2857" s="91"/>
      <c r="U2857" s="91"/>
      <c r="V2857" s="91"/>
      <c r="W2857" s="91"/>
      <c r="X2857" s="91"/>
      <c r="Y2857" s="91"/>
      <c r="Z2857" s="91"/>
      <c r="AA2857" s="91"/>
      <c r="AB2857" s="91"/>
      <c r="AC2857" s="91"/>
      <c r="AD2857" s="91"/>
      <c r="AE2857" s="91"/>
      <c r="AF2857" s="91"/>
      <c r="AG2857" s="91"/>
      <c r="AH2857" s="91"/>
      <c r="AI2857" s="91"/>
      <c r="AJ2857" s="91"/>
      <c r="AK2857" s="91"/>
      <c r="AL2857" s="91"/>
      <c r="AM2857" s="91"/>
    </row>
    <row r="2858" spans="1:39" ht="20.25" customHeight="1">
      <c r="A2858" s="91"/>
      <c r="B2858" s="93" t="s">
        <v>12263</v>
      </c>
      <c r="C2858" s="91" t="s">
        <v>73</v>
      </c>
      <c r="D2858" s="106" t="s">
        <v>9162</v>
      </c>
      <c r="E2858" s="106" t="s">
        <v>11220</v>
      </c>
      <c r="F2858" s="92" t="s">
        <v>11221</v>
      </c>
      <c r="G2858" s="103">
        <v>41810</v>
      </c>
      <c r="H2858" s="103">
        <v>36107</v>
      </c>
      <c r="I2858" s="94" t="s">
        <v>58</v>
      </c>
      <c r="J2858" s="100" t="s">
        <v>58</v>
      </c>
      <c r="K2858" s="95" t="s">
        <v>58</v>
      </c>
      <c r="L2858" s="91"/>
      <c r="M2858" s="98">
        <f ca="1">(TODAY()-H2858)/365</f>
        <v>27.109589041095891</v>
      </c>
      <c r="N2858" s="99">
        <f>(G2858-H2858)/365</f>
        <v>15.624657534246575</v>
      </c>
      <c r="O2858" s="98">
        <f ca="1">(TODAY()-G2858)/365</f>
        <v>11.484931506849316</v>
      </c>
      <c r="P2858" s="91" t="s">
        <v>43</v>
      </c>
      <c r="Q2858" s="91"/>
      <c r="R2858" s="91"/>
      <c r="S2858" s="91"/>
      <c r="T2858" s="91"/>
      <c r="U2858" s="91"/>
      <c r="V2858" s="91"/>
      <c r="W2858" s="91"/>
      <c r="X2858" s="91"/>
      <c r="Y2858" s="91"/>
      <c r="Z2858" s="91"/>
      <c r="AA2858" s="91"/>
      <c r="AB2858" s="91"/>
      <c r="AC2858" s="91"/>
      <c r="AD2858" s="91"/>
      <c r="AE2858" s="91"/>
      <c r="AF2858" s="91"/>
      <c r="AG2858" s="91"/>
      <c r="AH2858" s="91"/>
      <c r="AI2858" s="91"/>
      <c r="AJ2858" s="91"/>
      <c r="AK2858" s="91"/>
      <c r="AL2858" s="91"/>
      <c r="AM2858" s="91"/>
    </row>
    <row r="2859" spans="1:39" ht="20.25" customHeight="1">
      <c r="A2859" s="91"/>
      <c r="B2859" s="93" t="s">
        <v>2235</v>
      </c>
      <c r="C2859" s="91" t="s">
        <v>73</v>
      </c>
      <c r="D2859" s="94" t="s">
        <v>2244</v>
      </c>
      <c r="E2859" s="94" t="s">
        <v>2245</v>
      </c>
      <c r="F2859" s="95" t="s">
        <v>2246</v>
      </c>
      <c r="G2859" s="96">
        <v>43216</v>
      </c>
      <c r="H2859" s="97">
        <v>37219</v>
      </c>
      <c r="I2859" s="94" t="s">
        <v>2247</v>
      </c>
      <c r="J2859" s="100" t="s">
        <v>58</v>
      </c>
      <c r="K2859" s="91" t="s">
        <v>58</v>
      </c>
      <c r="L2859" s="91" t="s">
        <v>60</v>
      </c>
      <c r="M2859" s="98">
        <f ca="1">(TODAY()-H2859)/365</f>
        <v>24.063013698630137</v>
      </c>
      <c r="N2859" s="99">
        <f>(G2859-H2859)/365</f>
        <v>16.43013698630137</v>
      </c>
      <c r="O2859" s="98">
        <f ca="1">(TODAY()-G2859)/365</f>
        <v>7.6328767123287671</v>
      </c>
      <c r="P2859" s="91" t="s">
        <v>43</v>
      </c>
      <c r="Q2859" s="91">
        <v>0</v>
      </c>
      <c r="R2859" s="91">
        <v>0</v>
      </c>
      <c r="S2859" s="91">
        <v>0</v>
      </c>
      <c r="T2859" s="91"/>
      <c r="U2859" s="91"/>
      <c r="V2859" s="91"/>
      <c r="W2859" s="91"/>
      <c r="X2859" s="91"/>
      <c r="Y2859" s="91"/>
      <c r="Z2859" s="91"/>
      <c r="AA2859" s="91"/>
      <c r="AB2859" s="91"/>
      <c r="AC2859" s="91"/>
      <c r="AD2859" s="91"/>
      <c r="AE2859" s="91"/>
      <c r="AF2859" s="91"/>
      <c r="AG2859" s="91"/>
      <c r="AH2859" s="91"/>
      <c r="AI2859" s="91"/>
      <c r="AJ2859" s="91"/>
      <c r="AK2859" s="91"/>
      <c r="AL2859" s="91"/>
      <c r="AM2859" s="91"/>
    </row>
    <row r="2860" spans="1:39" ht="20.25" customHeight="1">
      <c r="A2860" s="91"/>
      <c r="B2860" s="93" t="s">
        <v>3374</v>
      </c>
      <c r="C2860" s="91" t="s">
        <v>73</v>
      </c>
      <c r="D2860" s="107" t="s">
        <v>3554</v>
      </c>
      <c r="E2860" s="107" t="s">
        <v>638</v>
      </c>
      <c r="F2860" s="91" t="s">
        <v>3555</v>
      </c>
      <c r="G2860" s="96" t="s">
        <v>58</v>
      </c>
      <c r="H2860" s="97">
        <v>37247</v>
      </c>
      <c r="I2860" s="100" t="s">
        <v>3556</v>
      </c>
      <c r="J2860" s="94" t="s">
        <v>58</v>
      </c>
      <c r="K2860" s="95" t="s">
        <v>58</v>
      </c>
      <c r="L2860" s="91" t="s">
        <v>60</v>
      </c>
      <c r="M2860" s="98">
        <f ca="1">(TODAY()-H2860)/365</f>
        <v>23.986301369863014</v>
      </c>
      <c r="N2860" s="95" t="s">
        <v>58</v>
      </c>
      <c r="O2860" s="98" t="e">
        <f ca="1">(TODAY()-G2860)/365</f>
        <v>#VALUE!</v>
      </c>
      <c r="P2860" s="91" t="s">
        <v>43</v>
      </c>
      <c r="Q2860" s="91"/>
      <c r="R2860" s="91"/>
      <c r="S2860" s="91"/>
      <c r="T2860" s="91"/>
      <c r="U2860" s="91"/>
      <c r="V2860" s="91"/>
      <c r="W2860" s="91"/>
      <c r="X2860" s="91"/>
      <c r="Y2860" s="91"/>
      <c r="Z2860" s="91"/>
      <c r="AA2860" s="91"/>
      <c r="AB2860" s="91"/>
      <c r="AC2860" s="91"/>
      <c r="AD2860" s="91"/>
      <c r="AE2860" s="91"/>
      <c r="AF2860" s="91"/>
      <c r="AG2860" s="91"/>
      <c r="AH2860" s="91"/>
      <c r="AI2860" s="91"/>
      <c r="AJ2860" s="91"/>
      <c r="AK2860" s="91"/>
      <c r="AL2860" s="91"/>
      <c r="AM2860" s="91"/>
    </row>
    <row r="2861" spans="1:39" ht="20.25" customHeight="1">
      <c r="A2861" s="91"/>
      <c r="B2861" s="93" t="s">
        <v>8714</v>
      </c>
      <c r="C2861" s="91" t="s">
        <v>73</v>
      </c>
      <c r="D2861" s="106" t="s">
        <v>8750</v>
      </c>
      <c r="E2861" s="106" t="s">
        <v>8751</v>
      </c>
      <c r="F2861" s="92" t="s">
        <v>8752</v>
      </c>
      <c r="G2861" s="96">
        <v>44927</v>
      </c>
      <c r="H2861" s="97">
        <v>37281</v>
      </c>
      <c r="I2861" s="94" t="s">
        <v>8753</v>
      </c>
      <c r="J2861" s="94" t="s">
        <v>58</v>
      </c>
      <c r="K2861" s="95" t="s">
        <v>58</v>
      </c>
      <c r="L2861" s="91" t="s">
        <v>60</v>
      </c>
      <c r="M2861" s="98">
        <f ca="1">(TODAY()-H2861)/365</f>
        <v>23.893150684931506</v>
      </c>
      <c r="N2861" s="99">
        <f>(G2861-H2861)/365</f>
        <v>20.947945205479453</v>
      </c>
      <c r="O2861" s="98">
        <f ca="1">(TODAY()-G2861)/365</f>
        <v>2.9452054794520546</v>
      </c>
      <c r="P2861" s="91" t="s">
        <v>43</v>
      </c>
      <c r="Q2861" s="91">
        <v>0</v>
      </c>
      <c r="R2861" s="91">
        <v>0</v>
      </c>
      <c r="S2861" s="91">
        <v>0</v>
      </c>
      <c r="T2861" s="91"/>
      <c r="U2861" s="91"/>
      <c r="V2861" s="91"/>
      <c r="W2861" s="91"/>
      <c r="X2861" s="91"/>
      <c r="Y2861" s="91"/>
      <c r="Z2861" s="91"/>
      <c r="AA2861" s="91"/>
      <c r="AB2861" s="91"/>
      <c r="AC2861" s="91"/>
      <c r="AD2861" s="91"/>
      <c r="AE2861" s="91"/>
      <c r="AF2861" s="91"/>
      <c r="AG2861" s="91"/>
      <c r="AH2861" s="91"/>
      <c r="AI2861" s="91"/>
      <c r="AJ2861" s="91"/>
      <c r="AK2861" s="91"/>
      <c r="AL2861" s="91"/>
      <c r="AM2861" s="91"/>
    </row>
    <row r="2862" spans="1:39" ht="20.25" customHeight="1">
      <c r="A2862" s="91"/>
      <c r="B2862" s="93" t="s">
        <v>3610</v>
      </c>
      <c r="C2862" s="91" t="s">
        <v>73</v>
      </c>
      <c r="D2862" s="94" t="s">
        <v>3615</v>
      </c>
      <c r="E2862" s="94" t="s">
        <v>3616</v>
      </c>
      <c r="F2862" s="95" t="s">
        <v>3617</v>
      </c>
      <c r="G2862" s="96">
        <v>42887</v>
      </c>
      <c r="H2862" s="97">
        <v>39035</v>
      </c>
      <c r="I2862" s="94" t="s">
        <v>3618</v>
      </c>
      <c r="J2862" s="100" t="s">
        <v>58</v>
      </c>
      <c r="K2862" s="91" t="s">
        <v>58</v>
      </c>
      <c r="L2862" s="91" t="s">
        <v>60</v>
      </c>
      <c r="M2862" s="98">
        <f ca="1">(TODAY()-H2862)/365</f>
        <v>19.087671232876712</v>
      </c>
      <c r="N2862" s="99">
        <f>(G2862-H2862)/365</f>
        <v>10.553424657534247</v>
      </c>
      <c r="O2862" s="98">
        <f ca="1">(TODAY()-G2862)/365</f>
        <v>8.5342465753424666</v>
      </c>
      <c r="P2862" s="91" t="s">
        <v>43</v>
      </c>
      <c r="Q2862" s="91">
        <v>0</v>
      </c>
      <c r="R2862" s="91">
        <v>0</v>
      </c>
      <c r="S2862" s="91">
        <v>0</v>
      </c>
      <c r="T2862" s="91"/>
      <c r="U2862" s="91"/>
      <c r="V2862" s="91"/>
      <c r="W2862" s="91"/>
      <c r="X2862" s="91"/>
      <c r="Y2862" s="91"/>
      <c r="Z2862" s="91"/>
      <c r="AA2862" s="91"/>
      <c r="AB2862" s="91"/>
      <c r="AC2862" s="91"/>
      <c r="AD2862" s="91"/>
      <c r="AE2862" s="91"/>
      <c r="AF2862" s="91"/>
      <c r="AG2862" s="91"/>
      <c r="AH2862" s="91"/>
      <c r="AI2862" s="91"/>
      <c r="AJ2862" s="91"/>
      <c r="AK2862" s="91"/>
      <c r="AL2862" s="91"/>
      <c r="AM2862" s="91"/>
    </row>
    <row r="2863" spans="1:39" ht="20.25" customHeight="1">
      <c r="A2863" s="91"/>
      <c r="B2863" s="93" t="s">
        <v>10061</v>
      </c>
      <c r="C2863" s="91" t="s">
        <v>73</v>
      </c>
      <c r="D2863" s="106" t="s">
        <v>443</v>
      </c>
      <c r="E2863" s="106" t="s">
        <v>10134</v>
      </c>
      <c r="F2863" s="92" t="s">
        <v>10135</v>
      </c>
      <c r="G2863" s="103">
        <v>44769</v>
      </c>
      <c r="H2863" s="103">
        <v>25671</v>
      </c>
      <c r="I2863" s="94" t="s">
        <v>10136</v>
      </c>
      <c r="J2863" s="100" t="s">
        <v>58</v>
      </c>
      <c r="K2863" s="95" t="s">
        <v>58</v>
      </c>
      <c r="L2863" s="91"/>
      <c r="M2863" s="98">
        <f ca="1">(TODAY()-H2863)/365</f>
        <v>55.701369863013696</v>
      </c>
      <c r="N2863" s="99">
        <f>(G2863-H2863)/365</f>
        <v>52.323287671232876</v>
      </c>
      <c r="O2863" s="98">
        <f ca="1">(TODAY()-G2863)/365</f>
        <v>3.3780821917808219</v>
      </c>
      <c r="P2863" s="91" t="s">
        <v>43</v>
      </c>
      <c r="Q2863" s="91"/>
      <c r="R2863" s="91"/>
      <c r="S2863" s="91"/>
      <c r="T2863" s="91"/>
      <c r="U2863" s="91"/>
      <c r="V2863" s="91"/>
      <c r="W2863" s="91"/>
      <c r="X2863" s="91"/>
      <c r="Y2863" s="91"/>
      <c r="Z2863" s="91"/>
      <c r="AA2863" s="91"/>
      <c r="AB2863" s="91"/>
      <c r="AC2863" s="91"/>
      <c r="AD2863" s="91"/>
      <c r="AE2863" s="91"/>
      <c r="AF2863" s="91"/>
      <c r="AG2863" s="91"/>
      <c r="AH2863" s="91"/>
      <c r="AI2863" s="91"/>
      <c r="AJ2863" s="91"/>
      <c r="AK2863" s="91"/>
      <c r="AL2863" s="91"/>
      <c r="AM2863" s="91"/>
    </row>
    <row r="2864" spans="1:39" ht="20.25" hidden="1" customHeight="1">
      <c r="A2864" s="91"/>
      <c r="B2864" s="93" t="s">
        <v>8930</v>
      </c>
      <c r="C2864" s="91" t="s">
        <v>36</v>
      </c>
      <c r="D2864" s="107" t="s">
        <v>5296</v>
      </c>
      <c r="E2864" s="107" t="s">
        <v>8941</v>
      </c>
      <c r="F2864" s="91" t="s">
        <v>8942</v>
      </c>
      <c r="G2864" s="96">
        <v>28902</v>
      </c>
      <c r="H2864" s="97">
        <v>20872</v>
      </c>
      <c r="I2864" s="100" t="s">
        <v>8943</v>
      </c>
      <c r="J2864" s="94" t="s">
        <v>58</v>
      </c>
      <c r="K2864" s="91">
        <v>995857665</v>
      </c>
      <c r="L2864" s="91" t="s">
        <v>42</v>
      </c>
      <c r="M2864" s="98">
        <f ca="1">(TODAY()-H2864)/365</f>
        <v>68.849315068493155</v>
      </c>
      <c r="N2864" s="99">
        <f>(G2864-H2864)/365</f>
        <v>22</v>
      </c>
      <c r="O2864" s="98">
        <f ca="1">(TODAY()-G2864)/365</f>
        <v>46.849315068493148</v>
      </c>
      <c r="P2864" s="91" t="s">
        <v>43</v>
      </c>
      <c r="Q2864" s="91">
        <v>0</v>
      </c>
      <c r="R2864" s="91">
        <v>0</v>
      </c>
      <c r="S2864" s="91">
        <v>0</v>
      </c>
      <c r="T2864" s="91"/>
      <c r="U2864" s="91"/>
      <c r="V2864" s="91"/>
      <c r="W2864" s="91"/>
      <c r="X2864" s="91"/>
      <c r="Y2864" s="91"/>
      <c r="Z2864" s="91"/>
      <c r="AA2864" s="91"/>
      <c r="AB2864" s="91"/>
      <c r="AC2864" s="91"/>
      <c r="AD2864" s="91"/>
      <c r="AE2864" s="91"/>
      <c r="AF2864" s="91"/>
      <c r="AG2864" s="91"/>
      <c r="AH2864" s="91"/>
      <c r="AI2864" s="91"/>
      <c r="AJ2864" s="91"/>
      <c r="AK2864" s="91"/>
      <c r="AL2864" s="91"/>
      <c r="AM2864" s="91"/>
    </row>
    <row r="2865" spans="1:39" ht="20.25" customHeight="1">
      <c r="A2865" s="91"/>
      <c r="B2865" s="93" t="s">
        <v>3374</v>
      </c>
      <c r="C2865" s="91" t="s">
        <v>73</v>
      </c>
      <c r="D2865" s="107" t="s">
        <v>3447</v>
      </c>
      <c r="E2865" s="107" t="s">
        <v>3448</v>
      </c>
      <c r="F2865" s="91" t="s">
        <v>3449</v>
      </c>
      <c r="G2865" s="96">
        <v>36700</v>
      </c>
      <c r="H2865" s="96">
        <v>38827</v>
      </c>
      <c r="I2865" s="94" t="s">
        <v>3450</v>
      </c>
      <c r="J2865" s="94" t="s">
        <v>58</v>
      </c>
      <c r="K2865" s="95" t="s">
        <v>58</v>
      </c>
      <c r="L2865" s="91" t="s">
        <v>60</v>
      </c>
      <c r="M2865" s="98">
        <f ca="1">(TODAY()-H2865)/365</f>
        <v>19.657534246575342</v>
      </c>
      <c r="N2865" s="99">
        <f>(G2865-H2865)/365</f>
        <v>-5.8273972602739725</v>
      </c>
      <c r="O2865" s="98">
        <f ca="1">(TODAY()-G2865)/365</f>
        <v>25.484931506849314</v>
      </c>
      <c r="P2865" s="91" t="s">
        <v>43</v>
      </c>
      <c r="Q2865" s="91"/>
      <c r="R2865" s="91"/>
      <c r="S2865" s="91"/>
      <c r="T2865" s="91"/>
      <c r="U2865" s="91"/>
      <c r="V2865" s="91"/>
      <c r="W2865" s="91"/>
      <c r="X2865" s="91"/>
      <c r="Y2865" s="91"/>
      <c r="Z2865" s="91"/>
      <c r="AA2865" s="91"/>
      <c r="AB2865" s="91"/>
      <c r="AC2865" s="91"/>
      <c r="AD2865" s="91"/>
      <c r="AE2865" s="91"/>
      <c r="AF2865" s="91"/>
      <c r="AG2865" s="91"/>
      <c r="AH2865" s="91"/>
      <c r="AI2865" s="91"/>
      <c r="AJ2865" s="91"/>
      <c r="AK2865" s="91"/>
      <c r="AL2865" s="91"/>
      <c r="AM2865" s="91"/>
    </row>
    <row r="2866" spans="1:39" ht="20.25" hidden="1" customHeight="1">
      <c r="A2866" s="91"/>
      <c r="B2866" s="93" t="s">
        <v>8930</v>
      </c>
      <c r="C2866" s="91" t="s">
        <v>36</v>
      </c>
      <c r="D2866" s="107" t="s">
        <v>875</v>
      </c>
      <c r="E2866" s="107" t="s">
        <v>8946</v>
      </c>
      <c r="F2866" s="91" t="s">
        <v>8947</v>
      </c>
      <c r="G2866" s="96">
        <v>32270</v>
      </c>
      <c r="H2866" s="97">
        <v>23409</v>
      </c>
      <c r="I2866" s="94" t="s">
        <v>58</v>
      </c>
      <c r="J2866" s="94" t="s">
        <v>58</v>
      </c>
      <c r="K2866" s="91">
        <v>977743234</v>
      </c>
      <c r="L2866" s="91" t="s">
        <v>60</v>
      </c>
      <c r="M2866" s="98">
        <f ca="1">(TODAY()-H2866)/365</f>
        <v>61.898630136986299</v>
      </c>
      <c r="N2866" s="99">
        <f>(G2866-H2866)/365</f>
        <v>24.276712328767122</v>
      </c>
      <c r="O2866" s="98">
        <f ca="1">(TODAY()-G2866)/365</f>
        <v>37.62191780821918</v>
      </c>
      <c r="P2866" s="91" t="s">
        <v>43</v>
      </c>
      <c r="Q2866" s="91">
        <v>0</v>
      </c>
      <c r="R2866" s="91">
        <v>0</v>
      </c>
      <c r="S2866" s="91">
        <v>0</v>
      </c>
      <c r="T2866" s="91"/>
      <c r="U2866" s="91"/>
      <c r="V2866" s="91"/>
      <c r="W2866" s="91"/>
      <c r="X2866" s="91"/>
      <c r="Y2866" s="91"/>
      <c r="Z2866" s="91"/>
      <c r="AA2866" s="91"/>
      <c r="AB2866" s="91"/>
      <c r="AC2866" s="91"/>
      <c r="AD2866" s="91"/>
      <c r="AE2866" s="91"/>
      <c r="AF2866" s="91"/>
      <c r="AG2866" s="91"/>
      <c r="AH2866" s="91"/>
      <c r="AI2866" s="91"/>
      <c r="AJ2866" s="91"/>
      <c r="AK2866" s="91"/>
      <c r="AL2866" s="91"/>
      <c r="AM2866" s="91"/>
    </row>
    <row r="2867" spans="1:39" ht="20.25" hidden="1" customHeight="1">
      <c r="A2867" s="91"/>
      <c r="B2867" s="93" t="s">
        <v>8930</v>
      </c>
      <c r="C2867" s="91" t="s">
        <v>36</v>
      </c>
      <c r="D2867" s="107" t="s">
        <v>4611</v>
      </c>
      <c r="E2867" s="107" t="s">
        <v>8948</v>
      </c>
      <c r="F2867" s="91" t="s">
        <v>8949</v>
      </c>
      <c r="G2867" s="96">
        <v>24422</v>
      </c>
      <c r="H2867" s="97">
        <v>15129</v>
      </c>
      <c r="I2867" s="94" t="s">
        <v>58</v>
      </c>
      <c r="J2867" s="94" t="s">
        <v>58</v>
      </c>
      <c r="K2867" s="91">
        <v>984881177</v>
      </c>
      <c r="L2867" s="91" t="s">
        <v>60</v>
      </c>
      <c r="M2867" s="98">
        <f ca="1">(TODAY()-H2867)/365</f>
        <v>84.583561643835623</v>
      </c>
      <c r="N2867" s="99">
        <f>(G2867-H2867)/365</f>
        <v>25.460273972602739</v>
      </c>
      <c r="O2867" s="98">
        <f ca="1">(TODAY()-G2867)/365</f>
        <v>59.123287671232873</v>
      </c>
      <c r="P2867" s="91" t="s">
        <v>43</v>
      </c>
      <c r="Q2867" s="91">
        <v>0</v>
      </c>
      <c r="R2867" s="91">
        <v>0</v>
      </c>
      <c r="S2867" s="91">
        <v>0</v>
      </c>
      <c r="T2867" s="91"/>
      <c r="U2867" s="91"/>
      <c r="V2867" s="91"/>
      <c r="W2867" s="91"/>
      <c r="X2867" s="91"/>
      <c r="Y2867" s="91"/>
      <c r="Z2867" s="91"/>
      <c r="AA2867" s="91"/>
      <c r="AB2867" s="91"/>
      <c r="AC2867" s="91"/>
      <c r="AD2867" s="91"/>
      <c r="AE2867" s="91"/>
      <c r="AF2867" s="91"/>
      <c r="AG2867" s="91"/>
      <c r="AH2867" s="91"/>
      <c r="AI2867" s="91"/>
      <c r="AJ2867" s="91"/>
      <c r="AK2867" s="91"/>
      <c r="AL2867" s="91"/>
      <c r="AM2867" s="91"/>
    </row>
    <row r="2868" spans="1:39" ht="20.25" customHeight="1">
      <c r="A2868" s="91"/>
      <c r="B2868" s="93" t="s">
        <v>77</v>
      </c>
      <c r="C2868" s="91" t="s">
        <v>73</v>
      </c>
      <c r="D2868" s="94" t="s">
        <v>246</v>
      </c>
      <c r="E2868" s="94" t="s">
        <v>247</v>
      </c>
      <c r="F2868" s="95" t="s">
        <v>248</v>
      </c>
      <c r="G2868" s="96">
        <v>45388</v>
      </c>
      <c r="H2868" s="97">
        <v>18588</v>
      </c>
      <c r="I2868" s="100" t="s">
        <v>58</v>
      </c>
      <c r="J2868" s="100" t="s">
        <v>58</v>
      </c>
      <c r="K2868" s="91" t="s">
        <v>58</v>
      </c>
      <c r="L2868" s="91" t="s">
        <v>60</v>
      </c>
      <c r="M2868" s="98">
        <f ca="1">(TODAY()-H2868)/365</f>
        <v>75.106849315068487</v>
      </c>
      <c r="N2868" s="99">
        <f>(G2868-H2868)/365</f>
        <v>73.424657534246577</v>
      </c>
      <c r="O2868" s="98">
        <f ca="1">(TODAY()-G2868)/365</f>
        <v>1.6821917808219178</v>
      </c>
      <c r="P2868" s="91" t="s">
        <v>43</v>
      </c>
      <c r="Q2868" s="91">
        <v>0</v>
      </c>
      <c r="R2868" s="91">
        <v>0</v>
      </c>
      <c r="S2868" s="91">
        <v>0</v>
      </c>
      <c r="T2868" s="91"/>
      <c r="U2868" s="91"/>
      <c r="V2868" s="91"/>
      <c r="W2868" s="91"/>
      <c r="X2868" s="91"/>
      <c r="Y2868" s="91"/>
      <c r="Z2868" s="91"/>
      <c r="AA2868" s="91"/>
      <c r="AB2868" s="91"/>
      <c r="AC2868" s="91"/>
      <c r="AD2868" s="91"/>
      <c r="AE2868" s="91"/>
      <c r="AF2868" s="91"/>
      <c r="AG2868" s="91"/>
      <c r="AH2868" s="91"/>
      <c r="AI2868" s="91"/>
      <c r="AJ2868" s="91"/>
      <c r="AK2868" s="91"/>
      <c r="AL2868" s="91"/>
      <c r="AM2868" s="91"/>
    </row>
    <row r="2869" spans="1:39" ht="20.25" hidden="1" customHeight="1">
      <c r="A2869" s="91"/>
      <c r="B2869" s="93" t="s">
        <v>8930</v>
      </c>
      <c r="C2869" s="91" t="s">
        <v>36</v>
      </c>
      <c r="D2869" s="107" t="s">
        <v>2837</v>
      </c>
      <c r="E2869" s="107" t="s">
        <v>8951</v>
      </c>
      <c r="F2869" s="91" t="s">
        <v>8952</v>
      </c>
      <c r="G2869" s="96">
        <v>21652</v>
      </c>
      <c r="H2869" s="97">
        <v>12128</v>
      </c>
      <c r="I2869" s="94" t="s">
        <v>58</v>
      </c>
      <c r="J2869" s="94" t="s">
        <v>58</v>
      </c>
      <c r="K2869" s="91">
        <v>996673170</v>
      </c>
      <c r="L2869" s="91" t="s">
        <v>60</v>
      </c>
      <c r="M2869" s="98">
        <f ca="1">(TODAY()-H2869)/365</f>
        <v>92.805479452054797</v>
      </c>
      <c r="N2869" s="99">
        <f>(G2869-H2869)/365</f>
        <v>26.093150684931508</v>
      </c>
      <c r="O2869" s="98">
        <f ca="1">(TODAY()-G2869)/365</f>
        <v>66.712328767123282</v>
      </c>
      <c r="P2869" s="91" t="s">
        <v>43</v>
      </c>
      <c r="Q2869" s="91">
        <v>0</v>
      </c>
      <c r="R2869" s="91">
        <v>0</v>
      </c>
      <c r="S2869" s="91">
        <v>0</v>
      </c>
      <c r="T2869" s="91"/>
      <c r="U2869" s="91"/>
      <c r="V2869" s="91"/>
      <c r="W2869" s="91"/>
      <c r="X2869" s="91"/>
      <c r="Y2869" s="91"/>
      <c r="Z2869" s="91"/>
      <c r="AA2869" s="91"/>
      <c r="AB2869" s="91"/>
      <c r="AC2869" s="91"/>
      <c r="AD2869" s="91"/>
      <c r="AE2869" s="91"/>
      <c r="AF2869" s="91"/>
      <c r="AG2869" s="91"/>
      <c r="AH2869" s="91"/>
      <c r="AI2869" s="91"/>
      <c r="AJ2869" s="91"/>
      <c r="AK2869" s="91"/>
      <c r="AL2869" s="91"/>
      <c r="AM2869" s="91"/>
    </row>
    <row r="2870" spans="1:39" ht="20.25" hidden="1" customHeight="1">
      <c r="A2870" s="91"/>
      <c r="B2870" s="93" t="s">
        <v>8930</v>
      </c>
      <c r="C2870" s="91" t="s">
        <v>36</v>
      </c>
      <c r="D2870" s="107" t="s">
        <v>754</v>
      </c>
      <c r="E2870" s="107" t="s">
        <v>8953</v>
      </c>
      <c r="F2870" s="91" t="s">
        <v>8954</v>
      </c>
      <c r="G2870" s="96">
        <v>33249</v>
      </c>
      <c r="H2870" s="97">
        <v>23094</v>
      </c>
      <c r="I2870" s="94" t="s">
        <v>58</v>
      </c>
      <c r="J2870" s="94" t="s">
        <v>58</v>
      </c>
      <c r="K2870" s="91">
        <v>954397010</v>
      </c>
      <c r="L2870" s="91" t="s">
        <v>54</v>
      </c>
      <c r="M2870" s="98">
        <f ca="1">(TODAY()-H2870)/365</f>
        <v>62.761643835616439</v>
      </c>
      <c r="N2870" s="99">
        <f>(G2870-H2870)/365</f>
        <v>27.82191780821918</v>
      </c>
      <c r="O2870" s="98">
        <f ca="1">(TODAY()-G2870)/365</f>
        <v>34.939726027397263</v>
      </c>
      <c r="P2870" s="91" t="s">
        <v>43</v>
      </c>
      <c r="Q2870" s="91">
        <v>0</v>
      </c>
      <c r="R2870" s="91">
        <v>0</v>
      </c>
      <c r="S2870" s="91">
        <v>0</v>
      </c>
      <c r="T2870" s="91"/>
      <c r="U2870" s="91"/>
      <c r="V2870" s="91"/>
      <c r="W2870" s="91"/>
      <c r="X2870" s="91"/>
      <c r="Y2870" s="91"/>
      <c r="Z2870" s="91"/>
      <c r="AA2870" s="91"/>
      <c r="AB2870" s="91"/>
      <c r="AC2870" s="91"/>
      <c r="AD2870" s="91"/>
      <c r="AE2870" s="91"/>
      <c r="AF2870" s="91"/>
      <c r="AG2870" s="91"/>
      <c r="AH2870" s="91"/>
      <c r="AI2870" s="91"/>
      <c r="AJ2870" s="91"/>
      <c r="AK2870" s="91"/>
      <c r="AL2870" s="91"/>
      <c r="AM2870" s="91"/>
    </row>
    <row r="2871" spans="1:39" ht="20.25" hidden="1" customHeight="1">
      <c r="A2871" s="91"/>
      <c r="B2871" s="93" t="s">
        <v>8930</v>
      </c>
      <c r="C2871" s="91" t="s">
        <v>36</v>
      </c>
      <c r="D2871" s="107" t="s">
        <v>8955</v>
      </c>
      <c r="E2871" s="107" t="s">
        <v>8956</v>
      </c>
      <c r="F2871" s="91" t="s">
        <v>8957</v>
      </c>
      <c r="G2871" s="96">
        <v>45504</v>
      </c>
      <c r="H2871" s="97">
        <v>35136</v>
      </c>
      <c r="I2871" s="94" t="s">
        <v>58</v>
      </c>
      <c r="J2871" s="94" t="s">
        <v>58</v>
      </c>
      <c r="K2871" s="91">
        <v>932633984</v>
      </c>
      <c r="L2871" s="91" t="s">
        <v>60</v>
      </c>
      <c r="M2871" s="98">
        <f ca="1">(TODAY()-H2871)/365</f>
        <v>29.769863013698629</v>
      </c>
      <c r="N2871" s="99">
        <f>(G2871-H2871)/365</f>
        <v>28.405479452054795</v>
      </c>
      <c r="O2871" s="98">
        <f ca="1">(TODAY()-G2871)/365</f>
        <v>1.3643835616438356</v>
      </c>
      <c r="P2871" s="91" t="s">
        <v>43</v>
      </c>
      <c r="Q2871" s="91">
        <v>0</v>
      </c>
      <c r="R2871" s="91">
        <v>0</v>
      </c>
      <c r="S2871" s="91">
        <v>0</v>
      </c>
      <c r="T2871" s="91"/>
      <c r="U2871" s="91"/>
      <c r="V2871" s="91"/>
      <c r="W2871" s="91"/>
      <c r="X2871" s="91"/>
      <c r="Y2871" s="91"/>
      <c r="Z2871" s="91"/>
      <c r="AA2871" s="91"/>
      <c r="AB2871" s="91"/>
      <c r="AC2871" s="91"/>
      <c r="AD2871" s="91"/>
      <c r="AE2871" s="91"/>
      <c r="AF2871" s="91"/>
      <c r="AG2871" s="91"/>
      <c r="AH2871" s="91"/>
      <c r="AI2871" s="91"/>
      <c r="AJ2871" s="91"/>
      <c r="AK2871" s="91"/>
      <c r="AL2871" s="91"/>
      <c r="AM2871" s="91"/>
    </row>
    <row r="2872" spans="1:39" ht="20.25" customHeight="1">
      <c r="A2872" s="128"/>
      <c r="B2872" s="93" t="s">
        <v>11273</v>
      </c>
      <c r="C2872" s="91" t="s">
        <v>73</v>
      </c>
      <c r="D2872" s="106" t="s">
        <v>11437</v>
      </c>
      <c r="E2872" s="106" t="s">
        <v>11438</v>
      </c>
      <c r="F2872" s="92" t="s">
        <v>11439</v>
      </c>
      <c r="G2872" s="103">
        <v>42707</v>
      </c>
      <c r="H2872" s="103">
        <v>37097</v>
      </c>
      <c r="I2872" s="100" t="s">
        <v>11440</v>
      </c>
      <c r="J2872" s="100" t="s">
        <v>58</v>
      </c>
      <c r="K2872" s="95" t="s">
        <v>58</v>
      </c>
      <c r="L2872" s="91"/>
      <c r="M2872" s="98">
        <f ca="1">(TODAY()-H2872)/365</f>
        <v>24.397260273972602</v>
      </c>
      <c r="N2872" s="99">
        <f>(G2872-H2872)/365</f>
        <v>15.36986301369863</v>
      </c>
      <c r="O2872" s="98">
        <f ca="1">(TODAY()-G2872)/365</f>
        <v>9.0273972602739718</v>
      </c>
      <c r="P2872" s="91" t="s">
        <v>272</v>
      </c>
      <c r="Q2872" s="91">
        <v>1</v>
      </c>
      <c r="R2872" s="91">
        <v>1</v>
      </c>
      <c r="S2872" s="91"/>
      <c r="T2872" s="91"/>
      <c r="U2872" s="91">
        <v>11</v>
      </c>
      <c r="V2872" s="91"/>
      <c r="W2872" s="91"/>
      <c r="X2872" s="91"/>
      <c r="Y2872" s="91"/>
      <c r="Z2872" s="91"/>
      <c r="AA2872" s="91"/>
      <c r="AB2872" s="91"/>
      <c r="AC2872" s="91"/>
      <c r="AD2872" s="91"/>
      <c r="AE2872" s="91"/>
      <c r="AF2872" s="91"/>
      <c r="AG2872" s="91"/>
      <c r="AH2872" s="91"/>
      <c r="AI2872" s="91"/>
      <c r="AJ2872" s="91"/>
      <c r="AK2872" s="91"/>
      <c r="AL2872" s="91"/>
      <c r="AM2872" s="91"/>
    </row>
    <row r="2873" spans="1:39" ht="20.25" hidden="1" customHeight="1">
      <c r="A2873" s="91"/>
      <c r="B2873" s="93" t="s">
        <v>8930</v>
      </c>
      <c r="C2873" s="91" t="s">
        <v>36</v>
      </c>
      <c r="D2873" s="107" t="s">
        <v>1408</v>
      </c>
      <c r="E2873" s="107" t="s">
        <v>8961</v>
      </c>
      <c r="F2873" s="91" t="s">
        <v>8962</v>
      </c>
      <c r="G2873" s="96">
        <v>45174</v>
      </c>
      <c r="H2873" s="97">
        <v>32133</v>
      </c>
      <c r="I2873" s="94" t="s">
        <v>58</v>
      </c>
      <c r="J2873" s="94" t="s">
        <v>58</v>
      </c>
      <c r="K2873" s="91">
        <v>959275466</v>
      </c>
      <c r="L2873" s="91" t="s">
        <v>66</v>
      </c>
      <c r="M2873" s="98">
        <f ca="1">(TODAY()-H2873)/365</f>
        <v>37.9972602739726</v>
      </c>
      <c r="N2873" s="99">
        <f>(G2873-H2873)/365</f>
        <v>35.728767123287675</v>
      </c>
      <c r="O2873" s="98">
        <f ca="1">(TODAY()-G2873)/365</f>
        <v>2.2684931506849315</v>
      </c>
      <c r="P2873" s="91" t="s">
        <v>43</v>
      </c>
      <c r="Q2873" s="91">
        <v>0</v>
      </c>
      <c r="R2873" s="91">
        <v>0</v>
      </c>
      <c r="S2873" s="91">
        <v>0</v>
      </c>
      <c r="T2873" s="91"/>
      <c r="U2873" s="91"/>
      <c r="V2873" s="91"/>
      <c r="W2873" s="91"/>
      <c r="X2873" s="91"/>
      <c r="Y2873" s="91"/>
      <c r="Z2873" s="91"/>
      <c r="AA2873" s="91"/>
      <c r="AB2873" s="91"/>
      <c r="AC2873" s="91"/>
      <c r="AD2873" s="91"/>
      <c r="AE2873" s="91"/>
      <c r="AF2873" s="91"/>
      <c r="AG2873" s="91"/>
      <c r="AH2873" s="91"/>
      <c r="AI2873" s="91"/>
      <c r="AJ2873" s="91"/>
      <c r="AK2873" s="91"/>
      <c r="AL2873" s="91"/>
      <c r="AM2873" s="91"/>
    </row>
    <row r="2874" spans="1:39" ht="20.25" hidden="1" customHeight="1">
      <c r="A2874" s="91"/>
      <c r="B2874" s="93" t="s">
        <v>8930</v>
      </c>
      <c r="C2874" s="91" t="s">
        <v>36</v>
      </c>
      <c r="D2874" s="107" t="s">
        <v>5663</v>
      </c>
      <c r="E2874" s="107" t="s">
        <v>8963</v>
      </c>
      <c r="F2874" s="91" t="s">
        <v>8964</v>
      </c>
      <c r="G2874" s="96">
        <v>38917</v>
      </c>
      <c r="H2874" s="97">
        <v>24495</v>
      </c>
      <c r="I2874" s="94" t="s">
        <v>58</v>
      </c>
      <c r="J2874" s="94" t="s">
        <v>58</v>
      </c>
      <c r="K2874" s="91">
        <v>971498520</v>
      </c>
      <c r="L2874" s="91" t="s">
        <v>151</v>
      </c>
      <c r="M2874" s="98">
        <f ca="1">(TODAY()-H2874)/365</f>
        <v>58.923287671232877</v>
      </c>
      <c r="N2874" s="99">
        <f>(G2874-H2874)/365</f>
        <v>39.512328767123286</v>
      </c>
      <c r="O2874" s="98">
        <f ca="1">(TODAY()-G2874)/365</f>
        <v>19.410958904109588</v>
      </c>
      <c r="P2874" s="91" t="s">
        <v>43</v>
      </c>
      <c r="Q2874" s="91">
        <v>0</v>
      </c>
      <c r="R2874" s="91">
        <v>0</v>
      </c>
      <c r="S2874" s="91">
        <v>0</v>
      </c>
      <c r="T2874" s="91"/>
      <c r="U2874" s="91"/>
      <c r="V2874" s="91"/>
      <c r="W2874" s="91"/>
      <c r="X2874" s="91"/>
      <c r="Y2874" s="91"/>
      <c r="Z2874" s="91"/>
      <c r="AA2874" s="91"/>
      <c r="AB2874" s="91"/>
      <c r="AC2874" s="91"/>
      <c r="AD2874" s="91"/>
      <c r="AE2874" s="91"/>
      <c r="AF2874" s="91"/>
      <c r="AG2874" s="91"/>
      <c r="AH2874" s="91"/>
      <c r="AI2874" s="91"/>
      <c r="AJ2874" s="91"/>
      <c r="AK2874" s="91"/>
      <c r="AL2874" s="91"/>
      <c r="AM2874" s="91"/>
    </row>
    <row r="2875" spans="1:39" ht="20.25" customHeight="1">
      <c r="A2875" s="128"/>
      <c r="B2875" s="93" t="s">
        <v>11240</v>
      </c>
      <c r="C2875" s="91" t="s">
        <v>73</v>
      </c>
      <c r="D2875" s="106" t="s">
        <v>3956</v>
      </c>
      <c r="E2875" s="106" t="s">
        <v>11271</v>
      </c>
      <c r="F2875" s="92" t="s">
        <v>11272</v>
      </c>
      <c r="G2875" s="103">
        <v>45292</v>
      </c>
      <c r="H2875" s="103">
        <v>35493</v>
      </c>
      <c r="I2875" s="94" t="s">
        <v>58</v>
      </c>
      <c r="J2875" s="100" t="s">
        <v>58</v>
      </c>
      <c r="K2875" s="95" t="s">
        <v>58</v>
      </c>
      <c r="L2875" s="91"/>
      <c r="M2875" s="98">
        <f ca="1">(TODAY()-H2875)/365</f>
        <v>28.791780821917808</v>
      </c>
      <c r="N2875" s="99">
        <f>(G2875-H2875)/365</f>
        <v>26.846575342465755</v>
      </c>
      <c r="O2875" s="98">
        <f ca="1">(TODAY()-G2875)/365</f>
        <v>1.9452054794520548</v>
      </c>
      <c r="P2875" s="91" t="s">
        <v>43</v>
      </c>
      <c r="Q2875" s="91"/>
      <c r="R2875" s="91"/>
      <c r="S2875" s="91"/>
      <c r="T2875" s="91"/>
      <c r="U2875" s="91"/>
      <c r="V2875" s="91"/>
      <c r="W2875" s="91"/>
      <c r="X2875" s="91"/>
      <c r="Y2875" s="91"/>
      <c r="Z2875" s="91"/>
      <c r="AA2875" s="91"/>
      <c r="AB2875" s="91"/>
      <c r="AC2875" s="91"/>
      <c r="AD2875" s="91"/>
      <c r="AE2875" s="91"/>
      <c r="AF2875" s="91"/>
      <c r="AG2875" s="91"/>
      <c r="AH2875" s="91"/>
      <c r="AI2875" s="91"/>
      <c r="AJ2875" s="91"/>
      <c r="AK2875" s="91"/>
      <c r="AL2875" s="91"/>
      <c r="AM2875" s="91"/>
    </row>
    <row r="2876" spans="1:39" ht="20.25" customHeight="1">
      <c r="A2876" s="91"/>
      <c r="B2876" s="93" t="s">
        <v>371</v>
      </c>
      <c r="C2876" s="91" t="s">
        <v>73</v>
      </c>
      <c r="D2876" s="94" t="s">
        <v>384</v>
      </c>
      <c r="E2876" s="94" t="s">
        <v>385</v>
      </c>
      <c r="F2876" s="95" t="s">
        <v>386</v>
      </c>
      <c r="G2876" s="96">
        <v>44988</v>
      </c>
      <c r="H2876" s="97">
        <v>39713</v>
      </c>
      <c r="I2876" s="100" t="s">
        <v>387</v>
      </c>
      <c r="J2876" s="100" t="s">
        <v>58</v>
      </c>
      <c r="K2876" s="91" t="s">
        <v>58</v>
      </c>
      <c r="L2876" s="91" t="s">
        <v>60</v>
      </c>
      <c r="M2876" s="98">
        <f ca="1">(TODAY()-H2876)/365</f>
        <v>17.230136986301371</v>
      </c>
      <c r="N2876" s="99">
        <f>(G2876-H2876)/365</f>
        <v>14.452054794520548</v>
      </c>
      <c r="O2876" s="98">
        <f ca="1">(TODAY()-G2876)/365</f>
        <v>2.7780821917808218</v>
      </c>
      <c r="P2876" s="91" t="s">
        <v>43</v>
      </c>
      <c r="Q2876" s="91">
        <v>0</v>
      </c>
      <c r="R2876" s="91">
        <v>0</v>
      </c>
      <c r="S2876" s="91">
        <v>0</v>
      </c>
      <c r="T2876" s="91"/>
      <c r="U2876" s="91"/>
      <c r="V2876" s="91"/>
      <c r="W2876" s="91"/>
      <c r="X2876" s="91"/>
      <c r="Y2876" s="91"/>
      <c r="Z2876" s="91"/>
      <c r="AA2876" s="91"/>
      <c r="AB2876" s="91"/>
      <c r="AC2876" s="91"/>
      <c r="AD2876" s="91"/>
      <c r="AE2876" s="91"/>
      <c r="AF2876" s="91"/>
      <c r="AG2876" s="91"/>
      <c r="AH2876" s="91"/>
      <c r="AI2876" s="91"/>
      <c r="AJ2876" s="91"/>
      <c r="AK2876" s="91"/>
      <c r="AL2876" s="91"/>
      <c r="AM2876" s="91"/>
    </row>
    <row r="2877" spans="1:39" ht="20.25" hidden="1" customHeight="1">
      <c r="A2877" s="91"/>
      <c r="B2877" s="93" t="s">
        <v>8930</v>
      </c>
      <c r="C2877" s="91" t="s">
        <v>36</v>
      </c>
      <c r="D2877" s="107" t="s">
        <v>7866</v>
      </c>
      <c r="E2877" s="107" t="s">
        <v>8969</v>
      </c>
      <c r="F2877" s="91" t="s">
        <v>8970</v>
      </c>
      <c r="G2877" s="96">
        <v>39975</v>
      </c>
      <c r="H2877" s="97">
        <v>21720</v>
      </c>
      <c r="I2877" s="94" t="s">
        <v>58</v>
      </c>
      <c r="J2877" s="94" t="s">
        <v>58</v>
      </c>
      <c r="K2877" s="91">
        <v>986774735</v>
      </c>
      <c r="L2877" s="91" t="s">
        <v>49</v>
      </c>
      <c r="M2877" s="98">
        <f ca="1">(TODAY()-H2877)/365</f>
        <v>66.526027397260279</v>
      </c>
      <c r="N2877" s="99">
        <f>(G2877-H2877)/365</f>
        <v>50.013698630136986</v>
      </c>
      <c r="O2877" s="98">
        <f ca="1">(TODAY()-G2877)/365</f>
        <v>16.512328767123286</v>
      </c>
      <c r="P2877" s="91" t="s">
        <v>43</v>
      </c>
      <c r="Q2877" s="91">
        <v>0</v>
      </c>
      <c r="R2877" s="91">
        <v>0</v>
      </c>
      <c r="S2877" s="91">
        <v>0</v>
      </c>
      <c r="T2877" s="91"/>
      <c r="U2877" s="91"/>
      <c r="V2877" s="91"/>
      <c r="W2877" s="91"/>
      <c r="X2877" s="91"/>
      <c r="Y2877" s="91"/>
      <c r="Z2877" s="91"/>
      <c r="AA2877" s="91"/>
      <c r="AB2877" s="91"/>
      <c r="AC2877" s="91"/>
      <c r="AD2877" s="91"/>
      <c r="AE2877" s="91"/>
      <c r="AF2877" s="91"/>
      <c r="AG2877" s="91"/>
      <c r="AH2877" s="91"/>
      <c r="AI2877" s="91"/>
      <c r="AJ2877" s="91"/>
      <c r="AK2877" s="91"/>
      <c r="AL2877" s="91"/>
      <c r="AM2877" s="91"/>
    </row>
    <row r="2878" spans="1:39" ht="20.25" hidden="1" customHeight="1">
      <c r="A2878" s="91"/>
      <c r="B2878" s="93" t="s">
        <v>8930</v>
      </c>
      <c r="C2878" s="91" t="s">
        <v>36</v>
      </c>
      <c r="D2878" s="107" t="s">
        <v>3890</v>
      </c>
      <c r="E2878" s="107" t="s">
        <v>8971</v>
      </c>
      <c r="F2878" s="91" t="s">
        <v>8970</v>
      </c>
      <c r="G2878" s="96">
        <v>39962</v>
      </c>
      <c r="H2878" s="97">
        <v>20365</v>
      </c>
      <c r="I2878" s="94" t="s">
        <v>58</v>
      </c>
      <c r="J2878" s="94" t="s">
        <v>58</v>
      </c>
      <c r="K2878" s="91">
        <v>973013033</v>
      </c>
      <c r="L2878" s="91" t="s">
        <v>121</v>
      </c>
      <c r="M2878" s="98">
        <f ca="1">(TODAY()-H2878)/365</f>
        <v>70.238356164383561</v>
      </c>
      <c r="N2878" s="99">
        <f>(G2878-H2878)/365</f>
        <v>53.69041095890411</v>
      </c>
      <c r="O2878" s="98">
        <f ca="1">(TODAY()-G2878)/365</f>
        <v>16.547945205479451</v>
      </c>
      <c r="P2878" s="91" t="s">
        <v>43</v>
      </c>
      <c r="Q2878" s="91">
        <v>0</v>
      </c>
      <c r="R2878" s="91">
        <v>0</v>
      </c>
      <c r="S2878" s="91">
        <v>0</v>
      </c>
      <c r="T2878" s="91"/>
      <c r="U2878" s="91"/>
      <c r="V2878" s="91"/>
      <c r="W2878" s="91"/>
      <c r="X2878" s="91"/>
      <c r="Y2878" s="91"/>
      <c r="Z2878" s="91"/>
      <c r="AA2878" s="91"/>
      <c r="AB2878" s="91"/>
      <c r="AC2878" s="91"/>
      <c r="AD2878" s="91"/>
      <c r="AE2878" s="91"/>
      <c r="AF2878" s="91"/>
      <c r="AG2878" s="91"/>
      <c r="AH2878" s="91"/>
      <c r="AI2878" s="91"/>
      <c r="AJ2878" s="91"/>
      <c r="AK2878" s="91"/>
      <c r="AL2878" s="91"/>
      <c r="AM2878" s="91"/>
    </row>
    <row r="2879" spans="1:39" ht="20.25" hidden="1" customHeight="1">
      <c r="A2879" s="91"/>
      <c r="B2879" s="93" t="s">
        <v>8930</v>
      </c>
      <c r="C2879" s="91" t="s">
        <v>36</v>
      </c>
      <c r="D2879" s="107" t="s">
        <v>866</v>
      </c>
      <c r="E2879" s="107" t="s">
        <v>8971</v>
      </c>
      <c r="F2879" s="91" t="s">
        <v>8972</v>
      </c>
      <c r="G2879" s="96">
        <v>37007</v>
      </c>
      <c r="H2879" s="97">
        <v>17210</v>
      </c>
      <c r="I2879" s="94" t="s">
        <v>58</v>
      </c>
      <c r="J2879" s="94" t="s">
        <v>58</v>
      </c>
      <c r="K2879" s="91">
        <v>931996923</v>
      </c>
      <c r="L2879" s="91" t="s">
        <v>60</v>
      </c>
      <c r="M2879" s="98">
        <f ca="1">(TODAY()-H2879)/365</f>
        <v>78.882191780821913</v>
      </c>
      <c r="N2879" s="99">
        <f>(G2879-H2879)/365</f>
        <v>54.238356164383561</v>
      </c>
      <c r="O2879" s="98">
        <f ca="1">(TODAY()-G2879)/365</f>
        <v>24.643835616438356</v>
      </c>
      <c r="P2879" s="91" t="s">
        <v>43</v>
      </c>
      <c r="Q2879" s="91">
        <v>0</v>
      </c>
      <c r="R2879" s="91">
        <v>0</v>
      </c>
      <c r="S2879" s="91">
        <v>0</v>
      </c>
      <c r="T2879" s="91"/>
      <c r="U2879" s="91"/>
      <c r="V2879" s="91"/>
      <c r="W2879" s="91"/>
      <c r="X2879" s="91"/>
      <c r="Y2879" s="91"/>
      <c r="Z2879" s="91"/>
      <c r="AA2879" s="91"/>
      <c r="AB2879" s="91"/>
      <c r="AC2879" s="91"/>
      <c r="AD2879" s="91"/>
      <c r="AE2879" s="91"/>
      <c r="AF2879" s="91"/>
      <c r="AG2879" s="91"/>
      <c r="AH2879" s="91"/>
      <c r="AI2879" s="91"/>
      <c r="AJ2879" s="91"/>
      <c r="AK2879" s="91"/>
      <c r="AL2879" s="91"/>
      <c r="AM2879" s="91"/>
    </row>
    <row r="2880" spans="1:39" ht="20.25" hidden="1" customHeight="1">
      <c r="A2880" s="91"/>
      <c r="B2880" s="93" t="s">
        <v>8930</v>
      </c>
      <c r="C2880" s="91" t="s">
        <v>36</v>
      </c>
      <c r="D2880" s="107" t="s">
        <v>8973</v>
      </c>
      <c r="E2880" s="107" t="s">
        <v>8974</v>
      </c>
      <c r="F2880" s="91" t="s">
        <v>8975</v>
      </c>
      <c r="G2880" s="96">
        <v>44666</v>
      </c>
      <c r="H2880" s="97">
        <v>24168</v>
      </c>
      <c r="I2880" s="94" t="s">
        <v>58</v>
      </c>
      <c r="J2880" s="94" t="s">
        <v>58</v>
      </c>
      <c r="K2880" s="91">
        <v>979313663</v>
      </c>
      <c r="L2880" s="91" t="s">
        <v>60</v>
      </c>
      <c r="M2880" s="98">
        <f ca="1">(TODAY()-H2880)/365</f>
        <v>59.819178082191783</v>
      </c>
      <c r="N2880" s="99">
        <f>(G2880-H2880)/365</f>
        <v>56.158904109589038</v>
      </c>
      <c r="O2880" s="98">
        <f ca="1">(TODAY()-G2880)/365</f>
        <v>3.6602739726027398</v>
      </c>
      <c r="P2880" s="91" t="s">
        <v>43</v>
      </c>
      <c r="Q2880" s="91">
        <v>0</v>
      </c>
      <c r="R2880" s="91">
        <v>0</v>
      </c>
      <c r="S2880" s="91">
        <v>0</v>
      </c>
      <c r="T2880" s="91"/>
      <c r="U2880" s="91"/>
      <c r="V2880" s="91"/>
      <c r="W2880" s="91"/>
      <c r="X2880" s="91"/>
      <c r="Y2880" s="91"/>
      <c r="Z2880" s="91"/>
      <c r="AA2880" s="91"/>
      <c r="AB2880" s="91"/>
      <c r="AC2880" s="91"/>
      <c r="AD2880" s="91"/>
      <c r="AE2880" s="91"/>
      <c r="AF2880" s="91"/>
      <c r="AG2880" s="91"/>
      <c r="AH2880" s="91"/>
      <c r="AI2880" s="91"/>
      <c r="AJ2880" s="91"/>
      <c r="AK2880" s="91"/>
      <c r="AL2880" s="91"/>
      <c r="AM2880" s="91"/>
    </row>
    <row r="2881" spans="1:39" ht="20.25" hidden="1" customHeight="1">
      <c r="A2881" s="91"/>
      <c r="B2881" s="93" t="s">
        <v>8930</v>
      </c>
      <c r="C2881" s="91" t="s">
        <v>36</v>
      </c>
      <c r="D2881" s="107" t="s">
        <v>716</v>
      </c>
      <c r="E2881" s="107" t="s">
        <v>8976</v>
      </c>
      <c r="F2881" s="91" t="s">
        <v>8977</v>
      </c>
      <c r="G2881" s="96">
        <v>38926</v>
      </c>
      <c r="H2881" s="97">
        <v>17948</v>
      </c>
      <c r="I2881" s="94" t="s">
        <v>58</v>
      </c>
      <c r="J2881" s="94" t="s">
        <v>58</v>
      </c>
      <c r="K2881" s="91">
        <v>972171703</v>
      </c>
      <c r="L2881" s="91" t="s">
        <v>72</v>
      </c>
      <c r="M2881" s="98">
        <f ca="1">(TODAY()-H2881)/365</f>
        <v>76.860273972602741</v>
      </c>
      <c r="N2881" s="99">
        <f>(G2881-H2881)/365</f>
        <v>57.473972602739728</v>
      </c>
      <c r="O2881" s="98">
        <f ca="1">(TODAY()-G2881)/365</f>
        <v>19.386301369863013</v>
      </c>
      <c r="P2881" s="91" t="s">
        <v>43</v>
      </c>
      <c r="Q2881" s="91">
        <v>0</v>
      </c>
      <c r="R2881" s="91">
        <v>0</v>
      </c>
      <c r="S2881" s="91">
        <v>0</v>
      </c>
      <c r="T2881" s="91"/>
      <c r="U2881" s="91"/>
      <c r="V2881" s="91"/>
      <c r="W2881" s="91"/>
      <c r="X2881" s="91"/>
      <c r="Y2881" s="91"/>
      <c r="Z2881" s="91"/>
      <c r="AA2881" s="91"/>
      <c r="AB2881" s="91"/>
      <c r="AC2881" s="91"/>
      <c r="AD2881" s="91"/>
      <c r="AE2881" s="91"/>
      <c r="AF2881" s="91"/>
      <c r="AG2881" s="91"/>
      <c r="AH2881" s="91"/>
      <c r="AI2881" s="91"/>
      <c r="AJ2881" s="91"/>
      <c r="AK2881" s="91"/>
      <c r="AL2881" s="91"/>
      <c r="AM2881" s="91"/>
    </row>
    <row r="2882" spans="1:39" ht="20.25" hidden="1" customHeight="1">
      <c r="A2882" s="91"/>
      <c r="B2882" s="93" t="s">
        <v>8930</v>
      </c>
      <c r="C2882" s="91" t="s">
        <v>36</v>
      </c>
      <c r="D2882" s="107" t="s">
        <v>8978</v>
      </c>
      <c r="E2882" s="107" t="s">
        <v>8979</v>
      </c>
      <c r="F2882" s="91" t="s">
        <v>8980</v>
      </c>
      <c r="G2882" s="96">
        <v>44857</v>
      </c>
      <c r="H2882" s="97">
        <v>23554</v>
      </c>
      <c r="I2882" s="94" t="s">
        <v>58</v>
      </c>
      <c r="J2882" s="94" t="s">
        <v>58</v>
      </c>
      <c r="K2882" s="91">
        <v>957535527</v>
      </c>
      <c r="L2882" s="91" t="s">
        <v>197</v>
      </c>
      <c r="M2882" s="98">
        <f ca="1">(TODAY()-H2882)/365</f>
        <v>61.5013698630137</v>
      </c>
      <c r="N2882" s="99">
        <f>(G2882-H2882)/365</f>
        <v>58.364383561643834</v>
      </c>
      <c r="O2882" s="98">
        <f ca="1">(TODAY()-G2882)/365</f>
        <v>3.1369863013698631</v>
      </c>
      <c r="P2882" s="91" t="s">
        <v>43</v>
      </c>
      <c r="Q2882" s="91">
        <v>0</v>
      </c>
      <c r="R2882" s="91">
        <v>0</v>
      </c>
      <c r="S2882" s="91">
        <v>0</v>
      </c>
      <c r="T2882" s="91"/>
      <c r="U2882" s="91"/>
      <c r="V2882" s="91"/>
      <c r="W2882" s="91"/>
      <c r="X2882" s="91"/>
      <c r="Y2882" s="91"/>
      <c r="Z2882" s="91"/>
      <c r="AA2882" s="91"/>
      <c r="AB2882" s="91"/>
      <c r="AC2882" s="91"/>
      <c r="AD2882" s="91"/>
      <c r="AE2882" s="91"/>
      <c r="AF2882" s="91"/>
      <c r="AG2882" s="91"/>
      <c r="AH2882" s="91"/>
      <c r="AI2882" s="91"/>
      <c r="AJ2882" s="91"/>
      <c r="AK2882" s="91"/>
      <c r="AL2882" s="91"/>
      <c r="AM2882" s="91"/>
    </row>
    <row r="2883" spans="1:39" ht="20.25" hidden="1" customHeight="1">
      <c r="A2883" s="91"/>
      <c r="B2883" s="93" t="s">
        <v>8930</v>
      </c>
      <c r="C2883" s="91" t="s">
        <v>36</v>
      </c>
      <c r="D2883" s="107" t="s">
        <v>2648</v>
      </c>
      <c r="E2883" s="107" t="s">
        <v>8981</v>
      </c>
      <c r="F2883" s="91" t="s">
        <v>8982</v>
      </c>
      <c r="G2883" s="96">
        <v>41778</v>
      </c>
      <c r="H2883" s="97">
        <v>18697</v>
      </c>
      <c r="I2883" s="94" t="s">
        <v>58</v>
      </c>
      <c r="J2883" s="94" t="s">
        <v>58</v>
      </c>
      <c r="K2883" s="91">
        <v>932067753</v>
      </c>
      <c r="L2883" s="91" t="s">
        <v>60</v>
      </c>
      <c r="M2883" s="98">
        <f ca="1">(TODAY()-H2883)/365</f>
        <v>74.808219178082197</v>
      </c>
      <c r="N2883" s="99">
        <f>(G2883-H2883)/365</f>
        <v>63.235616438356168</v>
      </c>
      <c r="O2883" s="98">
        <f ca="1">(TODAY()-G2883)/365</f>
        <v>11.572602739726028</v>
      </c>
      <c r="P2883" s="91" t="s">
        <v>43</v>
      </c>
      <c r="Q2883" s="91">
        <v>0</v>
      </c>
      <c r="R2883" s="91">
        <v>0</v>
      </c>
      <c r="S2883" s="91">
        <v>0</v>
      </c>
      <c r="T2883" s="91"/>
      <c r="U2883" s="91"/>
      <c r="V2883" s="91"/>
      <c r="W2883" s="91"/>
      <c r="X2883" s="91"/>
      <c r="Y2883" s="91"/>
      <c r="Z2883" s="91"/>
      <c r="AA2883" s="91"/>
      <c r="AB2883" s="91"/>
      <c r="AC2883" s="91"/>
      <c r="AD2883" s="91"/>
      <c r="AE2883" s="91"/>
      <c r="AF2883" s="91"/>
      <c r="AG2883" s="91"/>
      <c r="AH2883" s="91"/>
      <c r="AI2883" s="91"/>
      <c r="AJ2883" s="91"/>
      <c r="AK2883" s="91"/>
      <c r="AL2883" s="91"/>
      <c r="AM2883" s="91"/>
    </row>
    <row r="2884" spans="1:39" ht="20.25" hidden="1" customHeight="1">
      <c r="A2884" s="91"/>
      <c r="B2884" s="93" t="s">
        <v>8930</v>
      </c>
      <c r="C2884" s="91" t="s">
        <v>36</v>
      </c>
      <c r="D2884" s="107" t="s">
        <v>698</v>
      </c>
      <c r="E2884" s="107" t="s">
        <v>8983</v>
      </c>
      <c r="F2884" s="91" t="s">
        <v>8984</v>
      </c>
      <c r="G2884" s="96">
        <v>45055</v>
      </c>
      <c r="H2884" s="97">
        <v>21720</v>
      </c>
      <c r="I2884" s="94" t="s">
        <v>58</v>
      </c>
      <c r="J2884" s="94" t="s">
        <v>58</v>
      </c>
      <c r="K2884" s="91">
        <v>992014028</v>
      </c>
      <c r="L2884" s="91" t="s">
        <v>60</v>
      </c>
      <c r="M2884" s="98">
        <f ca="1">(TODAY()-H2884)/365</f>
        <v>66.526027397260279</v>
      </c>
      <c r="N2884" s="99">
        <f>(G2884-H2884)/365</f>
        <v>63.93150684931507</v>
      </c>
      <c r="O2884" s="98">
        <f ca="1">(TODAY()-G2884)/365</f>
        <v>2.5945205479452054</v>
      </c>
      <c r="P2884" s="91" t="s">
        <v>43</v>
      </c>
      <c r="Q2884" s="91">
        <v>0</v>
      </c>
      <c r="R2884" s="91">
        <v>0</v>
      </c>
      <c r="S2884" s="91">
        <v>0</v>
      </c>
      <c r="T2884" s="91"/>
      <c r="U2884" s="91"/>
      <c r="V2884" s="91"/>
      <c r="W2884" s="91"/>
      <c r="X2884" s="91"/>
      <c r="Y2884" s="91"/>
      <c r="Z2884" s="91"/>
      <c r="AA2884" s="91"/>
      <c r="AB2884" s="91"/>
      <c r="AC2884" s="91"/>
      <c r="AD2884" s="91"/>
      <c r="AE2884" s="91"/>
      <c r="AF2884" s="91"/>
      <c r="AG2884" s="91"/>
      <c r="AH2884" s="91"/>
      <c r="AI2884" s="91"/>
      <c r="AJ2884" s="91"/>
      <c r="AK2884" s="91"/>
      <c r="AL2884" s="91"/>
      <c r="AM2884" s="91"/>
    </row>
    <row r="2885" spans="1:39" ht="20.25" hidden="1" customHeight="1">
      <c r="A2885" s="91"/>
      <c r="B2885" s="93" t="s">
        <v>8930</v>
      </c>
      <c r="C2885" s="91" t="s">
        <v>36</v>
      </c>
      <c r="D2885" s="107" t="s">
        <v>513</v>
      </c>
      <c r="E2885" s="107" t="s">
        <v>8985</v>
      </c>
      <c r="F2885" s="91" t="s">
        <v>8986</v>
      </c>
      <c r="G2885" s="96">
        <v>45174</v>
      </c>
      <c r="H2885" s="97">
        <v>19863</v>
      </c>
      <c r="I2885" s="94" t="s">
        <v>58</v>
      </c>
      <c r="J2885" s="94" t="s">
        <v>58</v>
      </c>
      <c r="K2885" s="91">
        <v>967417966</v>
      </c>
      <c r="L2885" s="91" t="s">
        <v>60</v>
      </c>
      <c r="M2885" s="98">
        <f ca="1">(TODAY()-H2885)/365</f>
        <v>71.61369863013698</v>
      </c>
      <c r="N2885" s="99">
        <f>(G2885-H2885)/365</f>
        <v>69.345205479452048</v>
      </c>
      <c r="O2885" s="98">
        <f ca="1">(TODAY()-G2885)/365</f>
        <v>2.2684931506849315</v>
      </c>
      <c r="P2885" s="91" t="s">
        <v>43</v>
      </c>
      <c r="Q2885" s="91">
        <v>0</v>
      </c>
      <c r="R2885" s="91">
        <v>0</v>
      </c>
      <c r="S2885" s="91">
        <v>0</v>
      </c>
      <c r="T2885" s="91"/>
      <c r="U2885" s="91"/>
      <c r="V2885" s="91"/>
      <c r="W2885" s="91"/>
      <c r="X2885" s="91"/>
      <c r="Y2885" s="91"/>
      <c r="Z2885" s="91"/>
      <c r="AA2885" s="91"/>
      <c r="AB2885" s="91"/>
      <c r="AC2885" s="91"/>
      <c r="AD2885" s="91"/>
      <c r="AE2885" s="91"/>
      <c r="AF2885" s="91"/>
      <c r="AG2885" s="91"/>
      <c r="AH2885" s="91"/>
      <c r="AI2885" s="91"/>
      <c r="AJ2885" s="91"/>
      <c r="AK2885" s="91"/>
      <c r="AL2885" s="91"/>
      <c r="AM2885" s="91"/>
    </row>
    <row r="2886" spans="1:39" ht="20.25" hidden="1" customHeight="1">
      <c r="A2886" s="91"/>
      <c r="B2886" s="93" t="s">
        <v>8930</v>
      </c>
      <c r="C2886" s="91" t="s">
        <v>36</v>
      </c>
      <c r="D2886" s="107" t="s">
        <v>8987</v>
      </c>
      <c r="E2886" s="107" t="s">
        <v>8988</v>
      </c>
      <c r="F2886" s="91" t="s">
        <v>8989</v>
      </c>
      <c r="G2886" s="96">
        <v>38940</v>
      </c>
      <c r="H2886" s="97">
        <v>13595</v>
      </c>
      <c r="I2886" s="94" t="s">
        <v>58</v>
      </c>
      <c r="J2886" s="94" t="s">
        <v>58</v>
      </c>
      <c r="K2886" s="91">
        <v>995741699</v>
      </c>
      <c r="L2886" s="91" t="s">
        <v>60</v>
      </c>
      <c r="M2886" s="98">
        <f ca="1">(TODAY()-H2886)/365</f>
        <v>88.786301369863011</v>
      </c>
      <c r="N2886" s="99">
        <f>(G2886-H2886)/365</f>
        <v>69.438356164383563</v>
      </c>
      <c r="O2886" s="98">
        <f ca="1">(TODAY()-G2886)/365</f>
        <v>19.347945205479451</v>
      </c>
      <c r="P2886" s="91" t="s">
        <v>43</v>
      </c>
      <c r="Q2886" s="91">
        <v>0</v>
      </c>
      <c r="R2886" s="91">
        <v>0</v>
      </c>
      <c r="S2886" s="91">
        <v>0</v>
      </c>
      <c r="T2886" s="91"/>
      <c r="U2886" s="91"/>
      <c r="V2886" s="91"/>
      <c r="W2886" s="91"/>
      <c r="X2886" s="91"/>
      <c r="Y2886" s="91"/>
      <c r="Z2886" s="91"/>
      <c r="AA2886" s="91"/>
      <c r="AB2886" s="91"/>
      <c r="AC2886" s="91"/>
      <c r="AD2886" s="91"/>
      <c r="AE2886" s="91"/>
      <c r="AF2886" s="91"/>
      <c r="AG2886" s="91"/>
      <c r="AH2886" s="91"/>
      <c r="AI2886" s="91"/>
      <c r="AJ2886" s="91"/>
      <c r="AK2886" s="91"/>
      <c r="AL2886" s="91"/>
      <c r="AM2886" s="91"/>
    </row>
    <row r="2887" spans="1:39" ht="20.25" hidden="1" customHeight="1">
      <c r="A2887" s="91"/>
      <c r="B2887" s="93" t="s">
        <v>8990</v>
      </c>
      <c r="C2887" s="91" t="s">
        <v>36</v>
      </c>
      <c r="D2887" s="94" t="s">
        <v>8991</v>
      </c>
      <c r="E2887" s="94" t="s">
        <v>8992</v>
      </c>
      <c r="F2887" s="95" t="s">
        <v>8993</v>
      </c>
      <c r="G2887" s="96">
        <v>43425</v>
      </c>
      <c r="H2887" s="97">
        <v>37647</v>
      </c>
      <c r="I2887" s="108" t="s">
        <v>12515</v>
      </c>
      <c r="J2887" s="94" t="s">
        <v>8994</v>
      </c>
      <c r="K2887" s="95">
        <v>931100840</v>
      </c>
      <c r="L2887" s="91" t="s">
        <v>167</v>
      </c>
      <c r="M2887" s="98">
        <f ca="1">(TODAY()-H2887)/365</f>
        <v>22.890410958904109</v>
      </c>
      <c r="N2887" s="99">
        <f>(G2887-H2887)/365</f>
        <v>15.830136986301369</v>
      </c>
      <c r="O2887" s="98">
        <f ca="1">(TODAY()-G2887)/365</f>
        <v>7.0602739726027401</v>
      </c>
      <c r="P2887" s="91" t="s">
        <v>43</v>
      </c>
      <c r="Q2887" s="91">
        <v>0</v>
      </c>
      <c r="R2887" s="91">
        <v>0</v>
      </c>
      <c r="S2887" s="91">
        <v>1</v>
      </c>
      <c r="T2887" s="91"/>
      <c r="U2887" s="91"/>
      <c r="V2887" s="91"/>
      <c r="W2887" s="91"/>
      <c r="X2887" s="91"/>
      <c r="Y2887" s="91">
        <v>2023</v>
      </c>
      <c r="Z2887" s="91"/>
      <c r="AA2887" s="91"/>
      <c r="AB2887" s="91"/>
      <c r="AC2887" s="91"/>
      <c r="AD2887" s="91"/>
      <c r="AE2887" s="91"/>
      <c r="AF2887" s="91"/>
      <c r="AG2887" s="91"/>
      <c r="AH2887" s="91"/>
      <c r="AI2887" s="91"/>
      <c r="AJ2887" s="91"/>
      <c r="AK2887" s="91"/>
      <c r="AL2887" s="91"/>
      <c r="AM2887" s="91"/>
    </row>
    <row r="2888" spans="1:39" ht="20.25" hidden="1" customHeight="1">
      <c r="A2888" s="91"/>
      <c r="B2888" s="93" t="s">
        <v>8990</v>
      </c>
      <c r="C2888" s="91" t="s">
        <v>36</v>
      </c>
      <c r="D2888" s="94" t="s">
        <v>459</v>
      </c>
      <c r="E2888" s="94" t="s">
        <v>8995</v>
      </c>
      <c r="F2888" s="95" t="s">
        <v>8996</v>
      </c>
      <c r="G2888" s="96">
        <v>43467</v>
      </c>
      <c r="H2888" s="97">
        <v>37501</v>
      </c>
      <c r="I2888" s="94" t="s">
        <v>8997</v>
      </c>
      <c r="J2888" s="94" t="s">
        <v>8998</v>
      </c>
      <c r="K2888" s="95">
        <v>982765933</v>
      </c>
      <c r="L2888" s="91" t="s">
        <v>121</v>
      </c>
      <c r="M2888" s="98">
        <f ca="1">(TODAY()-H2888)/365</f>
        <v>23.290410958904111</v>
      </c>
      <c r="N2888" s="99">
        <f>(G2888-H2888)/365</f>
        <v>16.345205479452055</v>
      </c>
      <c r="O2888" s="98">
        <f ca="1">(TODAY()-G2888)/365</f>
        <v>6.9452054794520546</v>
      </c>
      <c r="P2888" s="91" t="s">
        <v>43</v>
      </c>
      <c r="Q2888" s="91">
        <v>0</v>
      </c>
      <c r="R2888" s="91">
        <v>0</v>
      </c>
      <c r="S2888" s="91">
        <v>0</v>
      </c>
      <c r="T2888" s="91"/>
      <c r="U2888" s="91"/>
      <c r="V2888" s="91"/>
      <c r="W2888" s="91"/>
      <c r="X2888" s="91"/>
      <c r="Y2888" s="91">
        <v>2023</v>
      </c>
      <c r="Z2888" s="91"/>
      <c r="AA2888" s="91"/>
      <c r="AB2888" s="91"/>
      <c r="AC2888" s="91"/>
      <c r="AD2888" s="91"/>
      <c r="AE2888" s="91"/>
      <c r="AF2888" s="91"/>
      <c r="AG2888" s="91"/>
      <c r="AH2888" s="91"/>
      <c r="AI2888" s="91"/>
      <c r="AJ2888" s="91"/>
      <c r="AK2888" s="91"/>
      <c r="AL2888" s="91"/>
      <c r="AM2888" s="91"/>
    </row>
    <row r="2889" spans="1:39" ht="20.25" hidden="1" customHeight="1">
      <c r="A2889" s="91"/>
      <c r="B2889" s="93" t="s">
        <v>8990</v>
      </c>
      <c r="C2889" s="91" t="s">
        <v>36</v>
      </c>
      <c r="D2889" s="94" t="s">
        <v>8999</v>
      </c>
      <c r="E2889" s="94" t="s">
        <v>9000</v>
      </c>
      <c r="F2889" s="95" t="s">
        <v>9001</v>
      </c>
      <c r="G2889" s="96">
        <v>29281</v>
      </c>
      <c r="H2889" s="97">
        <v>22917</v>
      </c>
      <c r="I2889" s="94" t="s">
        <v>9002</v>
      </c>
      <c r="J2889" s="94" t="s">
        <v>9003</v>
      </c>
      <c r="K2889" s="95">
        <v>973841685</v>
      </c>
      <c r="L2889" s="91" t="s">
        <v>60</v>
      </c>
      <c r="M2889" s="98">
        <f ca="1">(TODAY()-H2889)/365</f>
        <v>63.246575342465754</v>
      </c>
      <c r="N2889" s="99">
        <f>(G2889-H2889)/365</f>
        <v>17.435616438356163</v>
      </c>
      <c r="O2889" s="98">
        <f ca="1">(TODAY()-G2889)/365</f>
        <v>45.81095890410959</v>
      </c>
      <c r="P2889" s="91" t="s">
        <v>43</v>
      </c>
      <c r="Q2889" s="91">
        <v>0</v>
      </c>
      <c r="R2889" s="91">
        <v>0</v>
      </c>
      <c r="S2889" s="91">
        <v>0</v>
      </c>
      <c r="T2889" s="91"/>
      <c r="U2889" s="91"/>
      <c r="V2889" s="91"/>
      <c r="W2889" s="91"/>
      <c r="X2889" s="91"/>
      <c r="Y2889" s="91"/>
      <c r="Z2889" s="91"/>
      <c r="AA2889" s="91"/>
      <c r="AB2889" s="91"/>
      <c r="AC2889" s="91"/>
      <c r="AD2889" s="91"/>
      <c r="AE2889" s="91"/>
      <c r="AF2889" s="91"/>
      <c r="AG2889" s="91"/>
      <c r="AH2889" s="91"/>
      <c r="AI2889" s="91"/>
      <c r="AJ2889" s="91"/>
      <c r="AK2889" s="91"/>
      <c r="AL2889" s="91"/>
      <c r="AM2889" s="91"/>
    </row>
    <row r="2890" spans="1:39" ht="20.25" hidden="1" customHeight="1">
      <c r="A2890" s="91"/>
      <c r="B2890" s="93" t="s">
        <v>8990</v>
      </c>
      <c r="C2890" s="91" t="s">
        <v>36</v>
      </c>
      <c r="D2890" s="94" t="s">
        <v>698</v>
      </c>
      <c r="E2890" s="94" t="s">
        <v>9004</v>
      </c>
      <c r="F2890" s="95" t="s">
        <v>9005</v>
      </c>
      <c r="G2890" s="96">
        <v>34045</v>
      </c>
      <c r="H2890" s="97">
        <v>26696</v>
      </c>
      <c r="I2890" s="94" t="s">
        <v>9006</v>
      </c>
      <c r="J2890" s="94" t="s">
        <v>9007</v>
      </c>
      <c r="K2890" s="95">
        <v>995165243</v>
      </c>
      <c r="L2890" s="91" t="s">
        <v>54</v>
      </c>
      <c r="M2890" s="98">
        <f ca="1">(TODAY()-H2890)/365</f>
        <v>52.893150684931506</v>
      </c>
      <c r="N2890" s="99">
        <f>(G2890-H2890)/365</f>
        <v>20.134246575342466</v>
      </c>
      <c r="O2890" s="98">
        <f ca="1">(TODAY()-G2890)/365</f>
        <v>32.758904109589039</v>
      </c>
      <c r="P2890" s="91" t="s">
        <v>43</v>
      </c>
      <c r="Q2890" s="91">
        <v>0</v>
      </c>
      <c r="R2890" s="91">
        <v>0</v>
      </c>
      <c r="S2890" s="91">
        <v>0</v>
      </c>
      <c r="T2890" s="91"/>
      <c r="U2890" s="91"/>
      <c r="V2890" s="91"/>
      <c r="W2890" s="91"/>
      <c r="X2890" s="91"/>
      <c r="Y2890" s="91"/>
      <c r="Z2890" s="91"/>
      <c r="AA2890" s="91"/>
      <c r="AB2890" s="91"/>
      <c r="AC2890" s="91"/>
      <c r="AD2890" s="91"/>
      <c r="AE2890" s="91"/>
      <c r="AF2890" s="91"/>
      <c r="AG2890" s="91"/>
      <c r="AH2890" s="91"/>
      <c r="AI2890" s="91"/>
      <c r="AJ2890" s="91"/>
      <c r="AK2890" s="91"/>
      <c r="AL2890" s="91"/>
      <c r="AM2890" s="91"/>
    </row>
    <row r="2891" spans="1:39" ht="20.25" hidden="1" customHeight="1">
      <c r="A2891" s="91"/>
      <c r="B2891" s="93" t="s">
        <v>8990</v>
      </c>
      <c r="C2891" s="91" t="s">
        <v>36</v>
      </c>
      <c r="D2891" s="94" t="s">
        <v>9008</v>
      </c>
      <c r="E2891" s="94" t="s">
        <v>9009</v>
      </c>
      <c r="F2891" s="95" t="s">
        <v>9010</v>
      </c>
      <c r="G2891" s="96">
        <v>38422</v>
      </c>
      <c r="H2891" s="97">
        <v>30530</v>
      </c>
      <c r="I2891" s="94" t="s">
        <v>58</v>
      </c>
      <c r="J2891" s="94" t="s">
        <v>9011</v>
      </c>
      <c r="K2891" s="95">
        <v>959752332</v>
      </c>
      <c r="L2891" s="91" t="s">
        <v>216</v>
      </c>
      <c r="M2891" s="98">
        <f ca="1">(TODAY()-H2891)/365</f>
        <v>42.389041095890413</v>
      </c>
      <c r="N2891" s="99">
        <f>(G2891-H2891)/365</f>
        <v>21.621917808219177</v>
      </c>
      <c r="O2891" s="98">
        <f ca="1">(TODAY()-G2891)/365</f>
        <v>20.767123287671232</v>
      </c>
      <c r="P2891" s="91" t="s">
        <v>43</v>
      </c>
      <c r="Q2891" s="91">
        <v>0</v>
      </c>
      <c r="R2891" s="91">
        <v>0</v>
      </c>
      <c r="S2891" s="91">
        <v>1</v>
      </c>
      <c r="T2891" s="91"/>
      <c r="U2891" s="91">
        <v>2023</v>
      </c>
      <c r="V2891" s="91"/>
      <c r="W2891" s="91"/>
      <c r="X2891" s="91"/>
      <c r="Y2891" s="91"/>
      <c r="Z2891" s="91"/>
      <c r="AA2891" s="91"/>
      <c r="AB2891" s="91"/>
      <c r="AC2891" s="91"/>
      <c r="AD2891" s="91"/>
      <c r="AE2891" s="91"/>
      <c r="AF2891" s="91"/>
      <c r="AG2891" s="91"/>
      <c r="AH2891" s="91"/>
      <c r="AI2891" s="91"/>
      <c r="AJ2891" s="91"/>
      <c r="AK2891" s="91"/>
      <c r="AL2891" s="91"/>
      <c r="AM2891" s="91"/>
    </row>
    <row r="2892" spans="1:39" ht="20.25" hidden="1" customHeight="1">
      <c r="A2892" s="91"/>
      <c r="B2892" s="93" t="s">
        <v>8990</v>
      </c>
      <c r="C2892" s="91" t="s">
        <v>36</v>
      </c>
      <c r="D2892" s="94" t="s">
        <v>1241</v>
      </c>
      <c r="E2892" s="94" t="s">
        <v>9012</v>
      </c>
      <c r="F2892" s="95" t="s">
        <v>9013</v>
      </c>
      <c r="G2892" s="96">
        <v>44958</v>
      </c>
      <c r="H2892" s="97">
        <v>36456</v>
      </c>
      <c r="I2892" s="94" t="s">
        <v>9014</v>
      </c>
      <c r="J2892" s="94" t="s">
        <v>9015</v>
      </c>
      <c r="K2892" s="95">
        <v>982611265</v>
      </c>
      <c r="L2892" s="91" t="s">
        <v>60</v>
      </c>
      <c r="M2892" s="98">
        <f ca="1">(TODAY()-H2892)/365</f>
        <v>26.153424657534245</v>
      </c>
      <c r="N2892" s="99">
        <f>(G2892-H2892)/365</f>
        <v>23.293150684931508</v>
      </c>
      <c r="O2892" s="98">
        <f ca="1">(TODAY()-G2892)/365</f>
        <v>2.8602739726027395</v>
      </c>
      <c r="P2892" s="91" t="s">
        <v>43</v>
      </c>
      <c r="Q2892" s="91">
        <v>0</v>
      </c>
      <c r="R2892" s="91">
        <v>0</v>
      </c>
      <c r="S2892" s="91">
        <v>0</v>
      </c>
      <c r="T2892" s="91"/>
      <c r="U2892" s="91"/>
      <c r="V2892" s="91"/>
      <c r="W2892" s="91"/>
      <c r="X2892" s="91"/>
      <c r="Y2892" s="91"/>
      <c r="Z2892" s="91"/>
      <c r="AA2892" s="91"/>
      <c r="AB2892" s="91"/>
      <c r="AC2892" s="91"/>
      <c r="AD2892" s="91"/>
      <c r="AE2892" s="91"/>
      <c r="AF2892" s="91"/>
      <c r="AG2892" s="91"/>
      <c r="AH2892" s="91"/>
      <c r="AI2892" s="91"/>
      <c r="AJ2892" s="91"/>
      <c r="AK2892" s="91"/>
      <c r="AL2892" s="91"/>
      <c r="AM2892" s="91"/>
    </row>
    <row r="2893" spans="1:39" ht="20.25" hidden="1" customHeight="1">
      <c r="A2893" s="91"/>
      <c r="B2893" s="93" t="s">
        <v>8990</v>
      </c>
      <c r="C2893" s="91" t="s">
        <v>36</v>
      </c>
      <c r="D2893" s="94" t="s">
        <v>3944</v>
      </c>
      <c r="E2893" s="94" t="s">
        <v>9016</v>
      </c>
      <c r="F2893" s="95" t="s">
        <v>9017</v>
      </c>
      <c r="G2893" s="96">
        <v>44959</v>
      </c>
      <c r="H2893" s="97">
        <v>35821</v>
      </c>
      <c r="I2893" s="94" t="s">
        <v>9018</v>
      </c>
      <c r="J2893" s="94" t="s">
        <v>9019</v>
      </c>
      <c r="K2893" s="95">
        <v>994584453</v>
      </c>
      <c r="L2893" s="91" t="s">
        <v>60</v>
      </c>
      <c r="M2893" s="98">
        <f ca="1">(TODAY()-H2893)/365</f>
        <v>27.893150684931506</v>
      </c>
      <c r="N2893" s="99">
        <f>(G2893-H2893)/365</f>
        <v>25.035616438356165</v>
      </c>
      <c r="O2893" s="98">
        <f ca="1">(TODAY()-G2893)/365</f>
        <v>2.8575342465753426</v>
      </c>
      <c r="P2893" s="91" t="s">
        <v>43</v>
      </c>
      <c r="Q2893" s="91">
        <v>0</v>
      </c>
      <c r="R2893" s="91">
        <v>0</v>
      </c>
      <c r="S2893" s="91">
        <v>0</v>
      </c>
      <c r="T2893" s="91"/>
      <c r="U2893" s="91"/>
      <c r="V2893" s="91"/>
      <c r="W2893" s="91"/>
      <c r="X2893" s="91"/>
      <c r="Y2893" s="91"/>
      <c r="Z2893" s="91"/>
      <c r="AA2893" s="91"/>
      <c r="AB2893" s="91"/>
      <c r="AC2893" s="91"/>
      <c r="AD2893" s="91"/>
      <c r="AE2893" s="91"/>
      <c r="AF2893" s="91"/>
      <c r="AG2893" s="91"/>
      <c r="AH2893" s="91"/>
      <c r="AI2893" s="91"/>
      <c r="AJ2893" s="91"/>
      <c r="AK2893" s="91"/>
      <c r="AL2893" s="91"/>
      <c r="AM2893" s="91"/>
    </row>
    <row r="2894" spans="1:39" ht="20.25" hidden="1" customHeight="1">
      <c r="A2894" s="91"/>
      <c r="B2894" s="93" t="s">
        <v>8990</v>
      </c>
      <c r="C2894" s="91" t="s">
        <v>36</v>
      </c>
      <c r="D2894" s="94" t="s">
        <v>1344</v>
      </c>
      <c r="E2894" s="94" t="s">
        <v>9020</v>
      </c>
      <c r="F2894" s="95" t="s">
        <v>9021</v>
      </c>
      <c r="G2894" s="96">
        <v>31854</v>
      </c>
      <c r="H2894" s="97">
        <v>22699</v>
      </c>
      <c r="I2894" s="108" t="s">
        <v>12516</v>
      </c>
      <c r="J2894" s="94" t="s">
        <v>9022</v>
      </c>
      <c r="K2894" s="95">
        <v>994585495</v>
      </c>
      <c r="L2894" s="91" t="s">
        <v>60</v>
      </c>
      <c r="M2894" s="98">
        <f ca="1">(TODAY()-H2894)/365</f>
        <v>63.843835616438355</v>
      </c>
      <c r="N2894" s="99">
        <f>(G2894-H2894)/365</f>
        <v>25.082191780821919</v>
      </c>
      <c r="O2894" s="98">
        <f ca="1">(TODAY()-G2894)/365</f>
        <v>38.761643835616439</v>
      </c>
      <c r="P2894" s="91" t="s">
        <v>43</v>
      </c>
      <c r="Q2894" s="91">
        <v>0</v>
      </c>
      <c r="R2894" s="91">
        <v>0</v>
      </c>
      <c r="S2894" s="91">
        <v>0</v>
      </c>
      <c r="T2894" s="91"/>
      <c r="U2894" s="91"/>
      <c r="V2894" s="91"/>
      <c r="W2894" s="91"/>
      <c r="X2894" s="91"/>
      <c r="Y2894" s="91"/>
      <c r="Z2894" s="91"/>
      <c r="AA2894" s="91"/>
      <c r="AB2894" s="91"/>
      <c r="AC2894" s="91"/>
      <c r="AD2894" s="91"/>
      <c r="AE2894" s="91"/>
      <c r="AF2894" s="91"/>
      <c r="AG2894" s="91"/>
      <c r="AH2894" s="91"/>
      <c r="AI2894" s="91"/>
      <c r="AJ2894" s="91"/>
      <c r="AK2894" s="91"/>
      <c r="AL2894" s="91"/>
      <c r="AM2894" s="91"/>
    </row>
    <row r="2895" spans="1:39" ht="20.25" customHeight="1">
      <c r="A2895" s="91"/>
      <c r="B2895" s="93" t="s">
        <v>11928</v>
      </c>
      <c r="C2895" s="91" t="s">
        <v>73</v>
      </c>
      <c r="D2895" s="107" t="s">
        <v>6906</v>
      </c>
      <c r="E2895" s="107" t="s">
        <v>7516</v>
      </c>
      <c r="F2895" s="91" t="s">
        <v>7517</v>
      </c>
      <c r="G2895" s="96">
        <v>44535</v>
      </c>
      <c r="H2895" s="97">
        <v>23129</v>
      </c>
      <c r="I2895" s="94" t="s">
        <v>58</v>
      </c>
      <c r="J2895" s="94" t="s">
        <v>58</v>
      </c>
      <c r="K2895" s="95" t="s">
        <v>58</v>
      </c>
      <c r="L2895" s="91" t="s">
        <v>60</v>
      </c>
      <c r="M2895" s="98">
        <f ca="1">(TODAY()-H2895)/365</f>
        <v>62.665753424657531</v>
      </c>
      <c r="N2895" s="99">
        <f>(G2895-H2895)/365</f>
        <v>58.646575342465752</v>
      </c>
      <c r="O2895" s="98">
        <f ca="1">(TODAY()-G2895)/365</f>
        <v>4.0191780821917806</v>
      </c>
      <c r="P2895" s="91" t="s">
        <v>43</v>
      </c>
      <c r="Q2895" s="91">
        <v>0</v>
      </c>
      <c r="R2895" s="91">
        <v>0</v>
      </c>
      <c r="S2895" s="91">
        <v>0</v>
      </c>
      <c r="T2895" s="91"/>
      <c r="U2895" s="91"/>
      <c r="V2895" s="91"/>
      <c r="W2895" s="91"/>
      <c r="X2895" s="91"/>
      <c r="Y2895" s="91"/>
      <c r="Z2895" s="91"/>
      <c r="AA2895" s="91"/>
      <c r="AB2895" s="91"/>
      <c r="AC2895" s="91"/>
      <c r="AD2895" s="91"/>
      <c r="AE2895" s="91"/>
      <c r="AF2895" s="91"/>
      <c r="AG2895" s="91"/>
      <c r="AH2895" s="91"/>
      <c r="AI2895" s="91"/>
      <c r="AJ2895" s="91"/>
      <c r="AK2895" s="91"/>
      <c r="AL2895" s="91"/>
      <c r="AM2895" s="91"/>
    </row>
    <row r="2896" spans="1:39" ht="20.25" hidden="1" customHeight="1">
      <c r="A2896" s="91"/>
      <c r="B2896" s="93" t="s">
        <v>8990</v>
      </c>
      <c r="C2896" s="91" t="s">
        <v>36</v>
      </c>
      <c r="D2896" s="94" t="s">
        <v>9024</v>
      </c>
      <c r="E2896" s="94" t="s">
        <v>9025</v>
      </c>
      <c r="F2896" s="95" t="s">
        <v>9026</v>
      </c>
      <c r="G2896" s="96">
        <v>34248</v>
      </c>
      <c r="H2896" s="97">
        <v>23308</v>
      </c>
      <c r="I2896" s="94" t="s">
        <v>58</v>
      </c>
      <c r="J2896" s="94" t="s">
        <v>58</v>
      </c>
      <c r="K2896" s="95">
        <v>984434712</v>
      </c>
      <c r="L2896" s="91" t="s">
        <v>60</v>
      </c>
      <c r="M2896" s="98">
        <f ca="1">(TODAY()-H2896)/365</f>
        <v>62.175342465753424</v>
      </c>
      <c r="N2896" s="99">
        <f>(G2896-H2896)/365</f>
        <v>29.972602739726028</v>
      </c>
      <c r="O2896" s="98">
        <f ca="1">(TODAY()-G2896)/365</f>
        <v>32.202739726027396</v>
      </c>
      <c r="P2896" s="91" t="s">
        <v>43</v>
      </c>
      <c r="Q2896" s="91">
        <v>0</v>
      </c>
      <c r="R2896" s="91">
        <v>0</v>
      </c>
      <c r="S2896" s="91">
        <v>0</v>
      </c>
      <c r="T2896" s="91"/>
      <c r="U2896" s="91"/>
      <c r="V2896" s="91"/>
      <c r="W2896" s="91"/>
      <c r="X2896" s="91"/>
      <c r="Y2896" s="91"/>
      <c r="Z2896" s="91"/>
      <c r="AA2896" s="91"/>
      <c r="AB2896" s="91"/>
      <c r="AC2896" s="91"/>
      <c r="AD2896" s="91"/>
      <c r="AE2896" s="91"/>
      <c r="AF2896" s="91"/>
      <c r="AG2896" s="91"/>
      <c r="AH2896" s="91"/>
      <c r="AI2896" s="91"/>
      <c r="AJ2896" s="91"/>
      <c r="AK2896" s="91"/>
      <c r="AL2896" s="91"/>
      <c r="AM2896" s="91"/>
    </row>
    <row r="2897" spans="1:39" ht="20.25" hidden="1" customHeight="1">
      <c r="A2897" s="91"/>
      <c r="B2897" s="93" t="s">
        <v>8990</v>
      </c>
      <c r="C2897" s="91" t="s">
        <v>36</v>
      </c>
      <c r="D2897" s="94" t="s">
        <v>1349</v>
      </c>
      <c r="E2897" s="94" t="s">
        <v>9027</v>
      </c>
      <c r="F2897" s="95" t="s">
        <v>9028</v>
      </c>
      <c r="G2897" s="96">
        <v>41654</v>
      </c>
      <c r="H2897" s="97">
        <v>29761</v>
      </c>
      <c r="I2897" s="108" t="s">
        <v>12517</v>
      </c>
      <c r="J2897" s="94" t="s">
        <v>9029</v>
      </c>
      <c r="K2897" s="95">
        <v>950140112</v>
      </c>
      <c r="L2897" s="91" t="s">
        <v>42</v>
      </c>
      <c r="M2897" s="98">
        <f ca="1">(TODAY()-H2897)/365</f>
        <v>44.495890410958907</v>
      </c>
      <c r="N2897" s="99">
        <f>(G2897-H2897)/365</f>
        <v>32.583561643835615</v>
      </c>
      <c r="O2897" s="98">
        <f ca="1">(TODAY()-G2897)/365</f>
        <v>11.912328767123288</v>
      </c>
      <c r="P2897" s="91" t="s">
        <v>272</v>
      </c>
      <c r="Q2897" s="91">
        <v>0</v>
      </c>
      <c r="R2897" s="91">
        <v>0</v>
      </c>
      <c r="S2897" s="91">
        <v>1</v>
      </c>
      <c r="T2897" s="91"/>
      <c r="U2897" s="91"/>
      <c r="V2897" s="91"/>
      <c r="W2897" s="91"/>
      <c r="X2897" s="91"/>
      <c r="Y2897" s="91"/>
      <c r="Z2897" s="91"/>
      <c r="AA2897" s="91"/>
      <c r="AB2897" s="91"/>
      <c r="AC2897" s="91"/>
      <c r="AD2897" s="91"/>
      <c r="AE2897" s="91"/>
      <c r="AF2897" s="91"/>
      <c r="AG2897" s="91"/>
      <c r="AH2897" s="91"/>
      <c r="AI2897" s="91"/>
      <c r="AJ2897" s="91"/>
      <c r="AK2897" s="91"/>
      <c r="AL2897" s="91"/>
      <c r="AM2897" s="91"/>
    </row>
    <row r="2898" spans="1:39" ht="20.25" hidden="1" customHeight="1">
      <c r="A2898" s="91"/>
      <c r="B2898" s="93" t="s">
        <v>8990</v>
      </c>
      <c r="C2898" s="91" t="s">
        <v>36</v>
      </c>
      <c r="D2898" s="94" t="s">
        <v>9030</v>
      </c>
      <c r="E2898" s="94" t="s">
        <v>9031</v>
      </c>
      <c r="F2898" s="95" t="s">
        <v>9032</v>
      </c>
      <c r="G2898" s="96">
        <v>33100</v>
      </c>
      <c r="H2898" s="97">
        <v>18490</v>
      </c>
      <c r="I2898" s="94" t="s">
        <v>58</v>
      </c>
      <c r="J2898" s="94" t="s">
        <v>9033</v>
      </c>
      <c r="K2898" s="95">
        <v>972378246</v>
      </c>
      <c r="L2898" s="91" t="s">
        <v>60</v>
      </c>
      <c r="M2898" s="98">
        <f ca="1">(TODAY()-H2898)/365</f>
        <v>75.37534246575342</v>
      </c>
      <c r="N2898" s="99">
        <f>(G2898-H2898)/365</f>
        <v>40.027397260273972</v>
      </c>
      <c r="O2898" s="98">
        <f ca="1">(TODAY()-G2898)/365</f>
        <v>35.347945205479455</v>
      </c>
      <c r="P2898" s="91" t="s">
        <v>43</v>
      </c>
      <c r="Q2898" s="91">
        <v>0</v>
      </c>
      <c r="R2898" s="91">
        <v>0</v>
      </c>
      <c r="S2898" s="91">
        <v>0</v>
      </c>
      <c r="T2898" s="91"/>
      <c r="U2898" s="91"/>
      <c r="V2898" s="91"/>
      <c r="W2898" s="91"/>
      <c r="X2898" s="91"/>
      <c r="Y2898" s="91"/>
      <c r="Z2898" s="91"/>
      <c r="AA2898" s="91"/>
      <c r="AB2898" s="91"/>
      <c r="AC2898" s="91"/>
      <c r="AD2898" s="91"/>
      <c r="AE2898" s="91"/>
      <c r="AF2898" s="91"/>
      <c r="AG2898" s="91"/>
      <c r="AH2898" s="91"/>
      <c r="AI2898" s="91"/>
      <c r="AJ2898" s="91"/>
      <c r="AK2898" s="91"/>
      <c r="AL2898" s="91"/>
      <c r="AM2898" s="91"/>
    </row>
    <row r="2899" spans="1:39" ht="20.25" hidden="1" customHeight="1">
      <c r="A2899" s="91"/>
      <c r="B2899" s="93" t="s">
        <v>8990</v>
      </c>
      <c r="C2899" s="91" t="s">
        <v>36</v>
      </c>
      <c r="D2899" s="94" t="s">
        <v>9034</v>
      </c>
      <c r="E2899" s="94" t="s">
        <v>9035</v>
      </c>
      <c r="F2899" s="95" t="s">
        <v>9036</v>
      </c>
      <c r="G2899" s="96">
        <v>42737</v>
      </c>
      <c r="H2899" s="97">
        <v>27956</v>
      </c>
      <c r="I2899" s="94" t="s">
        <v>58</v>
      </c>
      <c r="J2899" s="94" t="s">
        <v>8994</v>
      </c>
      <c r="K2899" s="95">
        <v>954583587</v>
      </c>
      <c r="L2899" s="91" t="s">
        <v>197</v>
      </c>
      <c r="M2899" s="98">
        <f ca="1">(TODAY()-H2899)/365</f>
        <v>49.441095890410956</v>
      </c>
      <c r="N2899" s="99">
        <f>(G2899-H2899)/365</f>
        <v>40.495890410958907</v>
      </c>
      <c r="O2899" s="98">
        <f ca="1">(TODAY()-G2899)/365</f>
        <v>8.9452054794520546</v>
      </c>
      <c r="P2899" s="91" t="s">
        <v>43</v>
      </c>
      <c r="Q2899" s="91">
        <v>0</v>
      </c>
      <c r="R2899" s="91">
        <v>0</v>
      </c>
      <c r="S2899" s="91">
        <v>1</v>
      </c>
      <c r="T2899" s="91"/>
      <c r="U2899" s="91"/>
      <c r="V2899" s="91"/>
      <c r="W2899" s="91"/>
      <c r="X2899" s="91"/>
      <c r="Y2899" s="91">
        <v>2023</v>
      </c>
      <c r="Z2899" s="91"/>
      <c r="AA2899" s="91"/>
      <c r="AB2899" s="91"/>
      <c r="AC2899" s="91"/>
      <c r="AD2899" s="91"/>
      <c r="AE2899" s="91"/>
      <c r="AF2899" s="91"/>
      <c r="AG2899" s="91"/>
      <c r="AH2899" s="91"/>
      <c r="AI2899" s="91"/>
      <c r="AJ2899" s="91"/>
      <c r="AK2899" s="91"/>
      <c r="AL2899" s="91"/>
      <c r="AM2899" s="91"/>
    </row>
    <row r="2900" spans="1:39" ht="20.25" customHeight="1">
      <c r="A2900" s="91"/>
      <c r="B2900" s="93" t="s">
        <v>6787</v>
      </c>
      <c r="C2900" s="91" t="s">
        <v>73</v>
      </c>
      <c r="D2900" s="107" t="s">
        <v>2767</v>
      </c>
      <c r="E2900" s="107" t="s">
        <v>6811</v>
      </c>
      <c r="F2900" s="91" t="s">
        <v>6812</v>
      </c>
      <c r="G2900" s="96">
        <v>45303</v>
      </c>
      <c r="H2900" s="97">
        <v>28126</v>
      </c>
      <c r="I2900" s="94" t="s">
        <v>6813</v>
      </c>
      <c r="J2900" s="94" t="s">
        <v>6814</v>
      </c>
      <c r="K2900" s="91">
        <v>979929736</v>
      </c>
      <c r="L2900" s="91" t="s">
        <v>60</v>
      </c>
      <c r="M2900" s="98">
        <f ca="1">(TODAY()-H2900)/365</f>
        <v>48.975342465753428</v>
      </c>
      <c r="N2900" s="99">
        <f>(G2900-H2900)/365</f>
        <v>47.060273972602737</v>
      </c>
      <c r="O2900" s="98">
        <f ca="1">(TODAY()-G2900)/365</f>
        <v>1.9150684931506849</v>
      </c>
      <c r="P2900" s="91" t="s">
        <v>43</v>
      </c>
      <c r="Q2900" s="91">
        <v>0</v>
      </c>
      <c r="R2900" s="91">
        <v>0</v>
      </c>
      <c r="S2900" s="91">
        <v>0</v>
      </c>
      <c r="T2900" s="91"/>
      <c r="U2900" s="91"/>
      <c r="V2900" s="91"/>
      <c r="W2900" s="91"/>
      <c r="X2900" s="91"/>
      <c r="Y2900" s="91"/>
      <c r="Z2900" s="91"/>
      <c r="AA2900" s="91"/>
      <c r="AB2900" s="91"/>
      <c r="AC2900" s="91"/>
      <c r="AD2900" s="91"/>
      <c r="AE2900" s="91"/>
      <c r="AF2900" s="91"/>
      <c r="AG2900" s="91"/>
      <c r="AH2900" s="91"/>
      <c r="AI2900" s="91"/>
      <c r="AJ2900" s="91"/>
      <c r="AK2900" s="91"/>
      <c r="AL2900" s="91"/>
      <c r="AM2900" s="91"/>
    </row>
    <row r="2901" spans="1:39" ht="20.25" hidden="1" customHeight="1">
      <c r="A2901" s="91"/>
      <c r="B2901" s="93" t="s">
        <v>8990</v>
      </c>
      <c r="C2901" s="91" t="s">
        <v>36</v>
      </c>
      <c r="D2901" s="94" t="s">
        <v>4315</v>
      </c>
      <c r="E2901" s="94" t="s">
        <v>9040</v>
      </c>
      <c r="F2901" s="95" t="s">
        <v>9041</v>
      </c>
      <c r="G2901" s="96">
        <v>37654</v>
      </c>
      <c r="H2901" s="97">
        <v>21225</v>
      </c>
      <c r="I2901" s="94" t="s">
        <v>9042</v>
      </c>
      <c r="J2901" s="94" t="s">
        <v>9043</v>
      </c>
      <c r="K2901" s="95">
        <v>961048245</v>
      </c>
      <c r="L2901" s="91" t="s">
        <v>60</v>
      </c>
      <c r="M2901" s="98">
        <f ca="1">(TODAY()-H2901)/365</f>
        <v>67.882191780821913</v>
      </c>
      <c r="N2901" s="99">
        <f>(G2901-H2901)/365</f>
        <v>45.010958904109586</v>
      </c>
      <c r="O2901" s="98">
        <f ca="1">(TODAY()-G2901)/365</f>
        <v>22.87123287671233</v>
      </c>
      <c r="P2901" s="91" t="s">
        <v>43</v>
      </c>
      <c r="Q2901" s="91">
        <v>0</v>
      </c>
      <c r="R2901" s="91">
        <v>0</v>
      </c>
      <c r="S2901" s="91">
        <v>0</v>
      </c>
      <c r="T2901" s="91"/>
      <c r="U2901" s="91"/>
      <c r="V2901" s="91"/>
      <c r="W2901" s="91"/>
      <c r="X2901" s="91"/>
      <c r="Y2901" s="91"/>
      <c r="Z2901" s="91"/>
      <c r="AA2901" s="91"/>
      <c r="AB2901" s="91"/>
      <c r="AC2901" s="91"/>
      <c r="AD2901" s="91"/>
      <c r="AE2901" s="91"/>
      <c r="AF2901" s="91"/>
      <c r="AG2901" s="91"/>
      <c r="AH2901" s="91"/>
      <c r="AI2901" s="91"/>
      <c r="AJ2901" s="91"/>
      <c r="AK2901" s="91"/>
      <c r="AL2901" s="91"/>
      <c r="AM2901" s="91"/>
    </row>
    <row r="2902" spans="1:39" ht="20.25" hidden="1" customHeight="1">
      <c r="A2902" s="91"/>
      <c r="B2902" s="93" t="s">
        <v>8990</v>
      </c>
      <c r="C2902" s="91" t="s">
        <v>36</v>
      </c>
      <c r="D2902" s="94" t="s">
        <v>1386</v>
      </c>
      <c r="E2902" s="94" t="s">
        <v>9044</v>
      </c>
      <c r="F2902" s="95" t="s">
        <v>9045</v>
      </c>
      <c r="G2902" s="96">
        <v>33678</v>
      </c>
      <c r="H2902" s="97">
        <v>17071</v>
      </c>
      <c r="I2902" s="94" t="s">
        <v>58</v>
      </c>
      <c r="J2902" s="94" t="s">
        <v>9046</v>
      </c>
      <c r="K2902" s="95">
        <v>993193064</v>
      </c>
      <c r="L2902" s="91" t="s">
        <v>66</v>
      </c>
      <c r="M2902" s="98">
        <f ca="1">(TODAY()-H2902)/365</f>
        <v>79.263013698630132</v>
      </c>
      <c r="N2902" s="99">
        <f>(G2902-H2902)/365</f>
        <v>45.4986301369863</v>
      </c>
      <c r="O2902" s="98">
        <f ca="1">(TODAY()-G2902)/365</f>
        <v>33.764383561643832</v>
      </c>
      <c r="P2902" s="91" t="s">
        <v>43</v>
      </c>
      <c r="Q2902" s="91">
        <v>0</v>
      </c>
      <c r="R2902" s="91">
        <v>0</v>
      </c>
      <c r="S2902" s="91">
        <v>0</v>
      </c>
      <c r="T2902" s="91"/>
      <c r="U2902" s="91"/>
      <c r="V2902" s="91"/>
      <c r="W2902" s="91"/>
      <c r="X2902" s="91"/>
      <c r="Y2902" s="91"/>
      <c r="Z2902" s="91"/>
      <c r="AA2902" s="91"/>
      <c r="AB2902" s="91"/>
      <c r="AC2902" s="91"/>
      <c r="AD2902" s="91"/>
      <c r="AE2902" s="91"/>
      <c r="AF2902" s="91"/>
      <c r="AG2902" s="91"/>
      <c r="AH2902" s="91"/>
      <c r="AI2902" s="91"/>
      <c r="AJ2902" s="91"/>
      <c r="AK2902" s="91"/>
      <c r="AL2902" s="91"/>
      <c r="AM2902" s="91"/>
    </row>
    <row r="2903" spans="1:39" ht="20.25" hidden="1" customHeight="1">
      <c r="A2903" s="91"/>
      <c r="B2903" s="93" t="s">
        <v>8990</v>
      </c>
      <c r="C2903" s="91" t="s">
        <v>36</v>
      </c>
      <c r="D2903" s="94" t="s">
        <v>1225</v>
      </c>
      <c r="E2903" s="94" t="s">
        <v>9020</v>
      </c>
      <c r="F2903" s="95" t="s">
        <v>9047</v>
      </c>
      <c r="G2903" s="96">
        <v>39449</v>
      </c>
      <c r="H2903" s="97">
        <v>22699</v>
      </c>
      <c r="I2903" s="94" t="s">
        <v>9048</v>
      </c>
      <c r="J2903" s="94" t="s">
        <v>9049</v>
      </c>
      <c r="K2903" s="95">
        <v>977833019</v>
      </c>
      <c r="L2903" s="91" t="s">
        <v>72</v>
      </c>
      <c r="M2903" s="98">
        <f ca="1">(TODAY()-H2903)/365</f>
        <v>63.843835616438355</v>
      </c>
      <c r="N2903" s="99">
        <f>(G2903-H2903)/365</f>
        <v>45.890410958904113</v>
      </c>
      <c r="O2903" s="98">
        <f ca="1">(TODAY()-G2903)/365</f>
        <v>17.953424657534246</v>
      </c>
      <c r="P2903" s="91" t="s">
        <v>43</v>
      </c>
      <c r="Q2903" s="91">
        <v>0</v>
      </c>
      <c r="R2903" s="91">
        <v>0</v>
      </c>
      <c r="S2903" s="91">
        <v>0</v>
      </c>
      <c r="T2903" s="91"/>
      <c r="U2903" s="91"/>
      <c r="V2903" s="91"/>
      <c r="W2903" s="91"/>
      <c r="X2903" s="91"/>
      <c r="Y2903" s="91"/>
      <c r="Z2903" s="91"/>
      <c r="AA2903" s="91"/>
      <c r="AB2903" s="91"/>
      <c r="AC2903" s="91"/>
      <c r="AD2903" s="91"/>
      <c r="AE2903" s="91"/>
      <c r="AF2903" s="91"/>
      <c r="AG2903" s="91"/>
      <c r="AH2903" s="91"/>
      <c r="AI2903" s="91"/>
      <c r="AJ2903" s="91"/>
      <c r="AK2903" s="91"/>
      <c r="AL2903" s="91"/>
      <c r="AM2903" s="91"/>
    </row>
    <row r="2904" spans="1:39" ht="20.25" hidden="1" customHeight="1">
      <c r="A2904" s="91"/>
      <c r="B2904" s="93" t="s">
        <v>8990</v>
      </c>
      <c r="C2904" s="91" t="s">
        <v>36</v>
      </c>
      <c r="D2904" s="94" t="s">
        <v>9050</v>
      </c>
      <c r="E2904" s="94" t="s">
        <v>9051</v>
      </c>
      <c r="F2904" s="95" t="s">
        <v>9052</v>
      </c>
      <c r="G2904" s="96">
        <v>43295</v>
      </c>
      <c r="H2904" s="97">
        <v>25895</v>
      </c>
      <c r="I2904" s="94" t="s">
        <v>9053</v>
      </c>
      <c r="J2904" s="94" t="s">
        <v>9054</v>
      </c>
      <c r="K2904" s="95">
        <v>965312699</v>
      </c>
      <c r="L2904" s="91" t="s">
        <v>60</v>
      </c>
      <c r="M2904" s="98">
        <f ca="1">(TODAY()-H2904)/365</f>
        <v>55.087671232876716</v>
      </c>
      <c r="N2904" s="99">
        <f>(G2904-H2904)/365</f>
        <v>47.671232876712331</v>
      </c>
      <c r="O2904" s="98">
        <f ca="1">(TODAY()-G2904)/365</f>
        <v>7.4164383561643836</v>
      </c>
      <c r="P2904" s="91" t="s">
        <v>43</v>
      </c>
      <c r="Q2904" s="91">
        <v>0</v>
      </c>
      <c r="R2904" s="91">
        <v>0</v>
      </c>
      <c r="S2904" s="91">
        <v>0</v>
      </c>
      <c r="T2904" s="91"/>
      <c r="U2904" s="91"/>
      <c r="V2904" s="91"/>
      <c r="W2904" s="91"/>
      <c r="X2904" s="91"/>
      <c r="Y2904" s="91"/>
      <c r="Z2904" s="91"/>
      <c r="AA2904" s="91"/>
      <c r="AB2904" s="91"/>
      <c r="AC2904" s="91"/>
      <c r="AD2904" s="91"/>
      <c r="AE2904" s="91"/>
      <c r="AF2904" s="91"/>
      <c r="AG2904" s="91"/>
      <c r="AH2904" s="91"/>
      <c r="AI2904" s="91"/>
      <c r="AJ2904" s="91"/>
      <c r="AK2904" s="91"/>
      <c r="AL2904" s="91"/>
      <c r="AM2904" s="91"/>
    </row>
    <row r="2905" spans="1:39" ht="20.25" hidden="1" customHeight="1">
      <c r="A2905" s="91"/>
      <c r="B2905" s="93" t="s">
        <v>8990</v>
      </c>
      <c r="C2905" s="91" t="s">
        <v>36</v>
      </c>
      <c r="D2905" s="94" t="s">
        <v>9055</v>
      </c>
      <c r="E2905" s="94" t="s">
        <v>9056</v>
      </c>
      <c r="F2905" s="95" t="s">
        <v>9057</v>
      </c>
      <c r="G2905" s="96">
        <v>44964</v>
      </c>
      <c r="H2905" s="97">
        <v>27159</v>
      </c>
      <c r="I2905" s="94" t="s">
        <v>9058</v>
      </c>
      <c r="J2905" s="94" t="s">
        <v>58</v>
      </c>
      <c r="K2905" s="95">
        <v>965906969</v>
      </c>
      <c r="L2905" s="91" t="s">
        <v>60</v>
      </c>
      <c r="M2905" s="98">
        <f ca="1">(TODAY()-H2905)/365</f>
        <v>51.624657534246573</v>
      </c>
      <c r="N2905" s="99">
        <f>(G2905-H2905)/365</f>
        <v>48.780821917808218</v>
      </c>
      <c r="O2905" s="98">
        <f ca="1">(TODAY()-G2905)/365</f>
        <v>2.8438356164383563</v>
      </c>
      <c r="P2905" s="91" t="s">
        <v>43</v>
      </c>
      <c r="Q2905" s="91">
        <v>0</v>
      </c>
      <c r="R2905" s="91">
        <v>0</v>
      </c>
      <c r="S2905" s="91">
        <v>0</v>
      </c>
      <c r="T2905" s="91"/>
      <c r="U2905" s="91"/>
      <c r="V2905" s="91"/>
      <c r="W2905" s="91"/>
      <c r="X2905" s="91"/>
      <c r="Y2905" s="91"/>
      <c r="Z2905" s="91"/>
      <c r="AA2905" s="91"/>
      <c r="AB2905" s="91"/>
      <c r="AC2905" s="91"/>
      <c r="AD2905" s="91"/>
      <c r="AE2905" s="91"/>
      <c r="AF2905" s="91"/>
      <c r="AG2905" s="91"/>
      <c r="AH2905" s="91"/>
      <c r="AI2905" s="91"/>
      <c r="AJ2905" s="91"/>
      <c r="AK2905" s="91"/>
      <c r="AL2905" s="91"/>
      <c r="AM2905" s="91"/>
    </row>
    <row r="2906" spans="1:39" ht="20.25" hidden="1" customHeight="1">
      <c r="A2906" s="91"/>
      <c r="B2906" s="93" t="s">
        <v>8990</v>
      </c>
      <c r="C2906" s="91" t="s">
        <v>36</v>
      </c>
      <c r="D2906" s="94" t="s">
        <v>249</v>
      </c>
      <c r="E2906" s="94" t="s">
        <v>9059</v>
      </c>
      <c r="F2906" s="95" t="s">
        <v>9060</v>
      </c>
      <c r="G2906" s="96">
        <v>37653</v>
      </c>
      <c r="H2906" s="97">
        <v>18937</v>
      </c>
      <c r="I2906" s="94" t="s">
        <v>58</v>
      </c>
      <c r="J2906" s="94" t="s">
        <v>58</v>
      </c>
      <c r="K2906" s="95">
        <v>98549788</v>
      </c>
      <c r="L2906" s="91" t="s">
        <v>60</v>
      </c>
      <c r="M2906" s="98">
        <f ca="1">(TODAY()-H2906)/365</f>
        <v>74.150684931506845</v>
      </c>
      <c r="N2906" s="99">
        <f>(G2906-H2906)/365</f>
        <v>51.276712328767125</v>
      </c>
      <c r="O2906" s="98">
        <f ca="1">(TODAY()-G2906)/365</f>
        <v>22.873972602739727</v>
      </c>
      <c r="P2906" s="91" t="s">
        <v>272</v>
      </c>
      <c r="Q2906" s="91">
        <v>0</v>
      </c>
      <c r="R2906" s="91">
        <v>0</v>
      </c>
      <c r="S2906" s="91">
        <v>0</v>
      </c>
      <c r="T2906" s="91"/>
      <c r="U2906" s="91"/>
      <c r="V2906" s="91"/>
      <c r="W2906" s="91"/>
      <c r="X2906" s="91"/>
      <c r="Y2906" s="91"/>
      <c r="Z2906" s="91"/>
      <c r="AA2906" s="91"/>
      <c r="AB2906" s="91"/>
      <c r="AC2906" s="91"/>
      <c r="AD2906" s="91"/>
      <c r="AE2906" s="91"/>
      <c r="AF2906" s="91"/>
      <c r="AG2906" s="91"/>
      <c r="AH2906" s="91"/>
      <c r="AI2906" s="91"/>
      <c r="AJ2906" s="91"/>
      <c r="AK2906" s="91"/>
      <c r="AL2906" s="91"/>
      <c r="AM2906" s="91"/>
    </row>
    <row r="2907" spans="1:39" ht="20.25" customHeight="1">
      <c r="A2907" s="91"/>
      <c r="B2907" s="93" t="s">
        <v>580</v>
      </c>
      <c r="C2907" s="91" t="s">
        <v>73</v>
      </c>
      <c r="D2907" s="94" t="s">
        <v>626</v>
      </c>
      <c r="E2907" s="94" t="s">
        <v>627</v>
      </c>
      <c r="F2907" s="95" t="s">
        <v>628</v>
      </c>
      <c r="G2907" s="96">
        <v>40122</v>
      </c>
      <c r="H2907" s="97">
        <v>22293</v>
      </c>
      <c r="I2907" s="108" t="s">
        <v>12321</v>
      </c>
      <c r="J2907" s="100" t="s">
        <v>58</v>
      </c>
      <c r="K2907" s="91" t="s">
        <v>58</v>
      </c>
      <c r="L2907" s="91" t="s">
        <v>60</v>
      </c>
      <c r="M2907" s="98">
        <f ca="1">(TODAY()-H2907)/365</f>
        <v>64.956164383561642</v>
      </c>
      <c r="N2907" s="99">
        <f>(G2907-H2907)/365</f>
        <v>48.846575342465755</v>
      </c>
      <c r="O2907" s="98">
        <f ca="1">(TODAY()-G2907)/365</f>
        <v>16.109589041095891</v>
      </c>
      <c r="P2907" s="91" t="s">
        <v>43</v>
      </c>
      <c r="Q2907" s="91">
        <v>0</v>
      </c>
      <c r="R2907" s="91">
        <v>0</v>
      </c>
      <c r="S2907" s="91">
        <v>0</v>
      </c>
      <c r="T2907" s="91"/>
      <c r="U2907" s="91"/>
      <c r="V2907" s="91"/>
      <c r="W2907" s="91"/>
      <c r="X2907" s="91"/>
      <c r="Y2907" s="91"/>
      <c r="Z2907" s="91"/>
      <c r="AA2907" s="91"/>
      <c r="AB2907" s="91"/>
      <c r="AC2907" s="91"/>
      <c r="AD2907" s="91"/>
      <c r="AE2907" s="91"/>
      <c r="AF2907" s="91"/>
      <c r="AG2907" s="91"/>
      <c r="AH2907" s="91"/>
      <c r="AI2907" s="91"/>
      <c r="AJ2907" s="91"/>
      <c r="AK2907" s="91"/>
      <c r="AL2907" s="91"/>
      <c r="AM2907" s="91"/>
    </row>
    <row r="2908" spans="1:39" ht="20.25" customHeight="1">
      <c r="A2908" s="91"/>
      <c r="B2908" s="93" t="s">
        <v>11879</v>
      </c>
      <c r="C2908" s="91" t="s">
        <v>73</v>
      </c>
      <c r="D2908" s="107" t="s">
        <v>1450</v>
      </c>
      <c r="E2908" s="107" t="s">
        <v>6277</v>
      </c>
      <c r="F2908" s="91" t="s">
        <v>6278</v>
      </c>
      <c r="G2908" s="96">
        <v>43845</v>
      </c>
      <c r="H2908" s="97">
        <v>21271</v>
      </c>
      <c r="I2908" s="94" t="s">
        <v>58</v>
      </c>
      <c r="J2908" s="94" t="s">
        <v>58</v>
      </c>
      <c r="K2908" s="95" t="s">
        <v>58</v>
      </c>
      <c r="L2908" s="91" t="s">
        <v>60</v>
      </c>
      <c r="M2908" s="98">
        <f ca="1">(TODAY()-H2908)/365</f>
        <v>67.756164383561639</v>
      </c>
      <c r="N2908" s="99">
        <f>(G2908-H2908)/365</f>
        <v>61.846575342465755</v>
      </c>
      <c r="O2908" s="98">
        <f ca="1">(TODAY()-G2908)/365</f>
        <v>5.9095890410958907</v>
      </c>
      <c r="P2908" s="91" t="s">
        <v>43</v>
      </c>
      <c r="Q2908" s="91"/>
      <c r="R2908" s="91"/>
      <c r="S2908" s="91"/>
      <c r="T2908" s="91"/>
      <c r="U2908" s="91"/>
      <c r="V2908" s="91"/>
      <c r="W2908" s="91"/>
      <c r="X2908" s="91"/>
      <c r="Y2908" s="91"/>
      <c r="Z2908" s="91"/>
      <c r="AA2908" s="91"/>
      <c r="AB2908" s="91"/>
      <c r="AC2908" s="91"/>
      <c r="AD2908" s="91"/>
      <c r="AE2908" s="91"/>
      <c r="AF2908" s="91"/>
      <c r="AG2908" s="91"/>
      <c r="AH2908" s="91"/>
      <c r="AI2908" s="91"/>
      <c r="AJ2908" s="91"/>
      <c r="AK2908" s="91"/>
      <c r="AL2908" s="91"/>
      <c r="AM2908" s="91"/>
    </row>
    <row r="2909" spans="1:39" ht="20.25" hidden="1" customHeight="1">
      <c r="A2909" s="91"/>
      <c r="B2909" s="93" t="s">
        <v>8990</v>
      </c>
      <c r="C2909" s="91" t="s">
        <v>36</v>
      </c>
      <c r="D2909" s="94" t="s">
        <v>361</v>
      </c>
      <c r="E2909" s="94" t="s">
        <v>9065</v>
      </c>
      <c r="F2909" s="95" t="s">
        <v>9066</v>
      </c>
      <c r="G2909" s="96">
        <v>35873</v>
      </c>
      <c r="H2909" s="97">
        <v>14814</v>
      </c>
      <c r="I2909" s="94" t="s">
        <v>58</v>
      </c>
      <c r="J2909" s="94" t="s">
        <v>58</v>
      </c>
      <c r="K2909" s="95">
        <v>979798263</v>
      </c>
      <c r="L2909" s="91" t="s">
        <v>151</v>
      </c>
      <c r="M2909" s="98">
        <f ca="1">(TODAY()-H2909)/365</f>
        <v>85.446575342465749</v>
      </c>
      <c r="N2909" s="99">
        <f>(G2909-H2909)/365</f>
        <v>57.695890410958903</v>
      </c>
      <c r="O2909" s="98">
        <f ca="1">(TODAY()-G2909)/365</f>
        <v>27.75068493150685</v>
      </c>
      <c r="P2909" s="91" t="s">
        <v>43</v>
      </c>
      <c r="Q2909" s="91">
        <v>0</v>
      </c>
      <c r="R2909" s="91">
        <v>0</v>
      </c>
      <c r="S2909" s="91">
        <v>0</v>
      </c>
      <c r="T2909" s="91"/>
      <c r="U2909" s="91"/>
      <c r="V2909" s="91"/>
      <c r="W2909" s="91"/>
      <c r="X2909" s="91"/>
      <c r="Y2909" s="91"/>
      <c r="Z2909" s="91"/>
      <c r="AA2909" s="91"/>
      <c r="AB2909" s="91"/>
      <c r="AC2909" s="91"/>
      <c r="AD2909" s="91"/>
      <c r="AE2909" s="91"/>
      <c r="AF2909" s="91"/>
      <c r="AG2909" s="91"/>
      <c r="AH2909" s="91"/>
      <c r="AI2909" s="91"/>
      <c r="AJ2909" s="91"/>
      <c r="AK2909" s="91"/>
      <c r="AL2909" s="91"/>
      <c r="AM2909" s="91"/>
    </row>
    <row r="2910" spans="1:39" ht="20.25" hidden="1" customHeight="1">
      <c r="A2910" s="91"/>
      <c r="B2910" s="93" t="s">
        <v>8990</v>
      </c>
      <c r="C2910" s="91" t="s">
        <v>36</v>
      </c>
      <c r="D2910" s="94" t="s">
        <v>3580</v>
      </c>
      <c r="E2910" s="94" t="s">
        <v>9067</v>
      </c>
      <c r="F2910" s="95" t="s">
        <v>9068</v>
      </c>
      <c r="G2910" s="96">
        <v>44927</v>
      </c>
      <c r="H2910" s="97">
        <v>22472</v>
      </c>
      <c r="I2910" s="94" t="s">
        <v>58</v>
      </c>
      <c r="J2910" s="94" t="s">
        <v>9069</v>
      </c>
      <c r="K2910" s="95">
        <v>937146186</v>
      </c>
      <c r="L2910" s="91" t="s">
        <v>60</v>
      </c>
      <c r="M2910" s="98">
        <f ca="1">(TODAY()-H2910)/365</f>
        <v>64.465753424657535</v>
      </c>
      <c r="N2910" s="99">
        <f>(G2910-H2910)/365</f>
        <v>61.520547945205479</v>
      </c>
      <c r="O2910" s="98">
        <f ca="1">(TODAY()-G2910)/365</f>
        <v>2.9452054794520546</v>
      </c>
      <c r="P2910" s="91" t="s">
        <v>43</v>
      </c>
      <c r="Q2910" s="91">
        <v>0</v>
      </c>
      <c r="R2910" s="91">
        <v>0</v>
      </c>
      <c r="S2910" s="91">
        <v>0</v>
      </c>
      <c r="T2910" s="91"/>
      <c r="U2910" s="91"/>
      <c r="V2910" s="91"/>
      <c r="W2910" s="91"/>
      <c r="X2910" s="91"/>
      <c r="Y2910" s="91"/>
      <c r="Z2910" s="91"/>
      <c r="AA2910" s="91"/>
      <c r="AB2910" s="91"/>
      <c r="AC2910" s="91"/>
      <c r="AD2910" s="91"/>
      <c r="AE2910" s="91"/>
      <c r="AF2910" s="91"/>
      <c r="AG2910" s="91"/>
      <c r="AH2910" s="91"/>
      <c r="AI2910" s="91"/>
      <c r="AJ2910" s="91"/>
      <c r="AK2910" s="91"/>
      <c r="AL2910" s="91"/>
      <c r="AM2910" s="91"/>
    </row>
    <row r="2911" spans="1:39" ht="20.25" hidden="1" customHeight="1">
      <c r="A2911" s="91"/>
      <c r="B2911" s="93" t="s">
        <v>8990</v>
      </c>
      <c r="C2911" s="91" t="s">
        <v>36</v>
      </c>
      <c r="D2911" s="94" t="s">
        <v>771</v>
      </c>
      <c r="E2911" s="94" t="s">
        <v>9070</v>
      </c>
      <c r="F2911" s="95" t="s">
        <v>9071</v>
      </c>
      <c r="G2911" s="96">
        <v>44959</v>
      </c>
      <c r="H2911" s="97">
        <v>21747</v>
      </c>
      <c r="I2911" s="94" t="s">
        <v>9072</v>
      </c>
      <c r="J2911" s="94" t="s">
        <v>9073</v>
      </c>
      <c r="K2911" s="95">
        <v>991297376</v>
      </c>
      <c r="L2911" s="91" t="s">
        <v>60</v>
      </c>
      <c r="M2911" s="98">
        <f ca="1">(TODAY()-H2911)/365</f>
        <v>66.452054794520549</v>
      </c>
      <c r="N2911" s="99">
        <f>(G2911-H2911)/365</f>
        <v>63.594520547945208</v>
      </c>
      <c r="O2911" s="98">
        <f ca="1">(TODAY()-G2911)/365</f>
        <v>2.8575342465753426</v>
      </c>
      <c r="P2911" s="91" t="s">
        <v>43</v>
      </c>
      <c r="Q2911" s="91">
        <v>0</v>
      </c>
      <c r="R2911" s="91">
        <v>0</v>
      </c>
      <c r="S2911" s="91">
        <v>0</v>
      </c>
      <c r="T2911" s="91"/>
      <c r="U2911" s="91"/>
      <c r="V2911" s="91"/>
      <c r="W2911" s="91"/>
      <c r="X2911" s="91"/>
      <c r="Y2911" s="91"/>
      <c r="Z2911" s="91"/>
      <c r="AA2911" s="91"/>
      <c r="AB2911" s="91"/>
      <c r="AC2911" s="91"/>
      <c r="AD2911" s="91"/>
      <c r="AE2911" s="91"/>
      <c r="AF2911" s="91"/>
      <c r="AG2911" s="91"/>
      <c r="AH2911" s="91"/>
      <c r="AI2911" s="91"/>
      <c r="AJ2911" s="91"/>
      <c r="AK2911" s="91"/>
      <c r="AL2911" s="91"/>
      <c r="AM2911" s="91"/>
    </row>
    <row r="2912" spans="1:39" ht="20.25" customHeight="1">
      <c r="A2912" s="91"/>
      <c r="B2912" s="93" t="s">
        <v>11873</v>
      </c>
      <c r="C2912" s="91" t="s">
        <v>73</v>
      </c>
      <c r="D2912" s="106" t="s">
        <v>463</v>
      </c>
      <c r="E2912" s="106" t="s">
        <v>6126</v>
      </c>
      <c r="F2912" s="92" t="s">
        <v>6127</v>
      </c>
      <c r="G2912" s="96">
        <v>45646</v>
      </c>
      <c r="H2912" s="97" t="s">
        <v>58</v>
      </c>
      <c r="I2912" s="100" t="s">
        <v>58</v>
      </c>
      <c r="J2912" s="100" t="s">
        <v>58</v>
      </c>
      <c r="K2912" s="91" t="s">
        <v>58</v>
      </c>
      <c r="L2912" s="91" t="s">
        <v>60</v>
      </c>
      <c r="M2912" s="98">
        <v>0</v>
      </c>
      <c r="N2912" s="91"/>
      <c r="O2912" s="98">
        <f ca="1">(TODAY()-G2912)/365</f>
        <v>0.97534246575342465</v>
      </c>
      <c r="P2912" s="91" t="s">
        <v>43</v>
      </c>
      <c r="Q2912" s="91">
        <v>0</v>
      </c>
      <c r="R2912" s="91">
        <v>0</v>
      </c>
      <c r="S2912" s="91">
        <v>0</v>
      </c>
      <c r="T2912" s="91"/>
      <c r="U2912" s="91"/>
      <c r="V2912" s="91"/>
      <c r="W2912" s="91"/>
      <c r="X2912" s="91"/>
      <c r="Y2912" s="91"/>
      <c r="Z2912" s="91"/>
      <c r="AA2912" s="91"/>
      <c r="AB2912" s="91"/>
      <c r="AC2912" s="91"/>
      <c r="AD2912" s="91"/>
      <c r="AE2912" s="91"/>
      <c r="AF2912" s="91"/>
      <c r="AG2912" s="91"/>
      <c r="AH2912" s="91"/>
      <c r="AI2912" s="91"/>
      <c r="AJ2912" s="91"/>
      <c r="AK2912" s="91"/>
      <c r="AL2912" s="91"/>
      <c r="AM2912" s="91"/>
    </row>
    <row r="2913" spans="1:39" ht="20.25" hidden="1" customHeight="1">
      <c r="A2913" s="91"/>
      <c r="B2913" s="93" t="s">
        <v>8990</v>
      </c>
      <c r="C2913" s="91" t="s">
        <v>36</v>
      </c>
      <c r="D2913" s="94" t="s">
        <v>346</v>
      </c>
      <c r="E2913" s="94" t="s">
        <v>9077</v>
      </c>
      <c r="F2913" s="95" t="s">
        <v>9078</v>
      </c>
      <c r="G2913" s="96">
        <v>45047</v>
      </c>
      <c r="H2913" s="97">
        <v>20979</v>
      </c>
      <c r="I2913" s="94" t="s">
        <v>58</v>
      </c>
      <c r="J2913" s="94" t="s">
        <v>9079</v>
      </c>
      <c r="K2913" s="95">
        <v>978589169</v>
      </c>
      <c r="L2913" s="91" t="s">
        <v>60</v>
      </c>
      <c r="M2913" s="98">
        <f ca="1">(TODAY()-H2913)/365</f>
        <v>68.556164383561651</v>
      </c>
      <c r="N2913" s="99">
        <f>(G2913-H2913)/365</f>
        <v>65.939726027397256</v>
      </c>
      <c r="O2913" s="98">
        <f ca="1">(TODAY()-G2913)/365</f>
        <v>2.6164383561643834</v>
      </c>
      <c r="P2913" s="91" t="s">
        <v>43</v>
      </c>
      <c r="Q2913" s="91">
        <v>0</v>
      </c>
      <c r="R2913" s="91">
        <v>0</v>
      </c>
      <c r="S2913" s="91">
        <v>0</v>
      </c>
      <c r="T2913" s="91"/>
      <c r="U2913" s="91"/>
      <c r="V2913" s="91"/>
      <c r="W2913" s="91"/>
      <c r="X2913" s="91"/>
      <c r="Y2913" s="91"/>
      <c r="Z2913" s="91"/>
      <c r="AA2913" s="91"/>
      <c r="AB2913" s="91"/>
      <c r="AC2913" s="91"/>
      <c r="AD2913" s="91"/>
      <c r="AE2913" s="91"/>
      <c r="AF2913" s="91"/>
      <c r="AG2913" s="91"/>
      <c r="AH2913" s="91"/>
      <c r="AI2913" s="91"/>
      <c r="AJ2913" s="91"/>
      <c r="AK2913" s="91"/>
      <c r="AL2913" s="91"/>
      <c r="AM2913" s="91"/>
    </row>
    <row r="2914" spans="1:39" ht="20.25" hidden="1" customHeight="1">
      <c r="A2914" s="91"/>
      <c r="B2914" s="93" t="s">
        <v>8990</v>
      </c>
      <c r="C2914" s="91" t="s">
        <v>36</v>
      </c>
      <c r="D2914" s="94" t="s">
        <v>1330</v>
      </c>
      <c r="E2914" s="94" t="s">
        <v>9080</v>
      </c>
      <c r="F2914" s="95" t="s">
        <v>9081</v>
      </c>
      <c r="G2914" s="96">
        <v>45120</v>
      </c>
      <c r="H2914" s="97">
        <v>19359</v>
      </c>
      <c r="I2914" s="94" t="s">
        <v>9082</v>
      </c>
      <c r="J2914" s="94" t="s">
        <v>9083</v>
      </c>
      <c r="K2914" s="95">
        <v>945262815</v>
      </c>
      <c r="L2914" s="91" t="s">
        <v>60</v>
      </c>
      <c r="M2914" s="98">
        <f ca="1">(TODAY()-H2914)/365</f>
        <v>72.9945205479452</v>
      </c>
      <c r="N2914" s="99">
        <f>(G2914-H2914)/365</f>
        <v>70.578082191780823</v>
      </c>
      <c r="O2914" s="98">
        <f ca="1">(TODAY()-G2914)/365</f>
        <v>2.4164383561643836</v>
      </c>
      <c r="P2914" s="91" t="s">
        <v>43</v>
      </c>
      <c r="Q2914" s="91">
        <v>0</v>
      </c>
      <c r="R2914" s="91">
        <v>0</v>
      </c>
      <c r="S2914" s="91">
        <v>0</v>
      </c>
      <c r="T2914" s="91"/>
      <c r="U2914" s="91"/>
      <c r="V2914" s="91"/>
      <c r="W2914" s="91"/>
      <c r="X2914" s="91"/>
      <c r="Y2914" s="91"/>
      <c r="Z2914" s="91"/>
      <c r="AA2914" s="91"/>
      <c r="AB2914" s="91"/>
      <c r="AC2914" s="91"/>
      <c r="AD2914" s="91"/>
      <c r="AE2914" s="91"/>
      <c r="AF2914" s="91"/>
      <c r="AG2914" s="91"/>
      <c r="AH2914" s="91"/>
      <c r="AI2914" s="91"/>
      <c r="AJ2914" s="91"/>
      <c r="AK2914" s="91"/>
      <c r="AL2914" s="91"/>
      <c r="AM2914" s="91"/>
    </row>
    <row r="2915" spans="1:39" ht="20.25" customHeight="1">
      <c r="A2915" s="91"/>
      <c r="B2915" s="93" t="s">
        <v>1659</v>
      </c>
      <c r="C2915" s="91" t="s">
        <v>73</v>
      </c>
      <c r="D2915" s="94" t="s">
        <v>494</v>
      </c>
      <c r="E2915" s="94" t="s">
        <v>1669</v>
      </c>
      <c r="F2915" s="95" t="s">
        <v>1672</v>
      </c>
      <c r="G2915" s="96">
        <v>43601</v>
      </c>
      <c r="H2915" s="97">
        <v>32076</v>
      </c>
      <c r="I2915" s="94" t="s">
        <v>1673</v>
      </c>
      <c r="J2915" s="100" t="s">
        <v>58</v>
      </c>
      <c r="K2915" s="91" t="s">
        <v>58</v>
      </c>
      <c r="L2915" s="91" t="s">
        <v>60</v>
      </c>
      <c r="M2915" s="98">
        <f ca="1">(TODAY()-H2915)/365</f>
        <v>38.153424657534245</v>
      </c>
      <c r="N2915" s="99">
        <f>(G2915-H2915)/365</f>
        <v>31.575342465753426</v>
      </c>
      <c r="O2915" s="98">
        <f ca="1">(TODAY()-G2915)/365</f>
        <v>6.5780821917808217</v>
      </c>
      <c r="P2915" s="91" t="s">
        <v>272</v>
      </c>
      <c r="Q2915" s="91">
        <v>0</v>
      </c>
      <c r="R2915" s="91">
        <v>0</v>
      </c>
      <c r="S2915" s="91">
        <v>0</v>
      </c>
      <c r="T2915" s="91"/>
      <c r="U2915" s="91"/>
      <c r="V2915" s="91"/>
      <c r="W2915" s="91"/>
      <c r="X2915" s="91"/>
      <c r="Y2915" s="91"/>
      <c r="Z2915" s="91"/>
      <c r="AA2915" s="91"/>
      <c r="AB2915" s="91"/>
      <c r="AC2915" s="91"/>
      <c r="AD2915" s="91"/>
      <c r="AE2915" s="91"/>
      <c r="AF2915" s="91"/>
      <c r="AG2915" s="91"/>
      <c r="AH2915" s="91"/>
      <c r="AI2915" s="91"/>
      <c r="AJ2915" s="91"/>
      <c r="AK2915" s="91"/>
      <c r="AL2915" s="91"/>
      <c r="AM2915" s="91"/>
    </row>
    <row r="2916" spans="1:39" ht="20.25" hidden="1" customHeight="1">
      <c r="A2916" s="91"/>
      <c r="B2916" s="93" t="s">
        <v>8990</v>
      </c>
      <c r="C2916" s="91" t="s">
        <v>36</v>
      </c>
      <c r="D2916" s="94" t="s">
        <v>291</v>
      </c>
      <c r="E2916" s="94" t="s">
        <v>9086</v>
      </c>
      <c r="F2916" s="95" t="s">
        <v>12682</v>
      </c>
      <c r="G2916" s="96">
        <v>44635</v>
      </c>
      <c r="H2916" s="97">
        <v>17751</v>
      </c>
      <c r="I2916" s="94" t="s">
        <v>9087</v>
      </c>
      <c r="J2916" s="94" t="s">
        <v>9088</v>
      </c>
      <c r="K2916" s="95">
        <v>979663158</v>
      </c>
      <c r="L2916" s="91" t="s">
        <v>60</v>
      </c>
      <c r="M2916" s="98">
        <f ca="1">(TODAY()-H2916)/365</f>
        <v>77.400000000000006</v>
      </c>
      <c r="N2916" s="99">
        <f>(G2916-H2916)/365</f>
        <v>73.654794520547952</v>
      </c>
      <c r="O2916" s="98">
        <f ca="1">(TODAY()-G2916)/365</f>
        <v>3.7452054794520548</v>
      </c>
      <c r="P2916" s="91" t="s">
        <v>43</v>
      </c>
      <c r="Q2916" s="91">
        <v>0</v>
      </c>
      <c r="R2916" s="91">
        <v>0</v>
      </c>
      <c r="S2916" s="91">
        <v>0</v>
      </c>
      <c r="T2916" s="91"/>
      <c r="U2916" s="91"/>
      <c r="V2916" s="91"/>
      <c r="W2916" s="91"/>
      <c r="X2916" s="91"/>
      <c r="Y2916" s="91"/>
      <c r="Z2916" s="91"/>
      <c r="AA2916" s="91"/>
      <c r="AB2916" s="91"/>
      <c r="AC2916" s="91"/>
      <c r="AD2916" s="91"/>
      <c r="AE2916" s="91"/>
      <c r="AF2916" s="91"/>
      <c r="AG2916" s="91"/>
      <c r="AH2916" s="91"/>
      <c r="AI2916" s="91"/>
      <c r="AJ2916" s="91"/>
      <c r="AK2916" s="91"/>
      <c r="AL2916" s="91"/>
      <c r="AM2916" s="91"/>
    </row>
    <row r="2917" spans="1:39" ht="20.25" hidden="1" customHeight="1">
      <c r="A2917" s="91"/>
      <c r="B2917" s="93" t="s">
        <v>8990</v>
      </c>
      <c r="C2917" s="91" t="s">
        <v>36</v>
      </c>
      <c r="D2917" s="94" t="s">
        <v>249</v>
      </c>
      <c r="E2917" s="94" t="s">
        <v>9089</v>
      </c>
      <c r="F2917" s="95" t="s">
        <v>9090</v>
      </c>
      <c r="G2917" s="96">
        <v>38719</v>
      </c>
      <c r="H2917" s="97">
        <v>9550</v>
      </c>
      <c r="I2917" s="94" t="s">
        <v>58</v>
      </c>
      <c r="J2917" s="94" t="s">
        <v>58</v>
      </c>
      <c r="K2917" s="95" t="s">
        <v>58</v>
      </c>
      <c r="L2917" s="91" t="s">
        <v>60</v>
      </c>
      <c r="M2917" s="98">
        <f ca="1">(TODAY()-H2917)/365</f>
        <v>99.868493150684927</v>
      </c>
      <c r="N2917" s="99">
        <f>(G2917-H2917)/365</f>
        <v>79.915068493150685</v>
      </c>
      <c r="O2917" s="98">
        <f ca="1">(TODAY()-G2917)/365</f>
        <v>19.953424657534246</v>
      </c>
      <c r="P2917" s="91" t="s">
        <v>272</v>
      </c>
      <c r="Q2917" s="91">
        <v>0</v>
      </c>
      <c r="R2917" s="91">
        <v>0</v>
      </c>
      <c r="S2917" s="91">
        <v>0</v>
      </c>
      <c r="T2917" s="91"/>
      <c r="U2917" s="91"/>
      <c r="V2917" s="91"/>
      <c r="W2917" s="91"/>
      <c r="X2917" s="91"/>
      <c r="Y2917" s="91"/>
      <c r="Z2917" s="91"/>
      <c r="AA2917" s="91"/>
      <c r="AB2917" s="91"/>
      <c r="AC2917" s="91"/>
      <c r="AD2917" s="91"/>
      <c r="AE2917" s="91"/>
      <c r="AF2917" s="91"/>
      <c r="AG2917" s="91"/>
      <c r="AH2917" s="91"/>
      <c r="AI2917" s="91"/>
      <c r="AJ2917" s="91"/>
      <c r="AK2917" s="91"/>
      <c r="AL2917" s="91"/>
      <c r="AM2917" s="91"/>
    </row>
    <row r="2918" spans="1:39" ht="20.25" hidden="1" customHeight="1">
      <c r="A2918" s="91"/>
      <c r="B2918" s="93" t="s">
        <v>12002</v>
      </c>
      <c r="C2918" s="91" t="s">
        <v>36</v>
      </c>
      <c r="D2918" s="107" t="s">
        <v>4609</v>
      </c>
      <c r="E2918" s="107" t="s">
        <v>9091</v>
      </c>
      <c r="F2918" s="92" t="s">
        <v>9092</v>
      </c>
      <c r="G2918" s="96">
        <v>37988</v>
      </c>
      <c r="H2918" s="97">
        <v>33007</v>
      </c>
      <c r="I2918" s="100" t="s">
        <v>9093</v>
      </c>
      <c r="J2918" s="94" t="s">
        <v>9094</v>
      </c>
      <c r="K2918" s="92">
        <v>992669477</v>
      </c>
      <c r="L2918" s="91" t="s">
        <v>216</v>
      </c>
      <c r="M2918" s="98">
        <f ca="1">(TODAY()-H2918)/365</f>
        <v>35.602739726027394</v>
      </c>
      <c r="N2918" s="99">
        <f>(G2918-H2918)/365</f>
        <v>13.646575342465754</v>
      </c>
      <c r="O2918" s="98">
        <f ca="1">(TODAY()-G2918)/365</f>
        <v>21.956164383561642</v>
      </c>
      <c r="P2918" s="91" t="s">
        <v>43</v>
      </c>
      <c r="Q2918" s="91">
        <v>1</v>
      </c>
      <c r="R2918" s="91">
        <v>0</v>
      </c>
      <c r="S2918" s="91">
        <v>0</v>
      </c>
      <c r="T2918" s="91"/>
      <c r="U2918" s="91"/>
      <c r="V2918" s="91"/>
      <c r="W2918" s="91"/>
      <c r="X2918" s="91"/>
      <c r="Y2918" s="91"/>
      <c r="Z2918" s="91"/>
      <c r="AA2918" s="91"/>
      <c r="AB2918" s="91"/>
      <c r="AC2918" s="91"/>
      <c r="AD2918" s="91"/>
      <c r="AE2918" s="91"/>
      <c r="AF2918" s="91"/>
      <c r="AG2918" s="91"/>
      <c r="AH2918" s="91"/>
      <c r="AI2918" s="91"/>
      <c r="AJ2918" s="91"/>
      <c r="AK2918" s="91"/>
      <c r="AL2918" s="91"/>
      <c r="AM2918" s="91"/>
    </row>
    <row r="2919" spans="1:39" ht="20.25" hidden="1" customHeight="1">
      <c r="A2919" s="91"/>
      <c r="B2919" s="93" t="s">
        <v>12002</v>
      </c>
      <c r="C2919" s="91" t="s">
        <v>36</v>
      </c>
      <c r="D2919" s="107" t="s">
        <v>9095</v>
      </c>
      <c r="E2919" s="107" t="s">
        <v>9096</v>
      </c>
      <c r="F2919" s="92" t="s">
        <v>9097</v>
      </c>
      <c r="G2919" s="96">
        <v>45404</v>
      </c>
      <c r="H2919" s="97">
        <v>39563</v>
      </c>
      <c r="I2919" s="108" t="s">
        <v>12518</v>
      </c>
      <c r="J2919" s="100" t="s">
        <v>9098</v>
      </c>
      <c r="K2919" s="92">
        <v>992088436</v>
      </c>
      <c r="L2919" s="91" t="s">
        <v>60</v>
      </c>
      <c r="M2919" s="98">
        <f ca="1">(TODAY()-H2919)/365</f>
        <v>17.641095890410959</v>
      </c>
      <c r="N2919" s="99">
        <f>(G2919-H2919)/365</f>
        <v>16.002739726027396</v>
      </c>
      <c r="O2919" s="98">
        <f ca="1">(TODAY()-G2919)/365</f>
        <v>1.6383561643835616</v>
      </c>
      <c r="P2919" s="91" t="s">
        <v>43</v>
      </c>
      <c r="Q2919" s="91">
        <v>0</v>
      </c>
      <c r="R2919" s="91">
        <v>0</v>
      </c>
      <c r="S2919" s="91">
        <v>0</v>
      </c>
      <c r="T2919" s="91"/>
      <c r="U2919" s="91"/>
      <c r="V2919" s="91"/>
      <c r="W2919" s="91"/>
      <c r="X2919" s="91"/>
      <c r="Y2919" s="91"/>
      <c r="Z2919" s="91"/>
      <c r="AA2919" s="91"/>
      <c r="AB2919" s="91"/>
      <c r="AC2919" s="91"/>
      <c r="AD2919" s="91"/>
      <c r="AE2919" s="91"/>
      <c r="AF2919" s="91"/>
      <c r="AG2919" s="91"/>
      <c r="AH2919" s="91"/>
      <c r="AI2919" s="91"/>
      <c r="AJ2919" s="91"/>
      <c r="AK2919" s="91"/>
      <c r="AL2919" s="91"/>
      <c r="AM2919" s="91"/>
    </row>
    <row r="2920" spans="1:39" ht="20.25" hidden="1" customHeight="1">
      <c r="A2920" s="91"/>
      <c r="B2920" s="93" t="s">
        <v>12002</v>
      </c>
      <c r="C2920" s="91" t="s">
        <v>36</v>
      </c>
      <c r="D2920" s="107" t="s">
        <v>2750</v>
      </c>
      <c r="E2920" s="107" t="s">
        <v>9099</v>
      </c>
      <c r="F2920" s="92" t="s">
        <v>9100</v>
      </c>
      <c r="G2920" s="96">
        <v>45007</v>
      </c>
      <c r="H2920" s="97">
        <v>39066</v>
      </c>
      <c r="I2920" s="100" t="s">
        <v>9101</v>
      </c>
      <c r="J2920" s="94" t="s">
        <v>9102</v>
      </c>
      <c r="K2920" s="92">
        <v>933597012</v>
      </c>
      <c r="L2920" s="91" t="s">
        <v>60</v>
      </c>
      <c r="M2920" s="98">
        <f ca="1">(TODAY()-H2920)/365</f>
        <v>19.002739726027396</v>
      </c>
      <c r="N2920" s="99">
        <f>(G2920-H2920)/365</f>
        <v>16.276712328767122</v>
      </c>
      <c r="O2920" s="98">
        <f ca="1">(TODAY()-G2920)/365</f>
        <v>2.7260273972602738</v>
      </c>
      <c r="P2920" s="91" t="s">
        <v>43</v>
      </c>
      <c r="Q2920" s="91">
        <v>0</v>
      </c>
      <c r="R2920" s="91">
        <v>0</v>
      </c>
      <c r="S2920" s="91">
        <v>0</v>
      </c>
      <c r="T2920" s="91"/>
      <c r="U2920" s="91"/>
      <c r="V2920" s="91"/>
      <c r="W2920" s="91"/>
      <c r="X2920" s="91"/>
      <c r="Y2920" s="91"/>
      <c r="Z2920" s="91"/>
      <c r="AA2920" s="91"/>
      <c r="AB2920" s="91"/>
      <c r="AC2920" s="91"/>
      <c r="AD2920" s="91"/>
      <c r="AE2920" s="91"/>
      <c r="AF2920" s="91"/>
      <c r="AG2920" s="91"/>
      <c r="AH2920" s="91"/>
      <c r="AI2920" s="91"/>
      <c r="AJ2920" s="91"/>
      <c r="AK2920" s="91"/>
      <c r="AL2920" s="91"/>
      <c r="AM2920" s="91"/>
    </row>
    <row r="2921" spans="1:39" ht="20.25" hidden="1" customHeight="1">
      <c r="A2921" s="91"/>
      <c r="B2921" s="93" t="s">
        <v>12002</v>
      </c>
      <c r="C2921" s="91" t="s">
        <v>36</v>
      </c>
      <c r="D2921" s="107" t="s">
        <v>6378</v>
      </c>
      <c r="E2921" s="107" t="s">
        <v>9103</v>
      </c>
      <c r="F2921" s="92" t="s">
        <v>9104</v>
      </c>
      <c r="G2921" s="96">
        <v>45194</v>
      </c>
      <c r="H2921" s="97">
        <v>39219</v>
      </c>
      <c r="I2921" s="108" t="s">
        <v>12519</v>
      </c>
      <c r="J2921" s="94" t="s">
        <v>9105</v>
      </c>
      <c r="K2921" s="92">
        <v>949525744</v>
      </c>
      <c r="L2921" s="91" t="s">
        <v>60</v>
      </c>
      <c r="M2921" s="98">
        <f ca="1">(TODAY()-H2921)/365</f>
        <v>18.583561643835615</v>
      </c>
      <c r="N2921" s="99">
        <f>(G2921-H2921)/365</f>
        <v>16.36986301369863</v>
      </c>
      <c r="O2921" s="98">
        <f ca="1">(TODAY()-G2921)/365</f>
        <v>2.2136986301369861</v>
      </c>
      <c r="P2921" s="91" t="s">
        <v>43</v>
      </c>
      <c r="Q2921" s="91">
        <v>0</v>
      </c>
      <c r="R2921" s="91">
        <v>0</v>
      </c>
      <c r="S2921" s="91">
        <v>0</v>
      </c>
      <c r="T2921" s="91"/>
      <c r="U2921" s="91"/>
      <c r="V2921" s="91"/>
      <c r="W2921" s="91"/>
      <c r="X2921" s="91"/>
      <c r="Y2921" s="91"/>
      <c r="Z2921" s="91"/>
      <c r="AA2921" s="91"/>
      <c r="AB2921" s="91"/>
      <c r="AC2921" s="91"/>
      <c r="AD2921" s="91"/>
      <c r="AE2921" s="91"/>
      <c r="AF2921" s="91"/>
      <c r="AG2921" s="91"/>
      <c r="AH2921" s="91"/>
      <c r="AI2921" s="91"/>
      <c r="AJ2921" s="91"/>
      <c r="AK2921" s="91"/>
      <c r="AL2921" s="91"/>
      <c r="AM2921" s="91"/>
    </row>
    <row r="2922" spans="1:39" ht="20.25" hidden="1" customHeight="1">
      <c r="A2922" s="91"/>
      <c r="B2922" s="93" t="s">
        <v>12002</v>
      </c>
      <c r="C2922" s="91" t="s">
        <v>36</v>
      </c>
      <c r="D2922" s="107" t="s">
        <v>1286</v>
      </c>
      <c r="E2922" s="107" t="s">
        <v>9106</v>
      </c>
      <c r="F2922" s="92" t="s">
        <v>9107</v>
      </c>
      <c r="G2922" s="96">
        <v>45007</v>
      </c>
      <c r="H2922" s="97">
        <v>39018</v>
      </c>
      <c r="I2922" s="100" t="s">
        <v>9108</v>
      </c>
      <c r="J2922" s="94" t="s">
        <v>9109</v>
      </c>
      <c r="K2922" s="92">
        <v>967203812</v>
      </c>
      <c r="L2922" s="91" t="s">
        <v>60</v>
      </c>
      <c r="M2922" s="98">
        <f ca="1">(TODAY()-H2922)/365</f>
        <v>19.134246575342466</v>
      </c>
      <c r="N2922" s="99">
        <f>(G2922-H2922)/365</f>
        <v>16.408219178082192</v>
      </c>
      <c r="O2922" s="98">
        <f ca="1">(TODAY()-G2922)/365</f>
        <v>2.7260273972602738</v>
      </c>
      <c r="P2922" s="91" t="s">
        <v>43</v>
      </c>
      <c r="Q2922" s="91">
        <v>0</v>
      </c>
      <c r="R2922" s="91">
        <v>0</v>
      </c>
      <c r="S2922" s="91">
        <v>0</v>
      </c>
      <c r="T2922" s="91"/>
      <c r="U2922" s="91"/>
      <c r="V2922" s="91"/>
      <c r="W2922" s="91"/>
      <c r="X2922" s="91"/>
      <c r="Y2922" s="91"/>
      <c r="Z2922" s="91"/>
      <c r="AA2922" s="91"/>
      <c r="AB2922" s="91"/>
      <c r="AC2922" s="91"/>
      <c r="AD2922" s="91"/>
      <c r="AE2922" s="91"/>
      <c r="AF2922" s="91"/>
      <c r="AG2922" s="91"/>
      <c r="AH2922" s="91"/>
      <c r="AI2922" s="91"/>
      <c r="AJ2922" s="91"/>
      <c r="AK2922" s="91"/>
      <c r="AL2922" s="91"/>
      <c r="AM2922" s="91"/>
    </row>
    <row r="2923" spans="1:39" ht="20.25" hidden="1" customHeight="1">
      <c r="A2923" s="91"/>
      <c r="B2923" s="93" t="s">
        <v>12002</v>
      </c>
      <c r="C2923" s="91" t="s">
        <v>36</v>
      </c>
      <c r="D2923" s="107" t="s">
        <v>9110</v>
      </c>
      <c r="E2923" s="107" t="s">
        <v>9111</v>
      </c>
      <c r="F2923" s="92" t="s">
        <v>9112</v>
      </c>
      <c r="G2923" s="96">
        <v>45194</v>
      </c>
      <c r="H2923" s="97">
        <v>39166</v>
      </c>
      <c r="I2923" s="108" t="s">
        <v>12520</v>
      </c>
      <c r="J2923" s="94" t="s">
        <v>9113</v>
      </c>
      <c r="K2923" s="92">
        <v>942850468</v>
      </c>
      <c r="L2923" s="91" t="s">
        <v>60</v>
      </c>
      <c r="M2923" s="98">
        <f ca="1">(TODAY()-H2923)/365</f>
        <v>18.728767123287671</v>
      </c>
      <c r="N2923" s="99">
        <f>(G2923-H2923)/365</f>
        <v>16.515068493150686</v>
      </c>
      <c r="O2923" s="98">
        <f ca="1">(TODAY()-G2923)/365</f>
        <v>2.2136986301369861</v>
      </c>
      <c r="P2923" s="91" t="s">
        <v>43</v>
      </c>
      <c r="Q2923" s="91">
        <v>0</v>
      </c>
      <c r="R2923" s="91">
        <v>0</v>
      </c>
      <c r="S2923" s="91">
        <v>0</v>
      </c>
      <c r="T2923" s="91"/>
      <c r="U2923" s="91"/>
      <c r="V2923" s="91"/>
      <c r="W2923" s="91"/>
      <c r="X2923" s="91"/>
      <c r="Y2923" s="91"/>
      <c r="Z2923" s="91"/>
      <c r="AA2923" s="91"/>
      <c r="AB2923" s="91"/>
      <c r="AC2923" s="91"/>
      <c r="AD2923" s="91"/>
      <c r="AE2923" s="91"/>
      <c r="AF2923" s="91"/>
      <c r="AG2923" s="91"/>
      <c r="AH2923" s="91"/>
      <c r="AI2923" s="91"/>
      <c r="AJ2923" s="91"/>
      <c r="AK2923" s="91"/>
      <c r="AL2923" s="91"/>
      <c r="AM2923" s="91"/>
    </row>
    <row r="2924" spans="1:39" ht="20.25" hidden="1" customHeight="1">
      <c r="A2924" s="91"/>
      <c r="B2924" s="93" t="s">
        <v>12002</v>
      </c>
      <c r="C2924" s="91" t="s">
        <v>36</v>
      </c>
      <c r="D2924" s="107" t="s">
        <v>9114</v>
      </c>
      <c r="E2924" s="107" t="s">
        <v>9115</v>
      </c>
      <c r="F2924" s="92" t="s">
        <v>9116</v>
      </c>
      <c r="G2924" s="96">
        <v>45334</v>
      </c>
      <c r="H2924" s="97">
        <v>39213</v>
      </c>
      <c r="I2924" s="100" t="s">
        <v>9117</v>
      </c>
      <c r="J2924" s="100" t="s">
        <v>9118</v>
      </c>
      <c r="K2924" s="91">
        <v>965078387</v>
      </c>
      <c r="L2924" s="91" t="s">
        <v>60</v>
      </c>
      <c r="M2924" s="98">
        <f ca="1">(TODAY()-H2924)/365</f>
        <v>18.600000000000001</v>
      </c>
      <c r="N2924" s="99">
        <f>(G2924-H2924)/365</f>
        <v>16.769863013698629</v>
      </c>
      <c r="O2924" s="98">
        <f ca="1">(TODAY()-G2924)/365</f>
        <v>1.8301369863013699</v>
      </c>
      <c r="P2924" s="91" t="s">
        <v>43</v>
      </c>
      <c r="Q2924" s="91">
        <v>0</v>
      </c>
      <c r="R2924" s="91">
        <v>0</v>
      </c>
      <c r="S2924" s="91">
        <v>0</v>
      </c>
      <c r="T2924" s="91"/>
      <c r="U2924" s="91"/>
      <c r="V2924" s="91"/>
      <c r="W2924" s="91"/>
      <c r="X2924" s="91"/>
      <c r="Y2924" s="91"/>
      <c r="Z2924" s="91"/>
      <c r="AA2924" s="91"/>
      <c r="AB2924" s="91"/>
      <c r="AC2924" s="91"/>
      <c r="AD2924" s="91"/>
      <c r="AE2924" s="91"/>
      <c r="AF2924" s="91"/>
      <c r="AG2924" s="91"/>
      <c r="AH2924" s="91"/>
      <c r="AI2924" s="91"/>
      <c r="AJ2924" s="91"/>
      <c r="AK2924" s="91"/>
      <c r="AL2924" s="91"/>
      <c r="AM2924" s="91"/>
    </row>
    <row r="2925" spans="1:39" ht="20.25" hidden="1" customHeight="1">
      <c r="A2925" s="91"/>
      <c r="B2925" s="93" t="s">
        <v>12002</v>
      </c>
      <c r="C2925" s="91" t="s">
        <v>36</v>
      </c>
      <c r="D2925" s="107" t="s">
        <v>273</v>
      </c>
      <c r="E2925" s="107" t="s">
        <v>9119</v>
      </c>
      <c r="F2925" s="92" t="s">
        <v>9120</v>
      </c>
      <c r="G2925" s="96">
        <v>45334</v>
      </c>
      <c r="H2925" s="97">
        <v>39207</v>
      </c>
      <c r="I2925" s="108" t="s">
        <v>12521</v>
      </c>
      <c r="J2925" s="100" t="s">
        <v>9121</v>
      </c>
      <c r="K2925" s="91">
        <v>931188953</v>
      </c>
      <c r="L2925" s="91" t="s">
        <v>60</v>
      </c>
      <c r="M2925" s="98">
        <f ca="1">(TODAY()-H2925)/365</f>
        <v>18.616438356164384</v>
      </c>
      <c r="N2925" s="99">
        <f>(G2925-H2925)/365</f>
        <v>16.786301369863015</v>
      </c>
      <c r="O2925" s="98">
        <f ca="1">(TODAY()-G2925)/365</f>
        <v>1.8301369863013699</v>
      </c>
      <c r="P2925" s="91" t="s">
        <v>43</v>
      </c>
      <c r="Q2925" s="91">
        <v>0</v>
      </c>
      <c r="R2925" s="91">
        <v>0</v>
      </c>
      <c r="S2925" s="91">
        <v>0</v>
      </c>
      <c r="T2925" s="91"/>
      <c r="U2925" s="91"/>
      <c r="V2925" s="91"/>
      <c r="W2925" s="91"/>
      <c r="X2925" s="91"/>
      <c r="Y2925" s="91"/>
      <c r="Z2925" s="91"/>
      <c r="AA2925" s="91"/>
      <c r="AB2925" s="91"/>
      <c r="AC2925" s="91"/>
      <c r="AD2925" s="91"/>
      <c r="AE2925" s="91"/>
      <c r="AF2925" s="91"/>
      <c r="AG2925" s="91"/>
      <c r="AH2925" s="91"/>
      <c r="AI2925" s="91"/>
      <c r="AJ2925" s="91"/>
      <c r="AK2925" s="91"/>
      <c r="AL2925" s="91"/>
      <c r="AM2925" s="91"/>
    </row>
    <row r="2926" spans="1:39" ht="20.25" hidden="1" customHeight="1">
      <c r="A2926" s="91"/>
      <c r="B2926" s="93" t="s">
        <v>12002</v>
      </c>
      <c r="C2926" s="91" t="s">
        <v>36</v>
      </c>
      <c r="D2926" s="107" t="s">
        <v>1286</v>
      </c>
      <c r="E2926" s="107" t="s">
        <v>9122</v>
      </c>
      <c r="F2926" s="92" t="s">
        <v>9123</v>
      </c>
      <c r="G2926" s="96">
        <v>45194</v>
      </c>
      <c r="H2926" s="97">
        <v>38973</v>
      </c>
      <c r="I2926" s="100" t="s">
        <v>9124</v>
      </c>
      <c r="J2926" s="94" t="s">
        <v>9125</v>
      </c>
      <c r="K2926" s="92">
        <v>949726205</v>
      </c>
      <c r="L2926" s="91" t="s">
        <v>60</v>
      </c>
      <c r="M2926" s="98">
        <f ca="1">(TODAY()-H2926)/365</f>
        <v>19.257534246575343</v>
      </c>
      <c r="N2926" s="99">
        <f>(G2926-H2926)/365</f>
        <v>17.043835616438358</v>
      </c>
      <c r="O2926" s="98">
        <f ca="1">(TODAY()-G2926)/365</f>
        <v>2.2136986301369861</v>
      </c>
      <c r="P2926" s="91" t="s">
        <v>43</v>
      </c>
      <c r="Q2926" s="91">
        <v>0</v>
      </c>
      <c r="R2926" s="91">
        <v>0</v>
      </c>
      <c r="S2926" s="91">
        <v>0</v>
      </c>
      <c r="T2926" s="91"/>
      <c r="U2926" s="91"/>
      <c r="V2926" s="91"/>
      <c r="W2926" s="91"/>
      <c r="X2926" s="91"/>
      <c r="Y2926" s="91"/>
      <c r="Z2926" s="91"/>
      <c r="AA2926" s="91"/>
      <c r="AB2926" s="91"/>
      <c r="AC2926" s="91"/>
      <c r="AD2926" s="91"/>
      <c r="AE2926" s="91"/>
      <c r="AF2926" s="91"/>
      <c r="AG2926" s="91"/>
      <c r="AH2926" s="91"/>
      <c r="AI2926" s="91"/>
      <c r="AJ2926" s="91"/>
      <c r="AK2926" s="91"/>
      <c r="AL2926" s="91"/>
      <c r="AM2926" s="91"/>
    </row>
    <row r="2927" spans="1:39" ht="20.25" hidden="1" customHeight="1">
      <c r="A2927" s="91"/>
      <c r="B2927" s="93" t="s">
        <v>12002</v>
      </c>
      <c r="C2927" s="91" t="s">
        <v>36</v>
      </c>
      <c r="D2927" s="107" t="s">
        <v>9126</v>
      </c>
      <c r="E2927" s="107" t="s">
        <v>9127</v>
      </c>
      <c r="F2927" s="92" t="s">
        <v>9128</v>
      </c>
      <c r="G2927" s="96">
        <v>45194</v>
      </c>
      <c r="H2927" s="97">
        <v>38888</v>
      </c>
      <c r="I2927" s="100" t="s">
        <v>9129</v>
      </c>
      <c r="J2927" s="94" t="s">
        <v>9130</v>
      </c>
      <c r="K2927" s="92">
        <v>954551544</v>
      </c>
      <c r="L2927" s="91" t="s">
        <v>60</v>
      </c>
      <c r="M2927" s="98">
        <f ca="1">(TODAY()-H2927)/365</f>
        <v>19.490410958904111</v>
      </c>
      <c r="N2927" s="99">
        <f>(G2927-H2927)/365</f>
        <v>17.276712328767122</v>
      </c>
      <c r="O2927" s="98">
        <f ca="1">(TODAY()-G2927)/365</f>
        <v>2.2136986301369861</v>
      </c>
      <c r="P2927" s="91" t="s">
        <v>43</v>
      </c>
      <c r="Q2927" s="91">
        <v>0</v>
      </c>
      <c r="R2927" s="91">
        <v>0</v>
      </c>
      <c r="S2927" s="91">
        <v>0</v>
      </c>
      <c r="T2927" s="91"/>
      <c r="U2927" s="91"/>
      <c r="V2927" s="91"/>
      <c r="W2927" s="91"/>
      <c r="X2927" s="91"/>
      <c r="Y2927" s="91"/>
      <c r="Z2927" s="91"/>
      <c r="AA2927" s="91"/>
      <c r="AB2927" s="91"/>
      <c r="AC2927" s="91"/>
      <c r="AD2927" s="91"/>
      <c r="AE2927" s="91"/>
      <c r="AF2927" s="91"/>
      <c r="AG2927" s="91"/>
      <c r="AH2927" s="91"/>
      <c r="AI2927" s="91"/>
      <c r="AJ2927" s="91"/>
      <c r="AK2927" s="91"/>
      <c r="AL2927" s="91"/>
      <c r="AM2927" s="91"/>
    </row>
    <row r="2928" spans="1:39" ht="20.25" hidden="1" customHeight="1">
      <c r="A2928" s="91"/>
      <c r="B2928" s="93" t="s">
        <v>12002</v>
      </c>
      <c r="C2928" s="91" t="s">
        <v>36</v>
      </c>
      <c r="D2928" s="107" t="s">
        <v>9131</v>
      </c>
      <c r="E2928" s="107" t="s">
        <v>9132</v>
      </c>
      <c r="F2928" s="92" t="s">
        <v>9133</v>
      </c>
      <c r="G2928" s="96">
        <v>45194</v>
      </c>
      <c r="H2928" s="97">
        <v>38817</v>
      </c>
      <c r="I2928" s="100" t="s">
        <v>9134</v>
      </c>
      <c r="J2928" s="94" t="s">
        <v>9135</v>
      </c>
      <c r="K2928" s="92">
        <v>948861608</v>
      </c>
      <c r="L2928" s="91" t="s">
        <v>60</v>
      </c>
      <c r="M2928" s="98">
        <f ca="1">(TODAY()-H2928)/365</f>
        <v>19.684931506849313</v>
      </c>
      <c r="N2928" s="99">
        <f>(G2928-H2928)/365</f>
        <v>17.471232876712328</v>
      </c>
      <c r="O2928" s="98">
        <f ca="1">(TODAY()-G2928)/365</f>
        <v>2.2136986301369861</v>
      </c>
      <c r="P2928" s="91" t="s">
        <v>43</v>
      </c>
      <c r="Q2928" s="91">
        <v>0</v>
      </c>
      <c r="R2928" s="91">
        <v>0</v>
      </c>
      <c r="S2928" s="91">
        <v>0</v>
      </c>
      <c r="T2928" s="91"/>
      <c r="U2928" s="91"/>
      <c r="V2928" s="91"/>
      <c r="W2928" s="91"/>
      <c r="X2928" s="91"/>
      <c r="Y2928" s="91"/>
      <c r="Z2928" s="91"/>
      <c r="AA2928" s="91"/>
      <c r="AB2928" s="91"/>
      <c r="AC2928" s="91"/>
      <c r="AD2928" s="91"/>
      <c r="AE2928" s="91"/>
      <c r="AF2928" s="91"/>
      <c r="AG2928" s="91"/>
      <c r="AH2928" s="91"/>
      <c r="AI2928" s="91"/>
      <c r="AJ2928" s="91"/>
      <c r="AK2928" s="91"/>
      <c r="AL2928" s="91"/>
      <c r="AM2928" s="91"/>
    </row>
    <row r="2929" spans="1:39" ht="20.25" hidden="1" customHeight="1">
      <c r="A2929" s="91"/>
      <c r="B2929" s="93" t="s">
        <v>12002</v>
      </c>
      <c r="C2929" s="91" t="s">
        <v>36</v>
      </c>
      <c r="D2929" s="107" t="s">
        <v>9136</v>
      </c>
      <c r="E2929" s="107" t="s">
        <v>3781</v>
      </c>
      <c r="F2929" s="92" t="s">
        <v>9137</v>
      </c>
      <c r="G2929" s="96">
        <v>30286</v>
      </c>
      <c r="H2929" s="97">
        <v>22868</v>
      </c>
      <c r="I2929" s="100" t="s">
        <v>9138</v>
      </c>
      <c r="J2929" s="94" t="s">
        <v>9139</v>
      </c>
      <c r="K2929" s="92">
        <v>996952642</v>
      </c>
      <c r="L2929" s="91" t="s">
        <v>54</v>
      </c>
      <c r="M2929" s="98">
        <f ca="1">(TODAY()-H2929)/365</f>
        <v>63.38082191780822</v>
      </c>
      <c r="N2929" s="99">
        <f>(G2929-H2929)/365</f>
        <v>20.323287671232876</v>
      </c>
      <c r="O2929" s="98">
        <f ca="1">(TODAY()-G2929)/365</f>
        <v>43.057534246575344</v>
      </c>
      <c r="P2929" s="91" t="s">
        <v>43</v>
      </c>
      <c r="Q2929" s="91">
        <v>0</v>
      </c>
      <c r="R2929" s="91">
        <v>0</v>
      </c>
      <c r="S2929" s="91">
        <v>1</v>
      </c>
      <c r="T2929" s="91"/>
      <c r="U2929" s="91"/>
      <c r="V2929" s="91"/>
      <c r="W2929" s="91"/>
      <c r="X2929" s="91"/>
      <c r="Y2929" s="91"/>
      <c r="Z2929" s="91"/>
      <c r="AA2929" s="91"/>
      <c r="AB2929" s="91"/>
      <c r="AC2929" s="91"/>
      <c r="AD2929" s="91"/>
      <c r="AE2929" s="91"/>
      <c r="AF2929" s="91"/>
      <c r="AG2929" s="91"/>
      <c r="AH2929" s="91"/>
      <c r="AI2929" s="91"/>
      <c r="AJ2929" s="91"/>
      <c r="AK2929" s="91"/>
      <c r="AL2929" s="91"/>
      <c r="AM2929" s="91"/>
    </row>
    <row r="2930" spans="1:39" ht="20.25" hidden="1" customHeight="1">
      <c r="A2930" s="91"/>
      <c r="B2930" s="93" t="s">
        <v>12002</v>
      </c>
      <c r="C2930" s="91" t="s">
        <v>36</v>
      </c>
      <c r="D2930" s="107" t="s">
        <v>1450</v>
      </c>
      <c r="E2930" s="107" t="s">
        <v>9140</v>
      </c>
      <c r="F2930" s="92" t="s">
        <v>9141</v>
      </c>
      <c r="G2930" s="96">
        <v>24869</v>
      </c>
      <c r="H2930" s="97">
        <v>16489</v>
      </c>
      <c r="I2930" s="100" t="s">
        <v>9142</v>
      </c>
      <c r="J2930" s="94" t="s">
        <v>9143</v>
      </c>
      <c r="K2930" s="92">
        <v>986521987</v>
      </c>
      <c r="L2930" s="91" t="s">
        <v>60</v>
      </c>
      <c r="M2930" s="98">
        <f ca="1">(TODAY()-H2930)/365</f>
        <v>80.857534246575341</v>
      </c>
      <c r="N2930" s="99">
        <f>(G2930-H2930)/365</f>
        <v>22.958904109589042</v>
      </c>
      <c r="O2930" s="98">
        <f ca="1">(TODAY()-G2930)/365</f>
        <v>57.898630136986299</v>
      </c>
      <c r="P2930" s="91" t="s">
        <v>43</v>
      </c>
      <c r="Q2930" s="91">
        <v>0</v>
      </c>
      <c r="R2930" s="91">
        <v>0</v>
      </c>
      <c r="S2930" s="91">
        <v>0</v>
      </c>
      <c r="T2930" s="91"/>
      <c r="U2930" s="91"/>
      <c r="V2930" s="91"/>
      <c r="W2930" s="91"/>
      <c r="X2930" s="91"/>
      <c r="Y2930" s="91"/>
      <c r="Z2930" s="91"/>
      <c r="AA2930" s="91"/>
      <c r="AB2930" s="91"/>
      <c r="AC2930" s="91"/>
      <c r="AD2930" s="91"/>
      <c r="AE2930" s="91"/>
      <c r="AF2930" s="91"/>
      <c r="AG2930" s="91"/>
      <c r="AH2930" s="91"/>
      <c r="AI2930" s="91"/>
      <c r="AJ2930" s="91"/>
      <c r="AK2930" s="91"/>
      <c r="AL2930" s="91"/>
      <c r="AM2930" s="91"/>
    </row>
    <row r="2931" spans="1:39" ht="20.25" hidden="1" customHeight="1">
      <c r="A2931" s="91"/>
      <c r="B2931" s="93" t="s">
        <v>12002</v>
      </c>
      <c r="C2931" s="91" t="s">
        <v>36</v>
      </c>
      <c r="D2931" s="107" t="s">
        <v>9144</v>
      </c>
      <c r="E2931" s="107" t="s">
        <v>9145</v>
      </c>
      <c r="F2931" s="92" t="s">
        <v>9146</v>
      </c>
      <c r="G2931" s="96">
        <v>45169</v>
      </c>
      <c r="H2931" s="97">
        <v>36508</v>
      </c>
      <c r="I2931" s="100" t="s">
        <v>9147</v>
      </c>
      <c r="J2931" s="94" t="s">
        <v>9148</v>
      </c>
      <c r="K2931" s="92">
        <v>991816467</v>
      </c>
      <c r="L2931" s="91" t="s">
        <v>167</v>
      </c>
      <c r="M2931" s="98">
        <f ca="1">(TODAY()-H2931)/365</f>
        <v>26.010958904109589</v>
      </c>
      <c r="N2931" s="99">
        <f>(G2931-H2931)/365</f>
        <v>23.728767123287671</v>
      </c>
      <c r="O2931" s="98">
        <f ca="1">(TODAY()-G2931)/365</f>
        <v>2.2821917808219179</v>
      </c>
      <c r="P2931" s="91" t="s">
        <v>43</v>
      </c>
      <c r="Q2931" s="91">
        <v>0</v>
      </c>
      <c r="R2931" s="91">
        <v>0</v>
      </c>
      <c r="S2931" s="91">
        <v>0</v>
      </c>
      <c r="T2931" s="91"/>
      <c r="U2931" s="91"/>
      <c r="V2931" s="91"/>
      <c r="W2931" s="91"/>
      <c r="X2931" s="91"/>
      <c r="Y2931" s="91"/>
      <c r="Z2931" s="91"/>
      <c r="AA2931" s="91"/>
      <c r="AB2931" s="91"/>
      <c r="AC2931" s="91"/>
      <c r="AD2931" s="91"/>
      <c r="AE2931" s="91"/>
      <c r="AF2931" s="91"/>
      <c r="AG2931" s="91"/>
      <c r="AH2931" s="91"/>
      <c r="AI2931" s="91"/>
      <c r="AJ2931" s="91"/>
      <c r="AK2931" s="91"/>
      <c r="AL2931" s="91"/>
      <c r="AM2931" s="91"/>
    </row>
    <row r="2932" spans="1:39" ht="20.25" hidden="1" customHeight="1">
      <c r="A2932" s="91"/>
      <c r="B2932" s="93" t="s">
        <v>12002</v>
      </c>
      <c r="C2932" s="91" t="s">
        <v>36</v>
      </c>
      <c r="D2932" s="107" t="s">
        <v>6274</v>
      </c>
      <c r="E2932" s="107" t="s">
        <v>9149</v>
      </c>
      <c r="F2932" s="92" t="s">
        <v>9150</v>
      </c>
      <c r="G2932" s="96">
        <v>32875</v>
      </c>
      <c r="H2932" s="97">
        <v>24135</v>
      </c>
      <c r="I2932" s="108" t="s">
        <v>12522</v>
      </c>
      <c r="J2932" s="94" t="s">
        <v>9151</v>
      </c>
      <c r="K2932" s="92">
        <v>982409323</v>
      </c>
      <c r="L2932" s="91" t="s">
        <v>60</v>
      </c>
      <c r="M2932" s="98">
        <f ca="1">(TODAY()-H2932)/365</f>
        <v>59.909589041095892</v>
      </c>
      <c r="N2932" s="99">
        <f>(G2932-H2932)/365</f>
        <v>23.945205479452056</v>
      </c>
      <c r="O2932" s="98">
        <f ca="1">(TODAY()-G2932)/365</f>
        <v>35.964383561643835</v>
      </c>
      <c r="P2932" s="91" t="s">
        <v>43</v>
      </c>
      <c r="Q2932" s="91">
        <v>0</v>
      </c>
      <c r="R2932" s="91">
        <v>0</v>
      </c>
      <c r="S2932" s="91">
        <v>0</v>
      </c>
      <c r="T2932" s="91"/>
      <c r="U2932" s="91"/>
      <c r="V2932" s="91"/>
      <c r="W2932" s="91"/>
      <c r="X2932" s="91"/>
      <c r="Y2932" s="91"/>
      <c r="Z2932" s="91"/>
      <c r="AA2932" s="91"/>
      <c r="AB2932" s="91"/>
      <c r="AC2932" s="91"/>
      <c r="AD2932" s="91"/>
      <c r="AE2932" s="91"/>
      <c r="AF2932" s="91"/>
      <c r="AG2932" s="91"/>
      <c r="AH2932" s="91"/>
      <c r="AI2932" s="91"/>
      <c r="AJ2932" s="91"/>
      <c r="AK2932" s="91"/>
      <c r="AL2932" s="91"/>
      <c r="AM2932" s="91"/>
    </row>
    <row r="2933" spans="1:39" ht="20.25" hidden="1" customHeight="1">
      <c r="A2933" s="91"/>
      <c r="B2933" s="93" t="s">
        <v>12002</v>
      </c>
      <c r="C2933" s="91" t="s">
        <v>36</v>
      </c>
      <c r="D2933" s="107" t="s">
        <v>2767</v>
      </c>
      <c r="E2933" s="107" t="s">
        <v>9152</v>
      </c>
      <c r="F2933" s="92" t="s">
        <v>9153</v>
      </c>
      <c r="G2933" s="96">
        <v>45373</v>
      </c>
      <c r="H2933" s="97">
        <v>36608</v>
      </c>
      <c r="I2933" s="108" t="s">
        <v>12523</v>
      </c>
      <c r="J2933" s="100" t="s">
        <v>9154</v>
      </c>
      <c r="K2933" s="92">
        <v>934859060</v>
      </c>
      <c r="L2933" s="91" t="s">
        <v>60</v>
      </c>
      <c r="M2933" s="98">
        <f ca="1">(TODAY()-H2933)/365</f>
        <v>25.736986301369864</v>
      </c>
      <c r="N2933" s="99">
        <f>(G2933-H2933)/365</f>
        <v>24.013698630136986</v>
      </c>
      <c r="O2933" s="98">
        <f ca="1">(TODAY()-G2933)/365</f>
        <v>1.7232876712328766</v>
      </c>
      <c r="P2933" s="91" t="s">
        <v>43</v>
      </c>
      <c r="Q2933" s="91">
        <v>0</v>
      </c>
      <c r="R2933" s="91">
        <v>0</v>
      </c>
      <c r="S2933" s="91">
        <v>0</v>
      </c>
      <c r="T2933" s="91"/>
      <c r="U2933" s="91"/>
      <c r="V2933" s="91"/>
      <c r="W2933" s="91"/>
      <c r="X2933" s="91"/>
      <c r="Y2933" s="91"/>
      <c r="Z2933" s="91"/>
      <c r="AA2933" s="91"/>
      <c r="AB2933" s="91"/>
      <c r="AC2933" s="91"/>
      <c r="AD2933" s="91"/>
      <c r="AE2933" s="91"/>
      <c r="AF2933" s="91"/>
      <c r="AG2933" s="91"/>
      <c r="AH2933" s="91"/>
      <c r="AI2933" s="91"/>
      <c r="AJ2933" s="91"/>
      <c r="AK2933" s="91"/>
      <c r="AL2933" s="91"/>
      <c r="AM2933" s="91"/>
    </row>
    <row r="2934" spans="1:39" ht="20.25" hidden="1" customHeight="1">
      <c r="A2934" s="91"/>
      <c r="B2934" s="93" t="s">
        <v>12002</v>
      </c>
      <c r="C2934" s="91" t="s">
        <v>36</v>
      </c>
      <c r="D2934" s="107" t="s">
        <v>1377</v>
      </c>
      <c r="E2934" s="107" t="s">
        <v>9155</v>
      </c>
      <c r="F2934" s="92" t="s">
        <v>9156</v>
      </c>
      <c r="G2934" s="96">
        <v>30287</v>
      </c>
      <c r="H2934" s="97">
        <v>21187</v>
      </c>
      <c r="I2934" s="100" t="s">
        <v>9157</v>
      </c>
      <c r="J2934" s="94" t="s">
        <v>9158</v>
      </c>
      <c r="K2934" s="92">
        <v>995776657</v>
      </c>
      <c r="L2934" s="91" t="s">
        <v>42</v>
      </c>
      <c r="M2934" s="98">
        <f ca="1">(TODAY()-H2934)/365</f>
        <v>67.986301369863014</v>
      </c>
      <c r="N2934" s="99">
        <f>(G2934-H2934)/365</f>
        <v>24.931506849315067</v>
      </c>
      <c r="O2934" s="98">
        <f ca="1">(TODAY()-G2934)/365</f>
        <v>43.054794520547944</v>
      </c>
      <c r="P2934" s="91" t="s">
        <v>43</v>
      </c>
      <c r="Q2934" s="91">
        <v>0</v>
      </c>
      <c r="R2934" s="91">
        <v>0</v>
      </c>
      <c r="S2934" s="91">
        <v>0</v>
      </c>
      <c r="T2934" s="91"/>
      <c r="U2934" s="91"/>
      <c r="V2934" s="91"/>
      <c r="W2934" s="91"/>
      <c r="X2934" s="91"/>
      <c r="Y2934" s="91"/>
      <c r="Z2934" s="91"/>
      <c r="AA2934" s="91"/>
      <c r="AB2934" s="91"/>
      <c r="AC2934" s="91"/>
      <c r="AD2934" s="91"/>
      <c r="AE2934" s="91"/>
      <c r="AF2934" s="91"/>
      <c r="AG2934" s="91"/>
      <c r="AH2934" s="91"/>
      <c r="AI2934" s="91"/>
      <c r="AJ2934" s="91"/>
      <c r="AK2934" s="91"/>
      <c r="AL2934" s="91"/>
      <c r="AM2934" s="91"/>
    </row>
    <row r="2935" spans="1:39" ht="20.25" hidden="1" customHeight="1">
      <c r="A2935" s="91"/>
      <c r="B2935" s="93" t="s">
        <v>12002</v>
      </c>
      <c r="C2935" s="91" t="s">
        <v>36</v>
      </c>
      <c r="D2935" s="107" t="s">
        <v>2455</v>
      </c>
      <c r="E2935" s="107" t="s">
        <v>9159</v>
      </c>
      <c r="F2935" s="92" t="s">
        <v>9160</v>
      </c>
      <c r="G2935" s="96">
        <v>30286</v>
      </c>
      <c r="H2935" s="97">
        <v>21011</v>
      </c>
      <c r="I2935" s="108" t="s">
        <v>12524</v>
      </c>
      <c r="J2935" s="94" t="s">
        <v>9161</v>
      </c>
      <c r="K2935" s="92">
        <v>967274629</v>
      </c>
      <c r="L2935" s="91" t="s">
        <v>49</v>
      </c>
      <c r="M2935" s="98">
        <f ca="1">(TODAY()-H2935)/365</f>
        <v>68.468493150684935</v>
      </c>
      <c r="N2935" s="99">
        <f>(G2935-H2935)/365</f>
        <v>25.410958904109588</v>
      </c>
      <c r="O2935" s="98">
        <f ca="1">(TODAY()-G2935)/365</f>
        <v>43.057534246575344</v>
      </c>
      <c r="P2935" s="91" t="s">
        <v>43</v>
      </c>
      <c r="Q2935" s="91">
        <v>0</v>
      </c>
      <c r="R2935" s="91">
        <v>0</v>
      </c>
      <c r="S2935" s="91">
        <v>0</v>
      </c>
      <c r="T2935" s="91"/>
      <c r="U2935" s="91"/>
      <c r="V2935" s="91"/>
      <c r="W2935" s="91"/>
      <c r="X2935" s="91"/>
      <c r="Y2935" s="91"/>
      <c r="Z2935" s="91"/>
      <c r="AA2935" s="91"/>
      <c r="AB2935" s="91"/>
      <c r="AC2935" s="91"/>
      <c r="AD2935" s="91"/>
      <c r="AE2935" s="91"/>
      <c r="AF2935" s="91"/>
      <c r="AG2935" s="91"/>
      <c r="AH2935" s="91"/>
      <c r="AI2935" s="91"/>
      <c r="AJ2935" s="91"/>
      <c r="AK2935" s="91"/>
      <c r="AL2935" s="91"/>
      <c r="AM2935" s="91"/>
    </row>
    <row r="2936" spans="1:39" ht="20.25" hidden="1" customHeight="1">
      <c r="A2936" s="91"/>
      <c r="B2936" s="93" t="s">
        <v>12002</v>
      </c>
      <c r="C2936" s="91" t="s">
        <v>36</v>
      </c>
      <c r="D2936" s="107" t="s">
        <v>9162</v>
      </c>
      <c r="E2936" s="107" t="s">
        <v>9163</v>
      </c>
      <c r="F2936" s="92" t="s">
        <v>9164</v>
      </c>
      <c r="G2936" s="96">
        <v>44014</v>
      </c>
      <c r="H2936" s="97">
        <v>34470</v>
      </c>
      <c r="I2936" s="100" t="s">
        <v>9165</v>
      </c>
      <c r="J2936" s="94" t="s">
        <v>9166</v>
      </c>
      <c r="K2936" s="92">
        <v>932405347</v>
      </c>
      <c r="L2936" s="91" t="s">
        <v>60</v>
      </c>
      <c r="M2936" s="98">
        <f ca="1">(TODAY()-H2936)/365</f>
        <v>31.594520547945205</v>
      </c>
      <c r="N2936" s="99">
        <f>(G2936-H2936)/365</f>
        <v>26.147945205479452</v>
      </c>
      <c r="O2936" s="98">
        <f ca="1">(TODAY()-G2936)/365</f>
        <v>5.4465753424657537</v>
      </c>
      <c r="P2936" s="91" t="s">
        <v>43</v>
      </c>
      <c r="Q2936" s="91">
        <v>0</v>
      </c>
      <c r="R2936" s="91">
        <v>0</v>
      </c>
      <c r="S2936" s="91">
        <v>0</v>
      </c>
      <c r="T2936" s="91"/>
      <c r="U2936" s="91"/>
      <c r="V2936" s="91"/>
      <c r="W2936" s="91"/>
      <c r="X2936" s="91"/>
      <c r="Y2936" s="91"/>
      <c r="Z2936" s="91"/>
      <c r="AA2936" s="91"/>
      <c r="AB2936" s="91"/>
      <c r="AC2936" s="91"/>
      <c r="AD2936" s="91"/>
      <c r="AE2936" s="91"/>
      <c r="AF2936" s="91"/>
      <c r="AG2936" s="91"/>
      <c r="AH2936" s="91"/>
      <c r="AI2936" s="91"/>
      <c r="AJ2936" s="91"/>
      <c r="AK2936" s="91"/>
      <c r="AL2936" s="91"/>
      <c r="AM2936" s="91"/>
    </row>
    <row r="2937" spans="1:39" ht="20.25" hidden="1" customHeight="1">
      <c r="A2937" s="91"/>
      <c r="B2937" s="93" t="s">
        <v>12002</v>
      </c>
      <c r="C2937" s="91" t="s">
        <v>36</v>
      </c>
      <c r="D2937" s="107" t="s">
        <v>6266</v>
      </c>
      <c r="E2937" s="107" t="s">
        <v>9167</v>
      </c>
      <c r="F2937" s="92" t="s">
        <v>9168</v>
      </c>
      <c r="G2937" s="96">
        <v>45089</v>
      </c>
      <c r="H2937" s="97">
        <v>35206</v>
      </c>
      <c r="I2937" s="100" t="s">
        <v>9108</v>
      </c>
      <c r="J2937" s="100" t="s">
        <v>9169</v>
      </c>
      <c r="K2937" s="92">
        <v>971053550</v>
      </c>
      <c r="L2937" s="91" t="s">
        <v>60</v>
      </c>
      <c r="M2937" s="98">
        <f ca="1">(TODAY()-H2937)/365</f>
        <v>29.578082191780823</v>
      </c>
      <c r="N2937" s="99">
        <f>(G2937-H2937)/365</f>
        <v>27.076712328767123</v>
      </c>
      <c r="O2937" s="98">
        <f ca="1">(TODAY()-G2937)/365</f>
        <v>2.5013698630136987</v>
      </c>
      <c r="P2937" s="91" t="s">
        <v>272</v>
      </c>
      <c r="Q2937" s="91">
        <v>0</v>
      </c>
      <c r="R2937" s="91">
        <v>0</v>
      </c>
      <c r="S2937" s="91">
        <v>0</v>
      </c>
      <c r="T2937" s="91"/>
      <c r="U2937" s="91"/>
      <c r="V2937" s="91"/>
      <c r="W2937" s="91"/>
      <c r="X2937" s="91"/>
      <c r="Y2937" s="91"/>
      <c r="Z2937" s="91"/>
      <c r="AA2937" s="91"/>
      <c r="AB2937" s="91"/>
      <c r="AC2937" s="91"/>
      <c r="AD2937" s="91"/>
      <c r="AE2937" s="91"/>
      <c r="AF2937" s="91"/>
      <c r="AG2937" s="91"/>
      <c r="AH2937" s="91"/>
      <c r="AI2937" s="91"/>
      <c r="AJ2937" s="91"/>
      <c r="AK2937" s="91"/>
      <c r="AL2937" s="91"/>
      <c r="AM2937" s="91"/>
    </row>
    <row r="2938" spans="1:39" ht="20.25" hidden="1" customHeight="1">
      <c r="A2938" s="91"/>
      <c r="B2938" s="93" t="s">
        <v>12002</v>
      </c>
      <c r="C2938" s="91" t="s">
        <v>36</v>
      </c>
      <c r="D2938" s="107" t="s">
        <v>9170</v>
      </c>
      <c r="E2938" s="107" t="s">
        <v>9171</v>
      </c>
      <c r="F2938" s="92" t="s">
        <v>9172</v>
      </c>
      <c r="G2938" s="96">
        <v>43617</v>
      </c>
      <c r="H2938" s="97">
        <v>33729</v>
      </c>
      <c r="I2938" s="100" t="s">
        <v>9173</v>
      </c>
      <c r="J2938" s="94" t="s">
        <v>9174</v>
      </c>
      <c r="K2938" s="92">
        <v>930532755</v>
      </c>
      <c r="L2938" s="91" t="s">
        <v>60</v>
      </c>
      <c r="M2938" s="98">
        <f ca="1">(TODAY()-H2938)/365</f>
        <v>33.624657534246573</v>
      </c>
      <c r="N2938" s="99">
        <f>(G2938-H2938)/365</f>
        <v>27.090410958904108</v>
      </c>
      <c r="O2938" s="98">
        <f ca="1">(TODAY()-G2938)/365</f>
        <v>6.5342465753424657</v>
      </c>
      <c r="P2938" s="91" t="s">
        <v>43</v>
      </c>
      <c r="Q2938" s="91">
        <v>0</v>
      </c>
      <c r="R2938" s="91">
        <v>0</v>
      </c>
      <c r="S2938" s="91">
        <v>0</v>
      </c>
      <c r="T2938" s="91"/>
      <c r="U2938" s="91"/>
      <c r="V2938" s="91"/>
      <c r="W2938" s="91"/>
      <c r="X2938" s="91"/>
      <c r="Y2938" s="91"/>
      <c r="Z2938" s="91"/>
      <c r="AA2938" s="91"/>
      <c r="AB2938" s="91"/>
      <c r="AC2938" s="91"/>
      <c r="AD2938" s="91"/>
      <c r="AE2938" s="91"/>
      <c r="AF2938" s="91"/>
      <c r="AG2938" s="91"/>
      <c r="AH2938" s="91"/>
      <c r="AI2938" s="91"/>
      <c r="AJ2938" s="91"/>
      <c r="AK2938" s="91"/>
      <c r="AL2938" s="91"/>
      <c r="AM2938" s="91"/>
    </row>
    <row r="2939" spans="1:39" ht="20.25" hidden="1" customHeight="1">
      <c r="A2939" s="91"/>
      <c r="B2939" s="93" t="s">
        <v>12002</v>
      </c>
      <c r="C2939" s="91" t="s">
        <v>36</v>
      </c>
      <c r="D2939" s="107" t="s">
        <v>357</v>
      </c>
      <c r="E2939" s="107" t="s">
        <v>9175</v>
      </c>
      <c r="F2939" s="92" t="s">
        <v>9176</v>
      </c>
      <c r="G2939" s="96">
        <v>32875</v>
      </c>
      <c r="H2939" s="97">
        <v>22627</v>
      </c>
      <c r="I2939" s="100" t="s">
        <v>9177</v>
      </c>
      <c r="J2939" s="94" t="s">
        <v>9178</v>
      </c>
      <c r="K2939" s="92">
        <v>944269101</v>
      </c>
      <c r="L2939" s="91" t="s">
        <v>60</v>
      </c>
      <c r="M2939" s="98">
        <f ca="1">(TODAY()-H2939)/365</f>
        <v>64.041095890410958</v>
      </c>
      <c r="N2939" s="99">
        <f>(G2939-H2939)/365</f>
        <v>28.076712328767123</v>
      </c>
      <c r="O2939" s="98">
        <f ca="1">(TODAY()-G2939)/365</f>
        <v>35.964383561643835</v>
      </c>
      <c r="P2939" s="91" t="s">
        <v>43</v>
      </c>
      <c r="Q2939" s="91">
        <v>0</v>
      </c>
      <c r="R2939" s="91">
        <v>0</v>
      </c>
      <c r="S2939" s="91">
        <v>0</v>
      </c>
      <c r="T2939" s="91"/>
      <c r="U2939" s="91"/>
      <c r="V2939" s="91"/>
      <c r="W2939" s="91"/>
      <c r="X2939" s="91"/>
      <c r="Y2939" s="91"/>
      <c r="Z2939" s="91"/>
      <c r="AA2939" s="91"/>
      <c r="AB2939" s="91"/>
      <c r="AC2939" s="91"/>
      <c r="AD2939" s="91"/>
      <c r="AE2939" s="91"/>
      <c r="AF2939" s="91"/>
      <c r="AG2939" s="91"/>
      <c r="AH2939" s="91"/>
      <c r="AI2939" s="91"/>
      <c r="AJ2939" s="91"/>
      <c r="AK2939" s="91"/>
      <c r="AL2939" s="91"/>
      <c r="AM2939" s="91"/>
    </row>
    <row r="2940" spans="1:39" ht="20.25" hidden="1" customHeight="1">
      <c r="A2940" s="91"/>
      <c r="B2940" s="93" t="s">
        <v>12002</v>
      </c>
      <c r="C2940" s="91" t="s">
        <v>36</v>
      </c>
      <c r="D2940" s="107" t="s">
        <v>273</v>
      </c>
      <c r="E2940" s="107" t="s">
        <v>9179</v>
      </c>
      <c r="F2940" s="92" t="s">
        <v>9180</v>
      </c>
      <c r="G2940" s="96">
        <v>45404</v>
      </c>
      <c r="H2940" s="97">
        <v>34283</v>
      </c>
      <c r="I2940" s="108" t="s">
        <v>12525</v>
      </c>
      <c r="J2940" s="100" t="s">
        <v>9181</v>
      </c>
      <c r="K2940" s="92">
        <v>934505442</v>
      </c>
      <c r="L2940" s="91" t="s">
        <v>60</v>
      </c>
      <c r="M2940" s="98">
        <f ca="1">(TODAY()-H2940)/365</f>
        <v>32.106849315068494</v>
      </c>
      <c r="N2940" s="99">
        <f>(G2940-H2940)/365</f>
        <v>30.468493150684932</v>
      </c>
      <c r="O2940" s="98">
        <f ca="1">(TODAY()-G2940)/365</f>
        <v>1.6383561643835616</v>
      </c>
      <c r="P2940" s="91" t="s">
        <v>43</v>
      </c>
      <c r="Q2940" s="91">
        <v>0</v>
      </c>
      <c r="R2940" s="91">
        <v>0</v>
      </c>
      <c r="S2940" s="91">
        <v>0</v>
      </c>
      <c r="T2940" s="91"/>
      <c r="U2940" s="91"/>
      <c r="V2940" s="91"/>
      <c r="W2940" s="91"/>
      <c r="X2940" s="91"/>
      <c r="Y2940" s="91"/>
      <c r="Z2940" s="91"/>
      <c r="AA2940" s="91"/>
      <c r="AB2940" s="91"/>
      <c r="AC2940" s="91"/>
      <c r="AD2940" s="91"/>
      <c r="AE2940" s="91"/>
      <c r="AF2940" s="91"/>
      <c r="AG2940" s="91"/>
      <c r="AH2940" s="91"/>
      <c r="AI2940" s="91"/>
      <c r="AJ2940" s="91"/>
      <c r="AK2940" s="91"/>
      <c r="AL2940" s="91"/>
      <c r="AM2940" s="91"/>
    </row>
    <row r="2941" spans="1:39" ht="20.25" hidden="1" customHeight="1">
      <c r="A2941" s="91"/>
      <c r="B2941" s="93" t="s">
        <v>12002</v>
      </c>
      <c r="C2941" s="91" t="s">
        <v>36</v>
      </c>
      <c r="D2941" s="107" t="s">
        <v>494</v>
      </c>
      <c r="E2941" s="107" t="s">
        <v>9182</v>
      </c>
      <c r="F2941" s="92" t="s">
        <v>9183</v>
      </c>
      <c r="G2941" s="96">
        <v>43648</v>
      </c>
      <c r="H2941" s="97">
        <v>30866</v>
      </c>
      <c r="I2941" s="100" t="s">
        <v>9184</v>
      </c>
      <c r="J2941" s="94" t="s">
        <v>9158</v>
      </c>
      <c r="K2941" s="92">
        <v>976612676</v>
      </c>
      <c r="L2941" s="91" t="s">
        <v>197</v>
      </c>
      <c r="M2941" s="98">
        <f ca="1">(TODAY()-H2941)/365</f>
        <v>41.468493150684928</v>
      </c>
      <c r="N2941" s="99">
        <f>(G2941-H2941)/365</f>
        <v>35.019178082191779</v>
      </c>
      <c r="O2941" s="98">
        <f ca="1">(TODAY()-G2941)/365</f>
        <v>6.4493150684931511</v>
      </c>
      <c r="P2941" s="91" t="s">
        <v>43</v>
      </c>
      <c r="Q2941" s="91">
        <v>0</v>
      </c>
      <c r="R2941" s="91">
        <v>0</v>
      </c>
      <c r="S2941" s="91">
        <v>0</v>
      </c>
      <c r="T2941" s="91"/>
      <c r="U2941" s="91"/>
      <c r="V2941" s="91"/>
      <c r="W2941" s="91"/>
      <c r="X2941" s="91"/>
      <c r="Y2941" s="91"/>
      <c r="Z2941" s="91"/>
      <c r="AA2941" s="91"/>
      <c r="AB2941" s="91"/>
      <c r="AC2941" s="91"/>
      <c r="AD2941" s="91"/>
      <c r="AE2941" s="91"/>
      <c r="AF2941" s="91"/>
      <c r="AG2941" s="91"/>
      <c r="AH2941" s="91"/>
      <c r="AI2941" s="91"/>
      <c r="AJ2941" s="91"/>
      <c r="AK2941" s="91"/>
      <c r="AL2941" s="91"/>
      <c r="AM2941" s="91"/>
    </row>
    <row r="2942" spans="1:39" ht="20.25" hidden="1" customHeight="1">
      <c r="A2942" s="91"/>
      <c r="B2942" s="93" t="s">
        <v>12002</v>
      </c>
      <c r="C2942" s="91" t="s">
        <v>36</v>
      </c>
      <c r="D2942" s="107" t="s">
        <v>1325</v>
      </c>
      <c r="E2942" s="107" t="s">
        <v>9185</v>
      </c>
      <c r="F2942" s="92" t="s">
        <v>9186</v>
      </c>
      <c r="G2942" s="96">
        <v>44404</v>
      </c>
      <c r="H2942" s="97">
        <v>31485</v>
      </c>
      <c r="I2942" s="100" t="s">
        <v>12681</v>
      </c>
      <c r="J2942" s="94" t="s">
        <v>9187</v>
      </c>
      <c r="K2942" s="92">
        <v>976628541</v>
      </c>
      <c r="L2942" s="91" t="s">
        <v>60</v>
      </c>
      <c r="M2942" s="98">
        <f ca="1">(TODAY()-H2942)/365</f>
        <v>39.772602739726025</v>
      </c>
      <c r="N2942" s="99">
        <f>(G2942-H2942)/365</f>
        <v>35.394520547945206</v>
      </c>
      <c r="O2942" s="98">
        <f ca="1">(TODAY()-G2942)/365</f>
        <v>4.3780821917808215</v>
      </c>
      <c r="P2942" s="91" t="s">
        <v>272</v>
      </c>
      <c r="Q2942" s="91">
        <v>0</v>
      </c>
      <c r="R2942" s="91">
        <v>0</v>
      </c>
      <c r="S2942" s="91">
        <v>0</v>
      </c>
      <c r="T2942" s="91"/>
      <c r="U2942" s="91"/>
      <c r="V2942" s="91"/>
      <c r="W2942" s="91"/>
      <c r="X2942" s="91"/>
      <c r="Y2942" s="91"/>
      <c r="Z2942" s="91"/>
      <c r="AA2942" s="91"/>
      <c r="AB2942" s="91"/>
      <c r="AC2942" s="91"/>
      <c r="AD2942" s="91"/>
      <c r="AE2942" s="91"/>
      <c r="AF2942" s="91"/>
      <c r="AG2942" s="91"/>
      <c r="AH2942" s="91"/>
      <c r="AI2942" s="91"/>
      <c r="AJ2942" s="91"/>
      <c r="AK2942" s="91"/>
      <c r="AL2942" s="91"/>
      <c r="AM2942" s="91"/>
    </row>
    <row r="2943" spans="1:39" ht="20.25" hidden="1" customHeight="1">
      <c r="A2943" s="91"/>
      <c r="B2943" s="93" t="s">
        <v>12002</v>
      </c>
      <c r="C2943" s="91" t="s">
        <v>36</v>
      </c>
      <c r="D2943" s="107" t="s">
        <v>9188</v>
      </c>
      <c r="E2943" s="107" t="s">
        <v>9189</v>
      </c>
      <c r="F2943" s="92" t="s">
        <v>9190</v>
      </c>
      <c r="G2943" s="96">
        <v>43617</v>
      </c>
      <c r="H2943" s="97">
        <v>29917</v>
      </c>
      <c r="I2943" s="100" t="s">
        <v>9191</v>
      </c>
      <c r="J2943" s="94" t="s">
        <v>9192</v>
      </c>
      <c r="K2943" s="92">
        <v>976605482</v>
      </c>
      <c r="L2943" s="91" t="s">
        <v>60</v>
      </c>
      <c r="M2943" s="98">
        <f ca="1">(TODAY()-H2943)/365</f>
        <v>44.06849315068493</v>
      </c>
      <c r="N2943" s="99">
        <f>(G2943-H2943)/365</f>
        <v>37.534246575342465</v>
      </c>
      <c r="O2943" s="98">
        <f ca="1">(TODAY()-G2943)/365</f>
        <v>6.5342465753424657</v>
      </c>
      <c r="P2943" s="91" t="s">
        <v>43</v>
      </c>
      <c r="Q2943" s="91">
        <v>0</v>
      </c>
      <c r="R2943" s="91">
        <v>0</v>
      </c>
      <c r="S2943" s="91">
        <v>0</v>
      </c>
      <c r="T2943" s="91"/>
      <c r="U2943" s="91"/>
      <c r="V2943" s="91"/>
      <c r="W2943" s="91"/>
      <c r="X2943" s="91"/>
      <c r="Y2943" s="91"/>
      <c r="Z2943" s="91"/>
      <c r="AA2943" s="91"/>
      <c r="AB2943" s="91"/>
      <c r="AC2943" s="91"/>
      <c r="AD2943" s="91"/>
      <c r="AE2943" s="91"/>
      <c r="AF2943" s="91"/>
      <c r="AG2943" s="91"/>
      <c r="AH2943" s="91"/>
      <c r="AI2943" s="91"/>
      <c r="AJ2943" s="91"/>
      <c r="AK2943" s="91"/>
      <c r="AL2943" s="91"/>
      <c r="AM2943" s="91"/>
    </row>
    <row r="2944" spans="1:39" ht="20.25" hidden="1" customHeight="1">
      <c r="A2944" s="91"/>
      <c r="B2944" s="93" t="s">
        <v>12002</v>
      </c>
      <c r="C2944" s="91" t="s">
        <v>36</v>
      </c>
      <c r="D2944" s="107" t="s">
        <v>1344</v>
      </c>
      <c r="E2944" s="107" t="s">
        <v>9193</v>
      </c>
      <c r="F2944" s="92" t="s">
        <v>9194</v>
      </c>
      <c r="G2944" s="96">
        <v>43964</v>
      </c>
      <c r="H2944" s="97">
        <v>30034</v>
      </c>
      <c r="I2944" s="100" t="s">
        <v>9195</v>
      </c>
      <c r="J2944" s="94" t="s">
        <v>9196</v>
      </c>
      <c r="K2944" s="92">
        <v>975339906</v>
      </c>
      <c r="L2944" s="91" t="s">
        <v>60</v>
      </c>
      <c r="M2944" s="98">
        <f ca="1">(TODAY()-H2944)/365</f>
        <v>43.747945205479454</v>
      </c>
      <c r="N2944" s="99">
        <f>(G2944-H2944)/365</f>
        <v>38.164383561643838</v>
      </c>
      <c r="O2944" s="98">
        <f ca="1">(TODAY()-G2944)/365</f>
        <v>5.5835616438356164</v>
      </c>
      <c r="P2944" s="91" t="s">
        <v>43</v>
      </c>
      <c r="Q2944" s="91">
        <v>0</v>
      </c>
      <c r="R2944" s="91">
        <v>0</v>
      </c>
      <c r="S2944" s="91">
        <v>0</v>
      </c>
      <c r="T2944" s="91"/>
      <c r="U2944" s="91"/>
      <c r="V2944" s="91"/>
      <c r="W2944" s="91"/>
      <c r="X2944" s="91"/>
      <c r="Y2944" s="91"/>
      <c r="Z2944" s="91"/>
      <c r="AA2944" s="91"/>
      <c r="AB2944" s="91"/>
      <c r="AC2944" s="91"/>
      <c r="AD2944" s="91"/>
      <c r="AE2944" s="91"/>
      <c r="AF2944" s="91"/>
      <c r="AG2944" s="91"/>
      <c r="AH2944" s="91"/>
      <c r="AI2944" s="91"/>
      <c r="AJ2944" s="91"/>
      <c r="AK2944" s="91"/>
      <c r="AL2944" s="91"/>
      <c r="AM2944" s="91"/>
    </row>
    <row r="2945" spans="1:39" ht="20.25" customHeight="1">
      <c r="A2945" s="91"/>
      <c r="B2945" s="93" t="s">
        <v>1659</v>
      </c>
      <c r="C2945" s="91" t="s">
        <v>73</v>
      </c>
      <c r="D2945" s="94" t="s">
        <v>692</v>
      </c>
      <c r="E2945" s="94" t="s">
        <v>1669</v>
      </c>
      <c r="F2945" s="95" t="s">
        <v>1670</v>
      </c>
      <c r="G2945" s="96">
        <v>30410</v>
      </c>
      <c r="H2945" s="97">
        <v>22461</v>
      </c>
      <c r="I2945" s="94" t="s">
        <v>1671</v>
      </c>
      <c r="J2945" s="100" t="s">
        <v>58</v>
      </c>
      <c r="K2945" s="91" t="s">
        <v>58</v>
      </c>
      <c r="L2945" s="91" t="s">
        <v>60</v>
      </c>
      <c r="M2945" s="98">
        <f ca="1">(TODAY()-H2945)/365</f>
        <v>64.495890410958907</v>
      </c>
      <c r="N2945" s="99">
        <f>(G2945-H2945)/365</f>
        <v>21.778082191780822</v>
      </c>
      <c r="O2945" s="98">
        <f ca="1">(TODAY()-G2945)/365</f>
        <v>42.717808219178082</v>
      </c>
      <c r="P2945" s="91" t="s">
        <v>272</v>
      </c>
      <c r="Q2945" s="91">
        <v>0</v>
      </c>
      <c r="R2945" s="91">
        <v>0</v>
      </c>
      <c r="S2945" s="91">
        <v>0</v>
      </c>
      <c r="T2945" s="91"/>
      <c r="U2945" s="91"/>
      <c r="V2945" s="91"/>
      <c r="W2945" s="91"/>
      <c r="X2945" s="91"/>
      <c r="Y2945" s="91"/>
      <c r="Z2945" s="91"/>
      <c r="AA2945" s="91"/>
      <c r="AB2945" s="91"/>
      <c r="AC2945" s="91"/>
      <c r="AD2945" s="91"/>
      <c r="AE2945" s="91"/>
      <c r="AF2945" s="91"/>
      <c r="AG2945" s="91"/>
      <c r="AH2945" s="91"/>
      <c r="AI2945" s="91"/>
      <c r="AJ2945" s="91"/>
      <c r="AK2945" s="91"/>
      <c r="AL2945" s="91"/>
      <c r="AM2945" s="91"/>
    </row>
    <row r="2946" spans="1:39" ht="20.25" hidden="1" customHeight="1">
      <c r="A2946" s="91"/>
      <c r="B2946" s="93" t="s">
        <v>12002</v>
      </c>
      <c r="C2946" s="91" t="s">
        <v>36</v>
      </c>
      <c r="D2946" s="107" t="s">
        <v>2481</v>
      </c>
      <c r="E2946" s="107" t="s">
        <v>9201</v>
      </c>
      <c r="F2946" s="92" t="s">
        <v>9202</v>
      </c>
      <c r="G2946" s="96">
        <v>40211</v>
      </c>
      <c r="H2946" s="97">
        <v>24962</v>
      </c>
      <c r="I2946" s="100" t="s">
        <v>9203</v>
      </c>
      <c r="J2946" s="94" t="s">
        <v>9204</v>
      </c>
      <c r="K2946" s="92">
        <v>976976693</v>
      </c>
      <c r="L2946" s="91" t="s">
        <v>60</v>
      </c>
      <c r="M2946" s="98">
        <f ca="1">(TODAY()-H2946)/365</f>
        <v>57.643835616438359</v>
      </c>
      <c r="N2946" s="99">
        <f>(G2946-H2946)/365</f>
        <v>41.778082191780825</v>
      </c>
      <c r="O2946" s="98">
        <f ca="1">(TODAY()-G2946)/365</f>
        <v>15.865753424657534</v>
      </c>
      <c r="P2946" s="91" t="s">
        <v>43</v>
      </c>
      <c r="Q2946" s="91">
        <v>0</v>
      </c>
      <c r="R2946" s="91">
        <v>0</v>
      </c>
      <c r="S2946" s="91">
        <v>0</v>
      </c>
      <c r="T2946" s="91"/>
      <c r="U2946" s="91"/>
      <c r="V2946" s="91"/>
      <c r="W2946" s="91"/>
      <c r="X2946" s="91"/>
      <c r="Y2946" s="91"/>
      <c r="Z2946" s="91"/>
      <c r="AA2946" s="91"/>
      <c r="AB2946" s="91"/>
      <c r="AC2946" s="91"/>
      <c r="AD2946" s="91"/>
      <c r="AE2946" s="91"/>
      <c r="AF2946" s="91"/>
      <c r="AG2946" s="91"/>
      <c r="AH2946" s="91"/>
      <c r="AI2946" s="91"/>
      <c r="AJ2946" s="91"/>
      <c r="AK2946" s="91"/>
      <c r="AL2946" s="91"/>
      <c r="AM2946" s="91"/>
    </row>
    <row r="2947" spans="1:39" ht="20.25" hidden="1" customHeight="1">
      <c r="A2947" s="91"/>
      <c r="B2947" s="93" t="s">
        <v>12002</v>
      </c>
      <c r="C2947" s="91" t="s">
        <v>36</v>
      </c>
      <c r="D2947" s="107" t="s">
        <v>9205</v>
      </c>
      <c r="E2947" s="107" t="s">
        <v>9206</v>
      </c>
      <c r="F2947" s="92" t="s">
        <v>9207</v>
      </c>
      <c r="G2947" s="96">
        <v>45408</v>
      </c>
      <c r="H2947" s="97">
        <v>28553</v>
      </c>
      <c r="I2947" s="108" t="s">
        <v>12526</v>
      </c>
      <c r="J2947" s="100" t="s">
        <v>9208</v>
      </c>
      <c r="K2947" s="92">
        <v>966834979</v>
      </c>
      <c r="L2947" s="91" t="s">
        <v>60</v>
      </c>
      <c r="M2947" s="98">
        <f ca="1">(TODAY()-H2947)/365</f>
        <v>47.805479452054797</v>
      </c>
      <c r="N2947" s="99">
        <f>(G2947-H2947)/365</f>
        <v>46.178082191780824</v>
      </c>
      <c r="O2947" s="98">
        <f ca="1">(TODAY()-G2947)/365</f>
        <v>1.6273972602739726</v>
      </c>
      <c r="P2947" s="91" t="s">
        <v>43</v>
      </c>
      <c r="Q2947" s="91">
        <v>0</v>
      </c>
      <c r="R2947" s="91">
        <v>0</v>
      </c>
      <c r="S2947" s="91">
        <v>0</v>
      </c>
      <c r="T2947" s="91"/>
      <c r="U2947" s="91"/>
      <c r="V2947" s="91"/>
      <c r="W2947" s="91"/>
      <c r="X2947" s="91"/>
      <c r="Y2947" s="91"/>
      <c r="Z2947" s="91"/>
      <c r="AA2947" s="91"/>
      <c r="AB2947" s="91"/>
      <c r="AC2947" s="91"/>
      <c r="AD2947" s="91"/>
      <c r="AE2947" s="91"/>
      <c r="AF2947" s="91"/>
      <c r="AG2947" s="91"/>
      <c r="AH2947" s="91"/>
      <c r="AI2947" s="91"/>
      <c r="AJ2947" s="91"/>
      <c r="AK2947" s="91"/>
      <c r="AL2947" s="91"/>
      <c r="AM2947" s="91"/>
    </row>
    <row r="2948" spans="1:39" ht="20.25" hidden="1" customHeight="1">
      <c r="A2948" s="91"/>
      <c r="B2948" s="93" t="s">
        <v>12002</v>
      </c>
      <c r="C2948" s="91" t="s">
        <v>36</v>
      </c>
      <c r="D2948" s="107" t="s">
        <v>6938</v>
      </c>
      <c r="E2948" s="107" t="s">
        <v>9209</v>
      </c>
      <c r="F2948" s="92" t="s">
        <v>9210</v>
      </c>
      <c r="G2948" s="96">
        <v>40545</v>
      </c>
      <c r="H2948" s="97">
        <v>22165</v>
      </c>
      <c r="I2948" s="100" t="s">
        <v>9211</v>
      </c>
      <c r="J2948" s="94" t="s">
        <v>9212</v>
      </c>
      <c r="K2948" s="92">
        <v>978507029</v>
      </c>
      <c r="L2948" s="91" t="s">
        <v>72</v>
      </c>
      <c r="M2948" s="98">
        <f ca="1">(TODAY()-H2948)/365</f>
        <v>65.30684931506849</v>
      </c>
      <c r="N2948" s="99">
        <f>(G2948-H2948)/365</f>
        <v>50.356164383561641</v>
      </c>
      <c r="O2948" s="98">
        <f ca="1">(TODAY()-G2948)/365</f>
        <v>14.950684931506849</v>
      </c>
      <c r="P2948" s="91" t="s">
        <v>43</v>
      </c>
      <c r="Q2948" s="91">
        <v>0</v>
      </c>
      <c r="R2948" s="91">
        <v>0</v>
      </c>
      <c r="S2948" s="91">
        <v>0</v>
      </c>
      <c r="T2948" s="91"/>
      <c r="U2948" s="91"/>
      <c r="V2948" s="91"/>
      <c r="W2948" s="91"/>
      <c r="X2948" s="91"/>
      <c r="Y2948" s="91"/>
      <c r="Z2948" s="91"/>
      <c r="AA2948" s="91"/>
      <c r="AB2948" s="91"/>
      <c r="AC2948" s="91"/>
      <c r="AD2948" s="91"/>
      <c r="AE2948" s="91"/>
      <c r="AF2948" s="91"/>
      <c r="AG2948" s="91"/>
      <c r="AH2948" s="91"/>
      <c r="AI2948" s="91"/>
      <c r="AJ2948" s="91"/>
      <c r="AK2948" s="91"/>
      <c r="AL2948" s="91"/>
      <c r="AM2948" s="91"/>
    </row>
    <row r="2949" spans="1:39" ht="20.25" hidden="1" customHeight="1">
      <c r="A2949" s="91"/>
      <c r="B2949" s="93" t="s">
        <v>12002</v>
      </c>
      <c r="C2949" s="91" t="s">
        <v>36</v>
      </c>
      <c r="D2949" s="107" t="s">
        <v>780</v>
      </c>
      <c r="E2949" s="107" t="s">
        <v>9213</v>
      </c>
      <c r="F2949" s="92" t="s">
        <v>9214</v>
      </c>
      <c r="G2949" s="96">
        <v>43587</v>
      </c>
      <c r="H2949" s="97">
        <v>25145</v>
      </c>
      <c r="I2949" s="100" t="s">
        <v>9215</v>
      </c>
      <c r="J2949" s="94" t="s">
        <v>9216</v>
      </c>
      <c r="K2949" s="92">
        <v>945186757</v>
      </c>
      <c r="L2949" s="91" t="s">
        <v>121</v>
      </c>
      <c r="M2949" s="98">
        <f ca="1">(TODAY()-H2949)/365</f>
        <v>57.142465753424659</v>
      </c>
      <c r="N2949" s="99">
        <f>(G2949-H2949)/365</f>
        <v>50.526027397260272</v>
      </c>
      <c r="O2949" s="98">
        <f ca="1">(TODAY()-G2949)/365</f>
        <v>6.6164383561643838</v>
      </c>
      <c r="P2949" s="91" t="s">
        <v>43</v>
      </c>
      <c r="Q2949" s="91">
        <v>0</v>
      </c>
      <c r="R2949" s="91">
        <v>0</v>
      </c>
      <c r="S2949" s="91">
        <v>0</v>
      </c>
      <c r="T2949" s="91"/>
      <c r="U2949" s="91"/>
      <c r="V2949" s="91"/>
      <c r="W2949" s="91"/>
      <c r="X2949" s="91"/>
      <c r="Y2949" s="91"/>
      <c r="Z2949" s="91"/>
      <c r="AA2949" s="91"/>
      <c r="AB2949" s="91"/>
      <c r="AC2949" s="91"/>
      <c r="AD2949" s="91"/>
      <c r="AE2949" s="91"/>
      <c r="AF2949" s="91"/>
      <c r="AG2949" s="91"/>
      <c r="AH2949" s="91"/>
      <c r="AI2949" s="91"/>
      <c r="AJ2949" s="91"/>
      <c r="AK2949" s="91"/>
      <c r="AL2949" s="91"/>
      <c r="AM2949" s="91"/>
    </row>
    <row r="2950" spans="1:39" ht="20.25" hidden="1" customHeight="1">
      <c r="A2950" s="91"/>
      <c r="B2950" s="93" t="s">
        <v>12002</v>
      </c>
      <c r="C2950" s="91" t="s">
        <v>36</v>
      </c>
      <c r="D2950" s="107" t="s">
        <v>9217</v>
      </c>
      <c r="E2950" s="107" t="s">
        <v>9218</v>
      </c>
      <c r="F2950" s="92" t="s">
        <v>9219</v>
      </c>
      <c r="G2950" s="96">
        <v>40300</v>
      </c>
      <c r="H2950" s="97">
        <v>21023</v>
      </c>
      <c r="I2950" s="100" t="s">
        <v>9117</v>
      </c>
      <c r="J2950" s="94" t="s">
        <v>9220</v>
      </c>
      <c r="K2950" s="92">
        <v>975856395</v>
      </c>
      <c r="L2950" s="91" t="s">
        <v>60</v>
      </c>
      <c r="M2950" s="98">
        <f ca="1">(TODAY()-H2950)/365</f>
        <v>68.435616438356163</v>
      </c>
      <c r="N2950" s="99">
        <f>(G2950-H2950)/365</f>
        <v>52.813698630136983</v>
      </c>
      <c r="O2950" s="98">
        <f ca="1">(TODAY()-G2950)/365</f>
        <v>15.621917808219179</v>
      </c>
      <c r="P2950" s="91" t="s">
        <v>43</v>
      </c>
      <c r="Q2950" s="91">
        <v>0</v>
      </c>
      <c r="R2950" s="91">
        <v>0</v>
      </c>
      <c r="S2950" s="91">
        <v>0</v>
      </c>
      <c r="T2950" s="91"/>
      <c r="U2950" s="91"/>
      <c r="V2950" s="91"/>
      <c r="W2950" s="91"/>
      <c r="X2950" s="91"/>
      <c r="Y2950" s="91"/>
      <c r="Z2950" s="91"/>
      <c r="AA2950" s="91"/>
      <c r="AB2950" s="91"/>
      <c r="AC2950" s="91"/>
      <c r="AD2950" s="91"/>
      <c r="AE2950" s="91"/>
      <c r="AF2950" s="91"/>
      <c r="AG2950" s="91"/>
      <c r="AH2950" s="91"/>
      <c r="AI2950" s="91"/>
      <c r="AJ2950" s="91"/>
      <c r="AK2950" s="91"/>
      <c r="AL2950" s="91"/>
      <c r="AM2950" s="91"/>
    </row>
    <row r="2951" spans="1:39" ht="20.25" hidden="1" customHeight="1">
      <c r="A2951" s="91"/>
      <c r="B2951" s="93" t="s">
        <v>12002</v>
      </c>
      <c r="C2951" s="91" t="s">
        <v>36</v>
      </c>
      <c r="D2951" s="107" t="s">
        <v>666</v>
      </c>
      <c r="E2951" s="107" t="s">
        <v>5210</v>
      </c>
      <c r="F2951" s="92" t="s">
        <v>9221</v>
      </c>
      <c r="G2951" s="96">
        <v>40969</v>
      </c>
      <c r="H2951" s="97">
        <v>21337</v>
      </c>
      <c r="I2951" s="108" t="s">
        <v>12527</v>
      </c>
      <c r="J2951" s="94" t="s">
        <v>9222</v>
      </c>
      <c r="K2951" s="92">
        <v>981851656</v>
      </c>
      <c r="L2951" s="91" t="s">
        <v>151</v>
      </c>
      <c r="M2951" s="98">
        <f ca="1">(TODAY()-H2951)/365</f>
        <v>67.575342465753423</v>
      </c>
      <c r="N2951" s="99">
        <f>(G2951-H2951)/365</f>
        <v>53.786301369863011</v>
      </c>
      <c r="O2951" s="98">
        <f ca="1">(TODAY()-G2951)/365</f>
        <v>13.789041095890411</v>
      </c>
      <c r="P2951" s="91" t="s">
        <v>43</v>
      </c>
      <c r="Q2951" s="91">
        <v>0</v>
      </c>
      <c r="R2951" s="91">
        <v>0</v>
      </c>
      <c r="S2951" s="91">
        <v>0</v>
      </c>
      <c r="T2951" s="91"/>
      <c r="U2951" s="91"/>
      <c r="V2951" s="91"/>
      <c r="W2951" s="91"/>
      <c r="X2951" s="91"/>
      <c r="Y2951" s="91"/>
      <c r="Z2951" s="91"/>
      <c r="AA2951" s="91"/>
      <c r="AB2951" s="91"/>
      <c r="AC2951" s="91"/>
      <c r="AD2951" s="91"/>
      <c r="AE2951" s="91"/>
      <c r="AF2951" s="91"/>
      <c r="AG2951" s="91"/>
      <c r="AH2951" s="91"/>
      <c r="AI2951" s="91"/>
      <c r="AJ2951" s="91"/>
      <c r="AK2951" s="91"/>
      <c r="AL2951" s="91"/>
      <c r="AM2951" s="91"/>
    </row>
    <row r="2952" spans="1:39" ht="20.25" hidden="1" customHeight="1">
      <c r="A2952" s="91"/>
      <c r="B2952" s="93" t="s">
        <v>12002</v>
      </c>
      <c r="C2952" s="91" t="s">
        <v>36</v>
      </c>
      <c r="D2952" s="107" t="s">
        <v>3295</v>
      </c>
      <c r="E2952" s="107" t="s">
        <v>9223</v>
      </c>
      <c r="F2952" s="92" t="s">
        <v>9224</v>
      </c>
      <c r="G2952" s="96">
        <v>45387</v>
      </c>
      <c r="H2952" s="97">
        <v>25069</v>
      </c>
      <c r="I2952" s="108" t="s">
        <v>12528</v>
      </c>
      <c r="J2952" s="100" t="s">
        <v>9225</v>
      </c>
      <c r="K2952" s="92">
        <v>942178997</v>
      </c>
      <c r="L2952" s="91" t="s">
        <v>60</v>
      </c>
      <c r="M2952" s="98">
        <f ca="1">(TODAY()-H2952)/365</f>
        <v>57.350684931506848</v>
      </c>
      <c r="N2952" s="99">
        <f>(G2952-H2952)/365</f>
        <v>55.665753424657531</v>
      </c>
      <c r="O2952" s="98">
        <f ca="1">(TODAY()-G2952)/365</f>
        <v>1.6849315068493151</v>
      </c>
      <c r="P2952" s="91" t="s">
        <v>43</v>
      </c>
      <c r="Q2952" s="91">
        <v>0</v>
      </c>
      <c r="R2952" s="91">
        <v>0</v>
      </c>
      <c r="S2952" s="91">
        <v>0</v>
      </c>
      <c r="T2952" s="91"/>
      <c r="U2952" s="91"/>
      <c r="V2952" s="91"/>
      <c r="W2952" s="91"/>
      <c r="X2952" s="91"/>
      <c r="Y2952" s="91"/>
      <c r="Z2952" s="91"/>
      <c r="AA2952" s="91"/>
      <c r="AB2952" s="91"/>
      <c r="AC2952" s="91"/>
      <c r="AD2952" s="91"/>
      <c r="AE2952" s="91"/>
      <c r="AF2952" s="91"/>
      <c r="AG2952" s="91"/>
      <c r="AH2952" s="91"/>
      <c r="AI2952" s="91"/>
      <c r="AJ2952" s="91"/>
      <c r="AK2952" s="91"/>
      <c r="AL2952" s="91"/>
      <c r="AM2952" s="91"/>
    </row>
    <row r="2953" spans="1:39" ht="20.25" hidden="1" customHeight="1">
      <c r="A2953" s="91"/>
      <c r="B2953" s="93" t="s">
        <v>12002</v>
      </c>
      <c r="C2953" s="91" t="s">
        <v>36</v>
      </c>
      <c r="D2953" s="107" t="s">
        <v>9226</v>
      </c>
      <c r="E2953" s="107" t="s">
        <v>9227</v>
      </c>
      <c r="F2953" s="92" t="s">
        <v>9228</v>
      </c>
      <c r="G2953" s="96">
        <v>44198</v>
      </c>
      <c r="H2953" s="97">
        <v>22453</v>
      </c>
      <c r="I2953" s="100" t="s">
        <v>9229</v>
      </c>
      <c r="J2953" s="94" t="s">
        <v>9230</v>
      </c>
      <c r="K2953" s="92">
        <v>967866354</v>
      </c>
      <c r="L2953" s="91" t="s">
        <v>60</v>
      </c>
      <c r="M2953" s="98">
        <f ca="1">(TODAY()-H2953)/365</f>
        <v>64.517808219178079</v>
      </c>
      <c r="N2953" s="99">
        <f>(G2953-H2953)/365</f>
        <v>59.575342465753423</v>
      </c>
      <c r="O2953" s="98">
        <f ca="1">(TODAY()-G2953)/365</f>
        <v>4.9424657534246572</v>
      </c>
      <c r="P2953" s="91" t="s">
        <v>43</v>
      </c>
      <c r="Q2953" s="91">
        <v>0</v>
      </c>
      <c r="R2953" s="91">
        <v>0</v>
      </c>
      <c r="S2953" s="91">
        <v>0</v>
      </c>
      <c r="T2953" s="91"/>
      <c r="U2953" s="91"/>
      <c r="V2953" s="91"/>
      <c r="W2953" s="91"/>
      <c r="X2953" s="91"/>
      <c r="Y2953" s="91"/>
      <c r="Z2953" s="91"/>
      <c r="AA2953" s="91"/>
      <c r="AB2953" s="91"/>
      <c r="AC2953" s="91"/>
      <c r="AD2953" s="91"/>
      <c r="AE2953" s="91"/>
      <c r="AF2953" s="91"/>
      <c r="AG2953" s="91"/>
      <c r="AH2953" s="91"/>
      <c r="AI2953" s="91"/>
      <c r="AJ2953" s="91"/>
      <c r="AK2953" s="91"/>
      <c r="AL2953" s="91"/>
      <c r="AM2953" s="91"/>
    </row>
    <row r="2954" spans="1:39" ht="20.25" hidden="1" customHeight="1">
      <c r="A2954" s="91"/>
      <c r="B2954" s="93" t="s">
        <v>12002</v>
      </c>
      <c r="C2954" s="91" t="s">
        <v>36</v>
      </c>
      <c r="D2954" s="107" t="s">
        <v>9030</v>
      </c>
      <c r="E2954" s="107" t="s">
        <v>9231</v>
      </c>
      <c r="F2954" s="92" t="s">
        <v>9232</v>
      </c>
      <c r="G2954" s="96">
        <v>43648</v>
      </c>
      <c r="H2954" s="97">
        <v>21190</v>
      </c>
      <c r="I2954" s="100" t="s">
        <v>9233</v>
      </c>
      <c r="J2954" s="94" t="s">
        <v>9234</v>
      </c>
      <c r="K2954" s="92">
        <v>998164702</v>
      </c>
      <c r="L2954" s="91" t="s">
        <v>60</v>
      </c>
      <c r="M2954" s="98">
        <f ca="1">(TODAY()-H2954)/365</f>
        <v>67.978082191780828</v>
      </c>
      <c r="N2954" s="99">
        <f>(G2954-H2954)/365</f>
        <v>61.528767123287672</v>
      </c>
      <c r="O2954" s="98">
        <f ca="1">(TODAY()-G2954)/365</f>
        <v>6.4493150684931511</v>
      </c>
      <c r="P2954" s="91" t="s">
        <v>43</v>
      </c>
      <c r="Q2954" s="91">
        <v>0</v>
      </c>
      <c r="R2954" s="91">
        <v>0</v>
      </c>
      <c r="S2954" s="91">
        <v>0</v>
      </c>
      <c r="T2954" s="91"/>
      <c r="U2954" s="91"/>
      <c r="V2954" s="91"/>
      <c r="W2954" s="91"/>
      <c r="X2954" s="91"/>
      <c r="Y2954" s="91"/>
      <c r="Z2954" s="91"/>
      <c r="AA2954" s="91"/>
      <c r="AB2954" s="91"/>
      <c r="AC2954" s="91"/>
      <c r="AD2954" s="91"/>
      <c r="AE2954" s="91"/>
      <c r="AF2954" s="91"/>
      <c r="AG2954" s="91"/>
      <c r="AH2954" s="91"/>
      <c r="AI2954" s="91"/>
      <c r="AJ2954" s="91"/>
      <c r="AK2954" s="91"/>
      <c r="AL2954" s="91"/>
      <c r="AM2954" s="91"/>
    </row>
    <row r="2955" spans="1:39" ht="20.25" hidden="1" customHeight="1">
      <c r="A2955" s="91"/>
      <c r="B2955" s="93" t="s">
        <v>12002</v>
      </c>
      <c r="C2955" s="91" t="s">
        <v>36</v>
      </c>
      <c r="D2955" s="107" t="s">
        <v>666</v>
      </c>
      <c r="E2955" s="107" t="s">
        <v>9235</v>
      </c>
      <c r="F2955" s="92" t="s">
        <v>9236</v>
      </c>
      <c r="G2955" s="96">
        <v>37258</v>
      </c>
      <c r="H2955" s="97">
        <v>13303</v>
      </c>
      <c r="I2955" s="100" t="s">
        <v>9237</v>
      </c>
      <c r="J2955" s="94" t="s">
        <v>9238</v>
      </c>
      <c r="K2955" s="92">
        <v>957100109</v>
      </c>
      <c r="L2955" s="91" t="s">
        <v>60</v>
      </c>
      <c r="M2955" s="98">
        <f ca="1">(TODAY()-H2955)/365</f>
        <v>89.586301369863008</v>
      </c>
      <c r="N2955" s="99">
        <f>(G2955-H2955)/365</f>
        <v>65.630136986301366</v>
      </c>
      <c r="O2955" s="98">
        <f ca="1">(TODAY()-G2955)/365</f>
        <v>23.956164383561642</v>
      </c>
      <c r="P2955" s="91" t="s">
        <v>43</v>
      </c>
      <c r="Q2955" s="91">
        <v>0</v>
      </c>
      <c r="R2955" s="91">
        <v>0</v>
      </c>
      <c r="S2955" s="91">
        <v>0</v>
      </c>
      <c r="T2955" s="91"/>
      <c r="U2955" s="91"/>
      <c r="V2955" s="91"/>
      <c r="W2955" s="91"/>
      <c r="X2955" s="91"/>
      <c r="Y2955" s="91"/>
      <c r="Z2955" s="91"/>
      <c r="AA2955" s="91"/>
      <c r="AB2955" s="91"/>
      <c r="AC2955" s="91"/>
      <c r="AD2955" s="91"/>
      <c r="AE2955" s="91"/>
      <c r="AF2955" s="91"/>
      <c r="AG2955" s="91"/>
      <c r="AH2955" s="91"/>
      <c r="AI2955" s="91"/>
      <c r="AJ2955" s="91"/>
      <c r="AK2955" s="91"/>
      <c r="AL2955" s="91"/>
      <c r="AM2955" s="91"/>
    </row>
    <row r="2956" spans="1:39" ht="20.25" hidden="1" customHeight="1">
      <c r="A2956" s="91"/>
      <c r="B2956" s="93" t="s">
        <v>9239</v>
      </c>
      <c r="C2956" s="91" t="s">
        <v>36</v>
      </c>
      <c r="D2956" s="107" t="s">
        <v>2767</v>
      </c>
      <c r="E2956" s="107" t="s">
        <v>9240</v>
      </c>
      <c r="F2956" s="91" t="s">
        <v>9241</v>
      </c>
      <c r="G2956" s="96">
        <v>44321</v>
      </c>
      <c r="H2956" s="97">
        <v>39638</v>
      </c>
      <c r="I2956" s="100" t="s">
        <v>9242</v>
      </c>
      <c r="J2956" s="100" t="s">
        <v>9243</v>
      </c>
      <c r="K2956" s="91">
        <v>967884584</v>
      </c>
      <c r="L2956" s="91" t="s">
        <v>60</v>
      </c>
      <c r="M2956" s="98">
        <f ca="1">(TODAY()-H2956)/365</f>
        <v>17.435616438356163</v>
      </c>
      <c r="N2956" s="99">
        <f>(G2956-H2956)/365</f>
        <v>12.830136986301369</v>
      </c>
      <c r="O2956" s="98">
        <f ca="1">(TODAY()-G2956)/365</f>
        <v>4.6054794520547944</v>
      </c>
      <c r="P2956" s="91" t="s">
        <v>43</v>
      </c>
      <c r="Q2956" s="91">
        <v>0</v>
      </c>
      <c r="R2956" s="91">
        <v>0</v>
      </c>
      <c r="S2956" s="91">
        <v>0</v>
      </c>
      <c r="T2956" s="91"/>
      <c r="U2956" s="91"/>
      <c r="V2956" s="91"/>
      <c r="W2956" s="91"/>
      <c r="X2956" s="91"/>
      <c r="Y2956" s="91"/>
      <c r="Z2956" s="91"/>
      <c r="AA2956" s="91"/>
      <c r="AB2956" s="91"/>
      <c r="AC2956" s="91"/>
      <c r="AD2956" s="91"/>
      <c r="AE2956" s="91"/>
      <c r="AF2956" s="91"/>
      <c r="AG2956" s="91"/>
      <c r="AH2956" s="91"/>
      <c r="AI2956" s="91"/>
      <c r="AJ2956" s="91"/>
      <c r="AK2956" s="91"/>
      <c r="AL2956" s="91"/>
      <c r="AM2956" s="91"/>
    </row>
    <row r="2957" spans="1:39" ht="20.25" hidden="1" customHeight="1">
      <c r="A2957" s="91"/>
      <c r="B2957" s="93" t="s">
        <v>9239</v>
      </c>
      <c r="C2957" s="91" t="s">
        <v>36</v>
      </c>
      <c r="D2957" s="107" t="s">
        <v>875</v>
      </c>
      <c r="E2957" s="107" t="s">
        <v>9244</v>
      </c>
      <c r="F2957" s="91" t="s">
        <v>9245</v>
      </c>
      <c r="G2957" s="96">
        <v>44542</v>
      </c>
      <c r="H2957" s="103" t="s">
        <v>58</v>
      </c>
      <c r="I2957" s="100" t="s">
        <v>9246</v>
      </c>
      <c r="J2957" s="100" t="s">
        <v>9247</v>
      </c>
      <c r="K2957" s="92" t="s">
        <v>9248</v>
      </c>
      <c r="L2957" s="91" t="s">
        <v>60</v>
      </c>
      <c r="M2957" s="98">
        <v>0</v>
      </c>
      <c r="N2957" s="91"/>
      <c r="O2957" s="98">
        <f ca="1">(TODAY()-G2957)/365</f>
        <v>4</v>
      </c>
      <c r="P2957" s="91" t="s">
        <v>43</v>
      </c>
      <c r="Q2957" s="91">
        <v>0</v>
      </c>
      <c r="R2957" s="91">
        <v>0</v>
      </c>
      <c r="S2957" s="91">
        <v>0</v>
      </c>
      <c r="T2957" s="91"/>
      <c r="U2957" s="91"/>
      <c r="V2957" s="91"/>
      <c r="W2957" s="91"/>
      <c r="X2957" s="91"/>
      <c r="Y2957" s="91"/>
      <c r="Z2957" s="91"/>
      <c r="AA2957" s="91"/>
      <c r="AB2957" s="91"/>
      <c r="AC2957" s="91"/>
      <c r="AD2957" s="91"/>
      <c r="AE2957" s="91"/>
      <c r="AF2957" s="91"/>
      <c r="AG2957" s="91"/>
      <c r="AH2957" s="91"/>
      <c r="AI2957" s="91"/>
      <c r="AJ2957" s="91"/>
      <c r="AK2957" s="91"/>
      <c r="AL2957" s="91"/>
      <c r="AM2957" s="91"/>
    </row>
    <row r="2958" spans="1:39" ht="20.25" hidden="1" customHeight="1">
      <c r="A2958" s="91"/>
      <c r="B2958" s="93" t="s">
        <v>9239</v>
      </c>
      <c r="C2958" s="91" t="s">
        <v>36</v>
      </c>
      <c r="D2958" s="107" t="s">
        <v>9249</v>
      </c>
      <c r="E2958" s="107" t="s">
        <v>9250</v>
      </c>
      <c r="F2958" s="91" t="s">
        <v>9251</v>
      </c>
      <c r="G2958" s="96">
        <v>44993</v>
      </c>
      <c r="H2958" s="97">
        <v>37760</v>
      </c>
      <c r="I2958" s="105" t="s">
        <v>9252</v>
      </c>
      <c r="J2958" s="100" t="s">
        <v>9253</v>
      </c>
      <c r="K2958" s="92" t="s">
        <v>9254</v>
      </c>
      <c r="L2958" s="91" t="s">
        <v>60</v>
      </c>
      <c r="M2958" s="98">
        <f ca="1">(TODAY()-H2958)/365</f>
        <v>22.580821917808219</v>
      </c>
      <c r="N2958" s="99">
        <f>(G2958-H2958)/365</f>
        <v>19.816438356164383</v>
      </c>
      <c r="O2958" s="98">
        <f ca="1">(TODAY()-G2958)/365</f>
        <v>2.7643835616438355</v>
      </c>
      <c r="P2958" s="91" t="s">
        <v>43</v>
      </c>
      <c r="Q2958" s="91">
        <v>0</v>
      </c>
      <c r="R2958" s="91">
        <v>0</v>
      </c>
      <c r="S2958" s="91">
        <v>0</v>
      </c>
      <c r="T2958" s="91"/>
      <c r="U2958" s="91"/>
      <c r="V2958" s="91"/>
      <c r="W2958" s="91"/>
      <c r="X2958" s="91"/>
      <c r="Y2958" s="91"/>
      <c r="Z2958" s="91"/>
      <c r="AA2958" s="91"/>
      <c r="AB2958" s="91"/>
      <c r="AC2958" s="91"/>
      <c r="AD2958" s="91"/>
      <c r="AE2958" s="91"/>
      <c r="AF2958" s="91"/>
      <c r="AG2958" s="91"/>
      <c r="AH2958" s="91"/>
      <c r="AI2958" s="91"/>
      <c r="AJ2958" s="91"/>
      <c r="AK2958" s="91"/>
      <c r="AL2958" s="91"/>
      <c r="AM2958" s="91"/>
    </row>
    <row r="2959" spans="1:39" ht="20.25" hidden="1" customHeight="1">
      <c r="A2959" s="91"/>
      <c r="B2959" s="93" t="s">
        <v>9239</v>
      </c>
      <c r="C2959" s="91" t="s">
        <v>36</v>
      </c>
      <c r="D2959" s="107" t="s">
        <v>9255</v>
      </c>
      <c r="E2959" s="107" t="s">
        <v>9256</v>
      </c>
      <c r="F2959" s="91" t="s">
        <v>9257</v>
      </c>
      <c r="G2959" s="96">
        <v>43225</v>
      </c>
      <c r="H2959" s="97">
        <v>34120</v>
      </c>
      <c r="I2959" s="100" t="s">
        <v>9258</v>
      </c>
      <c r="J2959" s="100" t="s">
        <v>9259</v>
      </c>
      <c r="K2959" s="91">
        <v>988559812</v>
      </c>
      <c r="L2959" s="91" t="s">
        <v>60</v>
      </c>
      <c r="M2959" s="98">
        <f ca="1">(TODAY()-H2959)/365</f>
        <v>32.553424657534244</v>
      </c>
      <c r="N2959" s="99">
        <f>(G2959-H2959)/365</f>
        <v>24.945205479452056</v>
      </c>
      <c r="O2959" s="98">
        <f ca="1">(TODAY()-G2959)/365</f>
        <v>7.6082191780821917</v>
      </c>
      <c r="P2959" s="91" t="s">
        <v>272</v>
      </c>
      <c r="Q2959" s="91">
        <v>0</v>
      </c>
      <c r="R2959" s="91">
        <v>0</v>
      </c>
      <c r="S2959" s="91">
        <v>0</v>
      </c>
      <c r="T2959" s="91"/>
      <c r="U2959" s="91"/>
      <c r="V2959" s="91"/>
      <c r="W2959" s="91"/>
      <c r="X2959" s="91"/>
      <c r="Y2959" s="91"/>
      <c r="Z2959" s="91"/>
      <c r="AA2959" s="91"/>
      <c r="AB2959" s="91"/>
      <c r="AC2959" s="91"/>
      <c r="AD2959" s="91"/>
      <c r="AE2959" s="91"/>
      <c r="AF2959" s="91"/>
      <c r="AG2959" s="91"/>
      <c r="AH2959" s="91"/>
      <c r="AI2959" s="91"/>
      <c r="AJ2959" s="91"/>
      <c r="AK2959" s="91"/>
      <c r="AL2959" s="91"/>
      <c r="AM2959" s="91"/>
    </row>
    <row r="2960" spans="1:39" ht="20.25" hidden="1" customHeight="1">
      <c r="A2960" s="91"/>
      <c r="B2960" s="93" t="s">
        <v>9239</v>
      </c>
      <c r="C2960" s="91" t="s">
        <v>36</v>
      </c>
      <c r="D2960" s="107" t="s">
        <v>9260</v>
      </c>
      <c r="E2960" s="107" t="s">
        <v>9261</v>
      </c>
      <c r="F2960" s="91" t="s">
        <v>9262</v>
      </c>
      <c r="G2960" s="96">
        <v>43577</v>
      </c>
      <c r="H2960" s="97">
        <v>31170</v>
      </c>
      <c r="I2960" s="100" t="s">
        <v>9263</v>
      </c>
      <c r="J2960" s="100" t="s">
        <v>9264</v>
      </c>
      <c r="K2960" s="91">
        <v>999414405</v>
      </c>
      <c r="L2960" s="91" t="s">
        <v>60</v>
      </c>
      <c r="M2960" s="98">
        <f ca="1">(TODAY()-H2960)/365</f>
        <v>40.635616438356166</v>
      </c>
      <c r="N2960" s="99">
        <f>(G2960-H2960)/365</f>
        <v>33.991780821917807</v>
      </c>
      <c r="O2960" s="98">
        <f ca="1">(TODAY()-G2960)/365</f>
        <v>6.6438356164383565</v>
      </c>
      <c r="P2960" s="91" t="s">
        <v>43</v>
      </c>
      <c r="Q2960" s="91">
        <v>0</v>
      </c>
      <c r="R2960" s="91">
        <v>0</v>
      </c>
      <c r="S2960" s="91">
        <v>0</v>
      </c>
      <c r="T2960" s="91"/>
      <c r="U2960" s="91"/>
      <c r="V2960" s="91"/>
      <c r="W2960" s="91"/>
      <c r="X2960" s="91"/>
      <c r="Y2960" s="91"/>
      <c r="Z2960" s="91"/>
      <c r="AA2960" s="91"/>
      <c r="AB2960" s="91"/>
      <c r="AC2960" s="91"/>
      <c r="AD2960" s="91"/>
      <c r="AE2960" s="91"/>
      <c r="AF2960" s="91"/>
      <c r="AG2960" s="91"/>
      <c r="AH2960" s="91"/>
      <c r="AI2960" s="91"/>
      <c r="AJ2960" s="91"/>
      <c r="AK2960" s="91"/>
      <c r="AL2960" s="91"/>
      <c r="AM2960" s="91"/>
    </row>
    <row r="2961" spans="1:39" ht="20.25" hidden="1" customHeight="1">
      <c r="A2961" s="91"/>
      <c r="B2961" s="93" t="s">
        <v>9239</v>
      </c>
      <c r="C2961" s="91" t="s">
        <v>36</v>
      </c>
      <c r="D2961" s="107" t="s">
        <v>9265</v>
      </c>
      <c r="E2961" s="107" t="s">
        <v>9266</v>
      </c>
      <c r="F2961" s="91" t="s">
        <v>9267</v>
      </c>
      <c r="G2961" s="96">
        <v>30071</v>
      </c>
      <c r="H2961" s="97">
        <v>14882</v>
      </c>
      <c r="I2961" s="100" t="s">
        <v>9268</v>
      </c>
      <c r="J2961" s="100" t="s">
        <v>9269</v>
      </c>
      <c r="K2961" s="91">
        <v>973045169</v>
      </c>
      <c r="L2961" s="91" t="s">
        <v>60</v>
      </c>
      <c r="M2961" s="98">
        <f ca="1">(TODAY()-H2961)/365</f>
        <v>85.260273972602747</v>
      </c>
      <c r="N2961" s="99">
        <f>(G2961-H2961)/365</f>
        <v>41.613698630136987</v>
      </c>
      <c r="O2961" s="98">
        <f ca="1">(TODAY()-G2961)/365</f>
        <v>43.646575342465752</v>
      </c>
      <c r="P2961" s="91" t="s">
        <v>272</v>
      </c>
      <c r="Q2961" s="91">
        <v>0</v>
      </c>
      <c r="R2961" s="91">
        <v>0</v>
      </c>
      <c r="S2961" s="91">
        <v>0</v>
      </c>
      <c r="T2961" s="91"/>
      <c r="U2961" s="91"/>
      <c r="V2961" s="91"/>
      <c r="W2961" s="91"/>
      <c r="X2961" s="91"/>
      <c r="Y2961" s="91"/>
      <c r="Z2961" s="91"/>
      <c r="AA2961" s="91"/>
      <c r="AB2961" s="91"/>
      <c r="AC2961" s="91"/>
      <c r="AD2961" s="91"/>
      <c r="AE2961" s="91"/>
      <c r="AF2961" s="91"/>
      <c r="AG2961" s="91"/>
      <c r="AH2961" s="91"/>
      <c r="AI2961" s="91"/>
      <c r="AJ2961" s="91"/>
      <c r="AK2961" s="91"/>
      <c r="AL2961" s="91"/>
      <c r="AM2961" s="91"/>
    </row>
    <row r="2962" spans="1:39" ht="20.25" hidden="1" customHeight="1">
      <c r="A2962" s="91"/>
      <c r="B2962" s="93" t="s">
        <v>9239</v>
      </c>
      <c r="C2962" s="91" t="s">
        <v>36</v>
      </c>
      <c r="D2962" s="107" t="s">
        <v>9270</v>
      </c>
      <c r="E2962" s="107" t="s">
        <v>9271</v>
      </c>
      <c r="F2962" s="91" t="s">
        <v>9272</v>
      </c>
      <c r="G2962" s="96">
        <v>43605</v>
      </c>
      <c r="H2962" s="97">
        <v>27786</v>
      </c>
      <c r="I2962" s="100" t="s">
        <v>9273</v>
      </c>
      <c r="J2962" s="100" t="s">
        <v>9274</v>
      </c>
      <c r="K2962" s="91">
        <v>954129438</v>
      </c>
      <c r="L2962" s="91" t="s">
        <v>60</v>
      </c>
      <c r="M2962" s="98">
        <f ca="1">(TODAY()-H2962)/365</f>
        <v>49.906849315068492</v>
      </c>
      <c r="N2962" s="99">
        <f>(G2962-H2962)/365</f>
        <v>43.339726027397262</v>
      </c>
      <c r="O2962" s="98">
        <f ca="1">(TODAY()-G2962)/365</f>
        <v>6.5671232876712331</v>
      </c>
      <c r="P2962" s="91" t="s">
        <v>43</v>
      </c>
      <c r="Q2962" s="91">
        <v>0</v>
      </c>
      <c r="R2962" s="91">
        <v>0</v>
      </c>
      <c r="S2962" s="91">
        <v>0</v>
      </c>
      <c r="T2962" s="91"/>
      <c r="U2962" s="91"/>
      <c r="V2962" s="91"/>
      <c r="W2962" s="91"/>
      <c r="X2962" s="91"/>
      <c r="Y2962" s="91"/>
      <c r="Z2962" s="91"/>
      <c r="AA2962" s="91"/>
      <c r="AB2962" s="91"/>
      <c r="AC2962" s="91"/>
      <c r="AD2962" s="91"/>
      <c r="AE2962" s="91"/>
      <c r="AF2962" s="91"/>
      <c r="AG2962" s="91"/>
      <c r="AH2962" s="91"/>
      <c r="AI2962" s="91"/>
      <c r="AJ2962" s="91"/>
      <c r="AK2962" s="91"/>
      <c r="AL2962" s="91"/>
      <c r="AM2962" s="91"/>
    </row>
    <row r="2963" spans="1:39" ht="20.25" hidden="1" customHeight="1">
      <c r="A2963" s="91"/>
      <c r="B2963" s="93" t="s">
        <v>9239</v>
      </c>
      <c r="C2963" s="91" t="s">
        <v>36</v>
      </c>
      <c r="D2963" s="107" t="s">
        <v>9275</v>
      </c>
      <c r="E2963" s="107" t="s">
        <v>9276</v>
      </c>
      <c r="F2963" s="91" t="s">
        <v>9277</v>
      </c>
      <c r="G2963" s="96">
        <v>43380</v>
      </c>
      <c r="H2963" s="97">
        <v>24468</v>
      </c>
      <c r="I2963" s="100" t="s">
        <v>9278</v>
      </c>
      <c r="J2963" s="100" t="s">
        <v>9279</v>
      </c>
      <c r="K2963" s="91">
        <v>968630598</v>
      </c>
      <c r="L2963" s="91" t="s">
        <v>60</v>
      </c>
      <c r="M2963" s="98">
        <f ca="1">(TODAY()-H2963)/365</f>
        <v>58.9972602739726</v>
      </c>
      <c r="N2963" s="99">
        <f>(G2963-H2963)/365</f>
        <v>51.813698630136983</v>
      </c>
      <c r="O2963" s="98">
        <f ca="1">(TODAY()-G2963)/365</f>
        <v>7.183561643835616</v>
      </c>
      <c r="P2963" s="91" t="s">
        <v>43</v>
      </c>
      <c r="Q2963" s="91">
        <v>0</v>
      </c>
      <c r="R2963" s="91">
        <v>0</v>
      </c>
      <c r="S2963" s="91">
        <v>0</v>
      </c>
      <c r="T2963" s="91"/>
      <c r="U2963" s="91"/>
      <c r="V2963" s="91"/>
      <c r="W2963" s="91"/>
      <c r="X2963" s="91"/>
      <c r="Y2963" s="91"/>
      <c r="Z2963" s="91"/>
      <c r="AA2963" s="91"/>
      <c r="AB2963" s="91"/>
      <c r="AC2963" s="91"/>
      <c r="AD2963" s="91"/>
      <c r="AE2963" s="91"/>
      <c r="AF2963" s="91"/>
      <c r="AG2963" s="91"/>
      <c r="AH2963" s="91"/>
      <c r="AI2963" s="91"/>
      <c r="AJ2963" s="91"/>
      <c r="AK2963" s="91"/>
      <c r="AL2963" s="91"/>
      <c r="AM2963" s="91"/>
    </row>
    <row r="2964" spans="1:39" ht="20.25" hidden="1" customHeight="1">
      <c r="A2964" s="91"/>
      <c r="B2964" s="93" t="s">
        <v>9239</v>
      </c>
      <c r="C2964" s="91" t="s">
        <v>36</v>
      </c>
      <c r="D2964" s="107" t="s">
        <v>9280</v>
      </c>
      <c r="E2964" s="107" t="s">
        <v>9281</v>
      </c>
      <c r="F2964" s="91" t="s">
        <v>9282</v>
      </c>
      <c r="G2964" s="96">
        <v>40175</v>
      </c>
      <c r="H2964" s="97">
        <v>20002</v>
      </c>
      <c r="I2964" s="100" t="s">
        <v>9283</v>
      </c>
      <c r="J2964" s="100" t="s">
        <v>9284</v>
      </c>
      <c r="K2964" s="91">
        <v>982943269</v>
      </c>
      <c r="L2964" s="91" t="s">
        <v>60</v>
      </c>
      <c r="M2964" s="98">
        <f ca="1">(TODAY()-H2964)/365</f>
        <v>71.232876712328761</v>
      </c>
      <c r="N2964" s="99">
        <f>(G2964-H2964)/365</f>
        <v>55.268493150684932</v>
      </c>
      <c r="O2964" s="98">
        <f ca="1">(TODAY()-G2964)/365</f>
        <v>15.964383561643835</v>
      </c>
      <c r="P2964" s="91" t="s">
        <v>43</v>
      </c>
      <c r="Q2964" s="91">
        <v>0</v>
      </c>
      <c r="R2964" s="91">
        <v>0</v>
      </c>
      <c r="S2964" s="91">
        <v>0</v>
      </c>
      <c r="T2964" s="91"/>
      <c r="U2964" s="91"/>
      <c r="V2964" s="91"/>
      <c r="W2964" s="91"/>
      <c r="X2964" s="91"/>
      <c r="Y2964" s="91"/>
      <c r="Z2964" s="91"/>
      <c r="AA2964" s="91"/>
      <c r="AB2964" s="91"/>
      <c r="AC2964" s="91"/>
      <c r="AD2964" s="91"/>
      <c r="AE2964" s="91"/>
      <c r="AF2964" s="91"/>
      <c r="AG2964" s="91"/>
      <c r="AH2964" s="91"/>
      <c r="AI2964" s="91"/>
      <c r="AJ2964" s="91"/>
      <c r="AK2964" s="91"/>
      <c r="AL2964" s="91"/>
      <c r="AM2964" s="91"/>
    </row>
    <row r="2965" spans="1:39" ht="20.25" hidden="1" customHeight="1">
      <c r="A2965" s="91"/>
      <c r="B2965" s="93" t="s">
        <v>9239</v>
      </c>
      <c r="C2965" s="91" t="s">
        <v>36</v>
      </c>
      <c r="D2965" s="107" t="s">
        <v>9285</v>
      </c>
      <c r="E2965" s="107" t="s">
        <v>9286</v>
      </c>
      <c r="F2965" s="91" t="s">
        <v>9287</v>
      </c>
      <c r="G2965" s="96">
        <v>36706</v>
      </c>
      <c r="H2965" s="97">
        <v>15608</v>
      </c>
      <c r="I2965" s="100" t="s">
        <v>9268</v>
      </c>
      <c r="J2965" s="100" t="s">
        <v>9288</v>
      </c>
      <c r="K2965" s="91">
        <v>982907889</v>
      </c>
      <c r="L2965" s="91" t="s">
        <v>60</v>
      </c>
      <c r="M2965" s="98">
        <f ca="1">(TODAY()-H2965)/365</f>
        <v>83.271232876712332</v>
      </c>
      <c r="N2965" s="99">
        <f>(G2965-H2965)/365</f>
        <v>57.802739726027397</v>
      </c>
      <c r="O2965" s="98">
        <f ca="1">(TODAY()-G2965)/365</f>
        <v>25.468493150684932</v>
      </c>
      <c r="P2965" s="91" t="s">
        <v>43</v>
      </c>
      <c r="Q2965" s="91">
        <v>0</v>
      </c>
      <c r="R2965" s="91">
        <v>0</v>
      </c>
      <c r="S2965" s="91">
        <v>0</v>
      </c>
      <c r="T2965" s="91"/>
      <c r="U2965" s="91"/>
      <c r="V2965" s="91"/>
      <c r="W2965" s="91"/>
      <c r="X2965" s="91"/>
      <c r="Y2965" s="91"/>
      <c r="Z2965" s="91"/>
      <c r="AA2965" s="91"/>
      <c r="AB2965" s="91"/>
      <c r="AC2965" s="91"/>
      <c r="AD2965" s="91"/>
      <c r="AE2965" s="91"/>
      <c r="AF2965" s="91"/>
      <c r="AG2965" s="91"/>
      <c r="AH2965" s="91"/>
      <c r="AI2965" s="91"/>
      <c r="AJ2965" s="91"/>
      <c r="AK2965" s="91"/>
      <c r="AL2965" s="91"/>
      <c r="AM2965" s="91"/>
    </row>
    <row r="2966" spans="1:39" ht="20.25" hidden="1" customHeight="1">
      <c r="A2966" s="91"/>
      <c r="B2966" s="93" t="s">
        <v>9239</v>
      </c>
      <c r="C2966" s="91" t="s">
        <v>36</v>
      </c>
      <c r="D2966" s="107" t="s">
        <v>9289</v>
      </c>
      <c r="E2966" s="107" t="s">
        <v>9290</v>
      </c>
      <c r="F2966" s="91" t="s">
        <v>9291</v>
      </c>
      <c r="G2966" s="96">
        <v>43577</v>
      </c>
      <c r="H2966" s="97">
        <v>22261</v>
      </c>
      <c r="I2966" s="94" t="s">
        <v>58</v>
      </c>
      <c r="J2966" s="100" t="s">
        <v>9264</v>
      </c>
      <c r="K2966" s="91">
        <v>999418279</v>
      </c>
      <c r="L2966" s="91" t="s">
        <v>60</v>
      </c>
      <c r="M2966" s="98">
        <f ca="1">(TODAY()-H2966)/365</f>
        <v>65.043835616438358</v>
      </c>
      <c r="N2966" s="99">
        <f>(G2966-H2966)/365</f>
        <v>58.4</v>
      </c>
      <c r="O2966" s="98">
        <f ca="1">(TODAY()-G2966)/365</f>
        <v>6.6438356164383565</v>
      </c>
      <c r="P2966" s="91" t="s">
        <v>43</v>
      </c>
      <c r="Q2966" s="91">
        <v>0</v>
      </c>
      <c r="R2966" s="91">
        <v>0</v>
      </c>
      <c r="S2966" s="91">
        <v>0</v>
      </c>
      <c r="T2966" s="91"/>
      <c r="U2966" s="91"/>
      <c r="V2966" s="91"/>
      <c r="W2966" s="91"/>
      <c r="X2966" s="91"/>
      <c r="Y2966" s="91"/>
      <c r="Z2966" s="91"/>
      <c r="AA2966" s="91"/>
      <c r="AB2966" s="91"/>
      <c r="AC2966" s="91"/>
      <c r="AD2966" s="91"/>
      <c r="AE2966" s="91"/>
      <c r="AF2966" s="91"/>
      <c r="AG2966" s="91"/>
      <c r="AH2966" s="91"/>
      <c r="AI2966" s="91"/>
      <c r="AJ2966" s="91"/>
      <c r="AK2966" s="91"/>
      <c r="AL2966" s="91"/>
      <c r="AM2966" s="91"/>
    </row>
    <row r="2967" spans="1:39" ht="20.25" hidden="1" customHeight="1">
      <c r="A2967" s="91"/>
      <c r="B2967" s="93" t="s">
        <v>9239</v>
      </c>
      <c r="C2967" s="91" t="s">
        <v>36</v>
      </c>
      <c r="D2967" s="107" t="s">
        <v>1281</v>
      </c>
      <c r="E2967" s="107" t="s">
        <v>9292</v>
      </c>
      <c r="F2967" s="91" t="s">
        <v>9293</v>
      </c>
      <c r="G2967" s="96">
        <v>44257</v>
      </c>
      <c r="H2967" s="97">
        <v>22078</v>
      </c>
      <c r="I2967" s="94" t="s">
        <v>58</v>
      </c>
      <c r="J2967" s="100" t="s">
        <v>9294</v>
      </c>
      <c r="K2967" s="91">
        <v>942711104</v>
      </c>
      <c r="L2967" s="91" t="s">
        <v>60</v>
      </c>
      <c r="M2967" s="98">
        <f ca="1">(TODAY()-H2967)/365</f>
        <v>65.545205479452051</v>
      </c>
      <c r="N2967" s="99">
        <f>(G2967-H2967)/365</f>
        <v>60.764383561643832</v>
      </c>
      <c r="O2967" s="98">
        <f ca="1">(TODAY()-G2967)/365</f>
        <v>4.7808219178082192</v>
      </c>
      <c r="P2967" s="91" t="s">
        <v>272</v>
      </c>
      <c r="Q2967" s="91">
        <v>0</v>
      </c>
      <c r="R2967" s="91">
        <v>0</v>
      </c>
      <c r="S2967" s="91">
        <v>0</v>
      </c>
      <c r="T2967" s="91"/>
      <c r="U2967" s="91"/>
      <c r="V2967" s="91"/>
      <c r="W2967" s="91"/>
      <c r="X2967" s="91"/>
      <c r="Y2967" s="91"/>
      <c r="Z2967" s="91"/>
      <c r="AA2967" s="91"/>
      <c r="AB2967" s="91"/>
      <c r="AC2967" s="91"/>
      <c r="AD2967" s="91"/>
      <c r="AE2967" s="91"/>
      <c r="AF2967" s="91"/>
      <c r="AG2967" s="91"/>
      <c r="AH2967" s="91"/>
      <c r="AI2967" s="91"/>
      <c r="AJ2967" s="91"/>
      <c r="AK2967" s="91"/>
      <c r="AL2967" s="91"/>
      <c r="AM2967" s="91"/>
    </row>
    <row r="2968" spans="1:39" ht="20.25" hidden="1" customHeight="1">
      <c r="A2968" s="91"/>
      <c r="B2968" s="93" t="s">
        <v>9239</v>
      </c>
      <c r="C2968" s="91" t="s">
        <v>36</v>
      </c>
      <c r="D2968" s="107" t="s">
        <v>9295</v>
      </c>
      <c r="E2968" s="107" t="s">
        <v>9296</v>
      </c>
      <c r="F2968" s="91" t="s">
        <v>9297</v>
      </c>
      <c r="G2968" s="96">
        <v>36307</v>
      </c>
      <c r="H2968" s="97">
        <v>11848</v>
      </c>
      <c r="I2968" s="94" t="s">
        <v>58</v>
      </c>
      <c r="J2968" s="94" t="s">
        <v>58</v>
      </c>
      <c r="K2968" s="95" t="s">
        <v>58</v>
      </c>
      <c r="L2968" s="91" t="s">
        <v>60</v>
      </c>
      <c r="M2968" s="98">
        <f ca="1">(TODAY()-H2968)/365</f>
        <v>93.572602739726022</v>
      </c>
      <c r="N2968" s="99">
        <f>(G2968-H2968)/365</f>
        <v>67.010958904109586</v>
      </c>
      <c r="O2968" s="98">
        <f ca="1">(TODAY()-G2968)/365</f>
        <v>26.561643835616437</v>
      </c>
      <c r="P2968" s="91" t="s">
        <v>272</v>
      </c>
      <c r="Q2968" s="91">
        <v>0</v>
      </c>
      <c r="R2968" s="91">
        <v>0</v>
      </c>
      <c r="S2968" s="91">
        <v>0</v>
      </c>
      <c r="T2968" s="91"/>
      <c r="U2968" s="91"/>
      <c r="V2968" s="91"/>
      <c r="W2968" s="91"/>
      <c r="X2968" s="91"/>
      <c r="Y2968" s="91"/>
      <c r="Z2968" s="91"/>
      <c r="AA2968" s="91"/>
      <c r="AB2968" s="91"/>
      <c r="AC2968" s="91"/>
      <c r="AD2968" s="91"/>
      <c r="AE2968" s="91"/>
      <c r="AF2968" s="91"/>
      <c r="AG2968" s="91"/>
      <c r="AH2968" s="91"/>
      <c r="AI2968" s="91"/>
      <c r="AJ2968" s="91"/>
      <c r="AK2968" s="91"/>
      <c r="AL2968" s="91"/>
      <c r="AM2968" s="91"/>
    </row>
    <row r="2969" spans="1:39" ht="20.25" hidden="1" customHeight="1">
      <c r="A2969" s="91"/>
      <c r="B2969" s="93" t="s">
        <v>9239</v>
      </c>
      <c r="C2969" s="91" t="s">
        <v>36</v>
      </c>
      <c r="D2969" s="107" t="s">
        <v>2153</v>
      </c>
      <c r="E2969" s="107" t="s">
        <v>9298</v>
      </c>
      <c r="F2969" s="91" t="s">
        <v>9299</v>
      </c>
      <c r="G2969" s="96">
        <v>43042</v>
      </c>
      <c r="H2969" s="97">
        <v>18369</v>
      </c>
      <c r="I2969" s="94" t="s">
        <v>58</v>
      </c>
      <c r="J2969" s="100" t="s">
        <v>9300</v>
      </c>
      <c r="K2969" s="91">
        <v>945070291</v>
      </c>
      <c r="L2969" s="91" t="s">
        <v>60</v>
      </c>
      <c r="M2969" s="98">
        <f ca="1">(TODAY()-H2969)/365</f>
        <v>75.706849315068496</v>
      </c>
      <c r="N2969" s="99">
        <f>(G2969-H2969)/365</f>
        <v>67.597260273972609</v>
      </c>
      <c r="O2969" s="98">
        <f ca="1">(TODAY()-G2969)/365</f>
        <v>8.1095890410958908</v>
      </c>
      <c r="P2969" s="91" t="s">
        <v>43</v>
      </c>
      <c r="Q2969" s="91">
        <v>0</v>
      </c>
      <c r="R2969" s="91">
        <v>0</v>
      </c>
      <c r="S2969" s="91">
        <v>0</v>
      </c>
      <c r="T2969" s="91"/>
      <c r="U2969" s="91"/>
      <c r="V2969" s="91"/>
      <c r="W2969" s="91"/>
      <c r="X2969" s="91"/>
      <c r="Y2969" s="91"/>
      <c r="Z2969" s="91"/>
      <c r="AA2969" s="91"/>
      <c r="AB2969" s="91"/>
      <c r="AC2969" s="91"/>
      <c r="AD2969" s="91"/>
      <c r="AE2969" s="91"/>
      <c r="AF2969" s="91"/>
      <c r="AG2969" s="91"/>
      <c r="AH2969" s="91"/>
      <c r="AI2969" s="91"/>
      <c r="AJ2969" s="91"/>
      <c r="AK2969" s="91"/>
      <c r="AL2969" s="91"/>
      <c r="AM2969" s="91"/>
    </row>
    <row r="2970" spans="1:39" ht="20.25" hidden="1" customHeight="1">
      <c r="A2970" s="91"/>
      <c r="B2970" s="93" t="s">
        <v>9239</v>
      </c>
      <c r="C2970" s="91" t="s">
        <v>36</v>
      </c>
      <c r="D2970" s="107" t="s">
        <v>9301</v>
      </c>
      <c r="E2970" s="107" t="s">
        <v>9302</v>
      </c>
      <c r="F2970" s="91" t="s">
        <v>9303</v>
      </c>
      <c r="G2970" s="96">
        <v>44691</v>
      </c>
      <c r="H2970" s="97">
        <v>19389</v>
      </c>
      <c r="I2970" s="94" t="s">
        <v>58</v>
      </c>
      <c r="J2970" s="100" t="s">
        <v>9304</v>
      </c>
      <c r="K2970" s="92" t="s">
        <v>9305</v>
      </c>
      <c r="L2970" s="91" t="s">
        <v>60</v>
      </c>
      <c r="M2970" s="98">
        <f ca="1">(TODAY()-H2970)/365</f>
        <v>72.912328767123284</v>
      </c>
      <c r="N2970" s="99">
        <f>(G2970-H2970)/365</f>
        <v>69.320547945205476</v>
      </c>
      <c r="O2970" s="98">
        <f ca="1">(TODAY()-G2970)/365</f>
        <v>3.591780821917808</v>
      </c>
      <c r="P2970" s="91" t="s">
        <v>43</v>
      </c>
      <c r="Q2970" s="91">
        <v>0</v>
      </c>
      <c r="R2970" s="91">
        <v>0</v>
      </c>
      <c r="S2970" s="91">
        <v>0</v>
      </c>
      <c r="T2970" s="91"/>
      <c r="U2970" s="91"/>
      <c r="V2970" s="91"/>
      <c r="W2970" s="91"/>
      <c r="X2970" s="91"/>
      <c r="Y2970" s="91"/>
      <c r="Z2970" s="91"/>
      <c r="AA2970" s="91"/>
      <c r="AB2970" s="91"/>
      <c r="AC2970" s="91"/>
      <c r="AD2970" s="91"/>
      <c r="AE2970" s="91"/>
      <c r="AF2970" s="91"/>
      <c r="AG2970" s="91"/>
      <c r="AH2970" s="91"/>
      <c r="AI2970" s="91"/>
      <c r="AJ2970" s="91"/>
      <c r="AK2970" s="91"/>
      <c r="AL2970" s="91"/>
      <c r="AM2970" s="91"/>
    </row>
    <row r="2971" spans="1:39" ht="20.25" hidden="1" customHeight="1">
      <c r="A2971" s="91"/>
      <c r="B2971" s="93" t="s">
        <v>9239</v>
      </c>
      <c r="C2971" s="91" t="s">
        <v>36</v>
      </c>
      <c r="D2971" s="107" t="s">
        <v>9306</v>
      </c>
      <c r="E2971" s="107" t="s">
        <v>9307</v>
      </c>
      <c r="F2971" s="91" t="s">
        <v>9308</v>
      </c>
      <c r="G2971" s="96">
        <v>44996</v>
      </c>
      <c r="H2971" s="97">
        <v>18980</v>
      </c>
      <c r="I2971" s="94" t="s">
        <v>58</v>
      </c>
      <c r="J2971" s="100" t="s">
        <v>9309</v>
      </c>
      <c r="K2971" s="91" t="s">
        <v>9310</v>
      </c>
      <c r="L2971" s="91" t="s">
        <v>60</v>
      </c>
      <c r="M2971" s="98">
        <f ca="1">(TODAY()-H2971)/365</f>
        <v>74.032876712328772</v>
      </c>
      <c r="N2971" s="99">
        <f>(G2971-H2971)/365</f>
        <v>71.276712328767118</v>
      </c>
      <c r="O2971" s="98">
        <f ca="1">(TODAY()-G2971)/365</f>
        <v>2.7561643835616438</v>
      </c>
      <c r="P2971" s="91" t="s">
        <v>43</v>
      </c>
      <c r="Q2971" s="91">
        <v>0</v>
      </c>
      <c r="R2971" s="91">
        <v>0</v>
      </c>
      <c r="S2971" s="91">
        <v>0</v>
      </c>
      <c r="T2971" s="91"/>
      <c r="U2971" s="91"/>
      <c r="V2971" s="91"/>
      <c r="W2971" s="91"/>
      <c r="X2971" s="91"/>
      <c r="Y2971" s="91"/>
      <c r="Z2971" s="91"/>
      <c r="AA2971" s="91"/>
      <c r="AB2971" s="91"/>
      <c r="AC2971" s="91"/>
      <c r="AD2971" s="91"/>
      <c r="AE2971" s="91"/>
      <c r="AF2971" s="91"/>
      <c r="AG2971" s="91"/>
      <c r="AH2971" s="91"/>
      <c r="AI2971" s="91"/>
      <c r="AJ2971" s="91"/>
      <c r="AK2971" s="91"/>
      <c r="AL2971" s="91"/>
      <c r="AM2971" s="91"/>
    </row>
    <row r="2972" spans="1:39" ht="20.25" hidden="1" customHeight="1">
      <c r="A2972" s="91"/>
      <c r="B2972" s="93" t="s">
        <v>10618</v>
      </c>
      <c r="C2972" s="91" t="s">
        <v>36</v>
      </c>
      <c r="D2972" s="106" t="s">
        <v>10619</v>
      </c>
      <c r="E2972" s="106" t="s">
        <v>10620</v>
      </c>
      <c r="F2972" s="92" t="s">
        <v>10621</v>
      </c>
      <c r="G2972" s="103">
        <v>40224</v>
      </c>
      <c r="H2972" s="103">
        <v>19770</v>
      </c>
      <c r="I2972" s="94" t="s">
        <v>58</v>
      </c>
      <c r="J2972" s="100" t="s">
        <v>58</v>
      </c>
      <c r="K2972" s="92">
        <v>984462484</v>
      </c>
      <c r="L2972" s="91"/>
      <c r="M2972" s="98">
        <f ca="1">(TODAY()-H2972)/365</f>
        <v>71.868493150684927</v>
      </c>
      <c r="N2972" s="99">
        <f>(G2972-H2972)/365</f>
        <v>56.038356164383565</v>
      </c>
      <c r="O2972" s="98">
        <f ca="1">(TODAY()-G2972)/365</f>
        <v>15.830136986301369</v>
      </c>
      <c r="P2972" s="91" t="s">
        <v>43</v>
      </c>
      <c r="Q2972" s="91"/>
      <c r="R2972" s="91"/>
      <c r="S2972" s="91"/>
      <c r="T2972" s="91"/>
      <c r="U2972" s="91"/>
      <c r="V2972" s="91"/>
      <c r="W2972" s="91"/>
      <c r="X2972" s="91"/>
      <c r="Y2972" s="91"/>
      <c r="Z2972" s="91"/>
      <c r="AA2972" s="91"/>
      <c r="AB2972" s="91"/>
      <c r="AC2972" s="91"/>
      <c r="AD2972" s="91"/>
      <c r="AE2972" s="91"/>
      <c r="AF2972" s="91"/>
      <c r="AG2972" s="91"/>
      <c r="AH2972" s="91"/>
      <c r="AI2972" s="91"/>
      <c r="AJ2972" s="91"/>
      <c r="AK2972" s="91"/>
      <c r="AL2972" s="91"/>
      <c r="AM2972" s="91"/>
    </row>
    <row r="2973" spans="1:39" ht="20.25" hidden="1" customHeight="1">
      <c r="A2973" s="91"/>
      <c r="B2973" s="93" t="s">
        <v>10618</v>
      </c>
      <c r="C2973" s="91" t="s">
        <v>36</v>
      </c>
      <c r="D2973" s="106" t="s">
        <v>658</v>
      </c>
      <c r="E2973" s="106" t="s">
        <v>6204</v>
      </c>
      <c r="F2973" s="92" t="s">
        <v>10622</v>
      </c>
      <c r="G2973" s="103">
        <v>40132</v>
      </c>
      <c r="H2973" s="103">
        <v>18050</v>
      </c>
      <c r="I2973" s="94" t="s">
        <v>58</v>
      </c>
      <c r="J2973" s="100" t="s">
        <v>58</v>
      </c>
      <c r="K2973" s="92">
        <v>90856290</v>
      </c>
      <c r="L2973" s="91"/>
      <c r="M2973" s="98">
        <f ca="1">(TODAY()-H2973)/365</f>
        <v>76.580821917808223</v>
      </c>
      <c r="N2973" s="99">
        <f>(G2973-H2973)/365</f>
        <v>60.4986301369863</v>
      </c>
      <c r="O2973" s="98">
        <f ca="1">(TODAY()-G2973)/365</f>
        <v>16.082191780821919</v>
      </c>
      <c r="P2973" s="91" t="s">
        <v>43</v>
      </c>
      <c r="Q2973" s="91"/>
      <c r="R2973" s="91"/>
      <c r="S2973" s="91"/>
      <c r="T2973" s="91"/>
      <c r="U2973" s="91"/>
      <c r="V2973" s="91"/>
      <c r="W2973" s="91"/>
      <c r="X2973" s="91"/>
      <c r="Y2973" s="91"/>
      <c r="Z2973" s="91"/>
      <c r="AA2973" s="91"/>
      <c r="AB2973" s="91"/>
      <c r="AC2973" s="91"/>
      <c r="AD2973" s="91"/>
      <c r="AE2973" s="91"/>
      <c r="AF2973" s="91"/>
      <c r="AG2973" s="91"/>
      <c r="AH2973" s="91"/>
      <c r="AI2973" s="91"/>
      <c r="AJ2973" s="91"/>
      <c r="AK2973" s="91"/>
      <c r="AL2973" s="91"/>
      <c r="AM2973" s="91"/>
    </row>
    <row r="2974" spans="1:39" ht="20.25" hidden="1" customHeight="1">
      <c r="A2974" s="91"/>
      <c r="B2974" s="93" t="s">
        <v>10618</v>
      </c>
      <c r="C2974" s="91" t="s">
        <v>36</v>
      </c>
      <c r="D2974" s="106" t="s">
        <v>10623</v>
      </c>
      <c r="E2974" s="106" t="s">
        <v>7940</v>
      </c>
      <c r="F2974" s="92" t="s">
        <v>10624</v>
      </c>
      <c r="G2974" s="103">
        <v>31149</v>
      </c>
      <c r="H2974" s="103">
        <v>20578</v>
      </c>
      <c r="I2974" s="94" t="s">
        <v>58</v>
      </c>
      <c r="J2974" s="100" t="s">
        <v>58</v>
      </c>
      <c r="K2974" s="92">
        <v>993227895</v>
      </c>
      <c r="L2974" s="91"/>
      <c r="M2974" s="98">
        <f ca="1">(TODAY()-H2974)/365</f>
        <v>69.654794520547952</v>
      </c>
      <c r="N2974" s="99">
        <f>(G2974-H2974)/365</f>
        <v>28.961643835616439</v>
      </c>
      <c r="O2974" s="98">
        <f ca="1">(TODAY()-G2974)/365</f>
        <v>40.69315068493151</v>
      </c>
      <c r="P2974" s="91" t="s">
        <v>43</v>
      </c>
      <c r="Q2974" s="91"/>
      <c r="R2974" s="91"/>
      <c r="S2974" s="91"/>
      <c r="T2974" s="91"/>
      <c r="U2974" s="91"/>
      <c r="V2974" s="91"/>
      <c r="W2974" s="91"/>
      <c r="X2974" s="91"/>
      <c r="Y2974" s="91"/>
      <c r="Z2974" s="91"/>
      <c r="AA2974" s="91"/>
      <c r="AB2974" s="91"/>
      <c r="AC2974" s="91"/>
      <c r="AD2974" s="91"/>
      <c r="AE2974" s="91"/>
      <c r="AF2974" s="91"/>
      <c r="AG2974" s="91"/>
      <c r="AH2974" s="91"/>
      <c r="AI2974" s="91"/>
      <c r="AJ2974" s="91"/>
      <c r="AK2974" s="91"/>
      <c r="AL2974" s="91"/>
      <c r="AM2974" s="91"/>
    </row>
    <row r="2975" spans="1:39" ht="20.25" hidden="1" customHeight="1">
      <c r="A2975" s="91"/>
      <c r="B2975" s="93" t="s">
        <v>10618</v>
      </c>
      <c r="C2975" s="91" t="s">
        <v>36</v>
      </c>
      <c r="D2975" s="106" t="s">
        <v>1187</v>
      </c>
      <c r="E2975" s="106" t="s">
        <v>10625</v>
      </c>
      <c r="F2975" s="92" t="s">
        <v>10626</v>
      </c>
      <c r="G2975" s="103">
        <v>44779</v>
      </c>
      <c r="H2975" s="103">
        <v>20967</v>
      </c>
      <c r="I2975" s="94" t="s">
        <v>58</v>
      </c>
      <c r="J2975" s="100" t="s">
        <v>58</v>
      </c>
      <c r="K2975" s="92">
        <v>97034398</v>
      </c>
      <c r="L2975" s="91"/>
      <c r="M2975" s="98">
        <f ca="1">(TODAY()-H2975)/365</f>
        <v>68.589041095890408</v>
      </c>
      <c r="N2975" s="99">
        <f>(G2975-H2975)/365</f>
        <v>65.238356164383561</v>
      </c>
      <c r="O2975" s="98">
        <f ca="1">(TODAY()-G2975)/365</f>
        <v>3.3506849315068492</v>
      </c>
      <c r="P2975" s="91" t="s">
        <v>43</v>
      </c>
      <c r="Q2975" s="91"/>
      <c r="R2975" s="91"/>
      <c r="S2975" s="91"/>
      <c r="T2975" s="91"/>
      <c r="U2975" s="91"/>
      <c r="V2975" s="91"/>
      <c r="W2975" s="91"/>
      <c r="X2975" s="91"/>
      <c r="Y2975" s="91"/>
      <c r="Z2975" s="91"/>
      <c r="AA2975" s="91"/>
      <c r="AB2975" s="91"/>
      <c r="AC2975" s="91"/>
      <c r="AD2975" s="91"/>
      <c r="AE2975" s="91"/>
      <c r="AF2975" s="91"/>
      <c r="AG2975" s="91"/>
      <c r="AH2975" s="91"/>
      <c r="AI2975" s="91"/>
      <c r="AJ2975" s="91"/>
      <c r="AK2975" s="91"/>
      <c r="AL2975" s="91"/>
      <c r="AM2975" s="91"/>
    </row>
    <row r="2976" spans="1:39" ht="20.25" hidden="1" customHeight="1">
      <c r="A2976" s="91"/>
      <c r="B2976" s="93" t="s">
        <v>10618</v>
      </c>
      <c r="C2976" s="91" t="s">
        <v>36</v>
      </c>
      <c r="D2976" s="106" t="s">
        <v>10627</v>
      </c>
      <c r="E2976" s="106" t="s">
        <v>10628</v>
      </c>
      <c r="F2976" s="92" t="s">
        <v>10629</v>
      </c>
      <c r="G2976" s="103">
        <v>30791</v>
      </c>
      <c r="H2976" s="103">
        <v>15547</v>
      </c>
      <c r="I2976" s="94" t="s">
        <v>58</v>
      </c>
      <c r="J2976" s="100" t="s">
        <v>58</v>
      </c>
      <c r="K2976" s="92">
        <v>94862479</v>
      </c>
      <c r="L2976" s="91"/>
      <c r="M2976" s="98">
        <f ca="1">(TODAY()-H2976)/365</f>
        <v>83.438356164383563</v>
      </c>
      <c r="N2976" s="99">
        <f>(G2976-H2976)/365</f>
        <v>41.764383561643832</v>
      </c>
      <c r="O2976" s="98">
        <f ca="1">(TODAY()-G2976)/365</f>
        <v>41.673972602739724</v>
      </c>
      <c r="P2976" s="91" t="s">
        <v>43</v>
      </c>
      <c r="Q2976" s="91"/>
      <c r="R2976" s="91"/>
      <c r="S2976" s="91"/>
      <c r="T2976" s="91"/>
      <c r="U2976" s="91"/>
      <c r="V2976" s="91"/>
      <c r="W2976" s="91"/>
      <c r="X2976" s="91"/>
      <c r="Y2976" s="91"/>
      <c r="Z2976" s="91"/>
      <c r="AA2976" s="91"/>
      <c r="AB2976" s="91"/>
      <c r="AC2976" s="91"/>
      <c r="AD2976" s="91"/>
      <c r="AE2976" s="91"/>
      <c r="AF2976" s="91"/>
      <c r="AG2976" s="91"/>
      <c r="AH2976" s="91"/>
      <c r="AI2976" s="91"/>
      <c r="AJ2976" s="91"/>
      <c r="AK2976" s="91"/>
      <c r="AL2976" s="91"/>
      <c r="AM2976" s="91"/>
    </row>
    <row r="2977" spans="1:39" ht="20.25" hidden="1" customHeight="1">
      <c r="A2977" s="91"/>
      <c r="B2977" s="93" t="s">
        <v>10618</v>
      </c>
      <c r="C2977" s="91" t="s">
        <v>36</v>
      </c>
      <c r="D2977" s="106" t="s">
        <v>9131</v>
      </c>
      <c r="E2977" s="106" t="s">
        <v>10630</v>
      </c>
      <c r="F2977" s="92" t="s">
        <v>10631</v>
      </c>
      <c r="G2977" s="103">
        <v>45447</v>
      </c>
      <c r="H2977" s="103">
        <v>31734</v>
      </c>
      <c r="I2977" s="94" t="s">
        <v>58</v>
      </c>
      <c r="J2977" s="100" t="s">
        <v>58</v>
      </c>
      <c r="K2977" s="92">
        <v>956115801</v>
      </c>
      <c r="L2977" s="91"/>
      <c r="M2977" s="98">
        <f ca="1">(TODAY()-H2977)/365</f>
        <v>39.090410958904108</v>
      </c>
      <c r="N2977" s="99">
        <f>(G2977-H2977)/365</f>
        <v>37.56986301369863</v>
      </c>
      <c r="O2977" s="98">
        <f ca="1">(TODAY()-G2977)/365</f>
        <v>1.5205479452054795</v>
      </c>
      <c r="P2977" s="91" t="s">
        <v>43</v>
      </c>
      <c r="Q2977" s="91"/>
      <c r="R2977" s="91"/>
      <c r="S2977" s="91"/>
      <c r="T2977" s="91"/>
      <c r="U2977" s="91"/>
      <c r="V2977" s="91"/>
      <c r="W2977" s="91"/>
      <c r="X2977" s="91"/>
      <c r="Y2977" s="91"/>
      <c r="Z2977" s="91"/>
      <c r="AA2977" s="91"/>
      <c r="AB2977" s="91"/>
      <c r="AC2977" s="91"/>
      <c r="AD2977" s="91"/>
      <c r="AE2977" s="91"/>
      <c r="AF2977" s="91"/>
      <c r="AG2977" s="91"/>
      <c r="AH2977" s="91"/>
      <c r="AI2977" s="91"/>
      <c r="AJ2977" s="91"/>
      <c r="AK2977" s="91"/>
      <c r="AL2977" s="91"/>
      <c r="AM2977" s="91"/>
    </row>
    <row r="2978" spans="1:39" ht="20.25" customHeight="1">
      <c r="A2978" s="91"/>
      <c r="B2978" s="93" t="s">
        <v>8714</v>
      </c>
      <c r="C2978" s="91" t="s">
        <v>73</v>
      </c>
      <c r="D2978" s="106" t="s">
        <v>8771</v>
      </c>
      <c r="E2978" s="107" t="s">
        <v>8772</v>
      </c>
      <c r="F2978" s="92" t="s">
        <v>8773</v>
      </c>
      <c r="G2978" s="96">
        <v>44927</v>
      </c>
      <c r="H2978" s="97">
        <v>36131</v>
      </c>
      <c r="I2978" s="94" t="s">
        <v>8774</v>
      </c>
      <c r="J2978" s="94" t="s">
        <v>58</v>
      </c>
      <c r="K2978" s="95" t="s">
        <v>58</v>
      </c>
      <c r="L2978" s="91" t="s">
        <v>60</v>
      </c>
      <c r="M2978" s="98">
        <f ca="1">(TODAY()-H2978)/365</f>
        <v>27.043835616438358</v>
      </c>
      <c r="N2978" s="99">
        <f>(G2978-H2978)/365</f>
        <v>24.098630136986301</v>
      </c>
      <c r="O2978" s="98">
        <f ca="1">(TODAY()-G2978)/365</f>
        <v>2.9452054794520546</v>
      </c>
      <c r="P2978" s="91" t="s">
        <v>272</v>
      </c>
      <c r="Q2978" s="91">
        <v>0</v>
      </c>
      <c r="R2978" s="91">
        <v>0</v>
      </c>
      <c r="S2978" s="91">
        <v>0</v>
      </c>
      <c r="T2978" s="91"/>
      <c r="U2978" s="91"/>
      <c r="V2978" s="91"/>
      <c r="W2978" s="91"/>
      <c r="X2978" s="91"/>
      <c r="Y2978" s="91"/>
      <c r="Z2978" s="91"/>
      <c r="AA2978" s="91"/>
      <c r="AB2978" s="91"/>
      <c r="AC2978" s="91"/>
      <c r="AD2978" s="91"/>
      <c r="AE2978" s="91"/>
      <c r="AF2978" s="91"/>
      <c r="AG2978" s="91"/>
      <c r="AH2978" s="91"/>
      <c r="AI2978" s="91"/>
      <c r="AJ2978" s="91"/>
      <c r="AK2978" s="91"/>
      <c r="AL2978" s="91"/>
      <c r="AM2978" s="91"/>
    </row>
    <row r="2979" spans="1:39" ht="20.25" customHeight="1">
      <c r="A2979" s="91"/>
      <c r="B2979" s="93" t="s">
        <v>8630</v>
      </c>
      <c r="C2979" s="91" t="s">
        <v>73</v>
      </c>
      <c r="D2979" s="94" t="s">
        <v>5844</v>
      </c>
      <c r="E2979" s="94" t="s">
        <v>8704</v>
      </c>
      <c r="F2979" s="95" t="s">
        <v>8705</v>
      </c>
      <c r="G2979" s="96">
        <v>43617</v>
      </c>
      <c r="H2979" s="97">
        <v>20638</v>
      </c>
      <c r="I2979" s="94" t="s">
        <v>8706</v>
      </c>
      <c r="J2979" s="94" t="s">
        <v>58</v>
      </c>
      <c r="K2979" s="95" t="s">
        <v>58</v>
      </c>
      <c r="L2979" s="91" t="s">
        <v>60</v>
      </c>
      <c r="M2979" s="98">
        <f ca="1">(TODAY()-H2979)/365</f>
        <v>69.490410958904107</v>
      </c>
      <c r="N2979" s="99">
        <f>(G2979-H2979)/365</f>
        <v>62.956164383561642</v>
      </c>
      <c r="O2979" s="98">
        <f ca="1">(TODAY()-G2979)/365</f>
        <v>6.5342465753424657</v>
      </c>
      <c r="P2979" s="91" t="s">
        <v>43</v>
      </c>
      <c r="Q2979" s="91">
        <v>0</v>
      </c>
      <c r="R2979" s="91">
        <v>0</v>
      </c>
      <c r="S2979" s="91">
        <v>0</v>
      </c>
      <c r="T2979" s="91"/>
      <c r="U2979" s="91"/>
      <c r="V2979" s="91"/>
      <c r="W2979" s="91"/>
      <c r="X2979" s="91"/>
      <c r="Y2979" s="91"/>
      <c r="Z2979" s="91"/>
      <c r="AA2979" s="91"/>
      <c r="AB2979" s="91"/>
      <c r="AC2979" s="91"/>
      <c r="AD2979" s="91"/>
      <c r="AE2979" s="91"/>
      <c r="AF2979" s="91"/>
      <c r="AG2979" s="91"/>
      <c r="AH2979" s="91"/>
      <c r="AI2979" s="91"/>
      <c r="AJ2979" s="91"/>
      <c r="AK2979" s="91"/>
      <c r="AL2979" s="91"/>
      <c r="AM2979" s="91"/>
    </row>
    <row r="2980" spans="1:39" ht="20.25" hidden="1" customHeight="1">
      <c r="A2980" s="91"/>
      <c r="B2980" s="93" t="s">
        <v>1309</v>
      </c>
      <c r="C2980" s="91" t="s">
        <v>36</v>
      </c>
      <c r="D2980" s="107" t="s">
        <v>9317</v>
      </c>
      <c r="E2980" s="107" t="s">
        <v>9318</v>
      </c>
      <c r="F2980" s="91" t="s">
        <v>9319</v>
      </c>
      <c r="G2980" s="96">
        <v>42814</v>
      </c>
      <c r="H2980" s="97">
        <v>35331</v>
      </c>
      <c r="I2980" s="100" t="s">
        <v>58</v>
      </c>
      <c r="J2980" s="100" t="s">
        <v>9320</v>
      </c>
      <c r="K2980" s="91">
        <v>959345015</v>
      </c>
      <c r="L2980" s="91" t="s">
        <v>60</v>
      </c>
      <c r="M2980" s="98">
        <f ca="1">(TODAY()-H2980)/365</f>
        <v>29.235616438356164</v>
      </c>
      <c r="N2980" s="99">
        <f>(G2980-H2980)/365</f>
        <v>20.5013698630137</v>
      </c>
      <c r="O2980" s="98">
        <f ca="1">(TODAY()-G2980)/365</f>
        <v>8.7342465753424658</v>
      </c>
      <c r="P2980" s="91" t="s">
        <v>43</v>
      </c>
      <c r="Q2980" s="91">
        <v>0</v>
      </c>
      <c r="R2980" s="91">
        <v>0</v>
      </c>
      <c r="S2980" s="91">
        <v>0</v>
      </c>
      <c r="T2980" s="91"/>
      <c r="U2980" s="91"/>
      <c r="V2980" s="91"/>
      <c r="W2980" s="91"/>
      <c r="X2980" s="91"/>
      <c r="Y2980" s="91"/>
      <c r="Z2980" s="91"/>
      <c r="AA2980" s="91"/>
      <c r="AB2980" s="91"/>
      <c r="AC2980" s="91"/>
      <c r="AD2980" s="91"/>
      <c r="AE2980" s="91"/>
      <c r="AF2980" s="91"/>
      <c r="AG2980" s="91"/>
      <c r="AH2980" s="91"/>
      <c r="AI2980" s="91"/>
      <c r="AJ2980" s="91"/>
      <c r="AK2980" s="91"/>
      <c r="AL2980" s="91"/>
      <c r="AM2980" s="91"/>
    </row>
    <row r="2981" spans="1:39" ht="20.25" hidden="1" customHeight="1">
      <c r="A2981" s="91"/>
      <c r="B2981" s="93" t="s">
        <v>1309</v>
      </c>
      <c r="C2981" s="91" t="s">
        <v>36</v>
      </c>
      <c r="D2981" s="107" t="s">
        <v>9321</v>
      </c>
      <c r="E2981" s="107" t="s">
        <v>9322</v>
      </c>
      <c r="F2981" s="91" t="s">
        <v>9323</v>
      </c>
      <c r="G2981" s="96">
        <v>45219</v>
      </c>
      <c r="H2981" s="97">
        <v>37417</v>
      </c>
      <c r="I2981" s="100" t="s">
        <v>58</v>
      </c>
      <c r="J2981" s="100" t="s">
        <v>58</v>
      </c>
      <c r="K2981" s="91" t="s">
        <v>58</v>
      </c>
      <c r="L2981" s="91" t="s">
        <v>60</v>
      </c>
      <c r="M2981" s="98">
        <f ca="1">(TODAY()-H2981)/365</f>
        <v>23.520547945205479</v>
      </c>
      <c r="N2981" s="99">
        <f>(G2981-H2981)/365</f>
        <v>21.375342465753423</v>
      </c>
      <c r="O2981" s="98">
        <f ca="1">(TODAY()-G2981)/365</f>
        <v>2.1452054794520548</v>
      </c>
      <c r="P2981" s="91" t="s">
        <v>272</v>
      </c>
      <c r="Q2981" s="91">
        <v>0</v>
      </c>
      <c r="R2981" s="91">
        <v>0</v>
      </c>
      <c r="S2981" s="91">
        <v>0</v>
      </c>
      <c r="T2981" s="91"/>
      <c r="U2981" s="91"/>
      <c r="V2981" s="91"/>
      <c r="W2981" s="91"/>
      <c r="X2981" s="91"/>
      <c r="Y2981" s="91"/>
      <c r="Z2981" s="91"/>
      <c r="AA2981" s="91"/>
      <c r="AB2981" s="91"/>
      <c r="AC2981" s="91"/>
      <c r="AD2981" s="91"/>
      <c r="AE2981" s="91"/>
      <c r="AF2981" s="91"/>
      <c r="AG2981" s="91"/>
      <c r="AH2981" s="91"/>
      <c r="AI2981" s="91"/>
      <c r="AJ2981" s="91"/>
      <c r="AK2981" s="91"/>
      <c r="AL2981" s="91"/>
      <c r="AM2981" s="91"/>
    </row>
    <row r="2982" spans="1:39" ht="20.25" hidden="1" customHeight="1">
      <c r="A2982" s="91"/>
      <c r="B2982" s="93" t="s">
        <v>1309</v>
      </c>
      <c r="C2982" s="91" t="s">
        <v>36</v>
      </c>
      <c r="D2982" s="107" t="s">
        <v>9324</v>
      </c>
      <c r="E2982" s="107" t="s">
        <v>9325</v>
      </c>
      <c r="F2982" s="91" t="s">
        <v>9326</v>
      </c>
      <c r="G2982" s="96">
        <v>43787</v>
      </c>
      <c r="H2982" s="97">
        <v>34702</v>
      </c>
      <c r="I2982" s="100" t="s">
        <v>58</v>
      </c>
      <c r="J2982" s="100" t="s">
        <v>9320</v>
      </c>
      <c r="K2982" s="91">
        <v>978318525</v>
      </c>
      <c r="L2982" s="91" t="s">
        <v>60</v>
      </c>
      <c r="M2982" s="98">
        <f ca="1">(TODAY()-H2982)/365</f>
        <v>30.958904109589042</v>
      </c>
      <c r="N2982" s="99">
        <f>(G2982-H2982)/365</f>
        <v>24.890410958904109</v>
      </c>
      <c r="O2982" s="98">
        <f ca="1">(TODAY()-G2982)/365</f>
        <v>6.0684931506849313</v>
      </c>
      <c r="P2982" s="91" t="s">
        <v>272</v>
      </c>
      <c r="Q2982" s="91">
        <v>0</v>
      </c>
      <c r="R2982" s="91">
        <v>0</v>
      </c>
      <c r="S2982" s="91">
        <v>0</v>
      </c>
      <c r="T2982" s="91"/>
      <c r="U2982" s="91"/>
      <c r="V2982" s="91"/>
      <c r="W2982" s="91"/>
      <c r="X2982" s="91"/>
      <c r="Y2982" s="91"/>
      <c r="Z2982" s="91"/>
      <c r="AA2982" s="91"/>
      <c r="AB2982" s="91"/>
      <c r="AC2982" s="91"/>
      <c r="AD2982" s="91"/>
      <c r="AE2982" s="91"/>
      <c r="AF2982" s="91"/>
      <c r="AG2982" s="91"/>
      <c r="AH2982" s="91"/>
      <c r="AI2982" s="91"/>
      <c r="AJ2982" s="91"/>
      <c r="AK2982" s="91"/>
      <c r="AL2982" s="91"/>
      <c r="AM2982" s="91"/>
    </row>
    <row r="2983" spans="1:39" ht="20.25" hidden="1" customHeight="1">
      <c r="A2983" s="91"/>
      <c r="B2983" s="93" t="s">
        <v>1309</v>
      </c>
      <c r="C2983" s="91" t="s">
        <v>36</v>
      </c>
      <c r="D2983" s="107" t="s">
        <v>9327</v>
      </c>
      <c r="E2983" s="107" t="s">
        <v>9328</v>
      </c>
      <c r="F2983" s="91" t="s">
        <v>9329</v>
      </c>
      <c r="G2983" s="96">
        <v>42854</v>
      </c>
      <c r="H2983" s="97">
        <v>33478</v>
      </c>
      <c r="I2983" s="100" t="s">
        <v>58</v>
      </c>
      <c r="J2983" s="100" t="s">
        <v>9330</v>
      </c>
      <c r="K2983" s="91">
        <v>930738459</v>
      </c>
      <c r="L2983" s="91" t="s">
        <v>60</v>
      </c>
      <c r="M2983" s="98">
        <f ca="1">(TODAY()-H2983)/365</f>
        <v>34.31232876712329</v>
      </c>
      <c r="N2983" s="99">
        <f>(G2983-H2983)/365</f>
        <v>25.687671232876713</v>
      </c>
      <c r="O2983" s="98">
        <f ca="1">(TODAY()-G2983)/365</f>
        <v>8.624657534246575</v>
      </c>
      <c r="P2983" s="91" t="s">
        <v>43</v>
      </c>
      <c r="Q2983" s="91">
        <v>0</v>
      </c>
      <c r="R2983" s="91">
        <v>0</v>
      </c>
      <c r="S2983" s="91">
        <v>0</v>
      </c>
      <c r="T2983" s="91"/>
      <c r="U2983" s="91"/>
      <c r="V2983" s="91"/>
      <c r="W2983" s="91"/>
      <c r="X2983" s="91"/>
      <c r="Y2983" s="91"/>
      <c r="Z2983" s="91"/>
      <c r="AA2983" s="91"/>
      <c r="AB2983" s="91"/>
      <c r="AC2983" s="91"/>
      <c r="AD2983" s="91"/>
      <c r="AE2983" s="91"/>
      <c r="AF2983" s="91"/>
      <c r="AG2983" s="91"/>
      <c r="AH2983" s="91"/>
      <c r="AI2983" s="91"/>
      <c r="AJ2983" s="91"/>
      <c r="AK2983" s="91"/>
      <c r="AL2983" s="91"/>
      <c r="AM2983" s="91"/>
    </row>
    <row r="2984" spans="1:39" ht="20.25" hidden="1" customHeight="1">
      <c r="A2984" s="91"/>
      <c r="B2984" s="93" t="s">
        <v>1309</v>
      </c>
      <c r="C2984" s="91" t="s">
        <v>36</v>
      </c>
      <c r="D2984" s="107" t="s">
        <v>9331</v>
      </c>
      <c r="E2984" s="107" t="s">
        <v>9322</v>
      </c>
      <c r="F2984" s="91" t="s">
        <v>9332</v>
      </c>
      <c r="G2984" s="96">
        <v>42836</v>
      </c>
      <c r="H2984" s="97">
        <v>31432</v>
      </c>
      <c r="I2984" s="100" t="s">
        <v>58</v>
      </c>
      <c r="J2984" s="100" t="s">
        <v>58</v>
      </c>
      <c r="K2984" s="91" t="s">
        <v>58</v>
      </c>
      <c r="L2984" s="91" t="s">
        <v>60</v>
      </c>
      <c r="M2984" s="98">
        <f ca="1">(TODAY()-H2984)/365</f>
        <v>39.917808219178085</v>
      </c>
      <c r="N2984" s="99">
        <f>(G2984-H2984)/365</f>
        <v>31.243835616438357</v>
      </c>
      <c r="O2984" s="98">
        <f ca="1">(TODAY()-G2984)/365</f>
        <v>8.6739726027397257</v>
      </c>
      <c r="P2984" s="91" t="s">
        <v>272</v>
      </c>
      <c r="Q2984" s="91">
        <v>0</v>
      </c>
      <c r="R2984" s="91">
        <v>0</v>
      </c>
      <c r="S2984" s="91">
        <v>0</v>
      </c>
      <c r="T2984" s="91"/>
      <c r="U2984" s="91"/>
      <c r="V2984" s="91"/>
      <c r="W2984" s="91"/>
      <c r="X2984" s="91"/>
      <c r="Y2984" s="91"/>
      <c r="Z2984" s="91"/>
      <c r="AA2984" s="91"/>
      <c r="AB2984" s="91"/>
      <c r="AC2984" s="91"/>
      <c r="AD2984" s="91"/>
      <c r="AE2984" s="91"/>
      <c r="AF2984" s="91"/>
      <c r="AG2984" s="91"/>
      <c r="AH2984" s="91"/>
      <c r="AI2984" s="91"/>
      <c r="AJ2984" s="91"/>
      <c r="AK2984" s="91"/>
      <c r="AL2984" s="91"/>
      <c r="AM2984" s="91"/>
    </row>
    <row r="2985" spans="1:39" ht="20.25" hidden="1" customHeight="1">
      <c r="A2985" s="91"/>
      <c r="B2985" s="93" t="s">
        <v>1309</v>
      </c>
      <c r="C2985" s="91" t="s">
        <v>36</v>
      </c>
      <c r="D2985" s="107" t="s">
        <v>9333</v>
      </c>
      <c r="E2985" s="107" t="s">
        <v>9334</v>
      </c>
      <c r="F2985" s="91" t="s">
        <v>9335</v>
      </c>
      <c r="G2985" s="96">
        <v>45219</v>
      </c>
      <c r="H2985" s="97">
        <v>33535</v>
      </c>
      <c r="I2985" s="100" t="s">
        <v>58</v>
      </c>
      <c r="J2985" s="100" t="s">
        <v>58</v>
      </c>
      <c r="K2985" s="91" t="s">
        <v>58</v>
      </c>
      <c r="L2985" s="91" t="s">
        <v>60</v>
      </c>
      <c r="M2985" s="98">
        <f ca="1">(TODAY()-H2985)/365</f>
        <v>34.156164383561645</v>
      </c>
      <c r="N2985" s="99">
        <f>(G2985-H2985)/365</f>
        <v>32.010958904109586</v>
      </c>
      <c r="O2985" s="98">
        <f ca="1">(TODAY()-G2985)/365</f>
        <v>2.1452054794520548</v>
      </c>
      <c r="P2985" s="91" t="s">
        <v>43</v>
      </c>
      <c r="Q2985" s="91">
        <v>0</v>
      </c>
      <c r="R2985" s="91">
        <v>0</v>
      </c>
      <c r="S2985" s="91">
        <v>0</v>
      </c>
      <c r="T2985" s="91"/>
      <c r="U2985" s="91"/>
      <c r="V2985" s="91"/>
      <c r="W2985" s="91"/>
      <c r="X2985" s="91"/>
      <c r="Y2985" s="91"/>
      <c r="Z2985" s="91"/>
      <c r="AA2985" s="91"/>
      <c r="AB2985" s="91"/>
      <c r="AC2985" s="91"/>
      <c r="AD2985" s="91"/>
      <c r="AE2985" s="91"/>
      <c r="AF2985" s="91"/>
      <c r="AG2985" s="91"/>
      <c r="AH2985" s="91"/>
      <c r="AI2985" s="91"/>
      <c r="AJ2985" s="91"/>
      <c r="AK2985" s="91"/>
      <c r="AL2985" s="91"/>
      <c r="AM2985" s="91"/>
    </row>
    <row r="2986" spans="1:39" ht="20.25" hidden="1" customHeight="1">
      <c r="A2986" s="91"/>
      <c r="B2986" s="93" t="s">
        <v>1309</v>
      </c>
      <c r="C2986" s="91" t="s">
        <v>36</v>
      </c>
      <c r="D2986" s="107" t="s">
        <v>249</v>
      </c>
      <c r="E2986" s="107" t="s">
        <v>9336</v>
      </c>
      <c r="F2986" s="91" t="s">
        <v>9337</v>
      </c>
      <c r="G2986" s="96">
        <v>45214</v>
      </c>
      <c r="H2986" s="97">
        <v>31600</v>
      </c>
      <c r="I2986" s="100" t="s">
        <v>58</v>
      </c>
      <c r="J2986" s="100" t="s">
        <v>9338</v>
      </c>
      <c r="K2986" s="91">
        <v>994982201</v>
      </c>
      <c r="L2986" s="91" t="s">
        <v>60</v>
      </c>
      <c r="M2986" s="98">
        <f ca="1">(TODAY()-H2986)/365</f>
        <v>39.457534246575342</v>
      </c>
      <c r="N2986" s="99">
        <f>(G2986-H2986)/365</f>
        <v>37.298630136986304</v>
      </c>
      <c r="O2986" s="98">
        <f ca="1">(TODAY()-G2986)/365</f>
        <v>2.1589041095890411</v>
      </c>
      <c r="P2986" s="91" t="s">
        <v>272</v>
      </c>
      <c r="Q2986" s="91">
        <v>0</v>
      </c>
      <c r="R2986" s="91">
        <v>0</v>
      </c>
      <c r="S2986" s="91">
        <v>0</v>
      </c>
      <c r="T2986" s="91"/>
      <c r="U2986" s="91"/>
      <c r="V2986" s="91"/>
      <c r="W2986" s="91"/>
      <c r="X2986" s="91"/>
      <c r="Y2986" s="91"/>
      <c r="Z2986" s="91"/>
      <c r="AA2986" s="91"/>
      <c r="AB2986" s="91"/>
      <c r="AC2986" s="91"/>
      <c r="AD2986" s="91"/>
      <c r="AE2986" s="91"/>
      <c r="AF2986" s="91"/>
      <c r="AG2986" s="91"/>
      <c r="AH2986" s="91"/>
      <c r="AI2986" s="91"/>
      <c r="AJ2986" s="91"/>
      <c r="AK2986" s="91"/>
      <c r="AL2986" s="91"/>
      <c r="AM2986" s="91"/>
    </row>
    <row r="2987" spans="1:39" ht="20.25" hidden="1" customHeight="1">
      <c r="A2987" s="91"/>
      <c r="B2987" s="93" t="s">
        <v>1309</v>
      </c>
      <c r="C2987" s="91" t="s">
        <v>36</v>
      </c>
      <c r="D2987" s="107" t="s">
        <v>840</v>
      </c>
      <c r="E2987" s="107" t="s">
        <v>9339</v>
      </c>
      <c r="F2987" s="91" t="s">
        <v>9340</v>
      </c>
      <c r="G2987" s="96">
        <v>41118</v>
      </c>
      <c r="H2987" s="97">
        <v>27288</v>
      </c>
      <c r="I2987" s="100" t="s">
        <v>58</v>
      </c>
      <c r="J2987" s="100" t="s">
        <v>9341</v>
      </c>
      <c r="K2987" s="91">
        <v>987839926</v>
      </c>
      <c r="L2987" s="91" t="s">
        <v>60</v>
      </c>
      <c r="M2987" s="98">
        <f ca="1">(TODAY()-H2987)/365</f>
        <v>51.271232876712325</v>
      </c>
      <c r="N2987" s="99">
        <f>(G2987-H2987)/365</f>
        <v>37.890410958904113</v>
      </c>
      <c r="O2987" s="98">
        <f ca="1">(TODAY()-G2987)/365</f>
        <v>13.38082191780822</v>
      </c>
      <c r="P2987" s="91" t="s">
        <v>43</v>
      </c>
      <c r="Q2987" s="91">
        <v>0</v>
      </c>
      <c r="R2987" s="91">
        <v>0</v>
      </c>
      <c r="S2987" s="91">
        <v>0</v>
      </c>
      <c r="T2987" s="91"/>
      <c r="U2987" s="91"/>
      <c r="V2987" s="91"/>
      <c r="W2987" s="91"/>
      <c r="X2987" s="91"/>
      <c r="Y2987" s="91"/>
      <c r="Z2987" s="91"/>
      <c r="AA2987" s="91"/>
      <c r="AB2987" s="91"/>
      <c r="AC2987" s="91"/>
      <c r="AD2987" s="91"/>
      <c r="AE2987" s="91"/>
      <c r="AF2987" s="91"/>
      <c r="AG2987" s="91"/>
      <c r="AH2987" s="91"/>
      <c r="AI2987" s="91"/>
      <c r="AJ2987" s="91"/>
      <c r="AK2987" s="91"/>
      <c r="AL2987" s="91"/>
      <c r="AM2987" s="91"/>
    </row>
    <row r="2988" spans="1:39" ht="20.25" hidden="1" customHeight="1">
      <c r="A2988" s="91"/>
      <c r="B2988" s="93" t="s">
        <v>1309</v>
      </c>
      <c r="C2988" s="91" t="s">
        <v>36</v>
      </c>
      <c r="D2988" s="107" t="s">
        <v>9342</v>
      </c>
      <c r="E2988" s="107" t="s">
        <v>9343</v>
      </c>
      <c r="F2988" s="91" t="s">
        <v>9344</v>
      </c>
      <c r="G2988" s="96">
        <v>42836</v>
      </c>
      <c r="H2988" s="97">
        <v>28044</v>
      </c>
      <c r="I2988" s="100" t="s">
        <v>58</v>
      </c>
      <c r="J2988" s="100" t="s">
        <v>9338</v>
      </c>
      <c r="K2988" s="91">
        <v>996713754</v>
      </c>
      <c r="L2988" s="91" t="s">
        <v>60</v>
      </c>
      <c r="M2988" s="98">
        <f ca="1">(TODAY()-H2988)/365</f>
        <v>49.2</v>
      </c>
      <c r="N2988" s="99">
        <f>(G2988-H2988)/365</f>
        <v>40.526027397260272</v>
      </c>
      <c r="O2988" s="98">
        <f ca="1">(TODAY()-G2988)/365</f>
        <v>8.6739726027397257</v>
      </c>
      <c r="P2988" s="91" t="s">
        <v>43</v>
      </c>
      <c r="Q2988" s="91">
        <v>0</v>
      </c>
      <c r="R2988" s="91">
        <v>0</v>
      </c>
      <c r="S2988" s="91">
        <v>0</v>
      </c>
      <c r="T2988" s="91"/>
      <c r="U2988" s="91"/>
      <c r="V2988" s="91"/>
      <c r="W2988" s="91"/>
      <c r="X2988" s="91"/>
      <c r="Y2988" s="91"/>
      <c r="Z2988" s="91"/>
      <c r="AA2988" s="91"/>
      <c r="AB2988" s="91"/>
      <c r="AC2988" s="91"/>
      <c r="AD2988" s="91"/>
      <c r="AE2988" s="91"/>
      <c r="AF2988" s="91"/>
      <c r="AG2988" s="91"/>
      <c r="AH2988" s="91"/>
      <c r="AI2988" s="91"/>
      <c r="AJ2988" s="91"/>
      <c r="AK2988" s="91"/>
      <c r="AL2988" s="91"/>
      <c r="AM2988" s="91"/>
    </row>
    <row r="2989" spans="1:39" ht="20.25" hidden="1" customHeight="1">
      <c r="A2989" s="91"/>
      <c r="B2989" s="93" t="s">
        <v>1309</v>
      </c>
      <c r="C2989" s="91" t="s">
        <v>36</v>
      </c>
      <c r="D2989" s="107" t="s">
        <v>6915</v>
      </c>
      <c r="E2989" s="107" t="s">
        <v>9345</v>
      </c>
      <c r="F2989" s="91" t="s">
        <v>9346</v>
      </c>
      <c r="G2989" s="96">
        <v>42854</v>
      </c>
      <c r="H2989" s="103" t="s">
        <v>58</v>
      </c>
      <c r="I2989" s="100" t="s">
        <v>58</v>
      </c>
      <c r="J2989" s="100" t="s">
        <v>9341</v>
      </c>
      <c r="K2989" s="91">
        <v>968190108</v>
      </c>
      <c r="L2989" s="91" t="s">
        <v>60</v>
      </c>
      <c r="M2989" s="98">
        <v>0</v>
      </c>
      <c r="N2989" s="91"/>
      <c r="O2989" s="98">
        <f ca="1">(TODAY()-G2989)/365</f>
        <v>8.624657534246575</v>
      </c>
      <c r="P2989" s="91" t="s">
        <v>43</v>
      </c>
      <c r="Q2989" s="91">
        <v>0</v>
      </c>
      <c r="R2989" s="91">
        <v>0</v>
      </c>
      <c r="S2989" s="91">
        <v>0</v>
      </c>
      <c r="T2989" s="91"/>
      <c r="U2989" s="91"/>
      <c r="V2989" s="91"/>
      <c r="W2989" s="91"/>
      <c r="X2989" s="91"/>
      <c r="Y2989" s="91"/>
      <c r="Z2989" s="91"/>
      <c r="AA2989" s="91"/>
      <c r="AB2989" s="91"/>
      <c r="AC2989" s="91"/>
      <c r="AD2989" s="91"/>
      <c r="AE2989" s="91"/>
      <c r="AF2989" s="91"/>
      <c r="AG2989" s="91"/>
      <c r="AH2989" s="91"/>
      <c r="AI2989" s="91"/>
      <c r="AJ2989" s="91"/>
      <c r="AK2989" s="91"/>
      <c r="AL2989" s="91"/>
      <c r="AM2989" s="91"/>
    </row>
    <row r="2990" spans="1:39" ht="20.25" hidden="1" customHeight="1">
      <c r="A2990" s="91"/>
      <c r="B2990" s="93" t="s">
        <v>1309</v>
      </c>
      <c r="C2990" s="91" t="s">
        <v>36</v>
      </c>
      <c r="D2990" s="107" t="s">
        <v>9347</v>
      </c>
      <c r="E2990" s="107" t="s">
        <v>9348</v>
      </c>
      <c r="F2990" s="91" t="s">
        <v>9349</v>
      </c>
      <c r="G2990" s="96">
        <v>41391</v>
      </c>
      <c r="H2990" s="97">
        <v>25102</v>
      </c>
      <c r="I2990" s="100" t="s">
        <v>58</v>
      </c>
      <c r="J2990" s="100" t="s">
        <v>9330</v>
      </c>
      <c r="K2990" s="91">
        <v>983667280</v>
      </c>
      <c r="L2990" s="91" t="s">
        <v>60</v>
      </c>
      <c r="M2990" s="98">
        <f ca="1">(TODAY()-H2990)/365</f>
        <v>57.260273972602739</v>
      </c>
      <c r="N2990" s="99">
        <f>(G2990-H2990)/365</f>
        <v>44.627397260273973</v>
      </c>
      <c r="O2990" s="98">
        <f ca="1">(TODAY()-G2990)/365</f>
        <v>12.632876712328768</v>
      </c>
      <c r="P2990" s="91" t="s">
        <v>43</v>
      </c>
      <c r="Q2990" s="91">
        <v>0</v>
      </c>
      <c r="R2990" s="91">
        <v>0</v>
      </c>
      <c r="S2990" s="91">
        <v>0</v>
      </c>
      <c r="T2990" s="91"/>
      <c r="U2990" s="91"/>
      <c r="V2990" s="91"/>
      <c r="W2990" s="91"/>
      <c r="X2990" s="91"/>
      <c r="Y2990" s="91"/>
      <c r="Z2990" s="91"/>
      <c r="AA2990" s="91"/>
      <c r="AB2990" s="91"/>
      <c r="AC2990" s="91"/>
      <c r="AD2990" s="91"/>
      <c r="AE2990" s="91"/>
      <c r="AF2990" s="91"/>
      <c r="AG2990" s="91"/>
      <c r="AH2990" s="91"/>
      <c r="AI2990" s="91"/>
      <c r="AJ2990" s="91"/>
      <c r="AK2990" s="91"/>
      <c r="AL2990" s="91"/>
      <c r="AM2990" s="91"/>
    </row>
    <row r="2991" spans="1:39" ht="20.25" hidden="1" customHeight="1">
      <c r="A2991" s="91"/>
      <c r="B2991" s="93" t="s">
        <v>1309</v>
      </c>
      <c r="C2991" s="91" t="s">
        <v>36</v>
      </c>
      <c r="D2991" s="107" t="s">
        <v>9350</v>
      </c>
      <c r="E2991" s="107" t="s">
        <v>9351</v>
      </c>
      <c r="F2991" s="91" t="s">
        <v>9352</v>
      </c>
      <c r="G2991" s="96">
        <v>39751</v>
      </c>
      <c r="H2991" s="97">
        <v>22880</v>
      </c>
      <c r="I2991" s="100" t="s">
        <v>58</v>
      </c>
      <c r="J2991" s="100" t="s">
        <v>9353</v>
      </c>
      <c r="K2991" s="91">
        <v>938861615</v>
      </c>
      <c r="L2991" s="91" t="s">
        <v>60</v>
      </c>
      <c r="M2991" s="98">
        <f ca="1">(TODAY()-H2991)/365</f>
        <v>63.347945205479455</v>
      </c>
      <c r="N2991" s="99">
        <f>(G2991-H2991)/365</f>
        <v>46.221917808219175</v>
      </c>
      <c r="O2991" s="98">
        <f ca="1">(TODAY()-G2991)/365</f>
        <v>17.126027397260273</v>
      </c>
      <c r="P2991" s="91" t="s">
        <v>43</v>
      </c>
      <c r="Q2991" s="91">
        <v>0</v>
      </c>
      <c r="R2991" s="91">
        <v>0</v>
      </c>
      <c r="S2991" s="91">
        <v>0</v>
      </c>
      <c r="T2991" s="91"/>
      <c r="U2991" s="91"/>
      <c r="V2991" s="91"/>
      <c r="W2991" s="91"/>
      <c r="X2991" s="91"/>
      <c r="Y2991" s="91"/>
      <c r="Z2991" s="91"/>
      <c r="AA2991" s="91"/>
      <c r="AB2991" s="91"/>
      <c r="AC2991" s="91"/>
      <c r="AD2991" s="91"/>
      <c r="AE2991" s="91"/>
      <c r="AF2991" s="91"/>
      <c r="AG2991" s="91"/>
      <c r="AH2991" s="91"/>
      <c r="AI2991" s="91"/>
      <c r="AJ2991" s="91"/>
      <c r="AK2991" s="91"/>
      <c r="AL2991" s="91"/>
      <c r="AM2991" s="91"/>
    </row>
    <row r="2992" spans="1:39" ht="20.25" hidden="1" customHeight="1">
      <c r="A2992" s="91"/>
      <c r="B2992" s="93" t="s">
        <v>1309</v>
      </c>
      <c r="C2992" s="91" t="s">
        <v>36</v>
      </c>
      <c r="D2992" s="107" t="s">
        <v>9354</v>
      </c>
      <c r="E2992" s="107" t="s">
        <v>9355</v>
      </c>
      <c r="F2992" s="91" t="s">
        <v>9356</v>
      </c>
      <c r="G2992" s="96">
        <v>39172</v>
      </c>
      <c r="H2992" s="97">
        <v>21861</v>
      </c>
      <c r="I2992" s="100" t="s">
        <v>58</v>
      </c>
      <c r="J2992" s="100" t="s">
        <v>9357</v>
      </c>
      <c r="K2992" s="91">
        <v>931134145</v>
      </c>
      <c r="L2992" s="91" t="s">
        <v>60</v>
      </c>
      <c r="M2992" s="98">
        <f ca="1">(TODAY()-H2992)/365</f>
        <v>66.139726027397259</v>
      </c>
      <c r="N2992" s="99">
        <f>(G2992-H2992)/365</f>
        <v>47.42739726027397</v>
      </c>
      <c r="O2992" s="98">
        <f ca="1">(TODAY()-G2992)/365</f>
        <v>18.712328767123289</v>
      </c>
      <c r="P2992" s="91" t="s">
        <v>43</v>
      </c>
      <c r="Q2992" s="91">
        <v>0</v>
      </c>
      <c r="R2992" s="91">
        <v>0</v>
      </c>
      <c r="S2992" s="91">
        <v>0</v>
      </c>
      <c r="T2992" s="91"/>
      <c r="U2992" s="91"/>
      <c r="V2992" s="91"/>
      <c r="W2992" s="91"/>
      <c r="X2992" s="91"/>
      <c r="Y2992" s="91"/>
      <c r="Z2992" s="91"/>
      <c r="AA2992" s="91"/>
      <c r="AB2992" s="91"/>
      <c r="AC2992" s="91"/>
      <c r="AD2992" s="91"/>
      <c r="AE2992" s="91"/>
      <c r="AF2992" s="91"/>
      <c r="AG2992" s="91"/>
      <c r="AH2992" s="91"/>
      <c r="AI2992" s="91"/>
      <c r="AJ2992" s="91"/>
      <c r="AK2992" s="91"/>
      <c r="AL2992" s="91"/>
      <c r="AM2992" s="91"/>
    </row>
    <row r="2993" spans="1:39" ht="20.25" hidden="1" customHeight="1">
      <c r="A2993" s="91"/>
      <c r="B2993" s="93" t="s">
        <v>1309</v>
      </c>
      <c r="C2993" s="91" t="s">
        <v>36</v>
      </c>
      <c r="D2993" s="107" t="s">
        <v>9358</v>
      </c>
      <c r="E2993" s="107" t="s">
        <v>9359</v>
      </c>
      <c r="F2993" s="91" t="s">
        <v>9360</v>
      </c>
      <c r="G2993" s="96">
        <v>40242</v>
      </c>
      <c r="H2993" s="97">
        <v>20083</v>
      </c>
      <c r="I2993" s="100" t="s">
        <v>58</v>
      </c>
      <c r="J2993" s="100" t="s">
        <v>9361</v>
      </c>
      <c r="K2993" s="91">
        <v>976326033</v>
      </c>
      <c r="L2993" s="91" t="s">
        <v>60</v>
      </c>
      <c r="M2993" s="98">
        <f ca="1">(TODAY()-H2993)/365</f>
        <v>71.010958904109586</v>
      </c>
      <c r="N2993" s="99">
        <f>(G2993-H2993)/365</f>
        <v>55.230136986301368</v>
      </c>
      <c r="O2993" s="98">
        <f ca="1">(TODAY()-G2993)/365</f>
        <v>15.780821917808218</v>
      </c>
      <c r="P2993" s="91" t="s">
        <v>272</v>
      </c>
      <c r="Q2993" s="91">
        <v>0</v>
      </c>
      <c r="R2993" s="91">
        <v>0</v>
      </c>
      <c r="S2993" s="91">
        <v>0</v>
      </c>
      <c r="T2993" s="91"/>
      <c r="U2993" s="91"/>
      <c r="V2993" s="91"/>
      <c r="W2993" s="91"/>
      <c r="X2993" s="91"/>
      <c r="Y2993" s="91"/>
      <c r="Z2993" s="91"/>
      <c r="AA2993" s="91"/>
      <c r="AB2993" s="91"/>
      <c r="AC2993" s="91"/>
      <c r="AD2993" s="91"/>
      <c r="AE2993" s="91"/>
      <c r="AF2993" s="91"/>
      <c r="AG2993" s="91"/>
      <c r="AH2993" s="91"/>
      <c r="AI2993" s="91"/>
      <c r="AJ2993" s="91"/>
      <c r="AK2993" s="91"/>
      <c r="AL2993" s="91"/>
      <c r="AM2993" s="91"/>
    </row>
    <row r="2994" spans="1:39" ht="20.25" hidden="1" customHeight="1">
      <c r="A2994" s="91"/>
      <c r="B2994" s="93" t="s">
        <v>1309</v>
      </c>
      <c r="C2994" s="91" t="s">
        <v>36</v>
      </c>
      <c r="D2994" s="107" t="s">
        <v>9362</v>
      </c>
      <c r="E2994" s="107" t="s">
        <v>9363</v>
      </c>
      <c r="F2994" s="91" t="s">
        <v>9364</v>
      </c>
      <c r="G2994" s="96">
        <v>39167</v>
      </c>
      <c r="H2994" s="97">
        <v>18210</v>
      </c>
      <c r="I2994" s="100" t="s">
        <v>58</v>
      </c>
      <c r="J2994" s="100" t="s">
        <v>9365</v>
      </c>
      <c r="K2994" s="91">
        <v>988558593</v>
      </c>
      <c r="L2994" s="91" t="s">
        <v>60</v>
      </c>
      <c r="M2994" s="98">
        <f ca="1">(TODAY()-H2994)/365</f>
        <v>76.142465753424659</v>
      </c>
      <c r="N2994" s="99">
        <f>(G2994-H2994)/365</f>
        <v>57.416438356164385</v>
      </c>
      <c r="O2994" s="98">
        <f ca="1">(TODAY()-G2994)/365</f>
        <v>18.726027397260275</v>
      </c>
      <c r="P2994" s="91" t="s">
        <v>43</v>
      </c>
      <c r="Q2994" s="91">
        <v>0</v>
      </c>
      <c r="R2994" s="91">
        <v>0</v>
      </c>
      <c r="S2994" s="91">
        <v>0</v>
      </c>
      <c r="T2994" s="91"/>
      <c r="U2994" s="91"/>
      <c r="V2994" s="91"/>
      <c r="W2994" s="91"/>
      <c r="X2994" s="91"/>
      <c r="Y2994" s="91"/>
      <c r="Z2994" s="91"/>
      <c r="AA2994" s="91"/>
      <c r="AB2994" s="91"/>
      <c r="AC2994" s="91"/>
      <c r="AD2994" s="91"/>
      <c r="AE2994" s="91"/>
      <c r="AF2994" s="91"/>
      <c r="AG2994" s="91"/>
      <c r="AH2994" s="91"/>
      <c r="AI2994" s="91"/>
      <c r="AJ2994" s="91"/>
      <c r="AK2994" s="91"/>
      <c r="AL2994" s="91"/>
      <c r="AM2994" s="91"/>
    </row>
    <row r="2995" spans="1:39" ht="20.25" hidden="1" customHeight="1">
      <c r="A2995" s="91"/>
      <c r="B2995" s="93" t="s">
        <v>1309</v>
      </c>
      <c r="C2995" s="91" t="s">
        <v>36</v>
      </c>
      <c r="D2995" s="107" t="s">
        <v>9366</v>
      </c>
      <c r="E2995" s="107" t="s">
        <v>9367</v>
      </c>
      <c r="F2995" s="91" t="s">
        <v>9368</v>
      </c>
      <c r="G2995" s="96">
        <v>39692</v>
      </c>
      <c r="H2995" s="97">
        <v>15575</v>
      </c>
      <c r="I2995" s="100" t="s">
        <v>58</v>
      </c>
      <c r="J2995" s="100" t="s">
        <v>9361</v>
      </c>
      <c r="K2995" s="91" t="s">
        <v>58</v>
      </c>
      <c r="L2995" s="91" t="s">
        <v>60</v>
      </c>
      <c r="M2995" s="98">
        <f ca="1">(TODAY()-H2995)/365</f>
        <v>83.361643835616434</v>
      </c>
      <c r="N2995" s="99">
        <f>(G2995-H2995)/365</f>
        <v>66.07397260273973</v>
      </c>
      <c r="O2995" s="98">
        <f ca="1">(TODAY()-G2995)/365</f>
        <v>17.287671232876711</v>
      </c>
      <c r="P2995" s="91" t="s">
        <v>43</v>
      </c>
      <c r="Q2995" s="91">
        <v>0</v>
      </c>
      <c r="R2995" s="91">
        <v>0</v>
      </c>
      <c r="S2995" s="91">
        <v>0</v>
      </c>
      <c r="T2995" s="91"/>
      <c r="U2995" s="91"/>
      <c r="V2995" s="91"/>
      <c r="W2995" s="91"/>
      <c r="X2995" s="91"/>
      <c r="Y2995" s="91"/>
      <c r="Z2995" s="91"/>
      <c r="AA2995" s="91"/>
      <c r="AB2995" s="91"/>
      <c r="AC2995" s="91"/>
      <c r="AD2995" s="91"/>
      <c r="AE2995" s="91"/>
      <c r="AF2995" s="91"/>
      <c r="AG2995" s="91"/>
      <c r="AH2995" s="91"/>
      <c r="AI2995" s="91"/>
      <c r="AJ2995" s="91"/>
      <c r="AK2995" s="91"/>
      <c r="AL2995" s="91"/>
      <c r="AM2995" s="91"/>
    </row>
    <row r="2996" spans="1:39" ht="20.25" hidden="1" customHeight="1">
      <c r="A2996" s="91"/>
      <c r="B2996" s="113" t="s">
        <v>9369</v>
      </c>
      <c r="C2996" s="91" t="s">
        <v>36</v>
      </c>
      <c r="D2996" s="106" t="s">
        <v>576</v>
      </c>
      <c r="E2996" s="106" t="s">
        <v>9370</v>
      </c>
      <c r="F2996" s="91" t="s">
        <v>58</v>
      </c>
      <c r="G2996" s="97">
        <v>36413</v>
      </c>
      <c r="H2996" s="97">
        <v>17030</v>
      </c>
      <c r="I2996" s="100" t="s">
        <v>58</v>
      </c>
      <c r="J2996" s="100" t="s">
        <v>58</v>
      </c>
      <c r="K2996" s="91">
        <v>956039962</v>
      </c>
      <c r="L2996" s="91" t="s">
        <v>60</v>
      </c>
      <c r="M2996" s="98">
        <f ca="1">(TODAY()-H2996)/365</f>
        <v>79.37534246575342</v>
      </c>
      <c r="N2996" s="99">
        <f>(G2996-H2996)/365</f>
        <v>53.104109589041094</v>
      </c>
      <c r="O2996" s="98">
        <f ca="1">(TODAY()-G2996)/365</f>
        <v>26.271232876712329</v>
      </c>
      <c r="P2996" s="91" t="s">
        <v>43</v>
      </c>
      <c r="Q2996" s="91">
        <v>0</v>
      </c>
      <c r="R2996" s="91">
        <v>0</v>
      </c>
      <c r="S2996" s="91">
        <v>0</v>
      </c>
      <c r="T2996" s="91"/>
      <c r="U2996" s="91"/>
      <c r="V2996" s="91"/>
      <c r="W2996" s="91"/>
      <c r="X2996" s="91"/>
      <c r="Y2996" s="91"/>
      <c r="Z2996" s="91"/>
      <c r="AA2996" s="91"/>
      <c r="AB2996" s="91"/>
      <c r="AC2996" s="91"/>
      <c r="AD2996" s="91"/>
      <c r="AE2996" s="91"/>
      <c r="AF2996" s="91"/>
      <c r="AG2996" s="91"/>
      <c r="AH2996" s="91"/>
      <c r="AI2996" s="91"/>
      <c r="AJ2996" s="91"/>
      <c r="AK2996" s="91"/>
      <c r="AL2996" s="91"/>
      <c r="AM2996" s="91"/>
    </row>
    <row r="2997" spans="1:39" ht="20.25" hidden="1" customHeight="1">
      <c r="A2997" s="91"/>
      <c r="B2997" s="113" t="s">
        <v>9369</v>
      </c>
      <c r="C2997" s="91" t="s">
        <v>36</v>
      </c>
      <c r="D2997" s="106" t="s">
        <v>2683</v>
      </c>
      <c r="E2997" s="106" t="s">
        <v>9371</v>
      </c>
      <c r="F2997" s="91" t="s">
        <v>58</v>
      </c>
      <c r="G2997" s="97">
        <v>43179</v>
      </c>
      <c r="H2997" s="97">
        <v>36438</v>
      </c>
      <c r="I2997" s="100" t="s">
        <v>9372</v>
      </c>
      <c r="J2997" s="100" t="s">
        <v>58</v>
      </c>
      <c r="K2997" s="91">
        <v>996861399</v>
      </c>
      <c r="L2997" s="91" t="s">
        <v>216</v>
      </c>
      <c r="M2997" s="98">
        <f ca="1">(TODAY()-H2997)/365</f>
        <v>26.202739726027396</v>
      </c>
      <c r="N2997" s="99">
        <f>(G2997-H2997)/365</f>
        <v>18.468493150684932</v>
      </c>
      <c r="O2997" s="98">
        <f ca="1">(TODAY()-G2997)/365</f>
        <v>7.7342465753424658</v>
      </c>
      <c r="P2997" s="91" t="s">
        <v>43</v>
      </c>
      <c r="Q2997" s="91">
        <v>0</v>
      </c>
      <c r="R2997" s="91">
        <v>0</v>
      </c>
      <c r="S2997" s="91">
        <v>1</v>
      </c>
      <c r="T2997" s="91"/>
      <c r="U2997" s="91"/>
      <c r="V2997" s="91"/>
      <c r="W2997" s="91"/>
      <c r="X2997" s="91"/>
      <c r="Y2997" s="91"/>
      <c r="Z2997" s="91"/>
      <c r="AA2997" s="91"/>
      <c r="AB2997" s="91"/>
      <c r="AC2997" s="91"/>
      <c r="AD2997" s="91"/>
      <c r="AE2997" s="91"/>
      <c r="AF2997" s="91"/>
      <c r="AG2997" s="91"/>
      <c r="AH2997" s="91"/>
      <c r="AI2997" s="91"/>
      <c r="AJ2997" s="91"/>
      <c r="AK2997" s="91"/>
      <c r="AL2997" s="91"/>
      <c r="AM2997" s="91"/>
    </row>
    <row r="2998" spans="1:39" ht="20.25" hidden="1" customHeight="1">
      <c r="A2998" s="91"/>
      <c r="B2998" s="113" t="s">
        <v>9369</v>
      </c>
      <c r="C2998" s="91" t="s">
        <v>36</v>
      </c>
      <c r="D2998" s="106" t="s">
        <v>346</v>
      </c>
      <c r="E2998" s="106" t="s">
        <v>9373</v>
      </c>
      <c r="F2998" s="91" t="s">
        <v>58</v>
      </c>
      <c r="G2998" s="97">
        <v>43025</v>
      </c>
      <c r="H2998" s="97">
        <v>21678</v>
      </c>
      <c r="I2998" s="100" t="s">
        <v>58</v>
      </c>
      <c r="J2998" s="100" t="s">
        <v>58</v>
      </c>
      <c r="K2998" s="91">
        <v>945990159</v>
      </c>
      <c r="L2998" s="91" t="s">
        <v>60</v>
      </c>
      <c r="M2998" s="98">
        <f ca="1">(TODAY()-H2998)/365</f>
        <v>66.641095890410952</v>
      </c>
      <c r="N2998" s="99">
        <f>(G2998-H2998)/365</f>
        <v>58.484931506849314</v>
      </c>
      <c r="O2998" s="98">
        <f ca="1">(TODAY()-G2998)/365</f>
        <v>8.1561643835616433</v>
      </c>
      <c r="P2998" s="91" t="s">
        <v>43</v>
      </c>
      <c r="Q2998" s="91">
        <v>0</v>
      </c>
      <c r="R2998" s="91">
        <v>0</v>
      </c>
      <c r="S2998" s="91">
        <v>0</v>
      </c>
      <c r="T2998" s="91"/>
      <c r="U2998" s="91"/>
      <c r="V2998" s="91"/>
      <c r="W2998" s="91"/>
      <c r="X2998" s="91"/>
      <c r="Y2998" s="91"/>
      <c r="Z2998" s="91"/>
      <c r="AA2998" s="91"/>
      <c r="AB2998" s="91"/>
      <c r="AC2998" s="91"/>
      <c r="AD2998" s="91"/>
      <c r="AE2998" s="91"/>
      <c r="AF2998" s="91"/>
      <c r="AG2998" s="91"/>
      <c r="AH2998" s="91"/>
      <c r="AI2998" s="91"/>
      <c r="AJ2998" s="91"/>
      <c r="AK2998" s="91"/>
      <c r="AL2998" s="91"/>
      <c r="AM2998" s="91"/>
    </row>
    <row r="2999" spans="1:39" ht="20.25" hidden="1" customHeight="1">
      <c r="A2999" s="91"/>
      <c r="B2999" s="113" t="s">
        <v>9369</v>
      </c>
      <c r="C2999" s="91" t="s">
        <v>36</v>
      </c>
      <c r="D2999" s="106" t="s">
        <v>662</v>
      </c>
      <c r="E2999" s="106" t="s">
        <v>9374</v>
      </c>
      <c r="F2999" s="91" t="s">
        <v>58</v>
      </c>
      <c r="G2999" s="97">
        <v>38652</v>
      </c>
      <c r="H2999" s="97">
        <v>17774</v>
      </c>
      <c r="I2999" s="100" t="s">
        <v>58</v>
      </c>
      <c r="J2999" s="100" t="s">
        <v>58</v>
      </c>
      <c r="K2999" s="91">
        <v>963729272</v>
      </c>
      <c r="L2999" s="91" t="s">
        <v>60</v>
      </c>
      <c r="M2999" s="98">
        <f ca="1">(TODAY()-H2999)/365</f>
        <v>77.336986301369862</v>
      </c>
      <c r="N2999" s="99">
        <f>(G2999-H2999)/365</f>
        <v>57.2</v>
      </c>
      <c r="O2999" s="98">
        <f ca="1">(TODAY()-G2999)/365</f>
        <v>20.136986301369863</v>
      </c>
      <c r="P2999" s="91" t="s">
        <v>43</v>
      </c>
      <c r="Q2999" s="91">
        <v>0</v>
      </c>
      <c r="R2999" s="91">
        <v>0</v>
      </c>
      <c r="S2999" s="91">
        <v>0</v>
      </c>
      <c r="T2999" s="91"/>
      <c r="U2999" s="91"/>
      <c r="V2999" s="91"/>
      <c r="W2999" s="91"/>
      <c r="X2999" s="91"/>
      <c r="Y2999" s="91"/>
      <c r="Z2999" s="91"/>
      <c r="AA2999" s="91"/>
      <c r="AB2999" s="91"/>
      <c r="AC2999" s="91"/>
      <c r="AD2999" s="91"/>
      <c r="AE2999" s="91"/>
      <c r="AF2999" s="91"/>
      <c r="AG2999" s="91"/>
      <c r="AH2999" s="91"/>
      <c r="AI2999" s="91"/>
      <c r="AJ2999" s="91"/>
      <c r="AK2999" s="91"/>
      <c r="AL2999" s="91"/>
      <c r="AM2999" s="91"/>
    </row>
    <row r="3000" spans="1:39" ht="20.25" hidden="1" customHeight="1">
      <c r="A3000" s="91"/>
      <c r="B3000" s="113" t="s">
        <v>9369</v>
      </c>
      <c r="C3000" s="91" t="s">
        <v>36</v>
      </c>
      <c r="D3000" s="106" t="s">
        <v>367</v>
      </c>
      <c r="E3000" s="106" t="s">
        <v>8620</v>
      </c>
      <c r="F3000" s="91" t="s">
        <v>9375</v>
      </c>
      <c r="G3000" s="97">
        <v>31505</v>
      </c>
      <c r="H3000" s="97">
        <v>26483</v>
      </c>
      <c r="I3000" s="100" t="s">
        <v>9376</v>
      </c>
      <c r="J3000" s="100" t="s">
        <v>58</v>
      </c>
      <c r="K3000" s="91">
        <v>954567344</v>
      </c>
      <c r="L3000" s="91" t="s">
        <v>60</v>
      </c>
      <c r="M3000" s="98">
        <f ca="1">(TODAY()-H3000)/365</f>
        <v>53.476712328767121</v>
      </c>
      <c r="N3000" s="99">
        <f>(G3000-H3000)/365</f>
        <v>13.758904109589041</v>
      </c>
      <c r="O3000" s="98">
        <f ca="1">(TODAY()-G3000)/365</f>
        <v>39.717808219178082</v>
      </c>
      <c r="P3000" s="91" t="s">
        <v>43</v>
      </c>
      <c r="Q3000" s="91">
        <v>1</v>
      </c>
      <c r="R3000" s="91">
        <v>1</v>
      </c>
      <c r="S3000" s="91">
        <v>0</v>
      </c>
      <c r="T3000" s="91"/>
      <c r="U3000" s="91"/>
      <c r="V3000" s="91"/>
      <c r="W3000" s="91"/>
      <c r="X3000" s="91"/>
      <c r="Y3000" s="91">
        <v>2023</v>
      </c>
      <c r="Z3000" s="91"/>
      <c r="AA3000" s="91"/>
      <c r="AB3000" s="91"/>
      <c r="AC3000" s="91"/>
      <c r="AD3000" s="91"/>
      <c r="AE3000" s="91"/>
      <c r="AF3000" s="91"/>
      <c r="AG3000" s="91"/>
      <c r="AH3000" s="91"/>
      <c r="AI3000" s="91"/>
      <c r="AJ3000" s="91"/>
      <c r="AK3000" s="91"/>
      <c r="AL3000" s="91"/>
      <c r="AM3000" s="91"/>
    </row>
    <row r="3001" spans="1:39" ht="20.25" hidden="1" customHeight="1">
      <c r="A3001" s="91"/>
      <c r="B3001" s="113" t="s">
        <v>9369</v>
      </c>
      <c r="C3001" s="91" t="s">
        <v>36</v>
      </c>
      <c r="D3001" s="106" t="s">
        <v>9377</v>
      </c>
      <c r="E3001" s="106" t="s">
        <v>9378</v>
      </c>
      <c r="F3001" s="91" t="s">
        <v>58</v>
      </c>
      <c r="G3001" s="97">
        <v>43594</v>
      </c>
      <c r="H3001" s="97">
        <v>18445</v>
      </c>
      <c r="I3001" s="100" t="s">
        <v>9379</v>
      </c>
      <c r="J3001" s="100" t="s">
        <v>58</v>
      </c>
      <c r="K3001" s="91">
        <v>992339346</v>
      </c>
      <c r="L3001" s="91" t="s">
        <v>60</v>
      </c>
      <c r="M3001" s="98">
        <f ca="1">(TODAY()-H3001)/365</f>
        <v>75.498630136986307</v>
      </c>
      <c r="N3001" s="99">
        <f>(G3001-H3001)/365</f>
        <v>68.901369863013699</v>
      </c>
      <c r="O3001" s="98">
        <f ca="1">(TODAY()-G3001)/365</f>
        <v>6.5972602739726032</v>
      </c>
      <c r="P3001" s="91" t="s">
        <v>43</v>
      </c>
      <c r="Q3001" s="91">
        <v>0</v>
      </c>
      <c r="R3001" s="91">
        <v>0</v>
      </c>
      <c r="S3001" s="91">
        <v>0</v>
      </c>
      <c r="T3001" s="91"/>
      <c r="U3001" s="91"/>
      <c r="V3001" s="91"/>
      <c r="W3001" s="91"/>
      <c r="X3001" s="91"/>
      <c r="Y3001" s="91"/>
      <c r="Z3001" s="91"/>
      <c r="AA3001" s="91"/>
      <c r="AB3001" s="91"/>
      <c r="AC3001" s="91"/>
      <c r="AD3001" s="91"/>
      <c r="AE3001" s="91"/>
      <c r="AF3001" s="91"/>
      <c r="AG3001" s="91"/>
      <c r="AH3001" s="91"/>
      <c r="AI3001" s="91"/>
      <c r="AJ3001" s="91"/>
      <c r="AK3001" s="91"/>
      <c r="AL3001" s="91"/>
      <c r="AM3001" s="91"/>
    </row>
    <row r="3002" spans="1:39" ht="20.25" hidden="1" customHeight="1">
      <c r="A3002" s="91"/>
      <c r="B3002" s="113" t="s">
        <v>9369</v>
      </c>
      <c r="C3002" s="91" t="s">
        <v>36</v>
      </c>
      <c r="D3002" s="106" t="s">
        <v>367</v>
      </c>
      <c r="E3002" s="106" t="s">
        <v>9380</v>
      </c>
      <c r="F3002" s="91" t="s">
        <v>58</v>
      </c>
      <c r="G3002" s="97">
        <v>38796</v>
      </c>
      <c r="H3002" s="97">
        <v>16996</v>
      </c>
      <c r="I3002" s="100" t="s">
        <v>9381</v>
      </c>
      <c r="J3002" s="100" t="s">
        <v>58</v>
      </c>
      <c r="K3002" s="91">
        <v>957042964</v>
      </c>
      <c r="L3002" s="91" t="s">
        <v>66</v>
      </c>
      <c r="M3002" s="98">
        <f ca="1">(TODAY()-H3002)/365</f>
        <v>79.468493150684935</v>
      </c>
      <c r="N3002" s="99">
        <f>(G3002-H3002)/365</f>
        <v>59.726027397260275</v>
      </c>
      <c r="O3002" s="98">
        <f ca="1">(TODAY()-G3002)/365</f>
        <v>19.742465753424657</v>
      </c>
      <c r="P3002" s="91" t="s">
        <v>43</v>
      </c>
      <c r="Q3002" s="91">
        <v>0</v>
      </c>
      <c r="R3002" s="91">
        <v>0</v>
      </c>
      <c r="S3002" s="91">
        <v>0</v>
      </c>
      <c r="T3002" s="91"/>
      <c r="U3002" s="91"/>
      <c r="V3002" s="91"/>
      <c r="W3002" s="91"/>
      <c r="X3002" s="91"/>
      <c r="Y3002" s="91"/>
      <c r="Z3002" s="91"/>
      <c r="AA3002" s="91"/>
      <c r="AB3002" s="91"/>
      <c r="AC3002" s="91"/>
      <c r="AD3002" s="91"/>
      <c r="AE3002" s="91"/>
      <c r="AF3002" s="91"/>
      <c r="AG3002" s="91"/>
      <c r="AH3002" s="91"/>
      <c r="AI3002" s="91"/>
      <c r="AJ3002" s="91"/>
      <c r="AK3002" s="91"/>
      <c r="AL3002" s="91"/>
      <c r="AM3002" s="91"/>
    </row>
    <row r="3003" spans="1:39" ht="20.25" hidden="1" customHeight="1">
      <c r="A3003" s="91"/>
      <c r="B3003" s="113" t="s">
        <v>9369</v>
      </c>
      <c r="C3003" s="91" t="s">
        <v>36</v>
      </c>
      <c r="D3003" s="106" t="s">
        <v>675</v>
      </c>
      <c r="E3003" s="106" t="s">
        <v>9382</v>
      </c>
      <c r="F3003" s="91" t="s">
        <v>58</v>
      </c>
      <c r="G3003" s="97">
        <v>35892</v>
      </c>
      <c r="H3003" s="97">
        <v>24928</v>
      </c>
      <c r="I3003" s="100" t="s">
        <v>9383</v>
      </c>
      <c r="J3003" s="100" t="s">
        <v>58</v>
      </c>
      <c r="K3003" s="91">
        <v>9362267885</v>
      </c>
      <c r="L3003" s="91" t="s">
        <v>60</v>
      </c>
      <c r="M3003" s="98">
        <f ca="1">(TODAY()-H3003)/365</f>
        <v>57.736986301369861</v>
      </c>
      <c r="N3003" s="99">
        <f>(G3003-H3003)/365</f>
        <v>30.038356164383561</v>
      </c>
      <c r="O3003" s="98">
        <f ca="1">(TODAY()-G3003)/365</f>
        <v>27.698630136986303</v>
      </c>
      <c r="P3003" s="91" t="s">
        <v>43</v>
      </c>
      <c r="Q3003" s="91">
        <v>0</v>
      </c>
      <c r="R3003" s="91">
        <v>0</v>
      </c>
      <c r="S3003" s="91">
        <v>0</v>
      </c>
      <c r="T3003" s="91"/>
      <c r="U3003" s="91"/>
      <c r="V3003" s="91"/>
      <c r="W3003" s="91"/>
      <c r="X3003" s="91"/>
      <c r="Y3003" s="91"/>
      <c r="Z3003" s="91"/>
      <c r="AA3003" s="91"/>
      <c r="AB3003" s="91"/>
      <c r="AC3003" s="91"/>
      <c r="AD3003" s="91"/>
      <c r="AE3003" s="91"/>
      <c r="AF3003" s="91"/>
      <c r="AG3003" s="91"/>
      <c r="AH3003" s="91"/>
      <c r="AI3003" s="91"/>
      <c r="AJ3003" s="91"/>
      <c r="AK3003" s="91"/>
      <c r="AL3003" s="91"/>
      <c r="AM3003" s="91"/>
    </row>
    <row r="3004" spans="1:39" ht="20.25" hidden="1" customHeight="1">
      <c r="A3004" s="91"/>
      <c r="B3004" s="113" t="s">
        <v>9369</v>
      </c>
      <c r="C3004" s="91" t="s">
        <v>36</v>
      </c>
      <c r="D3004" s="106" t="s">
        <v>3335</v>
      </c>
      <c r="E3004" s="106" t="s">
        <v>9384</v>
      </c>
      <c r="F3004" s="91" t="s">
        <v>58</v>
      </c>
      <c r="G3004" s="97">
        <v>34819</v>
      </c>
      <c r="H3004" s="97">
        <v>23309</v>
      </c>
      <c r="I3004" s="100" t="s">
        <v>9385</v>
      </c>
      <c r="J3004" s="100" t="s">
        <v>58</v>
      </c>
      <c r="K3004" s="91">
        <v>977591454</v>
      </c>
      <c r="L3004" s="91" t="s">
        <v>54</v>
      </c>
      <c r="M3004" s="98">
        <f ca="1">(TODAY()-H3004)/365</f>
        <v>62.172602739726024</v>
      </c>
      <c r="N3004" s="99">
        <f>(G3004-H3004)/365</f>
        <v>31.534246575342465</v>
      </c>
      <c r="O3004" s="98">
        <f ca="1">(TODAY()-G3004)/365</f>
        <v>30.638356164383563</v>
      </c>
      <c r="P3004" s="91" t="s">
        <v>43</v>
      </c>
      <c r="Q3004" s="91">
        <v>0</v>
      </c>
      <c r="R3004" s="91">
        <v>0</v>
      </c>
      <c r="S3004" s="91">
        <v>0</v>
      </c>
      <c r="T3004" s="91"/>
      <c r="U3004" s="91"/>
      <c r="V3004" s="91"/>
      <c r="W3004" s="91"/>
      <c r="X3004" s="91"/>
      <c r="Y3004" s="91"/>
      <c r="Z3004" s="91"/>
      <c r="AA3004" s="91"/>
      <c r="AB3004" s="91"/>
      <c r="AC3004" s="91"/>
      <c r="AD3004" s="91"/>
      <c r="AE3004" s="91"/>
      <c r="AF3004" s="91"/>
      <c r="AG3004" s="91"/>
      <c r="AH3004" s="91"/>
      <c r="AI3004" s="91"/>
      <c r="AJ3004" s="91"/>
      <c r="AK3004" s="91"/>
      <c r="AL3004" s="91"/>
      <c r="AM3004" s="91"/>
    </row>
    <row r="3005" spans="1:39" ht="20.25" hidden="1" customHeight="1">
      <c r="A3005" s="91"/>
      <c r="B3005" s="113" t="s">
        <v>9369</v>
      </c>
      <c r="C3005" s="91" t="s">
        <v>36</v>
      </c>
      <c r="D3005" s="106" t="s">
        <v>780</v>
      </c>
      <c r="E3005" s="106" t="s">
        <v>9386</v>
      </c>
      <c r="F3005" s="91" t="s">
        <v>58</v>
      </c>
      <c r="G3005" s="97">
        <v>44828</v>
      </c>
      <c r="H3005" s="97">
        <v>24305</v>
      </c>
      <c r="I3005" s="100" t="s">
        <v>9387</v>
      </c>
      <c r="J3005" s="100" t="s">
        <v>58</v>
      </c>
      <c r="K3005" s="91">
        <v>942136039</v>
      </c>
      <c r="L3005" s="91" t="s">
        <v>60</v>
      </c>
      <c r="M3005" s="98">
        <f ca="1">(TODAY()-H3005)/365</f>
        <v>59.443835616438356</v>
      </c>
      <c r="N3005" s="99">
        <f>(G3005-H3005)/365</f>
        <v>56.227397260273975</v>
      </c>
      <c r="O3005" s="98">
        <f ca="1">(TODAY()-G3005)/365</f>
        <v>3.2164383561643834</v>
      </c>
      <c r="P3005" s="91" t="s">
        <v>43</v>
      </c>
      <c r="Q3005" s="91">
        <v>0</v>
      </c>
      <c r="R3005" s="91">
        <v>0</v>
      </c>
      <c r="S3005" s="91">
        <v>0</v>
      </c>
      <c r="T3005" s="91"/>
      <c r="U3005" s="91"/>
      <c r="V3005" s="91"/>
      <c r="W3005" s="91"/>
      <c r="X3005" s="91"/>
      <c r="Y3005" s="91"/>
      <c r="Z3005" s="91"/>
      <c r="AA3005" s="91"/>
      <c r="AB3005" s="91"/>
      <c r="AC3005" s="91"/>
      <c r="AD3005" s="91"/>
      <c r="AE3005" s="91"/>
      <c r="AF3005" s="91"/>
      <c r="AG3005" s="91"/>
      <c r="AH3005" s="91"/>
      <c r="AI3005" s="91"/>
      <c r="AJ3005" s="91"/>
      <c r="AK3005" s="91"/>
      <c r="AL3005" s="91"/>
      <c r="AM3005" s="91"/>
    </row>
    <row r="3006" spans="1:39" ht="20.25" hidden="1" customHeight="1">
      <c r="A3006" s="91"/>
      <c r="B3006" s="113" t="s">
        <v>9369</v>
      </c>
      <c r="C3006" s="91" t="s">
        <v>36</v>
      </c>
      <c r="D3006" s="106" t="s">
        <v>9388</v>
      </c>
      <c r="E3006" s="106" t="s">
        <v>9389</v>
      </c>
      <c r="F3006" s="91" t="s">
        <v>58</v>
      </c>
      <c r="G3006" s="97">
        <v>38063</v>
      </c>
      <c r="H3006" s="97">
        <v>19654</v>
      </c>
      <c r="I3006" s="100" t="s">
        <v>58</v>
      </c>
      <c r="J3006" s="100" t="s">
        <v>58</v>
      </c>
      <c r="K3006" s="91">
        <v>988055133</v>
      </c>
      <c r="L3006" s="91" t="s">
        <v>60</v>
      </c>
      <c r="M3006" s="98">
        <f ca="1">(TODAY()-H3006)/365</f>
        <v>72.186301369863017</v>
      </c>
      <c r="N3006" s="99">
        <f>(G3006-H3006)/365</f>
        <v>50.435616438356163</v>
      </c>
      <c r="O3006" s="98">
        <f ca="1">(TODAY()-G3006)/365</f>
        <v>21.75068493150685</v>
      </c>
      <c r="P3006" s="91" t="s">
        <v>43</v>
      </c>
      <c r="Q3006" s="91">
        <v>0</v>
      </c>
      <c r="R3006" s="91">
        <v>0</v>
      </c>
      <c r="S3006" s="91">
        <v>0</v>
      </c>
      <c r="T3006" s="91"/>
      <c r="U3006" s="91"/>
      <c r="V3006" s="91"/>
      <c r="W3006" s="91"/>
      <c r="X3006" s="91"/>
      <c r="Y3006" s="91"/>
      <c r="Z3006" s="91"/>
      <c r="AA3006" s="91"/>
      <c r="AB3006" s="91"/>
      <c r="AC3006" s="91"/>
      <c r="AD3006" s="91"/>
      <c r="AE3006" s="91"/>
      <c r="AF3006" s="91"/>
      <c r="AG3006" s="91"/>
      <c r="AH3006" s="91"/>
      <c r="AI3006" s="91"/>
      <c r="AJ3006" s="91"/>
      <c r="AK3006" s="91"/>
      <c r="AL3006" s="91"/>
      <c r="AM3006" s="91"/>
    </row>
    <row r="3007" spans="1:39" ht="20.25" hidden="1" customHeight="1">
      <c r="A3007" s="91"/>
      <c r="B3007" s="113" t="s">
        <v>9369</v>
      </c>
      <c r="C3007" s="91" t="s">
        <v>36</v>
      </c>
      <c r="D3007" s="106" t="s">
        <v>9390</v>
      </c>
      <c r="E3007" s="106" t="s">
        <v>9391</v>
      </c>
      <c r="F3007" s="91" t="s">
        <v>58</v>
      </c>
      <c r="G3007" s="97">
        <v>34765</v>
      </c>
      <c r="H3007" s="97">
        <v>26166</v>
      </c>
      <c r="I3007" s="100" t="s">
        <v>58</v>
      </c>
      <c r="J3007" s="100" t="s">
        <v>58</v>
      </c>
      <c r="K3007" s="92">
        <v>982506657</v>
      </c>
      <c r="L3007" s="91" t="s">
        <v>60</v>
      </c>
      <c r="M3007" s="98">
        <f ca="1">(TODAY()-H3007)/365</f>
        <v>54.345205479452055</v>
      </c>
      <c r="N3007" s="99">
        <f>(G3007-H3007)/365</f>
        <v>23.55890410958904</v>
      </c>
      <c r="O3007" s="98">
        <f ca="1">(TODAY()-G3007)/365</f>
        <v>30.786301369863015</v>
      </c>
      <c r="P3007" s="91" t="s">
        <v>43</v>
      </c>
      <c r="Q3007" s="91">
        <v>0</v>
      </c>
      <c r="R3007" s="91">
        <v>0</v>
      </c>
      <c r="S3007" s="91">
        <v>0</v>
      </c>
      <c r="T3007" s="91"/>
      <c r="U3007" s="91"/>
      <c r="V3007" s="91"/>
      <c r="W3007" s="91"/>
      <c r="X3007" s="91"/>
      <c r="Y3007" s="91"/>
      <c r="Z3007" s="91"/>
      <c r="AA3007" s="91"/>
      <c r="AB3007" s="91"/>
      <c r="AC3007" s="91"/>
      <c r="AD3007" s="91"/>
      <c r="AE3007" s="91"/>
      <c r="AF3007" s="91"/>
      <c r="AG3007" s="91"/>
      <c r="AH3007" s="91"/>
      <c r="AI3007" s="91"/>
      <c r="AJ3007" s="91"/>
      <c r="AK3007" s="91"/>
      <c r="AL3007" s="91"/>
      <c r="AM3007" s="91"/>
    </row>
    <row r="3008" spans="1:39" ht="20.25" hidden="1" customHeight="1">
      <c r="A3008" s="91"/>
      <c r="B3008" s="113" t="s">
        <v>9369</v>
      </c>
      <c r="C3008" s="91" t="s">
        <v>36</v>
      </c>
      <c r="D3008" s="106" t="s">
        <v>9392</v>
      </c>
      <c r="E3008" s="106" t="s">
        <v>9393</v>
      </c>
      <c r="F3008" s="91" t="s">
        <v>58</v>
      </c>
      <c r="G3008" s="97">
        <v>41354</v>
      </c>
      <c r="H3008" s="97">
        <v>18096</v>
      </c>
      <c r="I3008" s="100" t="s">
        <v>9394</v>
      </c>
      <c r="J3008" s="100" t="s">
        <v>58</v>
      </c>
      <c r="K3008" s="92">
        <v>962928841</v>
      </c>
      <c r="L3008" s="91" t="s">
        <v>72</v>
      </c>
      <c r="M3008" s="98">
        <f ca="1">(TODAY()-H3008)/365</f>
        <v>76.454794520547949</v>
      </c>
      <c r="N3008" s="99">
        <f>(G3008-H3008)/365</f>
        <v>63.720547945205482</v>
      </c>
      <c r="O3008" s="98">
        <f ca="1">(TODAY()-G3008)/365</f>
        <v>12.734246575342466</v>
      </c>
      <c r="P3008" s="91" t="s">
        <v>43</v>
      </c>
      <c r="Q3008" s="91">
        <v>0</v>
      </c>
      <c r="R3008" s="91">
        <v>0</v>
      </c>
      <c r="S3008" s="91">
        <v>0</v>
      </c>
      <c r="T3008" s="91"/>
      <c r="U3008" s="91"/>
      <c r="V3008" s="91"/>
      <c r="W3008" s="91"/>
      <c r="X3008" s="91"/>
      <c r="Y3008" s="91"/>
      <c r="Z3008" s="91"/>
      <c r="AA3008" s="91"/>
      <c r="AB3008" s="91"/>
      <c r="AC3008" s="91"/>
      <c r="AD3008" s="91"/>
      <c r="AE3008" s="91"/>
      <c r="AF3008" s="91"/>
      <c r="AG3008" s="91"/>
      <c r="AH3008" s="91"/>
      <c r="AI3008" s="91"/>
      <c r="AJ3008" s="91"/>
      <c r="AK3008" s="91"/>
      <c r="AL3008" s="91"/>
      <c r="AM3008" s="91"/>
    </row>
    <row r="3009" spans="1:39" ht="20.25" hidden="1" customHeight="1">
      <c r="A3009" s="91"/>
      <c r="B3009" s="113" t="s">
        <v>9369</v>
      </c>
      <c r="C3009" s="91" t="s">
        <v>36</v>
      </c>
      <c r="D3009" s="106" t="s">
        <v>771</v>
      </c>
      <c r="E3009" s="106" t="s">
        <v>9395</v>
      </c>
      <c r="F3009" s="91" t="s">
        <v>58</v>
      </c>
      <c r="G3009" s="97">
        <v>42502</v>
      </c>
      <c r="H3009" s="97">
        <v>16290</v>
      </c>
      <c r="I3009" s="100" t="s">
        <v>58</v>
      </c>
      <c r="J3009" s="100" t="s">
        <v>58</v>
      </c>
      <c r="K3009" s="92">
        <v>963538290</v>
      </c>
      <c r="L3009" s="91" t="s">
        <v>60</v>
      </c>
      <c r="M3009" s="98">
        <f ca="1">(TODAY()-H3009)/365</f>
        <v>81.402739726027391</v>
      </c>
      <c r="N3009" s="99">
        <f>(G3009-H3009)/365</f>
        <v>71.813698630136983</v>
      </c>
      <c r="O3009" s="98">
        <f ca="1">(TODAY()-G3009)/365</f>
        <v>9.5890410958904102</v>
      </c>
      <c r="P3009" s="91" t="s">
        <v>43</v>
      </c>
      <c r="Q3009" s="91">
        <v>0</v>
      </c>
      <c r="R3009" s="91">
        <v>0</v>
      </c>
      <c r="S3009" s="91">
        <v>0</v>
      </c>
      <c r="T3009" s="91"/>
      <c r="U3009" s="91"/>
      <c r="V3009" s="91"/>
      <c r="W3009" s="91"/>
      <c r="X3009" s="91"/>
      <c r="Y3009" s="91"/>
      <c r="Z3009" s="91"/>
      <c r="AA3009" s="91"/>
      <c r="AB3009" s="91"/>
      <c r="AC3009" s="91"/>
      <c r="AD3009" s="91"/>
      <c r="AE3009" s="91"/>
      <c r="AF3009" s="91"/>
      <c r="AG3009" s="91"/>
      <c r="AH3009" s="91"/>
      <c r="AI3009" s="91"/>
      <c r="AJ3009" s="91"/>
      <c r="AK3009" s="91"/>
      <c r="AL3009" s="91"/>
      <c r="AM3009" s="91"/>
    </row>
    <row r="3010" spans="1:39" ht="20.25" hidden="1" customHeight="1">
      <c r="A3010" s="91"/>
      <c r="B3010" s="113" t="s">
        <v>9369</v>
      </c>
      <c r="C3010" s="91" t="s">
        <v>36</v>
      </c>
      <c r="D3010" s="106" t="s">
        <v>8616</v>
      </c>
      <c r="E3010" s="106" t="s">
        <v>8617</v>
      </c>
      <c r="F3010" s="91" t="s">
        <v>9396</v>
      </c>
      <c r="G3010" s="97">
        <v>28586</v>
      </c>
      <c r="H3010" s="97">
        <v>24897</v>
      </c>
      <c r="I3010" s="100" t="s">
        <v>9397</v>
      </c>
      <c r="J3010" s="100" t="s">
        <v>58</v>
      </c>
      <c r="K3010" s="92">
        <v>985236559</v>
      </c>
      <c r="L3010" s="91" t="s">
        <v>151</v>
      </c>
      <c r="M3010" s="98">
        <f ca="1">(TODAY()-H3010)/365</f>
        <v>57.821917808219176</v>
      </c>
      <c r="N3010" s="99">
        <f>(G3010-H3010)/365</f>
        <v>10.106849315068493</v>
      </c>
      <c r="O3010" s="98">
        <f ca="1">(TODAY()-G3010)/365</f>
        <v>47.715068493150682</v>
      </c>
      <c r="P3010" s="91" t="s">
        <v>272</v>
      </c>
      <c r="Q3010" s="91">
        <v>1</v>
      </c>
      <c r="R3010" s="91">
        <v>1</v>
      </c>
      <c r="S3010" s="91">
        <v>1</v>
      </c>
      <c r="T3010" s="91"/>
      <c r="U3010" s="91"/>
      <c r="V3010" s="91"/>
      <c r="W3010" s="91"/>
      <c r="X3010" s="91"/>
      <c r="Y3010" s="91"/>
      <c r="Z3010" s="91"/>
      <c r="AA3010" s="91"/>
      <c r="AB3010" s="91"/>
      <c r="AC3010" s="91"/>
      <c r="AD3010" s="91"/>
      <c r="AE3010" s="91"/>
      <c r="AF3010" s="91"/>
      <c r="AG3010" s="91"/>
      <c r="AH3010" s="91"/>
      <c r="AI3010" s="91"/>
      <c r="AJ3010" s="91"/>
      <c r="AK3010" s="91"/>
      <c r="AL3010" s="91"/>
      <c r="AM3010" s="91"/>
    </row>
    <row r="3011" spans="1:39" ht="20.25" hidden="1" customHeight="1">
      <c r="A3011" s="91"/>
      <c r="B3011" s="113" t="s">
        <v>9369</v>
      </c>
      <c r="C3011" s="91" t="s">
        <v>36</v>
      </c>
      <c r="D3011" s="106" t="s">
        <v>4655</v>
      </c>
      <c r="E3011" s="106" t="s">
        <v>9398</v>
      </c>
      <c r="F3011" s="91" t="s">
        <v>58</v>
      </c>
      <c r="G3011" s="97">
        <v>27512</v>
      </c>
      <c r="H3011" s="97">
        <v>15954</v>
      </c>
      <c r="I3011" s="100" t="s">
        <v>58</v>
      </c>
      <c r="J3011" s="100" t="s">
        <v>58</v>
      </c>
      <c r="K3011" s="92">
        <v>990198713</v>
      </c>
      <c r="L3011" s="91" t="s">
        <v>60</v>
      </c>
      <c r="M3011" s="98">
        <f ca="1">(TODAY()-H3011)/365</f>
        <v>82.323287671232876</v>
      </c>
      <c r="N3011" s="99">
        <f>(G3011-H3011)/365</f>
        <v>31.665753424657535</v>
      </c>
      <c r="O3011" s="98">
        <f ca="1">(TODAY()-G3011)/365</f>
        <v>50.657534246575345</v>
      </c>
      <c r="P3011" s="91" t="s">
        <v>43</v>
      </c>
      <c r="Q3011" s="91">
        <v>0</v>
      </c>
      <c r="R3011" s="91">
        <v>0</v>
      </c>
      <c r="S3011" s="91">
        <v>0</v>
      </c>
      <c r="T3011" s="91"/>
      <c r="U3011" s="91"/>
      <c r="V3011" s="91"/>
      <c r="W3011" s="91"/>
      <c r="X3011" s="91"/>
      <c r="Y3011" s="91"/>
      <c r="Z3011" s="91"/>
      <c r="AA3011" s="91"/>
      <c r="AB3011" s="91"/>
      <c r="AC3011" s="91"/>
      <c r="AD3011" s="91"/>
      <c r="AE3011" s="91"/>
      <c r="AF3011" s="91"/>
      <c r="AG3011" s="91"/>
      <c r="AH3011" s="91"/>
      <c r="AI3011" s="91"/>
      <c r="AJ3011" s="91"/>
      <c r="AK3011" s="91"/>
      <c r="AL3011" s="91"/>
      <c r="AM3011" s="91"/>
    </row>
    <row r="3012" spans="1:39" ht="20.25" hidden="1" customHeight="1">
      <c r="A3012" s="91"/>
      <c r="B3012" s="113" t="s">
        <v>9369</v>
      </c>
      <c r="C3012" s="91" t="s">
        <v>36</v>
      </c>
      <c r="D3012" s="106" t="s">
        <v>650</v>
      </c>
      <c r="E3012" s="106" t="s">
        <v>9399</v>
      </c>
      <c r="F3012" s="91" t="s">
        <v>58</v>
      </c>
      <c r="G3012" s="97">
        <v>29901</v>
      </c>
      <c r="H3012" s="97">
        <v>13064</v>
      </c>
      <c r="I3012" s="100" t="s">
        <v>58</v>
      </c>
      <c r="J3012" s="100" t="s">
        <v>58</v>
      </c>
      <c r="K3012" s="92">
        <v>982353697</v>
      </c>
      <c r="L3012" s="91" t="s">
        <v>60</v>
      </c>
      <c r="M3012" s="98">
        <f ca="1">(TODAY()-H3012)/365</f>
        <v>90.241095890410961</v>
      </c>
      <c r="N3012" s="99">
        <f>(G3012-H3012)/365</f>
        <v>46.128767123287673</v>
      </c>
      <c r="O3012" s="98">
        <f ca="1">(TODAY()-G3012)/365</f>
        <v>44.112328767123287</v>
      </c>
      <c r="P3012" s="91" t="s">
        <v>43</v>
      </c>
      <c r="Q3012" s="91">
        <v>0</v>
      </c>
      <c r="R3012" s="91">
        <v>0</v>
      </c>
      <c r="S3012" s="91">
        <v>0</v>
      </c>
      <c r="T3012" s="91"/>
      <c r="U3012" s="91"/>
      <c r="V3012" s="91"/>
      <c r="W3012" s="91"/>
      <c r="X3012" s="91"/>
      <c r="Y3012" s="91"/>
      <c r="Z3012" s="91"/>
      <c r="AA3012" s="91"/>
      <c r="AB3012" s="91"/>
      <c r="AC3012" s="91"/>
      <c r="AD3012" s="91"/>
      <c r="AE3012" s="91"/>
      <c r="AF3012" s="91"/>
      <c r="AG3012" s="91"/>
      <c r="AH3012" s="91"/>
      <c r="AI3012" s="91"/>
      <c r="AJ3012" s="91"/>
      <c r="AK3012" s="91"/>
      <c r="AL3012" s="91"/>
      <c r="AM3012" s="91"/>
    </row>
    <row r="3013" spans="1:39" ht="20.25" hidden="1" customHeight="1">
      <c r="A3013" s="91"/>
      <c r="B3013" s="113" t="s">
        <v>9369</v>
      </c>
      <c r="C3013" s="91" t="s">
        <v>36</v>
      </c>
      <c r="D3013" s="106" t="s">
        <v>728</v>
      </c>
      <c r="E3013" s="106" t="s">
        <v>9400</v>
      </c>
      <c r="F3013" s="91" t="s">
        <v>58</v>
      </c>
      <c r="G3013" s="97">
        <v>36227</v>
      </c>
      <c r="H3013" s="97">
        <v>22839</v>
      </c>
      <c r="I3013" s="100" t="s">
        <v>9401</v>
      </c>
      <c r="J3013" s="100" t="s">
        <v>58</v>
      </c>
      <c r="K3013" s="92">
        <v>979185267</v>
      </c>
      <c r="L3013" s="91" t="s">
        <v>167</v>
      </c>
      <c r="M3013" s="98">
        <f ca="1">(TODAY()-H3013)/365</f>
        <v>63.460273972602742</v>
      </c>
      <c r="N3013" s="99">
        <f>(G3013-H3013)/365</f>
        <v>36.679452054794524</v>
      </c>
      <c r="O3013" s="98">
        <f ca="1">(TODAY()-G3013)/365</f>
        <v>26.780821917808218</v>
      </c>
      <c r="P3013" s="91" t="s">
        <v>43</v>
      </c>
      <c r="Q3013" s="91">
        <v>0</v>
      </c>
      <c r="R3013" s="91">
        <v>0</v>
      </c>
      <c r="S3013" s="91">
        <v>0</v>
      </c>
      <c r="T3013" s="91"/>
      <c r="U3013" s="91"/>
      <c r="V3013" s="91"/>
      <c r="W3013" s="91"/>
      <c r="X3013" s="91"/>
      <c r="Y3013" s="91"/>
      <c r="Z3013" s="91"/>
      <c r="AA3013" s="91"/>
      <c r="AB3013" s="91"/>
      <c r="AC3013" s="91"/>
      <c r="AD3013" s="91"/>
      <c r="AE3013" s="91"/>
      <c r="AF3013" s="91"/>
      <c r="AG3013" s="91"/>
      <c r="AH3013" s="91"/>
      <c r="AI3013" s="91"/>
      <c r="AJ3013" s="91"/>
      <c r="AK3013" s="91"/>
      <c r="AL3013" s="91"/>
      <c r="AM3013" s="91"/>
    </row>
    <row r="3014" spans="1:39" ht="20.25" hidden="1" customHeight="1">
      <c r="A3014" s="91"/>
      <c r="B3014" s="113" t="s">
        <v>9369</v>
      </c>
      <c r="C3014" s="91" t="s">
        <v>36</v>
      </c>
      <c r="D3014" s="106" t="s">
        <v>9402</v>
      </c>
      <c r="E3014" s="106" t="s">
        <v>9403</v>
      </c>
      <c r="F3014" s="91" t="s">
        <v>58</v>
      </c>
      <c r="G3014" s="97">
        <v>43683</v>
      </c>
      <c r="H3014" s="97">
        <v>19214</v>
      </c>
      <c r="I3014" s="100" t="s">
        <v>9404</v>
      </c>
      <c r="J3014" s="100" t="s">
        <v>58</v>
      </c>
      <c r="K3014" s="92">
        <v>992519967</v>
      </c>
      <c r="L3014" s="91" t="s">
        <v>42</v>
      </c>
      <c r="M3014" s="98">
        <f ca="1">(TODAY()-H3014)/365</f>
        <v>73.391780821917806</v>
      </c>
      <c r="N3014" s="99">
        <f>(G3014-H3014)/365</f>
        <v>67.038356164383558</v>
      </c>
      <c r="O3014" s="98">
        <f ca="1">(TODAY()-G3014)/365</f>
        <v>6.353424657534247</v>
      </c>
      <c r="P3014" s="91" t="s">
        <v>272</v>
      </c>
      <c r="Q3014" s="91">
        <v>0</v>
      </c>
      <c r="R3014" s="91">
        <v>0</v>
      </c>
      <c r="S3014" s="91">
        <v>1</v>
      </c>
      <c r="T3014" s="91"/>
      <c r="U3014" s="91"/>
      <c r="V3014" s="91"/>
      <c r="W3014" s="91"/>
      <c r="X3014" s="91"/>
      <c r="Y3014" s="91">
        <v>2022</v>
      </c>
      <c r="Z3014" s="91"/>
      <c r="AA3014" s="91"/>
      <c r="AB3014" s="91"/>
      <c r="AC3014" s="91"/>
      <c r="AD3014" s="91"/>
      <c r="AE3014" s="91"/>
      <c r="AF3014" s="91"/>
      <c r="AG3014" s="91"/>
      <c r="AH3014" s="91"/>
      <c r="AI3014" s="91"/>
      <c r="AJ3014" s="91"/>
      <c r="AK3014" s="91"/>
      <c r="AL3014" s="91"/>
      <c r="AM3014" s="91"/>
    </row>
    <row r="3015" spans="1:39" ht="20.25" hidden="1" customHeight="1">
      <c r="A3015" s="91"/>
      <c r="B3015" s="113" t="s">
        <v>9369</v>
      </c>
      <c r="C3015" s="91" t="s">
        <v>36</v>
      </c>
      <c r="D3015" s="106" t="s">
        <v>840</v>
      </c>
      <c r="E3015" s="106" t="s">
        <v>9405</v>
      </c>
      <c r="F3015" s="91" t="s">
        <v>58</v>
      </c>
      <c r="G3015" s="97">
        <v>38095</v>
      </c>
      <c r="H3015" s="97">
        <v>23911</v>
      </c>
      <c r="I3015" s="100" t="s">
        <v>9406</v>
      </c>
      <c r="J3015" s="100" t="s">
        <v>58</v>
      </c>
      <c r="K3015" s="92">
        <v>993658497</v>
      </c>
      <c r="L3015" s="91" t="s">
        <v>49</v>
      </c>
      <c r="M3015" s="98">
        <f ca="1">(TODAY()-H3015)/365</f>
        <v>60.523287671232879</v>
      </c>
      <c r="N3015" s="99">
        <f>(G3015-H3015)/365</f>
        <v>38.860273972602741</v>
      </c>
      <c r="O3015" s="98">
        <f ca="1">(TODAY()-G3015)/365</f>
        <v>21.663013698630138</v>
      </c>
      <c r="P3015" s="91" t="s">
        <v>43</v>
      </c>
      <c r="Q3015" s="91">
        <v>0</v>
      </c>
      <c r="R3015" s="91">
        <v>0</v>
      </c>
      <c r="S3015" s="91">
        <v>0</v>
      </c>
      <c r="T3015" s="91"/>
      <c r="U3015" s="91"/>
      <c r="V3015" s="91"/>
      <c r="W3015" s="91"/>
      <c r="X3015" s="91"/>
      <c r="Y3015" s="91"/>
      <c r="Z3015" s="91"/>
      <c r="AA3015" s="91"/>
      <c r="AB3015" s="91"/>
      <c r="AC3015" s="91"/>
      <c r="AD3015" s="91"/>
      <c r="AE3015" s="91"/>
      <c r="AF3015" s="91"/>
      <c r="AG3015" s="91"/>
      <c r="AH3015" s="91"/>
      <c r="AI3015" s="91"/>
      <c r="AJ3015" s="91"/>
      <c r="AK3015" s="91"/>
      <c r="AL3015" s="91"/>
      <c r="AM3015" s="91"/>
    </row>
    <row r="3016" spans="1:39" ht="20.25" hidden="1" customHeight="1">
      <c r="A3016" s="91"/>
      <c r="B3016" s="113" t="s">
        <v>9369</v>
      </c>
      <c r="C3016" s="91" t="s">
        <v>36</v>
      </c>
      <c r="D3016" s="106" t="s">
        <v>9407</v>
      </c>
      <c r="E3016" s="106" t="s">
        <v>9408</v>
      </c>
      <c r="F3016" s="91" t="s">
        <v>58</v>
      </c>
      <c r="G3016" s="97">
        <v>44109</v>
      </c>
      <c r="H3016" s="97">
        <v>31685</v>
      </c>
      <c r="I3016" s="100" t="s">
        <v>9409</v>
      </c>
      <c r="J3016" s="100" t="s">
        <v>58</v>
      </c>
      <c r="K3016" s="92">
        <v>954566290</v>
      </c>
      <c r="L3016" s="91" t="s">
        <v>197</v>
      </c>
      <c r="M3016" s="98">
        <f ca="1">(TODAY()-H3016)/365</f>
        <v>39.224657534246575</v>
      </c>
      <c r="N3016" s="99">
        <f>(G3016-H3016)/365</f>
        <v>34.038356164383565</v>
      </c>
      <c r="O3016" s="98">
        <f ca="1">(TODAY()-G3016)/365</f>
        <v>5.1863013698630134</v>
      </c>
      <c r="P3016" s="91" t="s">
        <v>43</v>
      </c>
      <c r="Q3016" s="91">
        <v>0</v>
      </c>
      <c r="R3016" s="91">
        <v>0</v>
      </c>
      <c r="S3016" s="91">
        <v>0</v>
      </c>
      <c r="T3016" s="91"/>
      <c r="U3016" s="91"/>
      <c r="V3016" s="91"/>
      <c r="W3016" s="91"/>
      <c r="X3016" s="91"/>
      <c r="Y3016" s="91">
        <v>2024</v>
      </c>
      <c r="Z3016" s="91"/>
      <c r="AA3016" s="91"/>
      <c r="AB3016" s="91"/>
      <c r="AC3016" s="91"/>
      <c r="AD3016" s="91"/>
      <c r="AE3016" s="91"/>
      <c r="AF3016" s="91"/>
      <c r="AG3016" s="91"/>
      <c r="AH3016" s="91"/>
      <c r="AI3016" s="91"/>
      <c r="AJ3016" s="91"/>
      <c r="AK3016" s="91"/>
      <c r="AL3016" s="91"/>
      <c r="AM3016" s="91"/>
    </row>
    <row r="3017" spans="1:39" ht="20.25" hidden="1" customHeight="1">
      <c r="A3017" s="91"/>
      <c r="B3017" s="113" t="s">
        <v>9369</v>
      </c>
      <c r="C3017" s="91" t="s">
        <v>36</v>
      </c>
      <c r="D3017" s="106" t="s">
        <v>2691</v>
      </c>
      <c r="E3017" s="106" t="s">
        <v>9410</v>
      </c>
      <c r="F3017" s="91" t="s">
        <v>58</v>
      </c>
      <c r="G3017" s="97">
        <v>44262</v>
      </c>
      <c r="H3017" s="97">
        <v>38417</v>
      </c>
      <c r="I3017" s="100" t="s">
        <v>9411</v>
      </c>
      <c r="J3017" s="100" t="s">
        <v>58</v>
      </c>
      <c r="K3017" s="92">
        <v>984739163</v>
      </c>
      <c r="L3017" s="91" t="s">
        <v>121</v>
      </c>
      <c r="M3017" s="98">
        <f ca="1">(TODAY()-H3017)/365</f>
        <v>20.780821917808218</v>
      </c>
      <c r="N3017" s="99">
        <f>(G3017-H3017)/365</f>
        <v>16.013698630136986</v>
      </c>
      <c r="O3017" s="98">
        <f ca="1">(TODAY()-G3017)/365</f>
        <v>4.7671232876712333</v>
      </c>
      <c r="P3017" s="91" t="s">
        <v>43</v>
      </c>
      <c r="Q3017" s="91">
        <v>0</v>
      </c>
      <c r="R3017" s="91">
        <v>0</v>
      </c>
      <c r="S3017" s="91">
        <v>0</v>
      </c>
      <c r="T3017" s="91"/>
      <c r="U3017" s="91"/>
      <c r="V3017" s="91"/>
      <c r="W3017" s="91"/>
      <c r="X3017" s="91"/>
      <c r="Y3017" s="91"/>
      <c r="Z3017" s="91"/>
      <c r="AA3017" s="91"/>
      <c r="AB3017" s="91"/>
      <c r="AC3017" s="91"/>
      <c r="AD3017" s="91"/>
      <c r="AE3017" s="91"/>
      <c r="AF3017" s="91"/>
      <c r="AG3017" s="91"/>
      <c r="AH3017" s="91"/>
      <c r="AI3017" s="91"/>
      <c r="AJ3017" s="91"/>
      <c r="AK3017" s="91"/>
      <c r="AL3017" s="91"/>
      <c r="AM3017" s="91"/>
    </row>
    <row r="3018" spans="1:39" ht="20.25" hidden="1" customHeight="1">
      <c r="A3018" s="91"/>
      <c r="B3018" s="113" t="s">
        <v>9369</v>
      </c>
      <c r="C3018" s="91" t="s">
        <v>36</v>
      </c>
      <c r="D3018" s="106" t="s">
        <v>1354</v>
      </c>
      <c r="E3018" s="106" t="s">
        <v>9412</v>
      </c>
      <c r="F3018" s="91" t="s">
        <v>58</v>
      </c>
      <c r="G3018" s="97">
        <v>44828</v>
      </c>
      <c r="H3018" s="97">
        <v>24617</v>
      </c>
      <c r="I3018" s="100" t="s">
        <v>9413</v>
      </c>
      <c r="J3018" s="100" t="s">
        <v>58</v>
      </c>
      <c r="K3018" s="92">
        <v>989009903</v>
      </c>
      <c r="L3018" s="91" t="s">
        <v>60</v>
      </c>
      <c r="M3018" s="98">
        <f ca="1">(TODAY()-H3018)/365</f>
        <v>58.589041095890408</v>
      </c>
      <c r="N3018" s="99">
        <f>(G3018-H3018)/365</f>
        <v>55.372602739726027</v>
      </c>
      <c r="O3018" s="98">
        <f ca="1">(TODAY()-G3018)/365</f>
        <v>3.2164383561643834</v>
      </c>
      <c r="P3018" s="91" t="s">
        <v>43</v>
      </c>
      <c r="Q3018" s="91">
        <v>0</v>
      </c>
      <c r="R3018" s="91">
        <v>0</v>
      </c>
      <c r="S3018" s="91">
        <v>0</v>
      </c>
      <c r="T3018" s="91"/>
      <c r="U3018" s="91"/>
      <c r="V3018" s="91"/>
      <c r="W3018" s="91"/>
      <c r="X3018" s="91"/>
      <c r="Y3018" s="91"/>
      <c r="Z3018" s="91"/>
      <c r="AA3018" s="91"/>
      <c r="AB3018" s="91"/>
      <c r="AC3018" s="91"/>
      <c r="AD3018" s="91"/>
      <c r="AE3018" s="91"/>
      <c r="AF3018" s="91"/>
      <c r="AG3018" s="91"/>
      <c r="AH3018" s="91"/>
      <c r="AI3018" s="91"/>
      <c r="AJ3018" s="91"/>
      <c r="AK3018" s="91"/>
      <c r="AL3018" s="91"/>
      <c r="AM3018" s="91"/>
    </row>
    <row r="3019" spans="1:39" ht="20.25" hidden="1" customHeight="1">
      <c r="A3019" s="91"/>
      <c r="B3019" s="113" t="s">
        <v>9369</v>
      </c>
      <c r="C3019" s="91" t="s">
        <v>36</v>
      </c>
      <c r="D3019" s="106" t="s">
        <v>9414</v>
      </c>
      <c r="E3019" s="107" t="s">
        <v>9415</v>
      </c>
      <c r="F3019" s="91" t="s">
        <v>58</v>
      </c>
      <c r="G3019" s="97">
        <v>44828</v>
      </c>
      <c r="H3019" s="97">
        <v>21235</v>
      </c>
      <c r="I3019" s="100" t="s">
        <v>9416</v>
      </c>
      <c r="J3019" s="100" t="s">
        <v>58</v>
      </c>
      <c r="K3019" s="92">
        <v>942852686</v>
      </c>
      <c r="L3019" s="91" t="s">
        <v>60</v>
      </c>
      <c r="M3019" s="98">
        <f ca="1">(TODAY()-H3019)/365</f>
        <v>67.854794520547941</v>
      </c>
      <c r="N3019" s="99">
        <f>(G3019-H3019)/365</f>
        <v>64.638356164383566</v>
      </c>
      <c r="O3019" s="98">
        <f ca="1">(TODAY()-G3019)/365</f>
        <v>3.2164383561643834</v>
      </c>
      <c r="P3019" s="91" t="s">
        <v>43</v>
      </c>
      <c r="Q3019" s="91">
        <v>0</v>
      </c>
      <c r="R3019" s="91">
        <v>0</v>
      </c>
      <c r="S3019" s="91">
        <v>0</v>
      </c>
      <c r="T3019" s="91"/>
      <c r="U3019" s="91"/>
      <c r="V3019" s="91"/>
      <c r="W3019" s="91"/>
      <c r="X3019" s="91"/>
      <c r="Y3019" s="91"/>
      <c r="Z3019" s="91"/>
      <c r="AA3019" s="91"/>
      <c r="AB3019" s="91"/>
      <c r="AC3019" s="91"/>
      <c r="AD3019" s="91"/>
      <c r="AE3019" s="91"/>
      <c r="AF3019" s="91"/>
      <c r="AG3019" s="91"/>
      <c r="AH3019" s="91"/>
      <c r="AI3019" s="91"/>
      <c r="AJ3019" s="91"/>
      <c r="AK3019" s="91"/>
      <c r="AL3019" s="91"/>
      <c r="AM3019" s="91"/>
    </row>
    <row r="3020" spans="1:39" ht="20.25" hidden="1" customHeight="1">
      <c r="A3020" s="91"/>
      <c r="B3020" s="113" t="s">
        <v>9369</v>
      </c>
      <c r="C3020" s="91" t="s">
        <v>36</v>
      </c>
      <c r="D3020" s="106" t="s">
        <v>5360</v>
      </c>
      <c r="E3020" s="107" t="s">
        <v>3687</v>
      </c>
      <c r="F3020" s="91" t="s">
        <v>58</v>
      </c>
      <c r="G3020" s="97">
        <v>44781</v>
      </c>
      <c r="H3020" s="97">
        <v>23535</v>
      </c>
      <c r="I3020" s="100" t="s">
        <v>9417</v>
      </c>
      <c r="J3020" s="100" t="s">
        <v>58</v>
      </c>
      <c r="K3020" s="92">
        <v>983395154</v>
      </c>
      <c r="L3020" s="91" t="s">
        <v>60</v>
      </c>
      <c r="M3020" s="98">
        <f ca="1">(TODAY()-H3020)/365</f>
        <v>61.553424657534244</v>
      </c>
      <c r="N3020" s="99">
        <f>(G3020-H3020)/365</f>
        <v>58.208219178082189</v>
      </c>
      <c r="O3020" s="98">
        <f ca="1">(TODAY()-G3020)/365</f>
        <v>3.3452054794520549</v>
      </c>
      <c r="P3020" s="91" t="s">
        <v>43</v>
      </c>
      <c r="Q3020" s="91">
        <v>0</v>
      </c>
      <c r="R3020" s="91">
        <v>0</v>
      </c>
      <c r="S3020" s="91">
        <v>0</v>
      </c>
      <c r="T3020" s="91"/>
      <c r="U3020" s="91"/>
      <c r="V3020" s="91"/>
      <c r="W3020" s="91"/>
      <c r="X3020" s="91"/>
      <c r="Y3020" s="91"/>
      <c r="Z3020" s="91"/>
      <c r="AA3020" s="91"/>
      <c r="AB3020" s="91"/>
      <c r="AC3020" s="91"/>
      <c r="AD3020" s="91"/>
      <c r="AE3020" s="91"/>
      <c r="AF3020" s="91"/>
      <c r="AG3020" s="91"/>
      <c r="AH3020" s="91"/>
      <c r="AI3020" s="91"/>
      <c r="AJ3020" s="91"/>
      <c r="AK3020" s="91"/>
      <c r="AL3020" s="91"/>
      <c r="AM3020" s="91"/>
    </row>
    <row r="3021" spans="1:39" ht="20.25" hidden="1" customHeight="1">
      <c r="A3021" s="91"/>
      <c r="B3021" s="113" t="s">
        <v>9369</v>
      </c>
      <c r="C3021" s="91" t="s">
        <v>36</v>
      </c>
      <c r="D3021" s="106" t="s">
        <v>9418</v>
      </c>
      <c r="E3021" s="107" t="s">
        <v>9419</v>
      </c>
      <c r="F3021" s="91" t="s">
        <v>58</v>
      </c>
      <c r="G3021" s="97">
        <v>44828</v>
      </c>
      <c r="H3021" s="97">
        <v>38635</v>
      </c>
      <c r="I3021" s="100" t="s">
        <v>9420</v>
      </c>
      <c r="J3021" s="100" t="s">
        <v>58</v>
      </c>
      <c r="K3021" s="92">
        <v>947148086</v>
      </c>
      <c r="L3021" s="91" t="s">
        <v>60</v>
      </c>
      <c r="M3021" s="98">
        <f ca="1">(TODAY()-H3021)/365</f>
        <v>20.183561643835617</v>
      </c>
      <c r="N3021" s="99">
        <f>(G3021-H3021)/365</f>
        <v>16.967123287671232</v>
      </c>
      <c r="O3021" s="98">
        <f ca="1">(TODAY()-G3021)/365</f>
        <v>3.2164383561643834</v>
      </c>
      <c r="P3021" s="91" t="s">
        <v>43</v>
      </c>
      <c r="Q3021" s="91">
        <v>0</v>
      </c>
      <c r="R3021" s="91">
        <v>0</v>
      </c>
      <c r="S3021" s="91">
        <v>0</v>
      </c>
      <c r="T3021" s="91"/>
      <c r="U3021" s="91"/>
      <c r="V3021" s="91"/>
      <c r="W3021" s="91"/>
      <c r="X3021" s="91"/>
      <c r="Y3021" s="91"/>
      <c r="Z3021" s="91"/>
      <c r="AA3021" s="91"/>
      <c r="AB3021" s="91"/>
      <c r="AC3021" s="91"/>
      <c r="AD3021" s="91"/>
      <c r="AE3021" s="91"/>
      <c r="AF3021" s="91"/>
      <c r="AG3021" s="91"/>
      <c r="AH3021" s="91"/>
      <c r="AI3021" s="91"/>
      <c r="AJ3021" s="91"/>
      <c r="AK3021" s="91"/>
      <c r="AL3021" s="91"/>
      <c r="AM3021" s="91"/>
    </row>
    <row r="3022" spans="1:39" ht="20.25" hidden="1" customHeight="1">
      <c r="A3022" s="91"/>
      <c r="B3022" s="113" t="s">
        <v>9369</v>
      </c>
      <c r="C3022" s="91" t="s">
        <v>36</v>
      </c>
      <c r="D3022" s="106" t="s">
        <v>840</v>
      </c>
      <c r="E3022" s="107" t="s">
        <v>9421</v>
      </c>
      <c r="F3022" s="91" t="s">
        <v>58</v>
      </c>
      <c r="G3022" s="97">
        <v>44828</v>
      </c>
      <c r="H3022" s="97">
        <v>27725</v>
      </c>
      <c r="I3022" s="100" t="s">
        <v>9422</v>
      </c>
      <c r="J3022" s="100" t="s">
        <v>58</v>
      </c>
      <c r="K3022" s="92">
        <v>982569737</v>
      </c>
      <c r="L3022" s="91" t="s">
        <v>60</v>
      </c>
      <c r="M3022" s="98">
        <f ca="1">(TODAY()-H3022)/365</f>
        <v>50.073972602739723</v>
      </c>
      <c r="N3022" s="99">
        <f>(G3022-H3022)/365</f>
        <v>46.857534246575341</v>
      </c>
      <c r="O3022" s="98">
        <f ca="1">(TODAY()-G3022)/365</f>
        <v>3.2164383561643834</v>
      </c>
      <c r="P3022" s="91" t="s">
        <v>43</v>
      </c>
      <c r="Q3022" s="91">
        <v>0</v>
      </c>
      <c r="R3022" s="91">
        <v>0</v>
      </c>
      <c r="S3022" s="91">
        <v>0</v>
      </c>
      <c r="T3022" s="91"/>
      <c r="U3022" s="91"/>
      <c r="V3022" s="91"/>
      <c r="W3022" s="91"/>
      <c r="X3022" s="91"/>
      <c r="Y3022" s="91"/>
      <c r="Z3022" s="91"/>
      <c r="AA3022" s="91"/>
      <c r="AB3022" s="91"/>
      <c r="AC3022" s="91"/>
      <c r="AD3022" s="91"/>
      <c r="AE3022" s="91"/>
      <c r="AF3022" s="91"/>
      <c r="AG3022" s="91"/>
      <c r="AH3022" s="91"/>
      <c r="AI3022" s="91"/>
      <c r="AJ3022" s="91"/>
      <c r="AK3022" s="91"/>
      <c r="AL3022" s="91"/>
      <c r="AM3022" s="91"/>
    </row>
    <row r="3023" spans="1:39" ht="20.25" hidden="1" customHeight="1">
      <c r="A3023" s="91"/>
      <c r="B3023" s="113" t="s">
        <v>9369</v>
      </c>
      <c r="C3023" s="91" t="s">
        <v>36</v>
      </c>
      <c r="D3023" s="106" t="s">
        <v>1395</v>
      </c>
      <c r="E3023" s="107" t="s">
        <v>9423</v>
      </c>
      <c r="F3023" s="91" t="s">
        <v>58</v>
      </c>
      <c r="G3023" s="97">
        <v>34813</v>
      </c>
      <c r="H3023" s="97">
        <v>20513</v>
      </c>
      <c r="I3023" s="100" t="s">
        <v>9424</v>
      </c>
      <c r="J3023" s="100" t="s">
        <v>58</v>
      </c>
      <c r="K3023" s="92">
        <v>944458967</v>
      </c>
      <c r="L3023" s="91" t="s">
        <v>60</v>
      </c>
      <c r="M3023" s="98">
        <f ca="1">(TODAY()-H3023)/365</f>
        <v>69.832876712328769</v>
      </c>
      <c r="N3023" s="99">
        <f>(G3023-H3023)/365</f>
        <v>39.178082191780824</v>
      </c>
      <c r="O3023" s="98">
        <f ca="1">(TODAY()-G3023)/365</f>
        <v>30.654794520547945</v>
      </c>
      <c r="P3023" s="91" t="s">
        <v>43</v>
      </c>
      <c r="Q3023" s="91">
        <v>0</v>
      </c>
      <c r="R3023" s="91">
        <v>0</v>
      </c>
      <c r="S3023" s="91">
        <v>0</v>
      </c>
      <c r="T3023" s="91"/>
      <c r="U3023" s="91"/>
      <c r="V3023" s="91"/>
      <c r="W3023" s="91"/>
      <c r="X3023" s="91"/>
      <c r="Y3023" s="91"/>
      <c r="Z3023" s="91"/>
      <c r="AA3023" s="91"/>
      <c r="AB3023" s="91"/>
      <c r="AC3023" s="91"/>
      <c r="AD3023" s="91"/>
      <c r="AE3023" s="91"/>
      <c r="AF3023" s="91"/>
      <c r="AG3023" s="91"/>
      <c r="AH3023" s="91"/>
      <c r="AI3023" s="91"/>
      <c r="AJ3023" s="91"/>
      <c r="AK3023" s="91"/>
      <c r="AL3023" s="91"/>
      <c r="AM3023" s="91"/>
    </row>
    <row r="3024" spans="1:39" ht="20.25" hidden="1" customHeight="1">
      <c r="A3024" s="91"/>
      <c r="B3024" s="113" t="s">
        <v>9369</v>
      </c>
      <c r="C3024" s="91" t="s">
        <v>36</v>
      </c>
      <c r="D3024" s="106" t="s">
        <v>4315</v>
      </c>
      <c r="E3024" s="107" t="s">
        <v>8623</v>
      </c>
      <c r="F3024" s="91" t="s">
        <v>9425</v>
      </c>
      <c r="G3024" s="97">
        <v>35506</v>
      </c>
      <c r="H3024" s="97">
        <v>23196</v>
      </c>
      <c r="I3024" s="100" t="s">
        <v>9426</v>
      </c>
      <c r="J3024" s="100" t="s">
        <v>58</v>
      </c>
      <c r="K3024" s="92">
        <v>971423515</v>
      </c>
      <c r="L3024" s="91" t="s">
        <v>60</v>
      </c>
      <c r="M3024" s="98">
        <f ca="1">(TODAY()-H3024)/365</f>
        <v>62.482191780821921</v>
      </c>
      <c r="N3024" s="99">
        <f>(G3024-H3024)/365</f>
        <v>33.726027397260275</v>
      </c>
      <c r="O3024" s="98">
        <f ca="1">(TODAY()-G3024)/365</f>
        <v>28.756164383561643</v>
      </c>
      <c r="P3024" s="91" t="s">
        <v>43</v>
      </c>
      <c r="Q3024" s="91">
        <v>0</v>
      </c>
      <c r="R3024" s="91">
        <v>0</v>
      </c>
      <c r="S3024" s="91">
        <v>0</v>
      </c>
      <c r="T3024" s="91"/>
      <c r="U3024" s="91"/>
      <c r="V3024" s="91"/>
      <c r="W3024" s="91"/>
      <c r="X3024" s="91"/>
      <c r="Y3024" s="91"/>
      <c r="Z3024" s="91"/>
      <c r="AA3024" s="91"/>
      <c r="AB3024" s="91"/>
      <c r="AC3024" s="91"/>
      <c r="AD3024" s="91"/>
      <c r="AE3024" s="91"/>
      <c r="AF3024" s="91"/>
      <c r="AG3024" s="91"/>
      <c r="AH3024" s="91"/>
      <c r="AI3024" s="91"/>
      <c r="AJ3024" s="91"/>
      <c r="AK3024" s="91"/>
      <c r="AL3024" s="91"/>
      <c r="AM3024" s="91"/>
    </row>
    <row r="3025" spans="1:39" ht="20.25" hidden="1" customHeight="1">
      <c r="A3025" s="91"/>
      <c r="B3025" s="113" t="s">
        <v>9369</v>
      </c>
      <c r="C3025" s="91" t="s">
        <v>36</v>
      </c>
      <c r="D3025" s="106" t="s">
        <v>9306</v>
      </c>
      <c r="E3025" s="107" t="s">
        <v>9427</v>
      </c>
      <c r="F3025" s="91" t="s">
        <v>58</v>
      </c>
      <c r="G3025" s="97">
        <v>45359</v>
      </c>
      <c r="H3025" s="97">
        <v>18552</v>
      </c>
      <c r="I3025" s="100" t="s">
        <v>9428</v>
      </c>
      <c r="J3025" s="100" t="s">
        <v>58</v>
      </c>
      <c r="K3025" s="92">
        <v>984187449</v>
      </c>
      <c r="L3025" s="91" t="s">
        <v>60</v>
      </c>
      <c r="M3025" s="98">
        <f ca="1">(TODAY()-H3025)/365</f>
        <v>75.205479452054789</v>
      </c>
      <c r="N3025" s="99">
        <f>(G3025-H3025)/365</f>
        <v>73.443835616438349</v>
      </c>
      <c r="O3025" s="98">
        <f ca="1">(TODAY()-G3025)/365</f>
        <v>1.7616438356164383</v>
      </c>
      <c r="P3025" s="91" t="s">
        <v>43</v>
      </c>
      <c r="Q3025" s="91">
        <v>0</v>
      </c>
      <c r="R3025" s="91">
        <v>0</v>
      </c>
      <c r="S3025" s="91">
        <v>0</v>
      </c>
      <c r="T3025" s="91"/>
      <c r="U3025" s="91"/>
      <c r="V3025" s="91"/>
      <c r="W3025" s="91"/>
      <c r="X3025" s="91"/>
      <c r="Y3025" s="91"/>
      <c r="Z3025" s="91"/>
      <c r="AA3025" s="91"/>
      <c r="AB3025" s="91"/>
      <c r="AC3025" s="91"/>
      <c r="AD3025" s="91"/>
      <c r="AE3025" s="91"/>
      <c r="AF3025" s="91"/>
      <c r="AG3025" s="91"/>
      <c r="AH3025" s="91"/>
      <c r="AI3025" s="91"/>
      <c r="AJ3025" s="91"/>
      <c r="AK3025" s="91"/>
      <c r="AL3025" s="91"/>
      <c r="AM3025" s="91"/>
    </row>
    <row r="3026" spans="1:39" ht="20.25" hidden="1" customHeight="1">
      <c r="A3026" s="91"/>
      <c r="B3026" s="113" t="s">
        <v>9369</v>
      </c>
      <c r="C3026" s="91" t="s">
        <v>36</v>
      </c>
      <c r="D3026" s="106" t="s">
        <v>716</v>
      </c>
      <c r="E3026" s="107" t="s">
        <v>9429</v>
      </c>
      <c r="F3026" s="91" t="s">
        <v>58</v>
      </c>
      <c r="G3026" s="97">
        <v>45317</v>
      </c>
      <c r="H3026" s="97">
        <v>24472</v>
      </c>
      <c r="I3026" s="100" t="s">
        <v>9430</v>
      </c>
      <c r="J3026" s="100" t="s">
        <v>58</v>
      </c>
      <c r="K3026" s="92">
        <v>998179374</v>
      </c>
      <c r="L3026" s="91" t="s">
        <v>60</v>
      </c>
      <c r="M3026" s="98">
        <f ca="1">(TODAY()-H3026)/365</f>
        <v>58.986301369863014</v>
      </c>
      <c r="N3026" s="99">
        <f>(G3026-H3026)/365</f>
        <v>57.109589041095887</v>
      </c>
      <c r="O3026" s="98">
        <f ca="1">(TODAY()-G3026)/365</f>
        <v>1.8767123287671232</v>
      </c>
      <c r="P3026" s="91" t="s">
        <v>43</v>
      </c>
      <c r="Q3026" s="91">
        <v>0</v>
      </c>
      <c r="R3026" s="91">
        <v>0</v>
      </c>
      <c r="S3026" s="91">
        <v>0</v>
      </c>
      <c r="T3026" s="91"/>
      <c r="U3026" s="91"/>
      <c r="V3026" s="91"/>
      <c r="W3026" s="91"/>
      <c r="X3026" s="91"/>
      <c r="Y3026" s="91"/>
      <c r="Z3026" s="91"/>
      <c r="AA3026" s="91"/>
      <c r="AB3026" s="91"/>
      <c r="AC3026" s="91"/>
      <c r="AD3026" s="91"/>
      <c r="AE3026" s="91"/>
      <c r="AF3026" s="91"/>
      <c r="AG3026" s="91"/>
      <c r="AH3026" s="91"/>
      <c r="AI3026" s="91"/>
      <c r="AJ3026" s="91"/>
      <c r="AK3026" s="91"/>
      <c r="AL3026" s="91"/>
      <c r="AM3026" s="91"/>
    </row>
    <row r="3027" spans="1:39" ht="20.25" hidden="1" customHeight="1">
      <c r="A3027" s="91"/>
      <c r="B3027" s="113" t="s">
        <v>9369</v>
      </c>
      <c r="C3027" s="91" t="s">
        <v>36</v>
      </c>
      <c r="D3027" s="106" t="s">
        <v>9431</v>
      </c>
      <c r="E3027" s="107" t="s">
        <v>9432</v>
      </c>
      <c r="F3027" s="91" t="s">
        <v>58</v>
      </c>
      <c r="G3027" s="97">
        <v>45321</v>
      </c>
      <c r="H3027" s="97">
        <v>21771</v>
      </c>
      <c r="I3027" s="100" t="s">
        <v>9433</v>
      </c>
      <c r="J3027" s="100" t="s">
        <v>58</v>
      </c>
      <c r="K3027" s="92">
        <v>965585411</v>
      </c>
      <c r="L3027" s="91" t="s">
        <v>60</v>
      </c>
      <c r="M3027" s="98">
        <f ca="1">(TODAY()-H3027)/365</f>
        <v>66.38630136986302</v>
      </c>
      <c r="N3027" s="99">
        <f>(G3027-H3027)/365</f>
        <v>64.520547945205479</v>
      </c>
      <c r="O3027" s="98">
        <f ca="1">(TODAY()-G3027)/365</f>
        <v>1.8657534246575342</v>
      </c>
      <c r="P3027" s="91" t="s">
        <v>43</v>
      </c>
      <c r="Q3027" s="91">
        <v>0</v>
      </c>
      <c r="R3027" s="91">
        <v>0</v>
      </c>
      <c r="S3027" s="91">
        <v>0</v>
      </c>
      <c r="T3027" s="91"/>
      <c r="U3027" s="91"/>
      <c r="V3027" s="91"/>
      <c r="W3027" s="91"/>
      <c r="X3027" s="91"/>
      <c r="Y3027" s="91"/>
      <c r="Z3027" s="91"/>
      <c r="AA3027" s="91"/>
      <c r="AB3027" s="91"/>
      <c r="AC3027" s="91"/>
      <c r="AD3027" s="91"/>
      <c r="AE3027" s="91"/>
      <c r="AF3027" s="91"/>
      <c r="AG3027" s="91"/>
      <c r="AH3027" s="91"/>
      <c r="AI3027" s="91"/>
      <c r="AJ3027" s="91"/>
      <c r="AK3027" s="91"/>
      <c r="AL3027" s="91"/>
      <c r="AM3027" s="91"/>
    </row>
    <row r="3028" spans="1:39" ht="20.25" hidden="1" customHeight="1">
      <c r="A3028" s="91"/>
      <c r="B3028" s="113" t="s">
        <v>9369</v>
      </c>
      <c r="C3028" s="91" t="s">
        <v>36</v>
      </c>
      <c r="D3028" s="106" t="s">
        <v>9434</v>
      </c>
      <c r="E3028" s="107" t="s">
        <v>9435</v>
      </c>
      <c r="F3028" s="91" t="s">
        <v>58</v>
      </c>
      <c r="G3028" s="97">
        <v>45367</v>
      </c>
      <c r="H3028" s="97">
        <v>39334</v>
      </c>
      <c r="I3028" s="100" t="s">
        <v>58</v>
      </c>
      <c r="J3028" s="100" t="s">
        <v>58</v>
      </c>
      <c r="K3028" s="92">
        <v>948890485</v>
      </c>
      <c r="L3028" s="91" t="s">
        <v>60</v>
      </c>
      <c r="M3028" s="98">
        <f ca="1">(TODAY()-H3028)/365</f>
        <v>18.268493150684932</v>
      </c>
      <c r="N3028" s="99">
        <f>(G3028-H3028)/365</f>
        <v>16.528767123287672</v>
      </c>
      <c r="O3028" s="98">
        <f ca="1">(TODAY()-G3028)/365</f>
        <v>1.7397260273972603</v>
      </c>
      <c r="P3028" s="91" t="s">
        <v>272</v>
      </c>
      <c r="Q3028" s="91">
        <v>0</v>
      </c>
      <c r="R3028" s="91">
        <v>0</v>
      </c>
      <c r="S3028" s="91">
        <v>0</v>
      </c>
      <c r="T3028" s="91"/>
      <c r="U3028" s="91"/>
      <c r="V3028" s="91"/>
      <c r="W3028" s="91"/>
      <c r="X3028" s="91"/>
      <c r="Y3028" s="91"/>
      <c r="Z3028" s="91"/>
      <c r="AA3028" s="91"/>
      <c r="AB3028" s="91"/>
      <c r="AC3028" s="91"/>
      <c r="AD3028" s="91"/>
      <c r="AE3028" s="91"/>
      <c r="AF3028" s="91"/>
      <c r="AG3028" s="91"/>
      <c r="AH3028" s="91"/>
      <c r="AI3028" s="91"/>
      <c r="AJ3028" s="91"/>
      <c r="AK3028" s="91"/>
      <c r="AL3028" s="91"/>
      <c r="AM3028" s="91"/>
    </row>
    <row r="3029" spans="1:39" ht="20.25" hidden="1" customHeight="1">
      <c r="A3029" s="91"/>
      <c r="B3029" s="113" t="s">
        <v>9369</v>
      </c>
      <c r="C3029" s="91" t="s">
        <v>36</v>
      </c>
      <c r="D3029" s="106" t="s">
        <v>180</v>
      </c>
      <c r="E3029" s="107" t="s">
        <v>9436</v>
      </c>
      <c r="F3029" s="91" t="s">
        <v>58</v>
      </c>
      <c r="G3029" s="97">
        <v>45367</v>
      </c>
      <c r="H3029" s="97">
        <v>23419</v>
      </c>
      <c r="I3029" s="100" t="s">
        <v>9437</v>
      </c>
      <c r="J3029" s="100" t="s">
        <v>58</v>
      </c>
      <c r="K3029" s="91">
        <v>964530657</v>
      </c>
      <c r="L3029" s="91" t="s">
        <v>60</v>
      </c>
      <c r="M3029" s="98">
        <f ca="1">(TODAY()-H3029)/365</f>
        <v>61.871232876712327</v>
      </c>
      <c r="N3029" s="99">
        <f>(G3029-H3029)/365</f>
        <v>60.131506849315066</v>
      </c>
      <c r="O3029" s="98">
        <f ca="1">(TODAY()-G3029)/365</f>
        <v>1.7397260273972603</v>
      </c>
      <c r="P3029" s="91" t="s">
        <v>43</v>
      </c>
      <c r="Q3029" s="91">
        <v>0</v>
      </c>
      <c r="R3029" s="91">
        <v>0</v>
      </c>
      <c r="S3029" s="91">
        <v>0</v>
      </c>
      <c r="T3029" s="91"/>
      <c r="U3029" s="91"/>
      <c r="V3029" s="91"/>
      <c r="W3029" s="91"/>
      <c r="X3029" s="91"/>
      <c r="Y3029" s="91"/>
      <c r="Z3029" s="91"/>
      <c r="AA3029" s="91"/>
      <c r="AB3029" s="91"/>
      <c r="AC3029" s="91"/>
      <c r="AD3029" s="91"/>
      <c r="AE3029" s="91"/>
      <c r="AF3029" s="91"/>
      <c r="AG3029" s="91"/>
      <c r="AH3029" s="91"/>
      <c r="AI3029" s="91"/>
      <c r="AJ3029" s="91"/>
      <c r="AK3029" s="91"/>
      <c r="AL3029" s="91"/>
      <c r="AM3029" s="91"/>
    </row>
    <row r="3030" spans="1:39" ht="20.25" hidden="1" customHeight="1">
      <c r="A3030" s="91"/>
      <c r="B3030" s="113" t="s">
        <v>9369</v>
      </c>
      <c r="C3030" s="91" t="s">
        <v>36</v>
      </c>
      <c r="D3030" s="106" t="s">
        <v>9438</v>
      </c>
      <c r="E3030" s="107" t="s">
        <v>9439</v>
      </c>
      <c r="F3030" s="91" t="s">
        <v>58</v>
      </c>
      <c r="G3030" s="97">
        <v>44802</v>
      </c>
      <c r="H3030" s="97">
        <v>38096</v>
      </c>
      <c r="I3030" s="100" t="s">
        <v>9440</v>
      </c>
      <c r="J3030" s="100" t="s">
        <v>58</v>
      </c>
      <c r="K3030" s="91">
        <v>996768500</v>
      </c>
      <c r="L3030" s="91" t="s">
        <v>60</v>
      </c>
      <c r="M3030" s="98">
        <f ca="1">(TODAY()-H3030)/365</f>
        <v>21.660273972602738</v>
      </c>
      <c r="N3030" s="99">
        <f>(G3030-H3030)/365</f>
        <v>18.372602739726027</v>
      </c>
      <c r="O3030" s="98">
        <f ca="1">(TODAY()-G3030)/365</f>
        <v>3.2876712328767121</v>
      </c>
      <c r="P3030" s="91" t="s">
        <v>43</v>
      </c>
      <c r="Q3030" s="91">
        <v>0</v>
      </c>
      <c r="R3030" s="91">
        <v>0</v>
      </c>
      <c r="S3030" s="91">
        <v>0</v>
      </c>
      <c r="T3030" s="91"/>
      <c r="U3030" s="91"/>
      <c r="V3030" s="91"/>
      <c r="W3030" s="91"/>
      <c r="X3030" s="91"/>
      <c r="Y3030" s="91"/>
      <c r="Z3030" s="91"/>
      <c r="AA3030" s="91"/>
      <c r="AB3030" s="91"/>
      <c r="AC3030" s="91"/>
      <c r="AD3030" s="91"/>
      <c r="AE3030" s="91"/>
      <c r="AF3030" s="91"/>
      <c r="AG3030" s="91"/>
      <c r="AH3030" s="91"/>
      <c r="AI3030" s="91"/>
      <c r="AJ3030" s="91"/>
      <c r="AK3030" s="91"/>
      <c r="AL3030" s="91"/>
      <c r="AM3030" s="91"/>
    </row>
    <row r="3031" spans="1:39" ht="20.25" hidden="1" customHeight="1">
      <c r="A3031" s="91"/>
      <c r="B3031" s="93" t="s">
        <v>9441</v>
      </c>
      <c r="C3031" s="91" t="s">
        <v>36</v>
      </c>
      <c r="D3031" s="94" t="s">
        <v>9442</v>
      </c>
      <c r="E3031" s="94" t="s">
        <v>9443</v>
      </c>
      <c r="F3031" s="95" t="s">
        <v>9444</v>
      </c>
      <c r="G3031" s="96">
        <v>45247</v>
      </c>
      <c r="H3031" s="97">
        <v>39058</v>
      </c>
      <c r="I3031" s="102" t="s">
        <v>9445</v>
      </c>
      <c r="J3031" s="94" t="s">
        <v>9446</v>
      </c>
      <c r="K3031" s="95">
        <v>941204829</v>
      </c>
      <c r="L3031" s="91" t="s">
        <v>167</v>
      </c>
      <c r="M3031" s="98">
        <f ca="1">(TODAY()-H3031)/365</f>
        <v>19.024657534246575</v>
      </c>
      <c r="N3031" s="99">
        <f>(G3031-H3031)/365</f>
        <v>16.956164383561642</v>
      </c>
      <c r="O3031" s="98">
        <f ca="1">(TODAY()-G3031)/365</f>
        <v>2.0684931506849313</v>
      </c>
      <c r="P3031" s="91" t="s">
        <v>43</v>
      </c>
      <c r="Q3031" s="91">
        <v>0</v>
      </c>
      <c r="R3031" s="91">
        <v>0</v>
      </c>
      <c r="S3031" s="91">
        <v>0</v>
      </c>
      <c r="T3031" s="91"/>
      <c r="U3031" s="91"/>
      <c r="V3031" s="91"/>
      <c r="W3031" s="91"/>
      <c r="X3031" s="91"/>
      <c r="Y3031" s="91"/>
      <c r="Z3031" s="91"/>
      <c r="AA3031" s="91"/>
      <c r="AB3031" s="91"/>
      <c r="AC3031" s="91"/>
      <c r="AD3031" s="91"/>
      <c r="AE3031" s="91"/>
      <c r="AF3031" s="91"/>
      <c r="AG3031" s="91"/>
      <c r="AH3031" s="91"/>
      <c r="AI3031" s="91"/>
      <c r="AJ3031" s="91"/>
      <c r="AK3031" s="91"/>
      <c r="AL3031" s="91"/>
      <c r="AM3031" s="91"/>
    </row>
    <row r="3032" spans="1:39" ht="20.25" hidden="1" customHeight="1">
      <c r="A3032" s="91"/>
      <c r="B3032" s="93" t="s">
        <v>9441</v>
      </c>
      <c r="C3032" s="91" t="s">
        <v>36</v>
      </c>
      <c r="D3032" s="94" t="s">
        <v>6475</v>
      </c>
      <c r="E3032" s="94" t="s">
        <v>9447</v>
      </c>
      <c r="F3032" s="95" t="s">
        <v>9448</v>
      </c>
      <c r="G3032" s="96">
        <v>45373</v>
      </c>
      <c r="H3032" s="97">
        <v>38892</v>
      </c>
      <c r="I3032" s="102" t="s">
        <v>9449</v>
      </c>
      <c r="J3032" s="94" t="s">
        <v>9450</v>
      </c>
      <c r="K3032" s="95">
        <v>952105371</v>
      </c>
      <c r="L3032" s="91" t="s">
        <v>60</v>
      </c>
      <c r="M3032" s="98">
        <f ca="1">(TODAY()-H3032)/365</f>
        <v>19.479452054794521</v>
      </c>
      <c r="N3032" s="99">
        <f>(G3032-H3032)/365</f>
        <v>17.756164383561643</v>
      </c>
      <c r="O3032" s="98">
        <f ca="1">(TODAY()-G3032)/365</f>
        <v>1.7232876712328766</v>
      </c>
      <c r="P3032" s="91" t="s">
        <v>43</v>
      </c>
      <c r="Q3032" s="91">
        <v>0</v>
      </c>
      <c r="R3032" s="91">
        <v>0</v>
      </c>
      <c r="S3032" s="91">
        <v>0</v>
      </c>
      <c r="T3032" s="91"/>
      <c r="U3032" s="91"/>
      <c r="V3032" s="91"/>
      <c r="W3032" s="91"/>
      <c r="X3032" s="91"/>
      <c r="Y3032" s="91"/>
      <c r="Z3032" s="91"/>
      <c r="AA3032" s="91"/>
      <c r="AB3032" s="91"/>
      <c r="AC3032" s="91"/>
      <c r="AD3032" s="91"/>
      <c r="AE3032" s="91"/>
      <c r="AF3032" s="91"/>
      <c r="AG3032" s="91"/>
      <c r="AH3032" s="91"/>
      <c r="AI3032" s="91"/>
      <c r="AJ3032" s="91"/>
      <c r="AK3032" s="91"/>
      <c r="AL3032" s="91"/>
      <c r="AM3032" s="91"/>
    </row>
    <row r="3033" spans="1:39" ht="20.25" hidden="1" customHeight="1">
      <c r="A3033" s="91"/>
      <c r="B3033" s="93" t="s">
        <v>9441</v>
      </c>
      <c r="C3033" s="91" t="s">
        <v>36</v>
      </c>
      <c r="D3033" s="94" t="s">
        <v>2683</v>
      </c>
      <c r="E3033" s="94" t="s">
        <v>9451</v>
      </c>
      <c r="F3033" s="95" t="s">
        <v>9452</v>
      </c>
      <c r="G3033" s="96">
        <v>45135</v>
      </c>
      <c r="H3033" s="97">
        <v>38280</v>
      </c>
      <c r="I3033" s="102" t="s">
        <v>9453</v>
      </c>
      <c r="J3033" s="94" t="s">
        <v>9454</v>
      </c>
      <c r="K3033" s="95">
        <v>957529703</v>
      </c>
      <c r="L3033" s="91" t="s">
        <v>60</v>
      </c>
      <c r="M3033" s="98">
        <f ca="1">(TODAY()-H3033)/365</f>
        <v>21.156164383561645</v>
      </c>
      <c r="N3033" s="99">
        <f>(G3033-H3033)/365</f>
        <v>18.780821917808218</v>
      </c>
      <c r="O3033" s="98">
        <f ca="1">(TODAY()-G3033)/365</f>
        <v>2.3753424657534246</v>
      </c>
      <c r="P3033" s="91" t="s">
        <v>43</v>
      </c>
      <c r="Q3033" s="91">
        <v>0</v>
      </c>
      <c r="R3033" s="91">
        <v>0</v>
      </c>
      <c r="S3033" s="91">
        <v>0</v>
      </c>
      <c r="T3033" s="91"/>
      <c r="U3033" s="91"/>
      <c r="V3033" s="91"/>
      <c r="W3033" s="91"/>
      <c r="X3033" s="91"/>
      <c r="Y3033" s="91"/>
      <c r="Z3033" s="91"/>
      <c r="AA3033" s="91"/>
      <c r="AB3033" s="91"/>
      <c r="AC3033" s="91"/>
      <c r="AD3033" s="91"/>
      <c r="AE3033" s="91"/>
      <c r="AF3033" s="91"/>
      <c r="AG3033" s="91"/>
      <c r="AH3033" s="91"/>
      <c r="AI3033" s="91"/>
      <c r="AJ3033" s="91"/>
      <c r="AK3033" s="91"/>
      <c r="AL3033" s="91"/>
      <c r="AM3033" s="91"/>
    </row>
    <row r="3034" spans="1:39" ht="20.25" hidden="1" customHeight="1">
      <c r="A3034" s="91"/>
      <c r="B3034" s="93" t="s">
        <v>9441</v>
      </c>
      <c r="C3034" s="91" t="s">
        <v>36</v>
      </c>
      <c r="D3034" s="94" t="s">
        <v>2683</v>
      </c>
      <c r="E3034" s="94" t="s">
        <v>9455</v>
      </c>
      <c r="F3034" s="95" t="s">
        <v>9456</v>
      </c>
      <c r="G3034" s="96">
        <v>45618</v>
      </c>
      <c r="H3034" s="97">
        <v>38222</v>
      </c>
      <c r="I3034" s="102" t="s">
        <v>9457</v>
      </c>
      <c r="J3034" s="94" t="s">
        <v>9458</v>
      </c>
      <c r="K3034" s="95">
        <v>942691712</v>
      </c>
      <c r="L3034" s="91" t="s">
        <v>60</v>
      </c>
      <c r="M3034" s="98">
        <f ca="1">(TODAY()-H3034)/365</f>
        <v>21.315068493150687</v>
      </c>
      <c r="N3034" s="99">
        <f>(G3034-H3034)/365</f>
        <v>20.263013698630136</v>
      </c>
      <c r="O3034" s="98">
        <f ca="1">(TODAY()-G3034)/365</f>
        <v>1.0520547945205478</v>
      </c>
      <c r="P3034" s="91" t="s">
        <v>43</v>
      </c>
      <c r="Q3034" s="91">
        <v>0</v>
      </c>
      <c r="R3034" s="91">
        <v>0</v>
      </c>
      <c r="S3034" s="91">
        <v>0</v>
      </c>
      <c r="T3034" s="91"/>
      <c r="U3034" s="91"/>
      <c r="V3034" s="91"/>
      <c r="W3034" s="91"/>
      <c r="X3034" s="91"/>
      <c r="Y3034" s="91"/>
      <c r="Z3034" s="91"/>
      <c r="AA3034" s="91"/>
      <c r="AB3034" s="91"/>
      <c r="AC3034" s="91"/>
      <c r="AD3034" s="91"/>
      <c r="AE3034" s="91"/>
      <c r="AF3034" s="91"/>
      <c r="AG3034" s="91"/>
      <c r="AH3034" s="91"/>
      <c r="AI3034" s="91"/>
      <c r="AJ3034" s="91"/>
      <c r="AK3034" s="91"/>
      <c r="AL3034" s="91"/>
      <c r="AM3034" s="91"/>
    </row>
    <row r="3035" spans="1:39" ht="20.25" hidden="1" customHeight="1">
      <c r="A3035" s="91"/>
      <c r="B3035" s="93" t="s">
        <v>9441</v>
      </c>
      <c r="C3035" s="91" t="s">
        <v>36</v>
      </c>
      <c r="D3035" s="94" t="s">
        <v>1193</v>
      </c>
      <c r="E3035" s="94" t="s">
        <v>9459</v>
      </c>
      <c r="F3035" s="95" t="s">
        <v>9460</v>
      </c>
      <c r="G3035" s="96">
        <v>45563</v>
      </c>
      <c r="H3035" s="97">
        <v>37929</v>
      </c>
      <c r="I3035" s="94" t="s">
        <v>58</v>
      </c>
      <c r="J3035" s="94" t="s">
        <v>9461</v>
      </c>
      <c r="K3035" s="95">
        <v>972444814</v>
      </c>
      <c r="L3035" s="91" t="s">
        <v>60</v>
      </c>
      <c r="M3035" s="98">
        <f ca="1">(TODAY()-H3035)/365</f>
        <v>22.117808219178084</v>
      </c>
      <c r="N3035" s="99">
        <f>(G3035-H3035)/365</f>
        <v>20.915068493150685</v>
      </c>
      <c r="O3035" s="98">
        <f ca="1">(TODAY()-G3035)/365</f>
        <v>1.2027397260273973</v>
      </c>
      <c r="P3035" s="91" t="s">
        <v>272</v>
      </c>
      <c r="Q3035" s="91">
        <v>0</v>
      </c>
      <c r="R3035" s="91">
        <v>0</v>
      </c>
      <c r="S3035" s="91">
        <v>0</v>
      </c>
      <c r="T3035" s="91"/>
      <c r="U3035" s="91"/>
      <c r="V3035" s="91"/>
      <c r="W3035" s="91"/>
      <c r="X3035" s="91"/>
      <c r="Y3035" s="91"/>
      <c r="Z3035" s="91"/>
      <c r="AA3035" s="91"/>
      <c r="AB3035" s="91"/>
      <c r="AC3035" s="91"/>
      <c r="AD3035" s="91"/>
      <c r="AE3035" s="91"/>
      <c r="AF3035" s="91"/>
      <c r="AG3035" s="91"/>
      <c r="AH3035" s="91"/>
      <c r="AI3035" s="91"/>
      <c r="AJ3035" s="91"/>
      <c r="AK3035" s="91"/>
      <c r="AL3035" s="91"/>
      <c r="AM3035" s="91"/>
    </row>
    <row r="3036" spans="1:39" ht="20.25" hidden="1" customHeight="1">
      <c r="A3036" s="91"/>
      <c r="B3036" s="93" t="s">
        <v>9441</v>
      </c>
      <c r="C3036" s="91" t="s">
        <v>36</v>
      </c>
      <c r="D3036" s="94" t="s">
        <v>9462</v>
      </c>
      <c r="E3036" s="94" t="s">
        <v>9463</v>
      </c>
      <c r="F3036" s="95" t="s">
        <v>9464</v>
      </c>
      <c r="G3036" s="96">
        <v>45026</v>
      </c>
      <c r="H3036" s="97">
        <v>36219</v>
      </c>
      <c r="I3036" s="102" t="s">
        <v>9465</v>
      </c>
      <c r="J3036" s="94" t="s">
        <v>9466</v>
      </c>
      <c r="K3036" s="95">
        <v>961990018</v>
      </c>
      <c r="L3036" s="91" t="s">
        <v>121</v>
      </c>
      <c r="M3036" s="98">
        <f ca="1">(TODAY()-H3036)/365</f>
        <v>26.802739726027397</v>
      </c>
      <c r="N3036" s="99">
        <f>(G3036-H3036)/365</f>
        <v>24.12876712328767</v>
      </c>
      <c r="O3036" s="98">
        <f ca="1">(TODAY()-G3036)/365</f>
        <v>2.6739726027397261</v>
      </c>
      <c r="P3036" s="91" t="s">
        <v>43</v>
      </c>
      <c r="Q3036" s="91">
        <v>0</v>
      </c>
      <c r="R3036" s="91">
        <v>0</v>
      </c>
      <c r="S3036" s="91">
        <v>0</v>
      </c>
      <c r="T3036" s="91"/>
      <c r="U3036" s="91"/>
      <c r="V3036" s="91"/>
      <c r="W3036" s="91"/>
      <c r="X3036" s="91"/>
      <c r="Y3036" s="91"/>
      <c r="Z3036" s="91"/>
      <c r="AA3036" s="91"/>
      <c r="AB3036" s="91"/>
      <c r="AC3036" s="91"/>
      <c r="AD3036" s="91"/>
      <c r="AE3036" s="91"/>
      <c r="AF3036" s="91"/>
      <c r="AG3036" s="91"/>
      <c r="AH3036" s="91"/>
      <c r="AI3036" s="91"/>
      <c r="AJ3036" s="91"/>
      <c r="AK3036" s="91"/>
      <c r="AL3036" s="91"/>
      <c r="AM3036" s="91"/>
    </row>
    <row r="3037" spans="1:39" ht="20.25" hidden="1" customHeight="1">
      <c r="A3037" s="91"/>
      <c r="B3037" s="93" t="s">
        <v>9441</v>
      </c>
      <c r="C3037" s="91" t="s">
        <v>36</v>
      </c>
      <c r="D3037" s="94" t="s">
        <v>1197</v>
      </c>
      <c r="E3037" s="94" t="s">
        <v>9467</v>
      </c>
      <c r="F3037" s="95" t="s">
        <v>9468</v>
      </c>
      <c r="G3037" s="96">
        <v>45053</v>
      </c>
      <c r="H3037" s="97">
        <v>35892</v>
      </c>
      <c r="I3037" s="102" t="s">
        <v>9469</v>
      </c>
      <c r="J3037" s="94" t="s">
        <v>9470</v>
      </c>
      <c r="K3037" s="95">
        <v>977486647</v>
      </c>
      <c r="L3037" s="91" t="s">
        <v>60</v>
      </c>
      <c r="M3037" s="98">
        <f ca="1">(TODAY()-H3037)/365</f>
        <v>27.698630136986303</v>
      </c>
      <c r="N3037" s="99">
        <f>(G3037-H3037)/365</f>
        <v>25.098630136986301</v>
      </c>
      <c r="O3037" s="98">
        <f ca="1">(TODAY()-G3037)/365</f>
        <v>2.6</v>
      </c>
      <c r="P3037" s="91" t="s">
        <v>43</v>
      </c>
      <c r="Q3037" s="91">
        <v>0</v>
      </c>
      <c r="R3037" s="91">
        <v>0</v>
      </c>
      <c r="S3037" s="91">
        <v>0</v>
      </c>
      <c r="T3037" s="91"/>
      <c r="U3037" s="91"/>
      <c r="V3037" s="91"/>
      <c r="W3037" s="91"/>
      <c r="X3037" s="91"/>
      <c r="Y3037" s="91"/>
      <c r="Z3037" s="91"/>
      <c r="AA3037" s="91"/>
      <c r="AB3037" s="91"/>
      <c r="AC3037" s="91"/>
      <c r="AD3037" s="91"/>
      <c r="AE3037" s="91"/>
      <c r="AF3037" s="91"/>
      <c r="AG3037" s="91"/>
      <c r="AH3037" s="91"/>
      <c r="AI3037" s="91"/>
      <c r="AJ3037" s="91"/>
      <c r="AK3037" s="91"/>
      <c r="AL3037" s="91"/>
      <c r="AM3037" s="91"/>
    </row>
    <row r="3038" spans="1:39" ht="20.25" hidden="1" customHeight="1">
      <c r="A3038" s="91"/>
      <c r="B3038" s="93" t="s">
        <v>9441</v>
      </c>
      <c r="C3038" s="91" t="s">
        <v>36</v>
      </c>
      <c r="D3038" s="94" t="s">
        <v>9471</v>
      </c>
      <c r="E3038" s="94" t="s">
        <v>9472</v>
      </c>
      <c r="F3038" s="95" t="s">
        <v>9473</v>
      </c>
      <c r="G3038" s="96">
        <v>43179</v>
      </c>
      <c r="H3038" s="97">
        <v>33710</v>
      </c>
      <c r="I3038" s="102" t="s">
        <v>9474</v>
      </c>
      <c r="J3038" s="94" t="s">
        <v>9475</v>
      </c>
      <c r="K3038" s="95">
        <v>966148556</v>
      </c>
      <c r="L3038" s="91" t="s">
        <v>66</v>
      </c>
      <c r="M3038" s="98">
        <f ca="1">(TODAY()-H3038)/365</f>
        <v>33.676712328767124</v>
      </c>
      <c r="N3038" s="99">
        <f>(G3038-H3038)/365</f>
        <v>25.942465753424656</v>
      </c>
      <c r="O3038" s="98">
        <f ca="1">(TODAY()-G3038)/365</f>
        <v>7.7342465753424658</v>
      </c>
      <c r="P3038" s="91" t="s">
        <v>43</v>
      </c>
      <c r="Q3038" s="91">
        <v>0</v>
      </c>
      <c r="R3038" s="91">
        <v>0</v>
      </c>
      <c r="S3038" s="91">
        <v>0</v>
      </c>
      <c r="T3038" s="91"/>
      <c r="U3038" s="91"/>
      <c r="V3038" s="91"/>
      <c r="W3038" s="91"/>
      <c r="X3038" s="91"/>
      <c r="Y3038" s="91"/>
      <c r="Z3038" s="91"/>
      <c r="AA3038" s="91"/>
      <c r="AB3038" s="91"/>
      <c r="AC3038" s="91"/>
      <c r="AD3038" s="91"/>
      <c r="AE3038" s="91"/>
      <c r="AF3038" s="91"/>
      <c r="AG3038" s="91"/>
      <c r="AH3038" s="91"/>
      <c r="AI3038" s="91"/>
      <c r="AJ3038" s="91"/>
      <c r="AK3038" s="91"/>
      <c r="AL3038" s="91"/>
      <c r="AM3038" s="91"/>
    </row>
    <row r="3039" spans="1:39" ht="20.25" hidden="1" customHeight="1">
      <c r="A3039" s="91"/>
      <c r="B3039" s="93" t="s">
        <v>9441</v>
      </c>
      <c r="C3039" s="91" t="s">
        <v>36</v>
      </c>
      <c r="D3039" s="94" t="s">
        <v>4879</v>
      </c>
      <c r="E3039" s="94" t="s">
        <v>9476</v>
      </c>
      <c r="F3039" s="95" t="s">
        <v>9477</v>
      </c>
      <c r="G3039" s="96">
        <v>45563</v>
      </c>
      <c r="H3039" s="97">
        <v>34991</v>
      </c>
      <c r="I3039" s="102" t="s">
        <v>9478</v>
      </c>
      <c r="J3039" s="94" t="s">
        <v>9479</v>
      </c>
      <c r="K3039" s="95">
        <v>952247011</v>
      </c>
      <c r="L3039" s="91" t="s">
        <v>60</v>
      </c>
      <c r="M3039" s="98">
        <f ca="1">(TODAY()-H3039)/365</f>
        <v>30.167123287671235</v>
      </c>
      <c r="N3039" s="99">
        <f>(G3039-H3039)/365</f>
        <v>28.964383561643835</v>
      </c>
      <c r="O3039" s="98">
        <f ca="1">(TODAY()-G3039)/365</f>
        <v>1.2027397260273973</v>
      </c>
      <c r="P3039" s="91" t="s">
        <v>43</v>
      </c>
      <c r="Q3039" s="91">
        <v>0</v>
      </c>
      <c r="R3039" s="91">
        <v>0</v>
      </c>
      <c r="S3039" s="91">
        <v>0</v>
      </c>
      <c r="T3039" s="91"/>
      <c r="U3039" s="91"/>
      <c r="V3039" s="91"/>
      <c r="W3039" s="91"/>
      <c r="X3039" s="91"/>
      <c r="Y3039" s="91"/>
      <c r="Z3039" s="91"/>
      <c r="AA3039" s="91"/>
      <c r="AB3039" s="91"/>
      <c r="AC3039" s="91"/>
      <c r="AD3039" s="91"/>
      <c r="AE3039" s="91"/>
      <c r="AF3039" s="91"/>
      <c r="AG3039" s="91"/>
      <c r="AH3039" s="91"/>
      <c r="AI3039" s="91"/>
      <c r="AJ3039" s="91"/>
      <c r="AK3039" s="91"/>
      <c r="AL3039" s="91"/>
      <c r="AM3039" s="91"/>
    </row>
    <row r="3040" spans="1:39" ht="20.25" hidden="1" customHeight="1">
      <c r="A3040" s="91"/>
      <c r="B3040" s="93" t="s">
        <v>9441</v>
      </c>
      <c r="C3040" s="91" t="s">
        <v>36</v>
      </c>
      <c r="D3040" s="94" t="s">
        <v>889</v>
      </c>
      <c r="E3040" s="94" t="s">
        <v>9480</v>
      </c>
      <c r="F3040" s="95" t="s">
        <v>9481</v>
      </c>
      <c r="G3040" s="96">
        <v>32288</v>
      </c>
      <c r="H3040" s="97">
        <v>21180</v>
      </c>
      <c r="I3040" s="102" t="s">
        <v>9482</v>
      </c>
      <c r="J3040" s="94" t="s">
        <v>9483</v>
      </c>
      <c r="K3040" s="95">
        <v>977691431</v>
      </c>
      <c r="L3040" s="91" t="s">
        <v>151</v>
      </c>
      <c r="M3040" s="98">
        <f ca="1">(TODAY()-H3040)/365</f>
        <v>68.0054794520548</v>
      </c>
      <c r="N3040" s="99">
        <f>(G3040-H3040)/365</f>
        <v>30.432876712328767</v>
      </c>
      <c r="O3040" s="98">
        <f ca="1">(TODAY()-G3040)/365</f>
        <v>37.57260273972603</v>
      </c>
      <c r="P3040" s="91" t="s">
        <v>43</v>
      </c>
      <c r="Q3040" s="91">
        <v>1</v>
      </c>
      <c r="R3040" s="91">
        <v>1</v>
      </c>
      <c r="S3040" s="91">
        <v>1</v>
      </c>
      <c r="T3040" s="91">
        <v>2024</v>
      </c>
      <c r="U3040" s="91"/>
      <c r="V3040" s="91"/>
      <c r="W3040" s="91"/>
      <c r="X3040" s="91"/>
      <c r="Y3040" s="91"/>
      <c r="Z3040" s="91"/>
      <c r="AA3040" s="91"/>
      <c r="AB3040" s="91"/>
      <c r="AC3040" s="91"/>
      <c r="AD3040" s="91"/>
      <c r="AE3040" s="91"/>
      <c r="AF3040" s="91"/>
      <c r="AG3040" s="91"/>
      <c r="AH3040" s="91"/>
      <c r="AI3040" s="91"/>
      <c r="AJ3040" s="91"/>
      <c r="AK3040" s="91"/>
      <c r="AL3040" s="91"/>
      <c r="AM3040" s="91"/>
    </row>
    <row r="3041" spans="1:39" ht="20.25" hidden="1" customHeight="1">
      <c r="A3041" s="91"/>
      <c r="B3041" s="93" t="s">
        <v>9441</v>
      </c>
      <c r="C3041" s="91" t="s">
        <v>36</v>
      </c>
      <c r="D3041" s="94" t="s">
        <v>650</v>
      </c>
      <c r="E3041" s="94" t="s">
        <v>9484</v>
      </c>
      <c r="F3041" s="95" t="s">
        <v>9485</v>
      </c>
      <c r="G3041" s="96">
        <v>45563</v>
      </c>
      <c r="H3041" s="97">
        <v>34205</v>
      </c>
      <c r="I3041" s="102" t="s">
        <v>9486</v>
      </c>
      <c r="J3041" s="94" t="s">
        <v>9487</v>
      </c>
      <c r="K3041" s="95">
        <v>934665405</v>
      </c>
      <c r="L3041" s="91" t="s">
        <v>60</v>
      </c>
      <c r="M3041" s="98">
        <f ca="1">(TODAY()-H3041)/365</f>
        <v>32.320547945205476</v>
      </c>
      <c r="N3041" s="99">
        <f>(G3041-H3041)/365</f>
        <v>31.117808219178084</v>
      </c>
      <c r="O3041" s="98">
        <f ca="1">(TODAY()-G3041)/365</f>
        <v>1.2027397260273973</v>
      </c>
      <c r="P3041" s="91" t="s">
        <v>43</v>
      </c>
      <c r="Q3041" s="91">
        <v>0</v>
      </c>
      <c r="R3041" s="91">
        <v>0</v>
      </c>
      <c r="S3041" s="91">
        <v>0</v>
      </c>
      <c r="T3041" s="91"/>
      <c r="U3041" s="91"/>
      <c r="V3041" s="91"/>
      <c r="W3041" s="91"/>
      <c r="X3041" s="91"/>
      <c r="Y3041" s="91"/>
      <c r="Z3041" s="91"/>
      <c r="AA3041" s="91"/>
      <c r="AB3041" s="91"/>
      <c r="AC3041" s="91"/>
      <c r="AD3041" s="91"/>
      <c r="AE3041" s="91"/>
      <c r="AF3041" s="91"/>
      <c r="AG3041" s="91"/>
      <c r="AH3041" s="91"/>
      <c r="AI3041" s="91"/>
      <c r="AJ3041" s="91"/>
      <c r="AK3041" s="91"/>
      <c r="AL3041" s="91"/>
      <c r="AM3041" s="91"/>
    </row>
    <row r="3042" spans="1:39" ht="20.25" hidden="1" customHeight="1">
      <c r="A3042" s="91"/>
      <c r="B3042" s="93" t="s">
        <v>9441</v>
      </c>
      <c r="C3042" s="91" t="s">
        <v>36</v>
      </c>
      <c r="D3042" s="94" t="s">
        <v>7263</v>
      </c>
      <c r="E3042" s="94" t="s">
        <v>9488</v>
      </c>
      <c r="F3042" s="95" t="s">
        <v>9489</v>
      </c>
      <c r="G3042" s="96">
        <v>41034</v>
      </c>
      <c r="H3042" s="97">
        <v>28618</v>
      </c>
      <c r="I3042" s="102" t="s">
        <v>9490</v>
      </c>
      <c r="J3042" s="94" t="s">
        <v>9491</v>
      </c>
      <c r="K3042" s="95">
        <v>989612670</v>
      </c>
      <c r="L3042" s="91" t="s">
        <v>54</v>
      </c>
      <c r="M3042" s="98">
        <f ca="1">(TODAY()-H3042)/365</f>
        <v>47.627397260273973</v>
      </c>
      <c r="N3042" s="99">
        <f>(G3042-H3042)/365</f>
        <v>34.016438356164386</v>
      </c>
      <c r="O3042" s="98">
        <f ca="1">(TODAY()-G3042)/365</f>
        <v>13.610958904109589</v>
      </c>
      <c r="P3042" s="91" t="s">
        <v>43</v>
      </c>
      <c r="Q3042" s="91">
        <v>0</v>
      </c>
      <c r="R3042" s="91">
        <v>0</v>
      </c>
      <c r="S3042" s="91">
        <v>0</v>
      </c>
      <c r="T3042" s="91"/>
      <c r="U3042" s="91"/>
      <c r="V3042" s="91"/>
      <c r="W3042" s="91"/>
      <c r="X3042" s="91"/>
      <c r="Y3042" s="91"/>
      <c r="Z3042" s="91"/>
      <c r="AA3042" s="91"/>
      <c r="AB3042" s="91"/>
      <c r="AC3042" s="91"/>
      <c r="AD3042" s="91"/>
      <c r="AE3042" s="91"/>
      <c r="AF3042" s="91"/>
      <c r="AG3042" s="91"/>
      <c r="AH3042" s="91"/>
      <c r="AI3042" s="91"/>
      <c r="AJ3042" s="91"/>
      <c r="AK3042" s="91"/>
      <c r="AL3042" s="91"/>
      <c r="AM3042" s="91"/>
    </row>
    <row r="3043" spans="1:39" ht="20.25" hidden="1" customHeight="1">
      <c r="A3043" s="91"/>
      <c r="B3043" s="93" t="s">
        <v>9441</v>
      </c>
      <c r="C3043" s="91" t="s">
        <v>36</v>
      </c>
      <c r="D3043" s="94" t="s">
        <v>9492</v>
      </c>
      <c r="E3043" s="94" t="s">
        <v>9493</v>
      </c>
      <c r="F3043" s="95" t="s">
        <v>9494</v>
      </c>
      <c r="G3043" s="96">
        <v>43070</v>
      </c>
      <c r="H3043" s="97">
        <v>30596</v>
      </c>
      <c r="I3043" s="102" t="s">
        <v>9495</v>
      </c>
      <c r="J3043" s="94" t="s">
        <v>9496</v>
      </c>
      <c r="K3043" s="95">
        <v>951553314</v>
      </c>
      <c r="L3043" s="91" t="s">
        <v>49</v>
      </c>
      <c r="M3043" s="98">
        <f ca="1">(TODAY()-H3043)/365</f>
        <v>42.208219178082189</v>
      </c>
      <c r="N3043" s="99">
        <f>(G3043-H3043)/365</f>
        <v>34.175342465753424</v>
      </c>
      <c r="O3043" s="98">
        <f ca="1">(TODAY()-G3043)/365</f>
        <v>8.0328767123287665</v>
      </c>
      <c r="P3043" s="91" t="s">
        <v>43</v>
      </c>
      <c r="Q3043" s="91">
        <v>0</v>
      </c>
      <c r="R3043" s="91">
        <v>0</v>
      </c>
      <c r="S3043" s="91">
        <v>0</v>
      </c>
      <c r="T3043" s="91"/>
      <c r="U3043" s="91"/>
      <c r="V3043" s="91"/>
      <c r="W3043" s="91"/>
      <c r="X3043" s="91"/>
      <c r="Y3043" s="91"/>
      <c r="Z3043" s="91"/>
      <c r="AA3043" s="91"/>
      <c r="AB3043" s="91"/>
      <c r="AC3043" s="91"/>
      <c r="AD3043" s="91"/>
      <c r="AE3043" s="91"/>
      <c r="AF3043" s="91"/>
      <c r="AG3043" s="91"/>
      <c r="AH3043" s="91"/>
      <c r="AI3043" s="91"/>
      <c r="AJ3043" s="91"/>
      <c r="AK3043" s="91"/>
      <c r="AL3043" s="91"/>
      <c r="AM3043" s="91"/>
    </row>
    <row r="3044" spans="1:39" ht="20.25" hidden="1" customHeight="1">
      <c r="A3044" s="91"/>
      <c r="B3044" s="93" t="s">
        <v>9441</v>
      </c>
      <c r="C3044" s="91" t="s">
        <v>36</v>
      </c>
      <c r="D3044" s="94" t="s">
        <v>6274</v>
      </c>
      <c r="E3044" s="94" t="s">
        <v>9497</v>
      </c>
      <c r="F3044" s="95" t="s">
        <v>9498</v>
      </c>
      <c r="G3044" s="96">
        <v>40972</v>
      </c>
      <c r="H3044" s="97">
        <v>26727</v>
      </c>
      <c r="I3044" s="102" t="s">
        <v>9499</v>
      </c>
      <c r="J3044" s="94" t="s">
        <v>9500</v>
      </c>
      <c r="K3044" s="95">
        <v>985808259</v>
      </c>
      <c r="L3044" s="91" t="s">
        <v>42</v>
      </c>
      <c r="M3044" s="98">
        <f ca="1">(TODAY()-H3044)/365</f>
        <v>52.80821917808219</v>
      </c>
      <c r="N3044" s="99">
        <f>(G3044-H3044)/365</f>
        <v>39.027397260273972</v>
      </c>
      <c r="O3044" s="98">
        <f ca="1">(TODAY()-G3044)/365</f>
        <v>13.780821917808218</v>
      </c>
      <c r="P3044" s="91" t="s">
        <v>43</v>
      </c>
      <c r="Q3044" s="91">
        <v>0</v>
      </c>
      <c r="R3044" s="91">
        <v>0</v>
      </c>
      <c r="S3044" s="91">
        <v>1</v>
      </c>
      <c r="T3044" s="91"/>
      <c r="U3044" s="91"/>
      <c r="V3044" s="91"/>
      <c r="W3044" s="91"/>
      <c r="X3044" s="91"/>
      <c r="Y3044" s="91">
        <v>2024</v>
      </c>
      <c r="Z3044" s="91"/>
      <c r="AA3044" s="91"/>
      <c r="AB3044" s="91"/>
      <c r="AC3044" s="91"/>
      <c r="AD3044" s="91"/>
      <c r="AE3044" s="91"/>
      <c r="AF3044" s="91"/>
      <c r="AG3044" s="91"/>
      <c r="AH3044" s="91"/>
      <c r="AI3044" s="91"/>
      <c r="AJ3044" s="91"/>
      <c r="AK3044" s="91"/>
      <c r="AL3044" s="91"/>
      <c r="AM3044" s="91"/>
    </row>
    <row r="3045" spans="1:39" ht="20.25" hidden="1" customHeight="1">
      <c r="A3045" s="91"/>
      <c r="B3045" s="93" t="s">
        <v>9441</v>
      </c>
      <c r="C3045" s="91" t="s">
        <v>36</v>
      </c>
      <c r="D3045" s="94" t="s">
        <v>4601</v>
      </c>
      <c r="E3045" s="94" t="s">
        <v>9501</v>
      </c>
      <c r="F3045" s="95" t="s">
        <v>9502</v>
      </c>
      <c r="G3045" s="96">
        <v>44175</v>
      </c>
      <c r="H3045" s="97">
        <v>29482</v>
      </c>
      <c r="I3045" s="102" t="s">
        <v>9503</v>
      </c>
      <c r="J3045" s="94" t="s">
        <v>9504</v>
      </c>
      <c r="K3045" s="95">
        <v>992039498</v>
      </c>
      <c r="L3045" s="91" t="s">
        <v>60</v>
      </c>
      <c r="M3045" s="98">
        <f ca="1">(TODAY()-H3045)/365</f>
        <v>45.260273972602739</v>
      </c>
      <c r="N3045" s="99">
        <f>(G3045-H3045)/365</f>
        <v>40.254794520547946</v>
      </c>
      <c r="O3045" s="98">
        <f ca="1">(TODAY()-G3045)/365</f>
        <v>5.0054794520547947</v>
      </c>
      <c r="P3045" s="91" t="s">
        <v>43</v>
      </c>
      <c r="Q3045" s="91">
        <v>0</v>
      </c>
      <c r="R3045" s="91">
        <v>0</v>
      </c>
      <c r="S3045" s="91">
        <v>0</v>
      </c>
      <c r="T3045" s="91"/>
      <c r="U3045" s="91"/>
      <c r="V3045" s="91"/>
      <c r="W3045" s="91"/>
      <c r="X3045" s="91"/>
      <c r="Y3045" s="91"/>
      <c r="Z3045" s="91"/>
      <c r="AA3045" s="91"/>
      <c r="AB3045" s="91"/>
      <c r="AC3045" s="91"/>
      <c r="AD3045" s="91"/>
      <c r="AE3045" s="91"/>
      <c r="AF3045" s="91"/>
      <c r="AG3045" s="91"/>
      <c r="AH3045" s="91"/>
      <c r="AI3045" s="91"/>
      <c r="AJ3045" s="91"/>
      <c r="AK3045" s="91"/>
      <c r="AL3045" s="91"/>
      <c r="AM3045" s="91"/>
    </row>
    <row r="3046" spans="1:39" ht="20.25" hidden="1" customHeight="1">
      <c r="A3046" s="91"/>
      <c r="B3046" s="93" t="s">
        <v>9441</v>
      </c>
      <c r="C3046" s="91" t="s">
        <v>36</v>
      </c>
      <c r="D3046" s="94" t="s">
        <v>2687</v>
      </c>
      <c r="E3046" s="94" t="s">
        <v>9505</v>
      </c>
      <c r="F3046" s="95" t="s">
        <v>9506</v>
      </c>
      <c r="G3046" s="96">
        <v>43179</v>
      </c>
      <c r="H3046" s="97">
        <v>28482</v>
      </c>
      <c r="I3046" s="102" t="s">
        <v>9507</v>
      </c>
      <c r="J3046" s="94" t="s">
        <v>9508</v>
      </c>
      <c r="K3046" s="95">
        <v>951197233</v>
      </c>
      <c r="L3046" s="91" t="s">
        <v>197</v>
      </c>
      <c r="M3046" s="98">
        <f ca="1">(TODAY()-H3046)/365</f>
        <v>48</v>
      </c>
      <c r="N3046" s="99">
        <f>(G3046-H3046)/365</f>
        <v>40.265753424657532</v>
      </c>
      <c r="O3046" s="98">
        <f ca="1">(TODAY()-G3046)/365</f>
        <v>7.7342465753424658</v>
      </c>
      <c r="P3046" s="91" t="s">
        <v>272</v>
      </c>
      <c r="Q3046" s="91">
        <v>0</v>
      </c>
      <c r="R3046" s="91">
        <v>0</v>
      </c>
      <c r="S3046" s="91">
        <v>0</v>
      </c>
      <c r="T3046" s="91"/>
      <c r="U3046" s="91"/>
      <c r="V3046" s="91"/>
      <c r="W3046" s="91"/>
      <c r="X3046" s="91"/>
      <c r="Y3046" s="91">
        <v>2024</v>
      </c>
      <c r="Z3046" s="91"/>
      <c r="AA3046" s="91"/>
      <c r="AB3046" s="91"/>
      <c r="AC3046" s="91"/>
      <c r="AD3046" s="91"/>
      <c r="AE3046" s="91"/>
      <c r="AF3046" s="91"/>
      <c r="AG3046" s="91"/>
      <c r="AH3046" s="91"/>
      <c r="AI3046" s="91"/>
      <c r="AJ3046" s="91"/>
      <c r="AK3046" s="91"/>
      <c r="AL3046" s="91"/>
      <c r="AM3046" s="91"/>
    </row>
    <row r="3047" spans="1:39" ht="22.5" hidden="1" customHeight="1">
      <c r="A3047" s="91"/>
      <c r="B3047" s="93" t="s">
        <v>9441</v>
      </c>
      <c r="C3047" s="91" t="s">
        <v>36</v>
      </c>
      <c r="D3047" s="94" t="s">
        <v>9509</v>
      </c>
      <c r="E3047" s="94" t="s">
        <v>9510</v>
      </c>
      <c r="F3047" s="95" t="s">
        <v>9511</v>
      </c>
      <c r="G3047" s="96">
        <v>45135</v>
      </c>
      <c r="H3047" s="97">
        <v>30275</v>
      </c>
      <c r="I3047" s="102" t="s">
        <v>9512</v>
      </c>
      <c r="J3047" s="94" t="s">
        <v>9513</v>
      </c>
      <c r="K3047" s="95">
        <v>968367761</v>
      </c>
      <c r="L3047" s="91" t="s">
        <v>60</v>
      </c>
      <c r="M3047" s="98">
        <f ca="1">(TODAY()-H3047)/365</f>
        <v>43.087671232876716</v>
      </c>
      <c r="N3047" s="99">
        <f>(G3047-H3047)/365</f>
        <v>40.712328767123289</v>
      </c>
      <c r="O3047" s="98">
        <f ca="1">(TODAY()-G3047)/365</f>
        <v>2.3753424657534246</v>
      </c>
      <c r="P3047" s="91" t="s">
        <v>43</v>
      </c>
      <c r="Q3047" s="91">
        <v>0</v>
      </c>
      <c r="R3047" s="91">
        <v>0</v>
      </c>
      <c r="S3047" s="91">
        <v>0</v>
      </c>
      <c r="T3047" s="91"/>
      <c r="U3047" s="91"/>
      <c r="V3047" s="91"/>
      <c r="W3047" s="91"/>
      <c r="X3047" s="91"/>
      <c r="Y3047" s="91"/>
      <c r="Z3047" s="91"/>
      <c r="AA3047" s="91"/>
      <c r="AB3047" s="91"/>
      <c r="AC3047" s="91"/>
      <c r="AD3047" s="91"/>
      <c r="AE3047" s="91"/>
      <c r="AF3047" s="91"/>
      <c r="AG3047" s="91"/>
      <c r="AH3047" s="91"/>
      <c r="AI3047" s="91"/>
      <c r="AJ3047" s="91"/>
      <c r="AK3047" s="91"/>
      <c r="AL3047" s="91"/>
      <c r="AM3047" s="91"/>
    </row>
    <row r="3048" spans="1:39" ht="20.25" hidden="1" customHeight="1">
      <c r="A3048" s="91"/>
      <c r="B3048" s="93" t="s">
        <v>9441</v>
      </c>
      <c r="C3048" s="91" t="s">
        <v>36</v>
      </c>
      <c r="D3048" s="94" t="s">
        <v>1221</v>
      </c>
      <c r="E3048" s="94" t="s">
        <v>9514</v>
      </c>
      <c r="F3048" s="95" t="s">
        <v>9515</v>
      </c>
      <c r="G3048" s="96">
        <v>37031</v>
      </c>
      <c r="H3048" s="97">
        <v>21136</v>
      </c>
      <c r="I3048" s="102" t="s">
        <v>9516</v>
      </c>
      <c r="J3048" s="94" t="s">
        <v>9517</v>
      </c>
      <c r="K3048" s="95">
        <v>987384642</v>
      </c>
      <c r="L3048" s="91" t="s">
        <v>60</v>
      </c>
      <c r="M3048" s="98">
        <f ca="1">(TODAY()-H3048)/365</f>
        <v>68.126027397260273</v>
      </c>
      <c r="N3048" s="99">
        <f>(G3048-H3048)/365</f>
        <v>43.547945205479451</v>
      </c>
      <c r="O3048" s="98">
        <f ca="1">(TODAY()-G3048)/365</f>
        <v>24.578082191780823</v>
      </c>
      <c r="P3048" s="91" t="s">
        <v>43</v>
      </c>
      <c r="Q3048" s="91">
        <v>0</v>
      </c>
      <c r="R3048" s="91">
        <v>0</v>
      </c>
      <c r="S3048" s="91">
        <v>0</v>
      </c>
      <c r="T3048" s="91"/>
      <c r="U3048" s="91"/>
      <c r="V3048" s="91"/>
      <c r="W3048" s="91"/>
      <c r="X3048" s="91"/>
      <c r="Y3048" s="91"/>
      <c r="Z3048" s="91"/>
      <c r="AA3048" s="91"/>
      <c r="AB3048" s="91"/>
      <c r="AC3048" s="91"/>
      <c r="AD3048" s="91"/>
      <c r="AE3048" s="91"/>
      <c r="AF3048" s="91"/>
      <c r="AG3048" s="91"/>
      <c r="AH3048" s="91"/>
      <c r="AI3048" s="91"/>
      <c r="AJ3048" s="91"/>
      <c r="AK3048" s="91"/>
      <c r="AL3048" s="91"/>
      <c r="AM3048" s="91"/>
    </row>
    <row r="3049" spans="1:39" ht="20.25" hidden="1" customHeight="1">
      <c r="A3049" s="91"/>
      <c r="B3049" s="93" t="s">
        <v>9441</v>
      </c>
      <c r="C3049" s="91" t="s">
        <v>36</v>
      </c>
      <c r="D3049" s="94" t="s">
        <v>9518</v>
      </c>
      <c r="E3049" s="94" t="s">
        <v>9519</v>
      </c>
      <c r="F3049" s="95" t="s">
        <v>9520</v>
      </c>
      <c r="G3049" s="96">
        <v>37396</v>
      </c>
      <c r="H3049" s="97">
        <v>18269</v>
      </c>
      <c r="I3049" s="94" t="s">
        <v>58</v>
      </c>
      <c r="J3049" s="94" t="s">
        <v>9521</v>
      </c>
      <c r="K3049" s="95">
        <v>932998345</v>
      </c>
      <c r="L3049" s="91" t="s">
        <v>60</v>
      </c>
      <c r="M3049" s="98">
        <f ca="1">(TODAY()-H3049)/365</f>
        <v>75.980821917808214</v>
      </c>
      <c r="N3049" s="99">
        <f>(G3049-H3049)/365</f>
        <v>52.402739726027399</v>
      </c>
      <c r="O3049" s="98">
        <f ca="1">(TODAY()-G3049)/365</f>
        <v>23.578082191780823</v>
      </c>
      <c r="P3049" s="91" t="s">
        <v>272</v>
      </c>
      <c r="Q3049" s="91">
        <v>0</v>
      </c>
      <c r="R3049" s="91">
        <v>0</v>
      </c>
      <c r="S3049" s="91">
        <v>0</v>
      </c>
      <c r="T3049" s="91"/>
      <c r="U3049" s="91"/>
      <c r="V3049" s="91"/>
      <c r="W3049" s="91"/>
      <c r="X3049" s="91"/>
      <c r="Y3049" s="91"/>
      <c r="Z3049" s="91"/>
      <c r="AA3049" s="91"/>
      <c r="AB3049" s="91"/>
      <c r="AC3049" s="91"/>
      <c r="AD3049" s="91"/>
      <c r="AE3049" s="91"/>
      <c r="AF3049" s="91"/>
      <c r="AG3049" s="91"/>
      <c r="AH3049" s="91"/>
      <c r="AI3049" s="91"/>
      <c r="AJ3049" s="91"/>
      <c r="AK3049" s="91"/>
      <c r="AL3049" s="91"/>
      <c r="AM3049" s="91"/>
    </row>
    <row r="3050" spans="1:39" ht="20.25" hidden="1" customHeight="1">
      <c r="A3050" s="91"/>
      <c r="B3050" s="93" t="s">
        <v>9441</v>
      </c>
      <c r="C3050" s="91" t="s">
        <v>36</v>
      </c>
      <c r="D3050" s="94" t="s">
        <v>4614</v>
      </c>
      <c r="E3050" s="94" t="s">
        <v>9522</v>
      </c>
      <c r="F3050" s="95" t="s">
        <v>9523</v>
      </c>
      <c r="G3050" s="96">
        <v>45501</v>
      </c>
      <c r="H3050" s="97">
        <v>25973</v>
      </c>
      <c r="I3050" s="102" t="s">
        <v>9524</v>
      </c>
      <c r="J3050" s="94" t="s">
        <v>9525</v>
      </c>
      <c r="K3050" s="95">
        <v>997662644</v>
      </c>
      <c r="L3050" s="91" t="s">
        <v>60</v>
      </c>
      <c r="M3050" s="98">
        <f ca="1">(TODAY()-H3050)/365</f>
        <v>54.873972602739727</v>
      </c>
      <c r="N3050" s="99">
        <f>(G3050-H3050)/365</f>
        <v>53.5013698630137</v>
      </c>
      <c r="O3050" s="98">
        <f ca="1">(TODAY()-G3050)/365</f>
        <v>1.3726027397260274</v>
      </c>
      <c r="P3050" s="91" t="s">
        <v>43</v>
      </c>
      <c r="Q3050" s="91">
        <v>0</v>
      </c>
      <c r="R3050" s="91">
        <v>0</v>
      </c>
      <c r="S3050" s="91">
        <v>0</v>
      </c>
      <c r="T3050" s="91"/>
      <c r="U3050" s="91"/>
      <c r="V3050" s="91"/>
      <c r="W3050" s="91"/>
      <c r="X3050" s="91"/>
      <c r="Y3050" s="91"/>
      <c r="Z3050" s="91"/>
      <c r="AA3050" s="91"/>
      <c r="AB3050" s="91"/>
      <c r="AC3050" s="91"/>
      <c r="AD3050" s="91"/>
      <c r="AE3050" s="91"/>
      <c r="AF3050" s="91"/>
      <c r="AG3050" s="91"/>
      <c r="AH3050" s="91"/>
      <c r="AI3050" s="91"/>
      <c r="AJ3050" s="91"/>
      <c r="AK3050" s="91"/>
      <c r="AL3050" s="91"/>
      <c r="AM3050" s="91"/>
    </row>
    <row r="3051" spans="1:39" ht="20.25" hidden="1" customHeight="1">
      <c r="A3051" s="91"/>
      <c r="B3051" s="93" t="s">
        <v>9441</v>
      </c>
      <c r="C3051" s="91" t="s">
        <v>36</v>
      </c>
      <c r="D3051" s="94" t="s">
        <v>346</v>
      </c>
      <c r="E3051" s="94" t="s">
        <v>9526</v>
      </c>
      <c r="F3051" s="95" t="s">
        <v>9527</v>
      </c>
      <c r="G3051" s="96">
        <v>45443</v>
      </c>
      <c r="H3051" s="97">
        <v>25360</v>
      </c>
      <c r="I3051" s="102" t="s">
        <v>9528</v>
      </c>
      <c r="J3051" s="94" t="s">
        <v>9529</v>
      </c>
      <c r="K3051" s="95">
        <v>953264644</v>
      </c>
      <c r="L3051" s="91" t="s">
        <v>60</v>
      </c>
      <c r="M3051" s="98">
        <f ca="1">(TODAY()-H3051)/365</f>
        <v>56.553424657534244</v>
      </c>
      <c r="N3051" s="99">
        <f>(G3051-H3051)/365</f>
        <v>55.021917808219179</v>
      </c>
      <c r="O3051" s="98">
        <f ca="1">(TODAY()-G3051)/365</f>
        <v>1.5315068493150685</v>
      </c>
      <c r="P3051" s="91" t="s">
        <v>43</v>
      </c>
      <c r="Q3051" s="91">
        <v>0</v>
      </c>
      <c r="R3051" s="91">
        <v>0</v>
      </c>
      <c r="S3051" s="91">
        <v>0</v>
      </c>
      <c r="T3051" s="91"/>
      <c r="U3051" s="91"/>
      <c r="V3051" s="91"/>
      <c r="W3051" s="91"/>
      <c r="X3051" s="91"/>
      <c r="Y3051" s="91"/>
      <c r="Z3051" s="91"/>
      <c r="AA3051" s="91"/>
      <c r="AB3051" s="91"/>
      <c r="AC3051" s="91"/>
      <c r="AD3051" s="91"/>
      <c r="AE3051" s="91"/>
      <c r="AF3051" s="91"/>
      <c r="AG3051" s="91"/>
      <c r="AH3051" s="91"/>
      <c r="AI3051" s="91"/>
      <c r="AJ3051" s="91"/>
      <c r="AK3051" s="91"/>
      <c r="AL3051" s="91"/>
      <c r="AM3051" s="91"/>
    </row>
    <row r="3052" spans="1:39" ht="20.25" hidden="1" customHeight="1">
      <c r="A3052" s="91"/>
      <c r="B3052" s="93" t="s">
        <v>9441</v>
      </c>
      <c r="C3052" s="91" t="s">
        <v>36</v>
      </c>
      <c r="D3052" s="94" t="s">
        <v>1354</v>
      </c>
      <c r="E3052" s="94" t="s">
        <v>9530</v>
      </c>
      <c r="F3052" s="95" t="s">
        <v>9531</v>
      </c>
      <c r="G3052" s="96">
        <v>45443</v>
      </c>
      <c r="H3052" s="97">
        <v>24591</v>
      </c>
      <c r="I3052" s="102" t="s">
        <v>9532</v>
      </c>
      <c r="J3052" s="94" t="s">
        <v>9533</v>
      </c>
      <c r="K3052" s="95">
        <v>956967673</v>
      </c>
      <c r="L3052" s="91" t="s">
        <v>60</v>
      </c>
      <c r="M3052" s="98">
        <f ca="1">(TODAY()-H3052)/365</f>
        <v>58.660273972602738</v>
      </c>
      <c r="N3052" s="99">
        <f>(G3052-H3052)/365</f>
        <v>57.128767123287673</v>
      </c>
      <c r="O3052" s="98">
        <f ca="1">(TODAY()-G3052)/365</f>
        <v>1.5315068493150685</v>
      </c>
      <c r="P3052" s="91" t="s">
        <v>43</v>
      </c>
      <c r="Q3052" s="91">
        <v>0</v>
      </c>
      <c r="R3052" s="91">
        <v>0</v>
      </c>
      <c r="S3052" s="91">
        <v>0</v>
      </c>
      <c r="T3052" s="91"/>
      <c r="U3052" s="91"/>
      <c r="V3052" s="91"/>
      <c r="W3052" s="91"/>
      <c r="X3052" s="91"/>
      <c r="Y3052" s="91"/>
      <c r="Z3052" s="91"/>
      <c r="AA3052" s="91"/>
      <c r="AB3052" s="91"/>
      <c r="AC3052" s="91"/>
      <c r="AD3052" s="91"/>
      <c r="AE3052" s="91"/>
      <c r="AF3052" s="91"/>
      <c r="AG3052" s="91"/>
      <c r="AH3052" s="91"/>
      <c r="AI3052" s="91"/>
      <c r="AJ3052" s="91"/>
      <c r="AK3052" s="91"/>
      <c r="AL3052" s="91"/>
      <c r="AM3052" s="91"/>
    </row>
    <row r="3053" spans="1:39" ht="20.25" hidden="1" customHeight="1">
      <c r="A3053" s="91"/>
      <c r="B3053" s="93" t="s">
        <v>9441</v>
      </c>
      <c r="C3053" s="91" t="s">
        <v>36</v>
      </c>
      <c r="D3053" s="94" t="s">
        <v>666</v>
      </c>
      <c r="E3053" s="94" t="s">
        <v>9534</v>
      </c>
      <c r="F3053" s="95" t="s">
        <v>9535</v>
      </c>
      <c r="G3053" s="96">
        <v>43179</v>
      </c>
      <c r="H3053" s="97">
        <v>22172</v>
      </c>
      <c r="I3053" s="102" t="s">
        <v>9536</v>
      </c>
      <c r="J3053" s="94" t="s">
        <v>9537</v>
      </c>
      <c r="K3053" s="95">
        <v>991858710</v>
      </c>
      <c r="L3053" s="91" t="s">
        <v>60</v>
      </c>
      <c r="M3053" s="98">
        <f ca="1">(TODAY()-H3053)/365</f>
        <v>65.287671232876718</v>
      </c>
      <c r="N3053" s="99">
        <f>(G3053-H3053)/365</f>
        <v>57.553424657534244</v>
      </c>
      <c r="O3053" s="98">
        <f ca="1">(TODAY()-G3053)/365</f>
        <v>7.7342465753424658</v>
      </c>
      <c r="P3053" s="91" t="s">
        <v>43</v>
      </c>
      <c r="Q3053" s="91">
        <v>0</v>
      </c>
      <c r="R3053" s="91">
        <v>0</v>
      </c>
      <c r="S3053" s="91">
        <v>0</v>
      </c>
      <c r="T3053" s="91"/>
      <c r="U3053" s="91"/>
      <c r="V3053" s="91"/>
      <c r="W3053" s="91"/>
      <c r="X3053" s="91"/>
      <c r="Y3053" s="91"/>
      <c r="Z3053" s="91"/>
      <c r="AA3053" s="91"/>
      <c r="AB3053" s="91"/>
      <c r="AC3053" s="91"/>
      <c r="AD3053" s="91"/>
      <c r="AE3053" s="91"/>
      <c r="AF3053" s="91"/>
      <c r="AG3053" s="91"/>
      <c r="AH3053" s="91"/>
      <c r="AI3053" s="91"/>
      <c r="AJ3053" s="91"/>
      <c r="AK3053" s="91"/>
      <c r="AL3053" s="91"/>
      <c r="AM3053" s="91"/>
    </row>
    <row r="3054" spans="1:39" ht="20.25" hidden="1" customHeight="1">
      <c r="A3054" s="91"/>
      <c r="B3054" s="93" t="s">
        <v>9441</v>
      </c>
      <c r="C3054" s="91" t="s">
        <v>36</v>
      </c>
      <c r="D3054" s="94" t="s">
        <v>666</v>
      </c>
      <c r="E3054" s="94" t="s">
        <v>9538</v>
      </c>
      <c r="F3054" s="95" t="s">
        <v>9539</v>
      </c>
      <c r="G3054" s="96">
        <v>45443</v>
      </c>
      <c r="H3054" s="97">
        <v>24306</v>
      </c>
      <c r="I3054" s="102" t="s">
        <v>9540</v>
      </c>
      <c r="J3054" s="94" t="s">
        <v>9541</v>
      </c>
      <c r="K3054" s="95">
        <v>992278326</v>
      </c>
      <c r="L3054" s="91" t="s">
        <v>60</v>
      </c>
      <c r="M3054" s="98">
        <f ca="1">(TODAY()-H3054)/365</f>
        <v>59.441095890410956</v>
      </c>
      <c r="N3054" s="99">
        <f>(G3054-H3054)/365</f>
        <v>57.909589041095892</v>
      </c>
      <c r="O3054" s="98">
        <f ca="1">(TODAY()-G3054)/365</f>
        <v>1.5315068493150685</v>
      </c>
      <c r="P3054" s="91" t="s">
        <v>43</v>
      </c>
      <c r="Q3054" s="91">
        <v>0</v>
      </c>
      <c r="R3054" s="91">
        <v>0</v>
      </c>
      <c r="S3054" s="91">
        <v>0</v>
      </c>
      <c r="T3054" s="91"/>
      <c r="U3054" s="91"/>
      <c r="V3054" s="91"/>
      <c r="W3054" s="91"/>
      <c r="X3054" s="91"/>
      <c r="Y3054" s="91"/>
      <c r="Z3054" s="91"/>
      <c r="AA3054" s="91"/>
      <c r="AB3054" s="91"/>
      <c r="AC3054" s="91"/>
      <c r="AD3054" s="91"/>
      <c r="AE3054" s="91"/>
      <c r="AF3054" s="91"/>
      <c r="AG3054" s="91"/>
      <c r="AH3054" s="91"/>
      <c r="AI3054" s="91"/>
      <c r="AJ3054" s="91"/>
      <c r="AK3054" s="91"/>
      <c r="AL3054" s="91"/>
      <c r="AM3054" s="91"/>
    </row>
    <row r="3055" spans="1:39" ht="20.25" hidden="1" customHeight="1">
      <c r="A3055" s="91"/>
      <c r="B3055" s="93" t="s">
        <v>9441</v>
      </c>
      <c r="C3055" s="91" t="s">
        <v>36</v>
      </c>
      <c r="D3055" s="94" t="s">
        <v>142</v>
      </c>
      <c r="E3055" s="94" t="s">
        <v>9542</v>
      </c>
      <c r="F3055" s="95" t="s">
        <v>9543</v>
      </c>
      <c r="G3055" s="96">
        <v>43179</v>
      </c>
      <c r="H3055" s="97">
        <v>20619</v>
      </c>
      <c r="I3055" s="102" t="s">
        <v>9544</v>
      </c>
      <c r="J3055" s="94" t="s">
        <v>9545</v>
      </c>
      <c r="K3055" s="95">
        <v>985532963</v>
      </c>
      <c r="L3055" s="91" t="s">
        <v>72</v>
      </c>
      <c r="M3055" s="98">
        <f ca="1">(TODAY()-H3055)/365</f>
        <v>69.542465753424651</v>
      </c>
      <c r="N3055" s="99">
        <f>(G3055-H3055)/365</f>
        <v>61.80821917808219</v>
      </c>
      <c r="O3055" s="98">
        <f ca="1">(TODAY()-G3055)/365</f>
        <v>7.7342465753424658</v>
      </c>
      <c r="P3055" s="91" t="s">
        <v>272</v>
      </c>
      <c r="Q3055" s="91">
        <v>0</v>
      </c>
      <c r="R3055" s="91">
        <v>0</v>
      </c>
      <c r="S3055" s="91">
        <v>0</v>
      </c>
      <c r="T3055" s="91"/>
      <c r="U3055" s="91"/>
      <c r="V3055" s="91"/>
      <c r="W3055" s="91"/>
      <c r="X3055" s="91"/>
      <c r="Y3055" s="91"/>
      <c r="Z3055" s="91"/>
      <c r="AA3055" s="91"/>
      <c r="AB3055" s="91"/>
      <c r="AC3055" s="91"/>
      <c r="AD3055" s="91"/>
      <c r="AE3055" s="91"/>
      <c r="AF3055" s="91"/>
      <c r="AG3055" s="91"/>
      <c r="AH3055" s="91"/>
      <c r="AI3055" s="91"/>
      <c r="AJ3055" s="91"/>
      <c r="AK3055" s="91"/>
      <c r="AL3055" s="91"/>
      <c r="AM3055" s="91"/>
    </row>
    <row r="3056" spans="1:39" ht="20.25" hidden="1" customHeight="1">
      <c r="A3056" s="91"/>
      <c r="B3056" s="93" t="s">
        <v>9441</v>
      </c>
      <c r="C3056" s="91" t="s">
        <v>36</v>
      </c>
      <c r="D3056" s="94" t="s">
        <v>3763</v>
      </c>
      <c r="E3056" s="94" t="s">
        <v>9546</v>
      </c>
      <c r="F3056" s="95" t="s">
        <v>9547</v>
      </c>
      <c r="G3056" s="96">
        <v>45247</v>
      </c>
      <c r="H3056" s="97">
        <v>22490</v>
      </c>
      <c r="I3056" s="102" t="s">
        <v>9548</v>
      </c>
      <c r="J3056" s="94" t="s">
        <v>9549</v>
      </c>
      <c r="K3056" s="95">
        <v>983019911</v>
      </c>
      <c r="L3056" s="91" t="s">
        <v>60</v>
      </c>
      <c r="M3056" s="98">
        <f ca="1">(TODAY()-H3056)/365</f>
        <v>64.416438356164377</v>
      </c>
      <c r="N3056" s="99">
        <f>(G3056-H3056)/365</f>
        <v>62.347945205479455</v>
      </c>
      <c r="O3056" s="98">
        <f ca="1">(TODAY()-G3056)/365</f>
        <v>2.0684931506849313</v>
      </c>
      <c r="P3056" s="91" t="s">
        <v>43</v>
      </c>
      <c r="Q3056" s="91">
        <v>0</v>
      </c>
      <c r="R3056" s="91">
        <v>0</v>
      </c>
      <c r="S3056" s="91">
        <v>0</v>
      </c>
      <c r="T3056" s="91"/>
      <c r="U3056" s="91"/>
      <c r="V3056" s="91"/>
      <c r="W3056" s="91"/>
      <c r="X3056" s="91"/>
      <c r="Y3056" s="91"/>
      <c r="Z3056" s="91"/>
      <c r="AA3056" s="91"/>
      <c r="AB3056" s="91"/>
      <c r="AC3056" s="91"/>
      <c r="AD3056" s="91"/>
      <c r="AE3056" s="91"/>
      <c r="AF3056" s="91"/>
      <c r="AG3056" s="91"/>
      <c r="AH3056" s="91"/>
      <c r="AI3056" s="91"/>
      <c r="AJ3056" s="91"/>
      <c r="AK3056" s="91"/>
      <c r="AL3056" s="91"/>
      <c r="AM3056" s="91"/>
    </row>
    <row r="3057" spans="1:39" ht="20.25" hidden="1" customHeight="1">
      <c r="A3057" s="91"/>
      <c r="B3057" s="93" t="s">
        <v>9441</v>
      </c>
      <c r="C3057" s="91" t="s">
        <v>36</v>
      </c>
      <c r="D3057" s="94" t="s">
        <v>5802</v>
      </c>
      <c r="E3057" s="94" t="s">
        <v>9550</v>
      </c>
      <c r="F3057" s="95" t="s">
        <v>9551</v>
      </c>
      <c r="G3057" s="96">
        <v>45247</v>
      </c>
      <c r="H3057" s="97">
        <v>21321</v>
      </c>
      <c r="I3057" s="102" t="s">
        <v>9552</v>
      </c>
      <c r="J3057" s="94" t="s">
        <v>9553</v>
      </c>
      <c r="K3057" s="95">
        <v>967465283</v>
      </c>
      <c r="L3057" s="91" t="s">
        <v>60</v>
      </c>
      <c r="M3057" s="98">
        <f ca="1">(TODAY()-H3057)/365</f>
        <v>67.61917808219178</v>
      </c>
      <c r="N3057" s="99">
        <f>(G3057-H3057)/365</f>
        <v>65.550684931506851</v>
      </c>
      <c r="O3057" s="98">
        <f ca="1">(TODAY()-G3057)/365</f>
        <v>2.0684931506849313</v>
      </c>
      <c r="P3057" s="91" t="s">
        <v>272</v>
      </c>
      <c r="Q3057" s="91">
        <v>0</v>
      </c>
      <c r="R3057" s="91">
        <v>0</v>
      </c>
      <c r="S3057" s="91">
        <v>0</v>
      </c>
      <c r="T3057" s="91"/>
      <c r="U3057" s="91"/>
      <c r="V3057" s="91"/>
      <c r="W3057" s="91"/>
      <c r="X3057" s="91"/>
      <c r="Y3057" s="91"/>
      <c r="Z3057" s="91"/>
      <c r="AA3057" s="91"/>
      <c r="AB3057" s="91"/>
      <c r="AC3057" s="91"/>
      <c r="AD3057" s="91"/>
      <c r="AE3057" s="91"/>
      <c r="AF3057" s="91"/>
      <c r="AG3057" s="91"/>
      <c r="AH3057" s="91"/>
      <c r="AI3057" s="91"/>
      <c r="AJ3057" s="91"/>
      <c r="AK3057" s="91"/>
      <c r="AL3057" s="91"/>
      <c r="AM3057" s="91"/>
    </row>
    <row r="3058" spans="1:39" ht="20.25" hidden="1" customHeight="1">
      <c r="A3058" s="91"/>
      <c r="B3058" s="93" t="s">
        <v>9441</v>
      </c>
      <c r="C3058" s="91" t="s">
        <v>36</v>
      </c>
      <c r="D3058" s="94" t="s">
        <v>367</v>
      </c>
      <c r="E3058" s="94" t="s">
        <v>9554</v>
      </c>
      <c r="F3058" s="95" t="s">
        <v>9555</v>
      </c>
      <c r="G3058" s="96">
        <v>45247</v>
      </c>
      <c r="H3058" s="97">
        <v>18958</v>
      </c>
      <c r="I3058" s="94" t="s">
        <v>9556</v>
      </c>
      <c r="J3058" s="94" t="s">
        <v>9557</v>
      </c>
      <c r="K3058" s="95">
        <v>996664071</v>
      </c>
      <c r="L3058" s="91" t="s">
        <v>60</v>
      </c>
      <c r="M3058" s="98">
        <f ca="1">(TODAY()-H3058)/365</f>
        <v>74.093150684931501</v>
      </c>
      <c r="N3058" s="99">
        <f>(G3058-H3058)/365</f>
        <v>72.024657534246572</v>
      </c>
      <c r="O3058" s="98">
        <f ca="1">(TODAY()-G3058)/365</f>
        <v>2.0684931506849313</v>
      </c>
      <c r="P3058" s="91" t="s">
        <v>43</v>
      </c>
      <c r="Q3058" s="91">
        <v>0</v>
      </c>
      <c r="R3058" s="91">
        <v>0</v>
      </c>
      <c r="S3058" s="91">
        <v>0</v>
      </c>
      <c r="T3058" s="91"/>
      <c r="U3058" s="91"/>
      <c r="V3058" s="91"/>
      <c r="W3058" s="91"/>
      <c r="X3058" s="91"/>
      <c r="Y3058" s="91"/>
      <c r="Z3058" s="91"/>
      <c r="AA3058" s="91"/>
      <c r="AB3058" s="91"/>
      <c r="AC3058" s="91"/>
      <c r="AD3058" s="91"/>
      <c r="AE3058" s="91"/>
      <c r="AF3058" s="91"/>
      <c r="AG3058" s="91"/>
      <c r="AH3058" s="91"/>
      <c r="AI3058" s="91"/>
      <c r="AJ3058" s="91"/>
      <c r="AK3058" s="91"/>
      <c r="AL3058" s="91"/>
      <c r="AM3058" s="91"/>
    </row>
    <row r="3059" spans="1:39" ht="20.25" hidden="1" customHeight="1">
      <c r="A3059" s="91"/>
      <c r="B3059" s="93" t="s">
        <v>9558</v>
      </c>
      <c r="C3059" s="91" t="s">
        <v>36</v>
      </c>
      <c r="D3059" s="94" t="s">
        <v>9559</v>
      </c>
      <c r="E3059" s="94" t="s">
        <v>1713</v>
      </c>
      <c r="F3059" s="95" t="s">
        <v>9560</v>
      </c>
      <c r="G3059" s="96">
        <v>36161</v>
      </c>
      <c r="H3059" s="97">
        <v>30686</v>
      </c>
      <c r="I3059" s="100" t="s">
        <v>58</v>
      </c>
      <c r="J3059" s="100" t="s">
        <v>58</v>
      </c>
      <c r="K3059" s="91" t="s">
        <v>58</v>
      </c>
      <c r="L3059" s="91" t="s">
        <v>42</v>
      </c>
      <c r="M3059" s="98">
        <f ca="1">(TODAY()-H3059)/365</f>
        <v>41.961643835616435</v>
      </c>
      <c r="N3059" s="99">
        <f>(G3059-H3059)/365</f>
        <v>15</v>
      </c>
      <c r="O3059" s="98">
        <f ca="1">(TODAY()-G3059)/365</f>
        <v>26.961643835616439</v>
      </c>
      <c r="P3059" s="91" t="s">
        <v>272</v>
      </c>
      <c r="Q3059" s="91">
        <v>0</v>
      </c>
      <c r="R3059" s="91">
        <v>0</v>
      </c>
      <c r="S3059" s="91">
        <v>0</v>
      </c>
      <c r="T3059" s="91"/>
      <c r="U3059" s="91"/>
      <c r="V3059" s="91"/>
      <c r="W3059" s="91"/>
      <c r="X3059" s="91"/>
      <c r="Y3059" s="91">
        <v>2024</v>
      </c>
      <c r="Z3059" s="91"/>
      <c r="AA3059" s="91"/>
      <c r="AB3059" s="91"/>
      <c r="AC3059" s="91"/>
      <c r="AD3059" s="91"/>
      <c r="AE3059" s="91"/>
      <c r="AF3059" s="91"/>
      <c r="AG3059" s="91"/>
      <c r="AH3059" s="91"/>
      <c r="AI3059" s="91"/>
      <c r="AJ3059" s="91"/>
      <c r="AK3059" s="91"/>
      <c r="AL3059" s="91"/>
      <c r="AM3059" s="91"/>
    </row>
    <row r="3060" spans="1:39" ht="20.25" hidden="1" customHeight="1">
      <c r="A3060" s="91"/>
      <c r="B3060" s="93" t="s">
        <v>9558</v>
      </c>
      <c r="C3060" s="91" t="s">
        <v>36</v>
      </c>
      <c r="D3060" s="94" t="s">
        <v>3121</v>
      </c>
      <c r="E3060" s="94" t="s">
        <v>8611</v>
      </c>
      <c r="F3060" s="95" t="s">
        <v>8612</v>
      </c>
      <c r="G3060" s="96">
        <v>26299</v>
      </c>
      <c r="H3060" s="97">
        <v>19675</v>
      </c>
      <c r="I3060" s="100" t="s">
        <v>58</v>
      </c>
      <c r="J3060" s="100" t="s">
        <v>58</v>
      </c>
      <c r="K3060" s="91" t="s">
        <v>58</v>
      </c>
      <c r="L3060" s="91" t="s">
        <v>49</v>
      </c>
      <c r="M3060" s="98">
        <f ca="1">(TODAY()-H3060)/365</f>
        <v>72.128767123287673</v>
      </c>
      <c r="N3060" s="99">
        <f>(G3060-H3060)/365</f>
        <v>18.147945205479452</v>
      </c>
      <c r="O3060" s="98">
        <f ca="1">(TODAY()-G3060)/365</f>
        <v>53.980821917808221</v>
      </c>
      <c r="P3060" s="91" t="s">
        <v>43</v>
      </c>
      <c r="Q3060" s="91">
        <v>1</v>
      </c>
      <c r="R3060" s="91">
        <v>0</v>
      </c>
      <c r="S3060" s="91">
        <v>0</v>
      </c>
      <c r="T3060" s="91"/>
      <c r="U3060" s="91"/>
      <c r="V3060" s="91">
        <v>2010</v>
      </c>
      <c r="W3060" s="91"/>
      <c r="X3060" s="91"/>
      <c r="Y3060" s="91"/>
      <c r="Z3060" s="91"/>
      <c r="AA3060" s="91"/>
      <c r="AB3060" s="91"/>
      <c r="AC3060" s="91"/>
      <c r="AD3060" s="91"/>
      <c r="AE3060" s="91"/>
      <c r="AF3060" s="91"/>
      <c r="AG3060" s="91"/>
      <c r="AH3060" s="91"/>
      <c r="AI3060" s="91"/>
      <c r="AJ3060" s="91"/>
      <c r="AK3060" s="91"/>
      <c r="AL3060" s="91"/>
      <c r="AM3060" s="91"/>
    </row>
    <row r="3061" spans="1:39" ht="20.25" hidden="1" customHeight="1">
      <c r="A3061" s="91"/>
      <c r="B3061" s="93" t="s">
        <v>9558</v>
      </c>
      <c r="C3061" s="91" t="s">
        <v>36</v>
      </c>
      <c r="D3061" s="94" t="s">
        <v>1433</v>
      </c>
      <c r="E3061" s="94" t="s">
        <v>9561</v>
      </c>
      <c r="F3061" s="91" t="s">
        <v>58</v>
      </c>
      <c r="G3061" s="96">
        <v>27030</v>
      </c>
      <c r="H3061" s="97">
        <v>20312</v>
      </c>
      <c r="I3061" s="100" t="s">
        <v>58</v>
      </c>
      <c r="J3061" s="100" t="s">
        <v>58</v>
      </c>
      <c r="K3061" s="91" t="s">
        <v>58</v>
      </c>
      <c r="L3061" s="91" t="s">
        <v>60</v>
      </c>
      <c r="M3061" s="98">
        <f ca="1">(TODAY()-H3061)/365</f>
        <v>70.38356164383562</v>
      </c>
      <c r="N3061" s="99">
        <f>(G3061-H3061)/365</f>
        <v>18.405479452054795</v>
      </c>
      <c r="O3061" s="98">
        <f ca="1">(TODAY()-G3061)/365</f>
        <v>51.978082191780821</v>
      </c>
      <c r="P3061" s="91" t="s">
        <v>43</v>
      </c>
      <c r="Q3061" s="91">
        <v>0</v>
      </c>
      <c r="R3061" s="91">
        <v>0</v>
      </c>
      <c r="S3061" s="91">
        <v>0</v>
      </c>
      <c r="T3061" s="91"/>
      <c r="U3061" s="91"/>
      <c r="V3061" s="91"/>
      <c r="W3061" s="91"/>
      <c r="X3061" s="91"/>
      <c r="Y3061" s="91"/>
      <c r="Z3061" s="91"/>
      <c r="AA3061" s="91"/>
      <c r="AB3061" s="91"/>
      <c r="AC3061" s="91"/>
      <c r="AD3061" s="91"/>
      <c r="AE3061" s="91"/>
      <c r="AF3061" s="91"/>
      <c r="AG3061" s="91"/>
      <c r="AH3061" s="91"/>
      <c r="AI3061" s="91"/>
      <c r="AJ3061" s="91"/>
      <c r="AK3061" s="91"/>
      <c r="AL3061" s="91"/>
      <c r="AM3061" s="91"/>
    </row>
    <row r="3062" spans="1:39" ht="20.25" hidden="1" customHeight="1">
      <c r="A3062" s="91"/>
      <c r="B3062" s="93" t="s">
        <v>9558</v>
      </c>
      <c r="C3062" s="91" t="s">
        <v>36</v>
      </c>
      <c r="D3062" s="94" t="s">
        <v>9562</v>
      </c>
      <c r="E3062" s="94" t="s">
        <v>9563</v>
      </c>
      <c r="F3062" s="95" t="s">
        <v>9564</v>
      </c>
      <c r="G3062" s="96">
        <v>45292</v>
      </c>
      <c r="H3062" s="97">
        <v>38571</v>
      </c>
      <c r="I3062" s="100" t="s">
        <v>58</v>
      </c>
      <c r="J3062" s="100" t="s">
        <v>58</v>
      </c>
      <c r="K3062" s="91" t="s">
        <v>58</v>
      </c>
      <c r="L3062" s="91" t="s">
        <v>121</v>
      </c>
      <c r="M3062" s="98">
        <f ca="1">(TODAY()-H3062)/365</f>
        <v>20.358904109589041</v>
      </c>
      <c r="N3062" s="99">
        <f>(G3062-H3062)/365</f>
        <v>18.413698630136988</v>
      </c>
      <c r="O3062" s="98">
        <f ca="1">(TODAY()-G3062)/365</f>
        <v>1.9452054794520548</v>
      </c>
      <c r="P3062" s="91" t="s">
        <v>272</v>
      </c>
      <c r="Q3062" s="91">
        <v>0</v>
      </c>
      <c r="R3062" s="91">
        <v>0</v>
      </c>
      <c r="S3062" s="91">
        <v>0</v>
      </c>
      <c r="T3062" s="91"/>
      <c r="U3062" s="91"/>
      <c r="V3062" s="91"/>
      <c r="W3062" s="91"/>
      <c r="X3062" s="91"/>
      <c r="Y3062" s="91"/>
      <c r="Z3062" s="91"/>
      <c r="AA3062" s="91"/>
      <c r="AB3062" s="91"/>
      <c r="AC3062" s="91"/>
      <c r="AD3062" s="91"/>
      <c r="AE3062" s="91"/>
      <c r="AF3062" s="91"/>
      <c r="AG3062" s="91"/>
      <c r="AH3062" s="91"/>
      <c r="AI3062" s="91"/>
      <c r="AJ3062" s="91"/>
      <c r="AK3062" s="91"/>
      <c r="AL3062" s="91"/>
      <c r="AM3062" s="91"/>
    </row>
    <row r="3063" spans="1:39" ht="20.25" hidden="1" customHeight="1">
      <c r="A3063" s="91"/>
      <c r="B3063" s="93" t="s">
        <v>9558</v>
      </c>
      <c r="C3063" s="91" t="s">
        <v>36</v>
      </c>
      <c r="D3063" s="94" t="s">
        <v>9565</v>
      </c>
      <c r="E3063" s="94" t="s">
        <v>9566</v>
      </c>
      <c r="F3063" s="95" t="s">
        <v>9567</v>
      </c>
      <c r="G3063" s="96">
        <v>26665</v>
      </c>
      <c r="H3063" s="97">
        <v>19627</v>
      </c>
      <c r="I3063" s="100" t="s">
        <v>58</v>
      </c>
      <c r="J3063" s="100" t="s">
        <v>58</v>
      </c>
      <c r="K3063" s="91" t="s">
        <v>58</v>
      </c>
      <c r="L3063" s="91" t="s">
        <v>54</v>
      </c>
      <c r="M3063" s="98">
        <f ca="1">(TODAY()-H3063)/365</f>
        <v>72.260273972602747</v>
      </c>
      <c r="N3063" s="99">
        <f>(G3063-H3063)/365</f>
        <v>19.282191780821918</v>
      </c>
      <c r="O3063" s="98">
        <f ca="1">(TODAY()-G3063)/365</f>
        <v>52.978082191780821</v>
      </c>
      <c r="P3063" s="91" t="s">
        <v>43</v>
      </c>
      <c r="Q3063" s="91">
        <v>0</v>
      </c>
      <c r="R3063" s="91">
        <v>0</v>
      </c>
      <c r="S3063" s="91">
        <v>0</v>
      </c>
      <c r="T3063" s="91"/>
      <c r="U3063" s="91"/>
      <c r="V3063" s="91"/>
      <c r="W3063" s="91"/>
      <c r="X3063" s="91"/>
      <c r="Y3063" s="91"/>
      <c r="Z3063" s="91"/>
      <c r="AA3063" s="91"/>
      <c r="AB3063" s="91"/>
      <c r="AC3063" s="91"/>
      <c r="AD3063" s="91"/>
      <c r="AE3063" s="91"/>
      <c r="AF3063" s="91"/>
      <c r="AG3063" s="91"/>
      <c r="AH3063" s="91"/>
      <c r="AI3063" s="91"/>
      <c r="AJ3063" s="91"/>
      <c r="AK3063" s="91"/>
      <c r="AL3063" s="91"/>
      <c r="AM3063" s="91"/>
    </row>
    <row r="3064" spans="1:39" ht="20.25" hidden="1" customHeight="1">
      <c r="A3064" s="91"/>
      <c r="B3064" s="93" t="s">
        <v>9558</v>
      </c>
      <c r="C3064" s="91" t="s">
        <v>36</v>
      </c>
      <c r="D3064" s="94" t="s">
        <v>9568</v>
      </c>
      <c r="E3064" s="94" t="s">
        <v>9569</v>
      </c>
      <c r="F3064" s="95" t="s">
        <v>9570</v>
      </c>
      <c r="G3064" s="96">
        <v>44197</v>
      </c>
      <c r="H3064" s="97">
        <v>37084</v>
      </c>
      <c r="I3064" s="100" t="s">
        <v>58</v>
      </c>
      <c r="J3064" s="100" t="s">
        <v>58</v>
      </c>
      <c r="K3064" s="91" t="s">
        <v>58</v>
      </c>
      <c r="L3064" s="91" t="s">
        <v>60</v>
      </c>
      <c r="M3064" s="98">
        <f ca="1">(TODAY()-H3064)/365</f>
        <v>24.432876712328767</v>
      </c>
      <c r="N3064" s="99">
        <f>(G3064-H3064)/365</f>
        <v>19.487671232876714</v>
      </c>
      <c r="O3064" s="98">
        <f ca="1">(TODAY()-G3064)/365</f>
        <v>4.9452054794520546</v>
      </c>
      <c r="P3064" s="91" t="s">
        <v>272</v>
      </c>
      <c r="Q3064" s="91">
        <v>0</v>
      </c>
      <c r="R3064" s="91">
        <v>0</v>
      </c>
      <c r="S3064" s="91">
        <v>0</v>
      </c>
      <c r="T3064" s="91"/>
      <c r="U3064" s="91"/>
      <c r="V3064" s="91"/>
      <c r="W3064" s="91"/>
      <c r="X3064" s="91"/>
      <c r="Y3064" s="91"/>
      <c r="Z3064" s="91"/>
      <c r="AA3064" s="91"/>
      <c r="AB3064" s="91"/>
      <c r="AC3064" s="91"/>
      <c r="AD3064" s="91"/>
      <c r="AE3064" s="91"/>
      <c r="AF3064" s="91"/>
      <c r="AG3064" s="91"/>
      <c r="AH3064" s="91"/>
      <c r="AI3064" s="91"/>
      <c r="AJ3064" s="91"/>
      <c r="AK3064" s="91"/>
      <c r="AL3064" s="91"/>
      <c r="AM3064" s="91"/>
    </row>
    <row r="3065" spans="1:39" ht="20.25" hidden="1" customHeight="1">
      <c r="A3065" s="91"/>
      <c r="B3065" s="93" t="s">
        <v>9558</v>
      </c>
      <c r="C3065" s="91" t="s">
        <v>36</v>
      </c>
      <c r="D3065" s="94" t="s">
        <v>3763</v>
      </c>
      <c r="E3065" s="94" t="s">
        <v>9571</v>
      </c>
      <c r="F3065" s="95" t="s">
        <v>9572</v>
      </c>
      <c r="G3065" s="96">
        <v>35065</v>
      </c>
      <c r="H3065" s="97">
        <v>22650</v>
      </c>
      <c r="I3065" s="100" t="s">
        <v>58</v>
      </c>
      <c r="J3065" s="100" t="s">
        <v>58</v>
      </c>
      <c r="K3065" s="91" t="s">
        <v>58</v>
      </c>
      <c r="L3065" s="91" t="s">
        <v>66</v>
      </c>
      <c r="M3065" s="98">
        <f ca="1">(TODAY()-H3065)/365</f>
        <v>63.978082191780821</v>
      </c>
      <c r="N3065" s="99">
        <f>(G3065-H3065)/365</f>
        <v>34.013698630136986</v>
      </c>
      <c r="O3065" s="98">
        <f ca="1">(TODAY()-G3065)/365</f>
        <v>29.964383561643835</v>
      </c>
      <c r="P3065" s="91" t="s">
        <v>43</v>
      </c>
      <c r="Q3065" s="91">
        <v>0</v>
      </c>
      <c r="R3065" s="91">
        <v>0</v>
      </c>
      <c r="S3065" s="91">
        <v>0</v>
      </c>
      <c r="T3065" s="91"/>
      <c r="U3065" s="91"/>
      <c r="V3065" s="91"/>
      <c r="W3065" s="91"/>
      <c r="X3065" s="91"/>
      <c r="Y3065" s="91"/>
      <c r="Z3065" s="91"/>
      <c r="AA3065" s="91"/>
      <c r="AB3065" s="91"/>
      <c r="AC3065" s="91"/>
      <c r="AD3065" s="91"/>
      <c r="AE3065" s="91"/>
      <c r="AF3065" s="91"/>
      <c r="AG3065" s="91"/>
      <c r="AH3065" s="91"/>
      <c r="AI3065" s="91"/>
      <c r="AJ3065" s="91"/>
      <c r="AK3065" s="91"/>
      <c r="AL3065" s="91"/>
      <c r="AM3065" s="91"/>
    </row>
    <row r="3066" spans="1:39" ht="20.25" hidden="1" customHeight="1">
      <c r="A3066" s="91"/>
      <c r="B3066" s="93" t="s">
        <v>9558</v>
      </c>
      <c r="C3066" s="91" t="s">
        <v>36</v>
      </c>
      <c r="D3066" s="94" t="s">
        <v>9573</v>
      </c>
      <c r="E3066" s="94" t="s">
        <v>9574</v>
      </c>
      <c r="F3066" s="95" t="s">
        <v>9575</v>
      </c>
      <c r="G3066" s="96">
        <v>31778</v>
      </c>
      <c r="H3066" s="97">
        <v>18915</v>
      </c>
      <c r="I3066" s="100" t="s">
        <v>58</v>
      </c>
      <c r="J3066" s="100" t="s">
        <v>58</v>
      </c>
      <c r="K3066" s="91" t="s">
        <v>58</v>
      </c>
      <c r="L3066" s="91" t="s">
        <v>216</v>
      </c>
      <c r="M3066" s="98">
        <f ca="1">(TODAY()-H3066)/365</f>
        <v>74.210958904109589</v>
      </c>
      <c r="N3066" s="99">
        <f>(G3066-H3066)/365</f>
        <v>35.241095890410961</v>
      </c>
      <c r="O3066" s="98">
        <f ca="1">(TODAY()-G3066)/365</f>
        <v>38.969863013698628</v>
      </c>
      <c r="P3066" s="91" t="s">
        <v>43</v>
      </c>
      <c r="Q3066" s="91">
        <v>0</v>
      </c>
      <c r="R3066" s="91">
        <v>0</v>
      </c>
      <c r="S3066" s="91">
        <v>0</v>
      </c>
      <c r="T3066" s="91"/>
      <c r="U3066" s="91"/>
      <c r="V3066" s="91"/>
      <c r="W3066" s="91"/>
      <c r="X3066" s="91"/>
      <c r="Y3066" s="91"/>
      <c r="Z3066" s="91"/>
      <c r="AA3066" s="91"/>
      <c r="AB3066" s="91"/>
      <c r="AC3066" s="91"/>
      <c r="AD3066" s="91"/>
      <c r="AE3066" s="91"/>
      <c r="AF3066" s="91"/>
      <c r="AG3066" s="91"/>
      <c r="AH3066" s="91"/>
      <c r="AI3066" s="91"/>
      <c r="AJ3066" s="91"/>
      <c r="AK3066" s="91"/>
      <c r="AL3066" s="91"/>
      <c r="AM3066" s="91"/>
    </row>
    <row r="3067" spans="1:39" ht="20.25" hidden="1" customHeight="1">
      <c r="A3067" s="91"/>
      <c r="B3067" s="93" t="s">
        <v>9558</v>
      </c>
      <c r="C3067" s="91" t="s">
        <v>36</v>
      </c>
      <c r="D3067" s="94" t="s">
        <v>9576</v>
      </c>
      <c r="E3067" s="94" t="s">
        <v>9577</v>
      </c>
      <c r="F3067" s="95" t="s">
        <v>9578</v>
      </c>
      <c r="G3067" s="96">
        <v>44197</v>
      </c>
      <c r="H3067" s="97">
        <v>30094</v>
      </c>
      <c r="I3067" s="100" t="s">
        <v>58</v>
      </c>
      <c r="J3067" s="100" t="s">
        <v>58</v>
      </c>
      <c r="K3067" s="91" t="s">
        <v>58</v>
      </c>
      <c r="L3067" s="91" t="s">
        <v>60</v>
      </c>
      <c r="M3067" s="98">
        <f ca="1">(TODAY()-H3067)/365</f>
        <v>43.583561643835615</v>
      </c>
      <c r="N3067" s="99">
        <f>(G3067-H3067)/365</f>
        <v>38.638356164383559</v>
      </c>
      <c r="O3067" s="98">
        <f ca="1">(TODAY()-G3067)/365</f>
        <v>4.9452054794520546</v>
      </c>
      <c r="P3067" s="91" t="s">
        <v>43</v>
      </c>
      <c r="Q3067" s="91">
        <v>0</v>
      </c>
      <c r="R3067" s="91">
        <v>0</v>
      </c>
      <c r="S3067" s="91">
        <v>0</v>
      </c>
      <c r="T3067" s="91"/>
      <c r="U3067" s="91"/>
      <c r="V3067" s="91"/>
      <c r="W3067" s="91"/>
      <c r="X3067" s="91"/>
      <c r="Y3067" s="91"/>
      <c r="Z3067" s="91"/>
      <c r="AA3067" s="91"/>
      <c r="AB3067" s="91"/>
      <c r="AC3067" s="91"/>
      <c r="AD3067" s="91"/>
      <c r="AE3067" s="91"/>
      <c r="AF3067" s="91"/>
      <c r="AG3067" s="91"/>
      <c r="AH3067" s="91"/>
      <c r="AI3067" s="91"/>
      <c r="AJ3067" s="91"/>
      <c r="AK3067" s="91"/>
      <c r="AL3067" s="91"/>
      <c r="AM3067" s="91"/>
    </row>
    <row r="3068" spans="1:39" ht="20.25" hidden="1" customHeight="1">
      <c r="A3068" s="91"/>
      <c r="B3068" s="93" t="s">
        <v>9558</v>
      </c>
      <c r="C3068" s="91" t="s">
        <v>36</v>
      </c>
      <c r="D3068" s="94" t="s">
        <v>9579</v>
      </c>
      <c r="E3068" s="94" t="s">
        <v>9580</v>
      </c>
      <c r="F3068" s="95" t="s">
        <v>9581</v>
      </c>
      <c r="G3068" s="96">
        <v>26665</v>
      </c>
      <c r="H3068" s="97">
        <v>12517</v>
      </c>
      <c r="I3068" s="100" t="s">
        <v>58</v>
      </c>
      <c r="J3068" s="100" t="s">
        <v>58</v>
      </c>
      <c r="K3068" s="91" t="s">
        <v>58</v>
      </c>
      <c r="L3068" s="91" t="s">
        <v>60</v>
      </c>
      <c r="M3068" s="98">
        <f ca="1">(TODAY()-H3068)/365</f>
        <v>91.739726027397253</v>
      </c>
      <c r="N3068" s="99">
        <f>(G3068-H3068)/365</f>
        <v>38.761643835616439</v>
      </c>
      <c r="O3068" s="98">
        <f ca="1">(TODAY()-G3068)/365</f>
        <v>52.978082191780821</v>
      </c>
      <c r="P3068" s="91" t="s">
        <v>43</v>
      </c>
      <c r="Q3068" s="91">
        <v>0</v>
      </c>
      <c r="R3068" s="91">
        <v>0</v>
      </c>
      <c r="S3068" s="91">
        <v>0</v>
      </c>
      <c r="T3068" s="91"/>
      <c r="U3068" s="91"/>
      <c r="V3068" s="91"/>
      <c r="W3068" s="91"/>
      <c r="X3068" s="91"/>
      <c r="Y3068" s="91"/>
      <c r="Z3068" s="91"/>
      <c r="AA3068" s="91"/>
      <c r="AB3068" s="91"/>
      <c r="AC3068" s="91"/>
      <c r="AD3068" s="91"/>
      <c r="AE3068" s="91"/>
      <c r="AF3068" s="91"/>
      <c r="AG3068" s="91"/>
      <c r="AH3068" s="91"/>
      <c r="AI3068" s="91"/>
      <c r="AJ3068" s="91"/>
      <c r="AK3068" s="91"/>
      <c r="AL3068" s="91"/>
      <c r="AM3068" s="91"/>
    </row>
    <row r="3069" spans="1:39" ht="20.25" hidden="1" customHeight="1">
      <c r="A3069" s="91"/>
      <c r="B3069" s="93" t="s">
        <v>9558</v>
      </c>
      <c r="C3069" s="91" t="s">
        <v>36</v>
      </c>
      <c r="D3069" s="94" t="s">
        <v>2695</v>
      </c>
      <c r="E3069" s="94" t="s">
        <v>9582</v>
      </c>
      <c r="F3069" s="95" t="s">
        <v>9583</v>
      </c>
      <c r="G3069" s="96">
        <v>27395</v>
      </c>
      <c r="H3069" s="97">
        <v>13094</v>
      </c>
      <c r="I3069" s="100" t="s">
        <v>58</v>
      </c>
      <c r="J3069" s="100" t="s">
        <v>58</v>
      </c>
      <c r="K3069" s="91" t="s">
        <v>58</v>
      </c>
      <c r="L3069" s="91" t="s">
        <v>60</v>
      </c>
      <c r="M3069" s="98">
        <f ca="1">(TODAY()-H3069)/365</f>
        <v>90.158904109589045</v>
      </c>
      <c r="N3069" s="99">
        <f>(G3069-H3069)/365</f>
        <v>39.180821917808217</v>
      </c>
      <c r="O3069" s="98">
        <f ca="1">(TODAY()-G3069)/365</f>
        <v>50.978082191780821</v>
      </c>
      <c r="P3069" s="91" t="s">
        <v>43</v>
      </c>
      <c r="Q3069" s="91">
        <v>0</v>
      </c>
      <c r="R3069" s="91">
        <v>0</v>
      </c>
      <c r="S3069" s="91">
        <v>0</v>
      </c>
      <c r="T3069" s="91"/>
      <c r="U3069" s="91"/>
      <c r="V3069" s="91"/>
      <c r="W3069" s="91"/>
      <c r="X3069" s="91"/>
      <c r="Y3069" s="91"/>
      <c r="Z3069" s="91"/>
      <c r="AA3069" s="91"/>
      <c r="AB3069" s="91"/>
      <c r="AC3069" s="91"/>
      <c r="AD3069" s="91"/>
      <c r="AE3069" s="91"/>
      <c r="AF3069" s="91"/>
      <c r="AG3069" s="91"/>
      <c r="AH3069" s="91"/>
      <c r="AI3069" s="91"/>
      <c r="AJ3069" s="91"/>
      <c r="AK3069" s="91"/>
      <c r="AL3069" s="91"/>
      <c r="AM3069" s="91"/>
    </row>
    <row r="3070" spans="1:39" ht="20.25" hidden="1" customHeight="1">
      <c r="A3070" s="91"/>
      <c r="B3070" s="93" t="s">
        <v>9558</v>
      </c>
      <c r="C3070" s="91" t="s">
        <v>36</v>
      </c>
      <c r="D3070" s="94" t="s">
        <v>5112</v>
      </c>
      <c r="E3070" s="94" t="s">
        <v>9584</v>
      </c>
      <c r="F3070" s="95" t="s">
        <v>9585</v>
      </c>
      <c r="G3070" s="96">
        <v>31413</v>
      </c>
      <c r="H3070" s="97">
        <v>16309</v>
      </c>
      <c r="I3070" s="100" t="s">
        <v>58</v>
      </c>
      <c r="J3070" s="100" t="s">
        <v>58</v>
      </c>
      <c r="K3070" s="91" t="s">
        <v>58</v>
      </c>
      <c r="L3070" s="91" t="s">
        <v>60</v>
      </c>
      <c r="M3070" s="98">
        <f ca="1">(TODAY()-H3070)/365</f>
        <v>81.350684931506848</v>
      </c>
      <c r="N3070" s="99">
        <f>(G3070-H3070)/365</f>
        <v>41.38082191780822</v>
      </c>
      <c r="O3070" s="98">
        <f ca="1">(TODAY()-G3070)/365</f>
        <v>39.969863013698628</v>
      </c>
      <c r="P3070" s="91" t="s">
        <v>43</v>
      </c>
      <c r="Q3070" s="91">
        <v>0</v>
      </c>
      <c r="R3070" s="91">
        <v>0</v>
      </c>
      <c r="S3070" s="91">
        <v>0</v>
      </c>
      <c r="T3070" s="91"/>
      <c r="U3070" s="91"/>
      <c r="V3070" s="91"/>
      <c r="W3070" s="91"/>
      <c r="X3070" s="91"/>
      <c r="Y3070" s="91"/>
      <c r="Z3070" s="91"/>
      <c r="AA3070" s="91"/>
      <c r="AB3070" s="91"/>
      <c r="AC3070" s="91"/>
      <c r="AD3070" s="91"/>
      <c r="AE3070" s="91"/>
      <c r="AF3070" s="91"/>
      <c r="AG3070" s="91"/>
      <c r="AH3070" s="91"/>
      <c r="AI3070" s="91"/>
      <c r="AJ3070" s="91"/>
      <c r="AK3070" s="91"/>
      <c r="AL3070" s="91"/>
      <c r="AM3070" s="91"/>
    </row>
    <row r="3071" spans="1:39" ht="20.25" hidden="1" customHeight="1">
      <c r="A3071" s="91"/>
      <c r="B3071" s="93" t="s">
        <v>9558</v>
      </c>
      <c r="C3071" s="91" t="s">
        <v>36</v>
      </c>
      <c r="D3071" s="94" t="s">
        <v>716</v>
      </c>
      <c r="E3071" s="94" t="s">
        <v>9586</v>
      </c>
      <c r="F3071" s="95" t="s">
        <v>9587</v>
      </c>
      <c r="G3071" s="96">
        <v>37257</v>
      </c>
      <c r="H3071" s="97">
        <v>22120</v>
      </c>
      <c r="I3071" s="100" t="s">
        <v>58</v>
      </c>
      <c r="J3071" s="100" t="s">
        <v>58</v>
      </c>
      <c r="K3071" s="91" t="s">
        <v>58</v>
      </c>
      <c r="L3071" s="91" t="s">
        <v>60</v>
      </c>
      <c r="M3071" s="98">
        <f ca="1">(TODAY()-H3071)/365</f>
        <v>65.430136986301363</v>
      </c>
      <c r="N3071" s="99">
        <f>(G3071-H3071)/365</f>
        <v>41.471232876712328</v>
      </c>
      <c r="O3071" s="98">
        <f ca="1">(TODAY()-G3071)/365</f>
        <v>23.958904109589042</v>
      </c>
      <c r="P3071" s="91" t="s">
        <v>43</v>
      </c>
      <c r="Q3071" s="91">
        <v>0</v>
      </c>
      <c r="R3071" s="91">
        <v>0</v>
      </c>
      <c r="S3071" s="91">
        <v>0</v>
      </c>
      <c r="T3071" s="91"/>
      <c r="U3071" s="91"/>
      <c r="V3071" s="91"/>
      <c r="W3071" s="91"/>
      <c r="X3071" s="91"/>
      <c r="Y3071" s="91"/>
      <c r="Z3071" s="91"/>
      <c r="AA3071" s="91"/>
      <c r="AB3071" s="91"/>
      <c r="AC3071" s="91"/>
      <c r="AD3071" s="91"/>
      <c r="AE3071" s="91"/>
      <c r="AF3071" s="91"/>
      <c r="AG3071" s="91"/>
      <c r="AH3071" s="91"/>
      <c r="AI3071" s="91"/>
      <c r="AJ3071" s="91"/>
      <c r="AK3071" s="91"/>
      <c r="AL3071" s="91"/>
      <c r="AM3071" s="91"/>
    </row>
    <row r="3072" spans="1:39" ht="20.25" hidden="1" customHeight="1">
      <c r="A3072" s="91"/>
      <c r="B3072" s="93" t="s">
        <v>9558</v>
      </c>
      <c r="C3072" s="91" t="s">
        <v>36</v>
      </c>
      <c r="D3072" s="94" t="s">
        <v>2415</v>
      </c>
      <c r="E3072" s="94" t="s">
        <v>9588</v>
      </c>
      <c r="F3072" s="95" t="s">
        <v>9589</v>
      </c>
      <c r="G3072" s="96">
        <v>29952</v>
      </c>
      <c r="H3072" s="97">
        <v>14383</v>
      </c>
      <c r="I3072" s="100" t="s">
        <v>58</v>
      </c>
      <c r="J3072" s="100" t="s">
        <v>58</v>
      </c>
      <c r="K3072" s="91" t="s">
        <v>58</v>
      </c>
      <c r="L3072" s="91" t="s">
        <v>60</v>
      </c>
      <c r="M3072" s="98">
        <f ca="1">(TODAY()-H3072)/365</f>
        <v>86.627397260273966</v>
      </c>
      <c r="N3072" s="99">
        <f>(G3072-H3072)/365</f>
        <v>42.654794520547945</v>
      </c>
      <c r="O3072" s="98">
        <f ca="1">(TODAY()-G3072)/365</f>
        <v>43.972602739726028</v>
      </c>
      <c r="P3072" s="91" t="s">
        <v>43</v>
      </c>
      <c r="Q3072" s="91">
        <v>0</v>
      </c>
      <c r="R3072" s="91">
        <v>0</v>
      </c>
      <c r="S3072" s="91">
        <v>0</v>
      </c>
      <c r="T3072" s="91"/>
      <c r="U3072" s="91"/>
      <c r="V3072" s="91"/>
      <c r="W3072" s="91"/>
      <c r="X3072" s="91"/>
      <c r="Y3072" s="91"/>
      <c r="Z3072" s="91"/>
      <c r="AA3072" s="91"/>
      <c r="AB3072" s="91"/>
      <c r="AC3072" s="91"/>
      <c r="AD3072" s="91"/>
      <c r="AE3072" s="91"/>
      <c r="AF3072" s="91"/>
      <c r="AG3072" s="91"/>
      <c r="AH3072" s="91"/>
      <c r="AI3072" s="91"/>
      <c r="AJ3072" s="91"/>
      <c r="AK3072" s="91"/>
      <c r="AL3072" s="91"/>
      <c r="AM3072" s="91"/>
    </row>
    <row r="3073" spans="1:39" ht="20.25" hidden="1" customHeight="1">
      <c r="A3073" s="91"/>
      <c r="B3073" s="93" t="s">
        <v>9558</v>
      </c>
      <c r="C3073" s="91" t="s">
        <v>36</v>
      </c>
      <c r="D3073" s="94" t="s">
        <v>9590</v>
      </c>
      <c r="E3073" s="94" t="s">
        <v>9591</v>
      </c>
      <c r="F3073" s="95" t="s">
        <v>9592</v>
      </c>
      <c r="G3073" s="96">
        <v>45292</v>
      </c>
      <c r="H3073" s="97">
        <v>29718</v>
      </c>
      <c r="I3073" s="100" t="s">
        <v>58</v>
      </c>
      <c r="J3073" s="100" t="s">
        <v>58</v>
      </c>
      <c r="K3073" s="91" t="s">
        <v>58</v>
      </c>
      <c r="L3073" s="91" t="s">
        <v>60</v>
      </c>
      <c r="M3073" s="98">
        <f ca="1">(TODAY()-H3073)/365</f>
        <v>44.613698630136987</v>
      </c>
      <c r="N3073" s="99">
        <f>(G3073-H3073)/365</f>
        <v>42.668493150684931</v>
      </c>
      <c r="O3073" s="98">
        <f ca="1">(TODAY()-G3073)/365</f>
        <v>1.9452054794520548</v>
      </c>
      <c r="P3073" s="91" t="s">
        <v>43</v>
      </c>
      <c r="Q3073" s="91">
        <v>0</v>
      </c>
      <c r="R3073" s="91">
        <v>0</v>
      </c>
      <c r="S3073" s="91">
        <v>0</v>
      </c>
      <c r="T3073" s="91"/>
      <c r="U3073" s="91"/>
      <c r="V3073" s="91"/>
      <c r="W3073" s="91"/>
      <c r="X3073" s="91"/>
      <c r="Y3073" s="91"/>
      <c r="Z3073" s="91"/>
      <c r="AA3073" s="91"/>
      <c r="AB3073" s="91"/>
      <c r="AC3073" s="91"/>
      <c r="AD3073" s="91"/>
      <c r="AE3073" s="91"/>
      <c r="AF3073" s="91"/>
      <c r="AG3073" s="91"/>
      <c r="AH3073" s="91"/>
      <c r="AI3073" s="91"/>
      <c r="AJ3073" s="91"/>
      <c r="AK3073" s="91"/>
      <c r="AL3073" s="91"/>
      <c r="AM3073" s="91"/>
    </row>
    <row r="3074" spans="1:39" ht="20.25" hidden="1" customHeight="1">
      <c r="A3074" s="91"/>
      <c r="B3074" s="93" t="s">
        <v>9558</v>
      </c>
      <c r="C3074" s="91" t="s">
        <v>36</v>
      </c>
      <c r="D3074" s="94" t="s">
        <v>9593</v>
      </c>
      <c r="E3074" s="94" t="s">
        <v>9594</v>
      </c>
      <c r="F3074" s="95" t="s">
        <v>9595</v>
      </c>
      <c r="G3074" s="96">
        <v>34700</v>
      </c>
      <c r="H3074" s="97">
        <v>18582</v>
      </c>
      <c r="I3074" s="100" t="s">
        <v>58</v>
      </c>
      <c r="J3074" s="100" t="s">
        <v>58</v>
      </c>
      <c r="K3074" s="91" t="s">
        <v>58</v>
      </c>
      <c r="L3074" s="91" t="s">
        <v>60</v>
      </c>
      <c r="M3074" s="98">
        <f ca="1">(TODAY()-H3074)/365</f>
        <v>75.123287671232873</v>
      </c>
      <c r="N3074" s="99">
        <f>(G3074-H3074)/365</f>
        <v>44.158904109589038</v>
      </c>
      <c r="O3074" s="98">
        <f ca="1">(TODAY()-G3074)/365</f>
        <v>30.964383561643835</v>
      </c>
      <c r="P3074" s="91" t="s">
        <v>43</v>
      </c>
      <c r="Q3074" s="91">
        <v>0</v>
      </c>
      <c r="R3074" s="91">
        <v>0</v>
      </c>
      <c r="S3074" s="91">
        <v>0</v>
      </c>
      <c r="T3074" s="91"/>
      <c r="U3074" s="91"/>
      <c r="V3074" s="91"/>
      <c r="W3074" s="91"/>
      <c r="X3074" s="91"/>
      <c r="Y3074" s="91"/>
      <c r="Z3074" s="91"/>
      <c r="AA3074" s="91"/>
      <c r="AB3074" s="91"/>
      <c r="AC3074" s="91"/>
      <c r="AD3074" s="91"/>
      <c r="AE3074" s="91"/>
      <c r="AF3074" s="91"/>
      <c r="AG3074" s="91"/>
      <c r="AH3074" s="91"/>
      <c r="AI3074" s="91"/>
      <c r="AJ3074" s="91"/>
      <c r="AK3074" s="91"/>
      <c r="AL3074" s="91"/>
      <c r="AM3074" s="91"/>
    </row>
    <row r="3075" spans="1:39" ht="20.25" hidden="1" customHeight="1">
      <c r="A3075" s="91"/>
      <c r="B3075" s="93" t="s">
        <v>9558</v>
      </c>
      <c r="C3075" s="91" t="s">
        <v>36</v>
      </c>
      <c r="D3075" s="94" t="s">
        <v>9596</v>
      </c>
      <c r="E3075" s="94" t="s">
        <v>9597</v>
      </c>
      <c r="F3075" s="95" t="s">
        <v>9598</v>
      </c>
      <c r="G3075" s="96">
        <v>35065</v>
      </c>
      <c r="H3075" s="97">
        <v>18531</v>
      </c>
      <c r="I3075" s="100" t="s">
        <v>58</v>
      </c>
      <c r="J3075" s="100" t="s">
        <v>58</v>
      </c>
      <c r="K3075" s="91" t="s">
        <v>58</v>
      </c>
      <c r="L3075" s="91" t="s">
        <v>60</v>
      </c>
      <c r="M3075" s="98">
        <f ca="1">(TODAY()-H3075)/365</f>
        <v>75.263013698630132</v>
      </c>
      <c r="N3075" s="99">
        <f>(G3075-H3075)/365</f>
        <v>45.298630136986304</v>
      </c>
      <c r="O3075" s="98">
        <f ca="1">(TODAY()-G3075)/365</f>
        <v>29.964383561643835</v>
      </c>
      <c r="P3075" s="91" t="s">
        <v>43</v>
      </c>
      <c r="Q3075" s="91">
        <v>0</v>
      </c>
      <c r="R3075" s="91">
        <v>0</v>
      </c>
      <c r="S3075" s="91">
        <v>0</v>
      </c>
      <c r="T3075" s="91"/>
      <c r="U3075" s="91"/>
      <c r="V3075" s="91"/>
      <c r="W3075" s="91"/>
      <c r="X3075" s="91"/>
      <c r="Y3075" s="91"/>
      <c r="Z3075" s="91"/>
      <c r="AA3075" s="91"/>
      <c r="AB3075" s="91"/>
      <c r="AC3075" s="91"/>
      <c r="AD3075" s="91"/>
      <c r="AE3075" s="91"/>
      <c r="AF3075" s="91"/>
      <c r="AG3075" s="91"/>
      <c r="AH3075" s="91"/>
      <c r="AI3075" s="91"/>
      <c r="AJ3075" s="91"/>
      <c r="AK3075" s="91"/>
      <c r="AL3075" s="91"/>
      <c r="AM3075" s="91"/>
    </row>
    <row r="3076" spans="1:39" ht="20.25" hidden="1" customHeight="1">
      <c r="A3076" s="91"/>
      <c r="B3076" s="93" t="s">
        <v>9558</v>
      </c>
      <c r="C3076" s="91" t="s">
        <v>36</v>
      </c>
      <c r="D3076" s="94" t="s">
        <v>9599</v>
      </c>
      <c r="E3076" s="94" t="s">
        <v>9600</v>
      </c>
      <c r="F3076" s="95" t="s">
        <v>9601</v>
      </c>
      <c r="G3076" s="96">
        <v>32874</v>
      </c>
      <c r="H3076" s="97">
        <v>16155</v>
      </c>
      <c r="I3076" s="100" t="s">
        <v>58</v>
      </c>
      <c r="J3076" s="100" t="s">
        <v>58</v>
      </c>
      <c r="K3076" s="91" t="s">
        <v>58</v>
      </c>
      <c r="L3076" s="91" t="s">
        <v>60</v>
      </c>
      <c r="M3076" s="98">
        <f ca="1">(TODAY()-H3076)/365</f>
        <v>81.772602739726025</v>
      </c>
      <c r="N3076" s="99">
        <f>(G3076-H3076)/365</f>
        <v>45.805479452054797</v>
      </c>
      <c r="O3076" s="98">
        <f ca="1">(TODAY()-G3076)/365</f>
        <v>35.967123287671235</v>
      </c>
      <c r="P3076" s="91" t="s">
        <v>43</v>
      </c>
      <c r="Q3076" s="91">
        <v>0</v>
      </c>
      <c r="R3076" s="91">
        <v>0</v>
      </c>
      <c r="S3076" s="91">
        <v>0</v>
      </c>
      <c r="T3076" s="91"/>
      <c r="U3076" s="91"/>
      <c r="V3076" s="91"/>
      <c r="W3076" s="91"/>
      <c r="X3076" s="91"/>
      <c r="Y3076" s="91"/>
      <c r="Z3076" s="91"/>
      <c r="AA3076" s="91"/>
      <c r="AB3076" s="91"/>
      <c r="AC3076" s="91"/>
      <c r="AD3076" s="91"/>
      <c r="AE3076" s="91"/>
      <c r="AF3076" s="91"/>
      <c r="AG3076" s="91"/>
      <c r="AH3076" s="91"/>
      <c r="AI3076" s="91"/>
      <c r="AJ3076" s="91"/>
      <c r="AK3076" s="91"/>
      <c r="AL3076" s="91"/>
      <c r="AM3076" s="91"/>
    </row>
    <row r="3077" spans="1:39" ht="20.25" hidden="1" customHeight="1">
      <c r="A3077" s="91"/>
      <c r="B3077" s="93" t="s">
        <v>9558</v>
      </c>
      <c r="C3077" s="91" t="s">
        <v>36</v>
      </c>
      <c r="D3077" s="94" t="s">
        <v>9602</v>
      </c>
      <c r="E3077" s="94" t="s">
        <v>9603</v>
      </c>
      <c r="F3077" s="95" t="s">
        <v>9604</v>
      </c>
      <c r="G3077" s="96">
        <v>41640</v>
      </c>
      <c r="H3077" s="97">
        <v>24809</v>
      </c>
      <c r="I3077" s="100" t="s">
        <v>58</v>
      </c>
      <c r="J3077" s="100" t="s">
        <v>58</v>
      </c>
      <c r="K3077" s="91" t="s">
        <v>58</v>
      </c>
      <c r="L3077" s="91" t="s">
        <v>72</v>
      </c>
      <c r="M3077" s="98">
        <f ca="1">(TODAY()-H3077)/365</f>
        <v>58.063013698630137</v>
      </c>
      <c r="N3077" s="99">
        <f>(G3077-H3077)/365</f>
        <v>46.112328767123287</v>
      </c>
      <c r="O3077" s="98">
        <f ca="1">(TODAY()-G3077)/365</f>
        <v>11.950684931506849</v>
      </c>
      <c r="P3077" s="91" t="s">
        <v>43</v>
      </c>
      <c r="Q3077" s="91">
        <v>0</v>
      </c>
      <c r="R3077" s="91">
        <v>0</v>
      </c>
      <c r="S3077" s="91">
        <v>0</v>
      </c>
      <c r="T3077" s="91"/>
      <c r="U3077" s="91"/>
      <c r="V3077" s="91"/>
      <c r="W3077" s="91"/>
      <c r="X3077" s="91"/>
      <c r="Y3077" s="91"/>
      <c r="Z3077" s="91"/>
      <c r="AA3077" s="91"/>
      <c r="AB3077" s="91"/>
      <c r="AC3077" s="91"/>
      <c r="AD3077" s="91"/>
      <c r="AE3077" s="91"/>
      <c r="AF3077" s="91"/>
      <c r="AG3077" s="91"/>
      <c r="AH3077" s="91"/>
      <c r="AI3077" s="91"/>
      <c r="AJ3077" s="91"/>
      <c r="AK3077" s="91"/>
      <c r="AL3077" s="91"/>
      <c r="AM3077" s="91"/>
    </row>
    <row r="3078" spans="1:39" ht="20.25" hidden="1" customHeight="1">
      <c r="A3078" s="91"/>
      <c r="B3078" s="93" t="s">
        <v>9558</v>
      </c>
      <c r="C3078" s="91" t="s">
        <v>36</v>
      </c>
      <c r="D3078" s="94" t="s">
        <v>5112</v>
      </c>
      <c r="E3078" s="94" t="s">
        <v>9605</v>
      </c>
      <c r="F3078" s="95" t="s">
        <v>9606</v>
      </c>
      <c r="G3078" s="96">
        <v>33604</v>
      </c>
      <c r="H3078" s="97">
        <v>16390</v>
      </c>
      <c r="I3078" s="100" t="s">
        <v>58</v>
      </c>
      <c r="J3078" s="100" t="s">
        <v>58</v>
      </c>
      <c r="K3078" s="91" t="s">
        <v>58</v>
      </c>
      <c r="L3078" s="91" t="s">
        <v>60</v>
      </c>
      <c r="M3078" s="98">
        <f ca="1">(TODAY()-H3078)/365</f>
        <v>81.128767123287673</v>
      </c>
      <c r="N3078" s="99">
        <f>(G3078-H3078)/365</f>
        <v>47.161643835616438</v>
      </c>
      <c r="O3078" s="98">
        <f ca="1">(TODAY()-G3078)/365</f>
        <v>33.967123287671235</v>
      </c>
      <c r="P3078" s="91" t="s">
        <v>43</v>
      </c>
      <c r="Q3078" s="91">
        <v>0</v>
      </c>
      <c r="R3078" s="91">
        <v>0</v>
      </c>
      <c r="S3078" s="91">
        <v>0</v>
      </c>
      <c r="T3078" s="91"/>
      <c r="U3078" s="91"/>
      <c r="V3078" s="91"/>
      <c r="W3078" s="91"/>
      <c r="X3078" s="91"/>
      <c r="Y3078" s="91"/>
      <c r="Z3078" s="91"/>
      <c r="AA3078" s="91"/>
      <c r="AB3078" s="91"/>
      <c r="AC3078" s="91"/>
      <c r="AD3078" s="91"/>
      <c r="AE3078" s="91"/>
      <c r="AF3078" s="91"/>
      <c r="AG3078" s="91"/>
      <c r="AH3078" s="91"/>
      <c r="AI3078" s="91"/>
      <c r="AJ3078" s="91"/>
      <c r="AK3078" s="91"/>
      <c r="AL3078" s="91"/>
      <c r="AM3078" s="91"/>
    </row>
    <row r="3079" spans="1:39" ht="20.25" hidden="1" customHeight="1">
      <c r="A3079" s="91"/>
      <c r="B3079" s="93" t="s">
        <v>9558</v>
      </c>
      <c r="C3079" s="91" t="s">
        <v>36</v>
      </c>
      <c r="D3079" s="94" t="s">
        <v>9607</v>
      </c>
      <c r="E3079" s="94" t="s">
        <v>9608</v>
      </c>
      <c r="F3079" s="95" t="s">
        <v>9609</v>
      </c>
      <c r="G3079" s="96">
        <v>35431</v>
      </c>
      <c r="H3079" s="97">
        <v>16931</v>
      </c>
      <c r="I3079" s="100" t="s">
        <v>58</v>
      </c>
      <c r="J3079" s="100" t="s">
        <v>58</v>
      </c>
      <c r="K3079" s="91" t="s">
        <v>58</v>
      </c>
      <c r="L3079" s="91" t="s">
        <v>60</v>
      </c>
      <c r="M3079" s="98">
        <f ca="1">(TODAY()-H3079)/365</f>
        <v>79.646575342465752</v>
      </c>
      <c r="N3079" s="99">
        <f>(G3079-H3079)/365</f>
        <v>50.684931506849317</v>
      </c>
      <c r="O3079" s="98">
        <f ca="1">(TODAY()-G3079)/365</f>
        <v>28.961643835616439</v>
      </c>
      <c r="P3079" s="91" t="s">
        <v>43</v>
      </c>
      <c r="Q3079" s="91">
        <v>0</v>
      </c>
      <c r="R3079" s="91">
        <v>0</v>
      </c>
      <c r="S3079" s="91">
        <v>0</v>
      </c>
      <c r="T3079" s="91"/>
      <c r="U3079" s="91"/>
      <c r="V3079" s="91"/>
      <c r="W3079" s="91"/>
      <c r="X3079" s="91"/>
      <c r="Y3079" s="91"/>
      <c r="Z3079" s="91"/>
      <c r="AA3079" s="91"/>
      <c r="AB3079" s="91"/>
      <c r="AC3079" s="91"/>
      <c r="AD3079" s="91"/>
      <c r="AE3079" s="91"/>
      <c r="AF3079" s="91"/>
      <c r="AG3079" s="91"/>
      <c r="AH3079" s="91"/>
      <c r="AI3079" s="91"/>
      <c r="AJ3079" s="91"/>
      <c r="AK3079" s="91"/>
      <c r="AL3079" s="91"/>
      <c r="AM3079" s="91"/>
    </row>
    <row r="3080" spans="1:39" ht="20.25" hidden="1" customHeight="1">
      <c r="A3080" s="91"/>
      <c r="B3080" s="93" t="s">
        <v>9558</v>
      </c>
      <c r="C3080" s="91" t="s">
        <v>36</v>
      </c>
      <c r="D3080" s="94" t="s">
        <v>331</v>
      </c>
      <c r="E3080" s="94" t="s">
        <v>9610</v>
      </c>
      <c r="F3080" s="95" t="s">
        <v>9611</v>
      </c>
      <c r="G3080" s="96">
        <v>37257</v>
      </c>
      <c r="H3080" s="97">
        <v>17895</v>
      </c>
      <c r="I3080" s="100" t="s">
        <v>58</v>
      </c>
      <c r="J3080" s="100" t="s">
        <v>58</v>
      </c>
      <c r="K3080" s="91" t="s">
        <v>58</v>
      </c>
      <c r="L3080" s="91" t="s">
        <v>60</v>
      </c>
      <c r="M3080" s="98">
        <f ca="1">(TODAY()-H3080)/365</f>
        <v>77.0054794520548</v>
      </c>
      <c r="N3080" s="99">
        <f>(G3080-H3080)/365</f>
        <v>53.046575342465751</v>
      </c>
      <c r="O3080" s="98">
        <f ca="1">(TODAY()-G3080)/365</f>
        <v>23.958904109589042</v>
      </c>
      <c r="P3080" s="91" t="s">
        <v>43</v>
      </c>
      <c r="Q3080" s="91">
        <v>0</v>
      </c>
      <c r="R3080" s="91">
        <v>0</v>
      </c>
      <c r="S3080" s="91">
        <v>0</v>
      </c>
      <c r="T3080" s="91"/>
      <c r="U3080" s="91"/>
      <c r="V3080" s="91"/>
      <c r="W3080" s="91"/>
      <c r="X3080" s="91"/>
      <c r="Y3080" s="91"/>
      <c r="Z3080" s="91"/>
      <c r="AA3080" s="91"/>
      <c r="AB3080" s="91"/>
      <c r="AC3080" s="91"/>
      <c r="AD3080" s="91"/>
      <c r="AE3080" s="91"/>
      <c r="AF3080" s="91"/>
      <c r="AG3080" s="91"/>
      <c r="AH3080" s="91"/>
      <c r="AI3080" s="91"/>
      <c r="AJ3080" s="91"/>
      <c r="AK3080" s="91"/>
      <c r="AL3080" s="91"/>
      <c r="AM3080" s="91"/>
    </row>
    <row r="3081" spans="1:39" ht="20.25" hidden="1" customHeight="1">
      <c r="A3081" s="91"/>
      <c r="B3081" s="93" t="s">
        <v>9558</v>
      </c>
      <c r="C3081" s="91" t="s">
        <v>36</v>
      </c>
      <c r="D3081" s="94" t="s">
        <v>875</v>
      </c>
      <c r="E3081" s="94" t="s">
        <v>9612</v>
      </c>
      <c r="F3081" s="95" t="s">
        <v>9613</v>
      </c>
      <c r="G3081" s="96">
        <v>43466</v>
      </c>
      <c r="H3081" s="97">
        <v>23901</v>
      </c>
      <c r="I3081" s="100" t="s">
        <v>58</v>
      </c>
      <c r="J3081" s="100" t="s">
        <v>58</v>
      </c>
      <c r="K3081" s="91" t="s">
        <v>58</v>
      </c>
      <c r="L3081" s="91" t="s">
        <v>60</v>
      </c>
      <c r="M3081" s="98">
        <f ca="1">(TODAY()-H3081)/365</f>
        <v>60.550684931506851</v>
      </c>
      <c r="N3081" s="99">
        <f>(G3081-H3081)/365</f>
        <v>53.602739726027394</v>
      </c>
      <c r="O3081" s="98">
        <f ca="1">(TODAY()-G3081)/365</f>
        <v>6.9479452054794519</v>
      </c>
      <c r="P3081" s="91" t="s">
        <v>43</v>
      </c>
      <c r="Q3081" s="91">
        <v>0</v>
      </c>
      <c r="R3081" s="91">
        <v>0</v>
      </c>
      <c r="S3081" s="91">
        <v>1</v>
      </c>
      <c r="T3081" s="91"/>
      <c r="U3081" s="91"/>
      <c r="V3081" s="91"/>
      <c r="W3081" s="91"/>
      <c r="X3081" s="91"/>
      <c r="Y3081" s="91"/>
      <c r="Z3081" s="91"/>
      <c r="AA3081" s="91"/>
      <c r="AB3081" s="91"/>
      <c r="AC3081" s="91"/>
      <c r="AD3081" s="91"/>
      <c r="AE3081" s="91"/>
      <c r="AF3081" s="91"/>
      <c r="AG3081" s="91"/>
      <c r="AH3081" s="91"/>
      <c r="AI3081" s="91"/>
      <c r="AJ3081" s="91"/>
      <c r="AK3081" s="91"/>
      <c r="AL3081" s="91"/>
      <c r="AM3081" s="91"/>
    </row>
    <row r="3082" spans="1:39" ht="20.25" hidden="1" customHeight="1">
      <c r="A3082" s="91"/>
      <c r="B3082" s="93" t="s">
        <v>9558</v>
      </c>
      <c r="C3082" s="91" t="s">
        <v>36</v>
      </c>
      <c r="D3082" s="94" t="s">
        <v>9614</v>
      </c>
      <c r="E3082" s="94" t="s">
        <v>9084</v>
      </c>
      <c r="F3082" s="95" t="s">
        <v>9615</v>
      </c>
      <c r="G3082" s="96">
        <v>36161</v>
      </c>
      <c r="H3082" s="97">
        <v>15496</v>
      </c>
      <c r="I3082" s="100" t="s">
        <v>58</v>
      </c>
      <c r="J3082" s="100" t="s">
        <v>58</v>
      </c>
      <c r="K3082" s="91" t="s">
        <v>58</v>
      </c>
      <c r="L3082" s="91" t="s">
        <v>60</v>
      </c>
      <c r="M3082" s="98">
        <f ca="1">(TODAY()-H3082)/365</f>
        <v>83.578082191780823</v>
      </c>
      <c r="N3082" s="99">
        <f>(G3082-H3082)/365</f>
        <v>56.61643835616438</v>
      </c>
      <c r="O3082" s="98">
        <f ca="1">(TODAY()-G3082)/365</f>
        <v>26.961643835616439</v>
      </c>
      <c r="P3082" s="91" t="s">
        <v>43</v>
      </c>
      <c r="Q3082" s="91">
        <v>0</v>
      </c>
      <c r="R3082" s="91">
        <v>0</v>
      </c>
      <c r="S3082" s="91">
        <v>0</v>
      </c>
      <c r="T3082" s="91"/>
      <c r="U3082" s="91"/>
      <c r="V3082" s="91"/>
      <c r="W3082" s="91"/>
      <c r="X3082" s="91"/>
      <c r="Y3082" s="91"/>
      <c r="Z3082" s="91"/>
      <c r="AA3082" s="91"/>
      <c r="AB3082" s="91"/>
      <c r="AC3082" s="91"/>
      <c r="AD3082" s="91"/>
      <c r="AE3082" s="91"/>
      <c r="AF3082" s="91"/>
      <c r="AG3082" s="91"/>
      <c r="AH3082" s="91"/>
      <c r="AI3082" s="91"/>
      <c r="AJ3082" s="91"/>
      <c r="AK3082" s="91"/>
      <c r="AL3082" s="91"/>
      <c r="AM3082" s="91"/>
    </row>
    <row r="3083" spans="1:39" ht="20.25" hidden="1" customHeight="1">
      <c r="A3083" s="91"/>
      <c r="B3083" s="93" t="s">
        <v>9558</v>
      </c>
      <c r="C3083" s="91" t="s">
        <v>36</v>
      </c>
      <c r="D3083" s="94" t="s">
        <v>9616</v>
      </c>
      <c r="E3083" s="94" t="s">
        <v>9617</v>
      </c>
      <c r="F3083" s="95" t="s">
        <v>9618</v>
      </c>
      <c r="G3083" s="96">
        <v>43466</v>
      </c>
      <c r="H3083" s="97">
        <v>21194</v>
      </c>
      <c r="I3083" s="100" t="s">
        <v>58</v>
      </c>
      <c r="J3083" s="100" t="s">
        <v>58</v>
      </c>
      <c r="K3083" s="91" t="s">
        <v>58</v>
      </c>
      <c r="L3083" s="91" t="s">
        <v>60</v>
      </c>
      <c r="M3083" s="98">
        <f ca="1">(TODAY()-H3083)/365</f>
        <v>67.967123287671228</v>
      </c>
      <c r="N3083" s="99">
        <f>(G3083-H3083)/365</f>
        <v>61.019178082191779</v>
      </c>
      <c r="O3083" s="98">
        <f ca="1">(TODAY()-G3083)/365</f>
        <v>6.9479452054794519</v>
      </c>
      <c r="P3083" s="91" t="s">
        <v>43</v>
      </c>
      <c r="Q3083" s="91">
        <v>0</v>
      </c>
      <c r="R3083" s="91">
        <v>0</v>
      </c>
      <c r="S3083" s="91">
        <v>0</v>
      </c>
      <c r="T3083" s="91"/>
      <c r="U3083" s="91"/>
      <c r="V3083" s="91"/>
      <c r="W3083" s="91"/>
      <c r="X3083" s="91"/>
      <c r="Y3083" s="91"/>
      <c r="Z3083" s="91"/>
      <c r="AA3083" s="91"/>
      <c r="AB3083" s="91"/>
      <c r="AC3083" s="91"/>
      <c r="AD3083" s="91"/>
      <c r="AE3083" s="91"/>
      <c r="AF3083" s="91"/>
      <c r="AG3083" s="91"/>
      <c r="AH3083" s="91"/>
      <c r="AI3083" s="91"/>
      <c r="AJ3083" s="91"/>
      <c r="AK3083" s="91"/>
      <c r="AL3083" s="91"/>
      <c r="AM3083" s="91"/>
    </row>
    <row r="3084" spans="1:39" ht="20.25" hidden="1" customHeight="1">
      <c r="A3084" s="91"/>
      <c r="B3084" s="93" t="s">
        <v>9558</v>
      </c>
      <c r="C3084" s="91" t="s">
        <v>36</v>
      </c>
      <c r="D3084" s="94" t="s">
        <v>2840</v>
      </c>
      <c r="E3084" s="94" t="s">
        <v>9619</v>
      </c>
      <c r="F3084" s="95" t="s">
        <v>9620</v>
      </c>
      <c r="G3084" s="96">
        <v>44562</v>
      </c>
      <c r="H3084" s="97">
        <v>20696</v>
      </c>
      <c r="I3084" s="100" t="s">
        <v>58</v>
      </c>
      <c r="J3084" s="100" t="s">
        <v>58</v>
      </c>
      <c r="K3084" s="91" t="s">
        <v>58</v>
      </c>
      <c r="L3084" s="91" t="s">
        <v>60</v>
      </c>
      <c r="M3084" s="98">
        <f ca="1">(TODAY()-H3084)/365</f>
        <v>69.331506849315062</v>
      </c>
      <c r="N3084" s="99">
        <f>(G3084-H3084)/365</f>
        <v>65.38630136986302</v>
      </c>
      <c r="O3084" s="98">
        <f ca="1">(TODAY()-G3084)/365</f>
        <v>3.9452054794520546</v>
      </c>
      <c r="P3084" s="91" t="s">
        <v>43</v>
      </c>
      <c r="Q3084" s="91">
        <v>0</v>
      </c>
      <c r="R3084" s="91">
        <v>0</v>
      </c>
      <c r="S3084" s="91">
        <v>0</v>
      </c>
      <c r="T3084" s="91"/>
      <c r="U3084" s="91"/>
      <c r="V3084" s="91"/>
      <c r="W3084" s="91"/>
      <c r="X3084" s="91"/>
      <c r="Y3084" s="91"/>
      <c r="Z3084" s="91"/>
      <c r="AA3084" s="91"/>
      <c r="AB3084" s="91"/>
      <c r="AC3084" s="91"/>
      <c r="AD3084" s="91"/>
      <c r="AE3084" s="91"/>
      <c r="AF3084" s="91"/>
      <c r="AG3084" s="91"/>
      <c r="AH3084" s="91"/>
      <c r="AI3084" s="91"/>
      <c r="AJ3084" s="91"/>
      <c r="AK3084" s="91"/>
      <c r="AL3084" s="91"/>
      <c r="AM3084" s="91"/>
    </row>
    <row r="3085" spans="1:39" ht="20.25" hidden="1" customHeight="1">
      <c r="A3085" s="91"/>
      <c r="B3085" s="93" t="s">
        <v>9558</v>
      </c>
      <c r="C3085" s="91" t="s">
        <v>36</v>
      </c>
      <c r="D3085" s="94" t="s">
        <v>9621</v>
      </c>
      <c r="E3085" s="94" t="s">
        <v>9622</v>
      </c>
      <c r="F3085" s="95" t="s">
        <v>9623</v>
      </c>
      <c r="G3085" s="96">
        <v>42736</v>
      </c>
      <c r="H3085" s="97">
        <v>15924</v>
      </c>
      <c r="I3085" s="100" t="s">
        <v>58</v>
      </c>
      <c r="J3085" s="100" t="s">
        <v>58</v>
      </c>
      <c r="K3085" s="91" t="s">
        <v>58</v>
      </c>
      <c r="L3085" s="91" t="s">
        <v>60</v>
      </c>
      <c r="M3085" s="98">
        <f ca="1">(TODAY()-H3085)/365</f>
        <v>82.405479452054792</v>
      </c>
      <c r="N3085" s="99">
        <f>(G3085-H3085)/365</f>
        <v>73.457534246575349</v>
      </c>
      <c r="O3085" s="98">
        <f ca="1">(TODAY()-G3085)/365</f>
        <v>8.9479452054794528</v>
      </c>
      <c r="P3085" s="91" t="s">
        <v>43</v>
      </c>
      <c r="Q3085" s="91">
        <v>0</v>
      </c>
      <c r="R3085" s="91">
        <v>0</v>
      </c>
      <c r="S3085" s="91">
        <v>0</v>
      </c>
      <c r="T3085" s="91"/>
      <c r="U3085" s="91"/>
      <c r="V3085" s="91"/>
      <c r="W3085" s="91"/>
      <c r="X3085" s="91"/>
      <c r="Y3085" s="91"/>
      <c r="Z3085" s="91"/>
      <c r="AA3085" s="91"/>
      <c r="AB3085" s="91"/>
      <c r="AC3085" s="91"/>
      <c r="AD3085" s="91"/>
      <c r="AE3085" s="91"/>
      <c r="AF3085" s="91"/>
      <c r="AG3085" s="91"/>
      <c r="AH3085" s="91"/>
      <c r="AI3085" s="91"/>
      <c r="AJ3085" s="91"/>
      <c r="AK3085" s="91"/>
      <c r="AL3085" s="91"/>
      <c r="AM3085" s="91"/>
    </row>
    <row r="3086" spans="1:39" ht="20.25" hidden="1" customHeight="1">
      <c r="A3086" s="91"/>
      <c r="B3086" s="93" t="s">
        <v>9558</v>
      </c>
      <c r="C3086" s="91" t="s">
        <v>36</v>
      </c>
      <c r="D3086" s="94" t="s">
        <v>9624</v>
      </c>
      <c r="E3086" s="94" t="s">
        <v>9625</v>
      </c>
      <c r="F3086" s="91" t="s">
        <v>58</v>
      </c>
      <c r="G3086" s="96">
        <v>45292</v>
      </c>
      <c r="H3086" s="97" t="s">
        <v>58</v>
      </c>
      <c r="I3086" s="100" t="s">
        <v>58</v>
      </c>
      <c r="J3086" s="100" t="s">
        <v>58</v>
      </c>
      <c r="K3086" s="91" t="s">
        <v>58</v>
      </c>
      <c r="L3086" s="91" t="s">
        <v>60</v>
      </c>
      <c r="M3086" s="98"/>
      <c r="N3086" s="99"/>
      <c r="O3086" s="98">
        <f ca="1">(TODAY()-G3086)/365</f>
        <v>1.9452054794520548</v>
      </c>
      <c r="P3086" s="91" t="s">
        <v>43</v>
      </c>
      <c r="Q3086" s="91">
        <v>0</v>
      </c>
      <c r="R3086" s="91">
        <v>0</v>
      </c>
      <c r="S3086" s="91">
        <v>0</v>
      </c>
      <c r="T3086" s="91"/>
      <c r="U3086" s="91"/>
      <c r="V3086" s="91"/>
      <c r="W3086" s="91"/>
      <c r="X3086" s="91"/>
      <c r="Y3086" s="91"/>
      <c r="Z3086" s="91"/>
      <c r="AA3086" s="91"/>
      <c r="AB3086" s="91"/>
      <c r="AC3086" s="91"/>
      <c r="AD3086" s="91"/>
      <c r="AE3086" s="91"/>
      <c r="AF3086" s="91"/>
      <c r="AG3086" s="91"/>
      <c r="AH3086" s="91"/>
      <c r="AI3086" s="91"/>
      <c r="AJ3086" s="91"/>
      <c r="AK3086" s="91"/>
      <c r="AL3086" s="91"/>
      <c r="AM3086" s="91"/>
    </row>
    <row r="3087" spans="1:39" ht="20.25" hidden="1" customHeight="1">
      <c r="A3087" s="91"/>
      <c r="B3087" s="93" t="s">
        <v>9558</v>
      </c>
      <c r="C3087" s="91" t="s">
        <v>36</v>
      </c>
      <c r="D3087" s="94" t="s">
        <v>249</v>
      </c>
      <c r="E3087" s="94" t="s">
        <v>9626</v>
      </c>
      <c r="F3087" s="91" t="s">
        <v>58</v>
      </c>
      <c r="G3087" s="96">
        <v>45292</v>
      </c>
      <c r="H3087" s="97" t="s">
        <v>58</v>
      </c>
      <c r="I3087" s="100" t="s">
        <v>58</v>
      </c>
      <c r="J3087" s="100" t="s">
        <v>58</v>
      </c>
      <c r="K3087" s="91" t="s">
        <v>58</v>
      </c>
      <c r="L3087" s="91" t="s">
        <v>60</v>
      </c>
      <c r="M3087" s="98"/>
      <c r="N3087" s="99"/>
      <c r="O3087" s="98">
        <f ca="1">(TODAY()-G3087)/365</f>
        <v>1.9452054794520548</v>
      </c>
      <c r="P3087" s="91" t="s">
        <v>272</v>
      </c>
      <c r="Q3087" s="91">
        <v>0</v>
      </c>
      <c r="R3087" s="91">
        <v>0</v>
      </c>
      <c r="S3087" s="91">
        <v>0</v>
      </c>
      <c r="T3087" s="91"/>
      <c r="U3087" s="91"/>
      <c r="V3087" s="91"/>
      <c r="W3087" s="91"/>
      <c r="X3087" s="91"/>
      <c r="Y3087" s="91"/>
      <c r="Z3087" s="91"/>
      <c r="AA3087" s="91"/>
      <c r="AB3087" s="91"/>
      <c r="AC3087" s="91"/>
      <c r="AD3087" s="91"/>
      <c r="AE3087" s="91"/>
      <c r="AF3087" s="91"/>
      <c r="AG3087" s="91"/>
      <c r="AH3087" s="91"/>
      <c r="AI3087" s="91"/>
      <c r="AJ3087" s="91"/>
      <c r="AK3087" s="91"/>
      <c r="AL3087" s="91"/>
      <c r="AM3087" s="91"/>
    </row>
    <row r="3088" spans="1:39" ht="20.25" customHeight="1">
      <c r="A3088" s="91"/>
      <c r="B3088" s="93" t="s">
        <v>8630</v>
      </c>
      <c r="C3088" s="91" t="s">
        <v>73</v>
      </c>
      <c r="D3088" s="94" t="s">
        <v>8671</v>
      </c>
      <c r="E3088" s="94" t="s">
        <v>8672</v>
      </c>
      <c r="F3088" s="95" t="s">
        <v>8673</v>
      </c>
      <c r="G3088" s="96">
        <v>45575</v>
      </c>
      <c r="H3088" s="97">
        <v>28838</v>
      </c>
      <c r="I3088" s="94" t="s">
        <v>8674</v>
      </c>
      <c r="J3088" s="94" t="s">
        <v>58</v>
      </c>
      <c r="K3088" s="95" t="s">
        <v>58</v>
      </c>
      <c r="L3088" s="91" t="s">
        <v>60</v>
      </c>
      <c r="M3088" s="98">
        <f ca="1">(TODAY()-H3088)/365</f>
        <v>47.024657534246572</v>
      </c>
      <c r="N3088" s="99">
        <f>(G3088-H3088)/365</f>
        <v>45.854794520547948</v>
      </c>
      <c r="O3088" s="98">
        <f ca="1">(TODAY()-G3088)/365</f>
        <v>1.1698630136986301</v>
      </c>
      <c r="P3088" s="91" t="s">
        <v>43</v>
      </c>
      <c r="Q3088" s="91">
        <v>0</v>
      </c>
      <c r="R3088" s="91">
        <v>0</v>
      </c>
      <c r="S3088" s="91">
        <v>0</v>
      </c>
      <c r="T3088" s="91"/>
      <c r="U3088" s="91"/>
      <c r="V3088" s="91"/>
      <c r="W3088" s="91"/>
      <c r="X3088" s="91"/>
      <c r="Y3088" s="91"/>
      <c r="Z3088" s="91"/>
      <c r="AA3088" s="91"/>
      <c r="AB3088" s="91"/>
      <c r="AC3088" s="91"/>
      <c r="AD3088" s="91"/>
      <c r="AE3088" s="91"/>
      <c r="AF3088" s="91"/>
      <c r="AG3088" s="91"/>
      <c r="AH3088" s="91"/>
      <c r="AI3088" s="91"/>
      <c r="AJ3088" s="91"/>
      <c r="AK3088" s="91"/>
      <c r="AL3088" s="91"/>
      <c r="AM3088" s="91"/>
    </row>
    <row r="3089" spans="1:39" ht="20.25" customHeight="1">
      <c r="A3089" s="91"/>
      <c r="B3089" s="93" t="s">
        <v>8095</v>
      </c>
      <c r="C3089" s="91" t="s">
        <v>73</v>
      </c>
      <c r="D3089" s="94" t="s">
        <v>8120</v>
      </c>
      <c r="E3089" s="94" t="s">
        <v>8121</v>
      </c>
      <c r="F3089" s="95" t="s">
        <v>8122</v>
      </c>
      <c r="G3089" s="96">
        <v>44762</v>
      </c>
      <c r="H3089" s="97">
        <v>36747</v>
      </c>
      <c r="I3089" s="94" t="s">
        <v>8123</v>
      </c>
      <c r="J3089" s="100" t="s">
        <v>58</v>
      </c>
      <c r="K3089" s="91" t="s">
        <v>58</v>
      </c>
      <c r="L3089" s="91" t="s">
        <v>60</v>
      </c>
      <c r="M3089" s="98">
        <f ca="1">(TODAY()-H3089)/365</f>
        <v>25.356164383561644</v>
      </c>
      <c r="N3089" s="99">
        <f>(G3089-H3089)/365</f>
        <v>21.958904109589042</v>
      </c>
      <c r="O3089" s="98">
        <f ca="1">(TODAY()-G3089)/365</f>
        <v>3.3972602739726026</v>
      </c>
      <c r="P3089" s="91" t="s">
        <v>43</v>
      </c>
      <c r="Q3089" s="91">
        <v>0</v>
      </c>
      <c r="R3089" s="91">
        <v>0</v>
      </c>
      <c r="S3089" s="91">
        <v>0</v>
      </c>
      <c r="T3089" s="91"/>
      <c r="U3089" s="91"/>
      <c r="V3089" s="91"/>
      <c r="W3089" s="91"/>
      <c r="X3089" s="91"/>
      <c r="Y3089" s="91"/>
      <c r="Z3089" s="91"/>
      <c r="AA3089" s="91"/>
      <c r="AB3089" s="91"/>
      <c r="AC3089" s="91"/>
      <c r="AD3089" s="91"/>
      <c r="AE3089" s="91"/>
      <c r="AF3089" s="91"/>
      <c r="AG3089" s="91"/>
      <c r="AH3089" s="91"/>
      <c r="AI3089" s="91"/>
      <c r="AJ3089" s="91"/>
      <c r="AK3089" s="91"/>
      <c r="AL3089" s="91"/>
      <c r="AM3089" s="91"/>
    </row>
    <row r="3090" spans="1:39" ht="20.25" customHeight="1">
      <c r="A3090" s="91"/>
      <c r="B3090" s="93" t="s">
        <v>5023</v>
      </c>
      <c r="C3090" s="91" t="s">
        <v>73</v>
      </c>
      <c r="D3090" s="107" t="s">
        <v>5064</v>
      </c>
      <c r="E3090" s="107" t="s">
        <v>5065</v>
      </c>
      <c r="F3090" s="91" t="s">
        <v>5066</v>
      </c>
      <c r="G3090" s="96">
        <v>44370</v>
      </c>
      <c r="H3090" s="97">
        <v>36437</v>
      </c>
      <c r="I3090" s="94" t="s">
        <v>58</v>
      </c>
      <c r="J3090" s="94" t="s">
        <v>58</v>
      </c>
      <c r="K3090" s="95" t="s">
        <v>58</v>
      </c>
      <c r="L3090" s="91" t="s">
        <v>60</v>
      </c>
      <c r="M3090" s="98">
        <f ca="1">(TODAY()-H3090)/365</f>
        <v>26.205479452054796</v>
      </c>
      <c r="N3090" s="99">
        <f>(G3090-H3090)/365</f>
        <v>21.734246575342464</v>
      </c>
      <c r="O3090" s="98">
        <f ca="1">(TODAY()-G3090)/365</f>
        <v>4.4712328767123291</v>
      </c>
      <c r="P3090" s="91" t="s">
        <v>43</v>
      </c>
      <c r="Q3090" s="91">
        <v>0</v>
      </c>
      <c r="R3090" s="91">
        <v>0</v>
      </c>
      <c r="S3090" s="91">
        <v>0</v>
      </c>
      <c r="T3090" s="91"/>
      <c r="U3090" s="91"/>
      <c r="V3090" s="91"/>
      <c r="W3090" s="91"/>
      <c r="X3090" s="91"/>
      <c r="Y3090" s="91"/>
      <c r="Z3090" s="91"/>
      <c r="AA3090" s="91"/>
      <c r="AB3090" s="91"/>
      <c r="AC3090" s="91"/>
      <c r="AD3090" s="91"/>
      <c r="AE3090" s="91"/>
      <c r="AF3090" s="91"/>
      <c r="AG3090" s="91"/>
      <c r="AH3090" s="91"/>
      <c r="AI3090" s="91"/>
      <c r="AJ3090" s="91"/>
      <c r="AK3090" s="91"/>
      <c r="AL3090" s="91"/>
      <c r="AM3090" s="91"/>
    </row>
    <row r="3091" spans="1:39" ht="20.25" hidden="1" customHeight="1">
      <c r="A3091" s="91"/>
      <c r="B3091" s="93" t="s">
        <v>9558</v>
      </c>
      <c r="C3091" s="91" t="s">
        <v>36</v>
      </c>
      <c r="D3091" s="94" t="s">
        <v>249</v>
      </c>
      <c r="E3091" s="94" t="s">
        <v>9630</v>
      </c>
      <c r="F3091" s="95" t="s">
        <v>9631</v>
      </c>
      <c r="G3091" s="97" t="s">
        <v>58</v>
      </c>
      <c r="H3091" s="97">
        <v>18583</v>
      </c>
      <c r="I3091" s="100" t="s">
        <v>58</v>
      </c>
      <c r="J3091" s="100" t="s">
        <v>58</v>
      </c>
      <c r="K3091" s="91" t="s">
        <v>58</v>
      </c>
      <c r="L3091" s="91" t="s">
        <v>60</v>
      </c>
      <c r="M3091" s="98">
        <f ca="1">(TODAY()-H3091)/365</f>
        <v>75.120547945205473</v>
      </c>
      <c r="N3091" s="95"/>
      <c r="O3091" s="98" t="e">
        <f ca="1">(TODAY()-G3091)/365</f>
        <v>#VALUE!</v>
      </c>
      <c r="P3091" s="91" t="s">
        <v>272</v>
      </c>
      <c r="Q3091" s="91">
        <v>0</v>
      </c>
      <c r="R3091" s="91">
        <v>0</v>
      </c>
      <c r="S3091" s="91">
        <v>0</v>
      </c>
      <c r="T3091" s="91"/>
      <c r="U3091" s="91"/>
      <c r="V3091" s="91"/>
      <c r="W3091" s="91"/>
      <c r="X3091" s="91"/>
      <c r="Y3091" s="91"/>
      <c r="Z3091" s="91"/>
      <c r="AA3091" s="91"/>
      <c r="AB3091" s="91"/>
      <c r="AC3091" s="91"/>
      <c r="AD3091" s="91"/>
      <c r="AE3091" s="91"/>
      <c r="AF3091" s="91"/>
      <c r="AG3091" s="91"/>
      <c r="AH3091" s="91"/>
      <c r="AI3091" s="91"/>
      <c r="AJ3091" s="91"/>
      <c r="AK3091" s="91"/>
      <c r="AL3091" s="91"/>
      <c r="AM3091" s="91"/>
    </row>
    <row r="3092" spans="1:39" ht="20.25" hidden="1" customHeight="1">
      <c r="A3092" s="91"/>
      <c r="B3092" s="93" t="s">
        <v>9632</v>
      </c>
      <c r="C3092" s="91" t="s">
        <v>36</v>
      </c>
      <c r="D3092" s="94" t="s">
        <v>9633</v>
      </c>
      <c r="E3092" s="94" t="s">
        <v>9634</v>
      </c>
      <c r="F3092" s="95" t="s">
        <v>9635</v>
      </c>
      <c r="G3092" s="96">
        <v>24167</v>
      </c>
      <c r="H3092" s="97">
        <v>15605</v>
      </c>
      <c r="I3092" s="100" t="s">
        <v>58</v>
      </c>
      <c r="J3092" s="100" t="s">
        <v>58</v>
      </c>
      <c r="K3092" s="95">
        <v>961690410</v>
      </c>
      <c r="L3092" s="91" t="s">
        <v>54</v>
      </c>
      <c r="M3092" s="98">
        <f ca="1">(TODAY()-H3092)/365</f>
        <v>83.279452054794518</v>
      </c>
      <c r="N3092" s="99">
        <f>(G3092-H3092)/365</f>
        <v>23.457534246575342</v>
      </c>
      <c r="O3092" s="98">
        <f ca="1">(TODAY()-G3092)/365</f>
        <v>59.821917808219176</v>
      </c>
      <c r="P3092" s="91" t="s">
        <v>43</v>
      </c>
      <c r="Q3092" s="91">
        <v>0</v>
      </c>
      <c r="R3092" s="91">
        <v>0</v>
      </c>
      <c r="S3092" s="91">
        <v>0</v>
      </c>
      <c r="T3092" s="91"/>
      <c r="U3092" s="91"/>
      <c r="V3092" s="91"/>
      <c r="W3092" s="91"/>
      <c r="X3092" s="91"/>
      <c r="Y3092" s="91"/>
      <c r="Z3092" s="91"/>
      <c r="AA3092" s="91"/>
      <c r="AB3092" s="91"/>
      <c r="AC3092" s="91"/>
      <c r="AD3092" s="91"/>
      <c r="AE3092" s="91"/>
      <c r="AF3092" s="91"/>
      <c r="AG3092" s="91"/>
      <c r="AH3092" s="91"/>
      <c r="AI3092" s="91"/>
      <c r="AJ3092" s="91"/>
      <c r="AK3092" s="91"/>
      <c r="AL3092" s="91"/>
      <c r="AM3092" s="91"/>
    </row>
    <row r="3093" spans="1:39" ht="20.25" customHeight="1">
      <c r="A3093" s="91"/>
      <c r="B3093" s="93" t="s">
        <v>11748</v>
      </c>
      <c r="C3093" s="91" t="s">
        <v>73</v>
      </c>
      <c r="D3093" s="107" t="s">
        <v>2817</v>
      </c>
      <c r="E3093" s="107" t="s">
        <v>2818</v>
      </c>
      <c r="F3093" s="91" t="s">
        <v>2819</v>
      </c>
      <c r="G3093" s="96">
        <v>38973</v>
      </c>
      <c r="H3093" s="97">
        <v>24726</v>
      </c>
      <c r="I3093" s="94" t="s">
        <v>58</v>
      </c>
      <c r="J3093" s="94" t="s">
        <v>58</v>
      </c>
      <c r="K3093" s="95" t="s">
        <v>58</v>
      </c>
      <c r="L3093" s="91" t="s">
        <v>60</v>
      </c>
      <c r="M3093" s="98">
        <f ca="1">(TODAY()-H3093)/365</f>
        <v>58.290410958904111</v>
      </c>
      <c r="N3093" s="99">
        <f>(G3093-H3093)/365</f>
        <v>39.032876712328765</v>
      </c>
      <c r="O3093" s="98">
        <f ca="1">(TODAY()-G3093)/365</f>
        <v>19.257534246575343</v>
      </c>
      <c r="P3093" s="91" t="s">
        <v>272</v>
      </c>
      <c r="Q3093" s="91">
        <v>0</v>
      </c>
      <c r="R3093" s="91">
        <v>0</v>
      </c>
      <c r="S3093" s="91">
        <v>0</v>
      </c>
      <c r="T3093" s="91"/>
      <c r="U3093" s="91"/>
      <c r="V3093" s="91"/>
      <c r="W3093" s="91"/>
      <c r="X3093" s="91"/>
      <c r="Y3093" s="91"/>
      <c r="Z3093" s="91"/>
      <c r="AA3093" s="91"/>
      <c r="AB3093" s="91"/>
      <c r="AC3093" s="91"/>
      <c r="AD3093" s="91"/>
      <c r="AE3093" s="91"/>
      <c r="AF3093" s="91"/>
      <c r="AG3093" s="91"/>
      <c r="AH3093" s="91"/>
      <c r="AI3093" s="91"/>
      <c r="AJ3093" s="91"/>
      <c r="AK3093" s="91"/>
      <c r="AL3093" s="91"/>
      <c r="AM3093" s="91"/>
    </row>
    <row r="3094" spans="1:39" ht="20.25" hidden="1" customHeight="1">
      <c r="A3094" s="91"/>
      <c r="B3094" s="93" t="s">
        <v>9632</v>
      </c>
      <c r="C3094" s="91" t="s">
        <v>36</v>
      </c>
      <c r="D3094" s="94" t="s">
        <v>9639</v>
      </c>
      <c r="E3094" s="94" t="s">
        <v>9640</v>
      </c>
      <c r="F3094" s="95" t="s">
        <v>9641</v>
      </c>
      <c r="G3094" s="96">
        <v>39132</v>
      </c>
      <c r="H3094" s="97">
        <v>27199</v>
      </c>
      <c r="I3094" s="100" t="s">
        <v>9642</v>
      </c>
      <c r="J3094" s="100" t="s">
        <v>58</v>
      </c>
      <c r="K3094" s="95">
        <v>982512065</v>
      </c>
      <c r="L3094" s="91" t="s">
        <v>42</v>
      </c>
      <c r="M3094" s="98">
        <f t="shared" ref="M3091:M3100" ca="1" si="3">(TODAY()-H3094)/365</f>
        <v>51.515068493150686</v>
      </c>
      <c r="N3094" s="99">
        <f t="shared" ref="N3092:N3100" si="4">(G3094-H3094)/365</f>
        <v>32.69315068493151</v>
      </c>
      <c r="O3094" s="98">
        <f t="shared" ref="O3065:O3100" ca="1" si="5">(TODAY()-G3094)/365</f>
        <v>18.82191780821918</v>
      </c>
      <c r="P3094" s="91" t="s">
        <v>43</v>
      </c>
      <c r="Q3094" s="91">
        <v>0</v>
      </c>
      <c r="R3094" s="91">
        <v>0</v>
      </c>
      <c r="S3094" s="91">
        <v>0</v>
      </c>
      <c r="T3094" s="91"/>
      <c r="U3094" s="91"/>
      <c r="V3094" s="91">
        <v>2010</v>
      </c>
      <c r="W3094" s="91"/>
      <c r="X3094" s="91"/>
      <c r="Y3094" s="91"/>
      <c r="Z3094" s="91"/>
      <c r="AA3094" s="91"/>
      <c r="AB3094" s="91"/>
      <c r="AC3094" s="91"/>
      <c r="AD3094" s="91"/>
      <c r="AE3094" s="91"/>
      <c r="AF3094" s="91"/>
      <c r="AG3094" s="91"/>
      <c r="AH3094" s="91"/>
      <c r="AI3094" s="91"/>
      <c r="AJ3094" s="91"/>
      <c r="AK3094" s="91"/>
      <c r="AL3094" s="91"/>
      <c r="AM3094" s="91"/>
    </row>
    <row r="3095" spans="1:39" ht="20.25" hidden="1" customHeight="1">
      <c r="A3095" s="91"/>
      <c r="B3095" s="93" t="s">
        <v>9632</v>
      </c>
      <c r="C3095" s="91" t="s">
        <v>36</v>
      </c>
      <c r="D3095" s="94" t="s">
        <v>7873</v>
      </c>
      <c r="E3095" s="94" t="s">
        <v>9643</v>
      </c>
      <c r="F3095" s="95" t="s">
        <v>9644</v>
      </c>
      <c r="G3095" s="96">
        <v>34747</v>
      </c>
      <c r="H3095" s="97">
        <v>19133</v>
      </c>
      <c r="I3095" s="100" t="s">
        <v>58</v>
      </c>
      <c r="J3095" s="100" t="s">
        <v>58</v>
      </c>
      <c r="K3095" s="95">
        <v>964161727</v>
      </c>
      <c r="L3095" s="91" t="s">
        <v>60</v>
      </c>
      <c r="M3095" s="98">
        <f t="shared" ca="1" si="3"/>
        <v>73.61369863013698</v>
      </c>
      <c r="N3095" s="99">
        <f t="shared" si="4"/>
        <v>42.778082191780825</v>
      </c>
      <c r="O3095" s="98">
        <f t="shared" ca="1" si="5"/>
        <v>30.835616438356166</v>
      </c>
      <c r="P3095" s="91" t="s">
        <v>43</v>
      </c>
      <c r="Q3095" s="91">
        <v>0</v>
      </c>
      <c r="R3095" s="91">
        <v>0</v>
      </c>
      <c r="S3095" s="91">
        <v>0</v>
      </c>
      <c r="T3095" s="91"/>
      <c r="U3095" s="91"/>
      <c r="V3095" s="91"/>
      <c r="W3095" s="91"/>
      <c r="X3095" s="91"/>
      <c r="Y3095" s="91"/>
      <c r="Z3095" s="91"/>
      <c r="AA3095" s="91"/>
      <c r="AB3095" s="91"/>
      <c r="AC3095" s="91"/>
      <c r="AD3095" s="91"/>
      <c r="AE3095" s="91"/>
      <c r="AF3095" s="91"/>
      <c r="AG3095" s="91"/>
      <c r="AH3095" s="91"/>
      <c r="AI3095" s="91"/>
      <c r="AJ3095" s="91"/>
      <c r="AK3095" s="91"/>
      <c r="AL3095" s="91"/>
      <c r="AM3095" s="91"/>
    </row>
    <row r="3096" spans="1:39" ht="20.25" hidden="1" customHeight="1">
      <c r="A3096" s="91"/>
      <c r="B3096" s="93" t="s">
        <v>9632</v>
      </c>
      <c r="C3096" s="91" t="s">
        <v>36</v>
      </c>
      <c r="D3096" s="94" t="s">
        <v>291</v>
      </c>
      <c r="E3096" s="94" t="s">
        <v>9645</v>
      </c>
      <c r="F3096" s="95" t="s">
        <v>9646</v>
      </c>
      <c r="G3096" s="96">
        <v>36243</v>
      </c>
      <c r="H3096" s="97">
        <v>20623</v>
      </c>
      <c r="I3096" s="100" t="s">
        <v>58</v>
      </c>
      <c r="J3096" s="100" t="s">
        <v>58</v>
      </c>
      <c r="K3096" s="95">
        <v>979549316</v>
      </c>
      <c r="L3096" s="91" t="s">
        <v>60</v>
      </c>
      <c r="M3096" s="98">
        <f t="shared" ca="1" si="3"/>
        <v>69.531506849315065</v>
      </c>
      <c r="N3096" s="99">
        <f t="shared" si="4"/>
        <v>42.794520547945204</v>
      </c>
      <c r="O3096" s="98">
        <f t="shared" ca="1" si="5"/>
        <v>26.736986301369864</v>
      </c>
      <c r="P3096" s="91" t="s">
        <v>43</v>
      </c>
      <c r="Q3096" s="91">
        <v>0</v>
      </c>
      <c r="R3096" s="91">
        <v>0</v>
      </c>
      <c r="S3096" s="91">
        <v>0</v>
      </c>
      <c r="T3096" s="91"/>
      <c r="U3096" s="91"/>
      <c r="V3096" s="91"/>
      <c r="W3096" s="91"/>
      <c r="X3096" s="91"/>
      <c r="Y3096" s="91"/>
      <c r="Z3096" s="91"/>
      <c r="AA3096" s="91"/>
      <c r="AB3096" s="91"/>
      <c r="AC3096" s="91"/>
      <c r="AD3096" s="91"/>
      <c r="AE3096" s="91"/>
      <c r="AF3096" s="91"/>
      <c r="AG3096" s="91"/>
      <c r="AH3096" s="91"/>
      <c r="AI3096" s="91"/>
      <c r="AJ3096" s="91"/>
      <c r="AK3096" s="91"/>
      <c r="AL3096" s="91"/>
      <c r="AM3096" s="91"/>
    </row>
    <row r="3097" spans="1:39" ht="20.25" hidden="1" customHeight="1">
      <c r="A3097" s="91"/>
      <c r="B3097" s="93" t="s">
        <v>9632</v>
      </c>
      <c r="C3097" s="91" t="s">
        <v>36</v>
      </c>
      <c r="D3097" s="94" t="s">
        <v>367</v>
      </c>
      <c r="E3097" s="94" t="s">
        <v>9647</v>
      </c>
      <c r="F3097" s="95" t="s">
        <v>9648</v>
      </c>
      <c r="G3097" s="96">
        <v>43568</v>
      </c>
      <c r="H3097" s="97">
        <v>24694</v>
      </c>
      <c r="I3097" s="100" t="s">
        <v>58</v>
      </c>
      <c r="J3097" s="100" t="s">
        <v>58</v>
      </c>
      <c r="K3097" s="95">
        <v>963269526</v>
      </c>
      <c r="L3097" s="91" t="s">
        <v>60</v>
      </c>
      <c r="M3097" s="98">
        <f t="shared" ca="1" si="3"/>
        <v>58.37808219178082</v>
      </c>
      <c r="N3097" s="99">
        <f t="shared" si="4"/>
        <v>51.709589041095889</v>
      </c>
      <c r="O3097" s="98">
        <f t="shared" ca="1" si="5"/>
        <v>6.6684931506849319</v>
      </c>
      <c r="P3097" s="91" t="s">
        <v>43</v>
      </c>
      <c r="Q3097" s="91">
        <v>0</v>
      </c>
      <c r="R3097" s="91">
        <v>0</v>
      </c>
      <c r="S3097" s="91">
        <v>0</v>
      </c>
      <c r="T3097" s="91"/>
      <c r="U3097" s="91"/>
      <c r="V3097" s="91"/>
      <c r="W3097" s="91"/>
      <c r="X3097" s="91"/>
      <c r="Y3097" s="91"/>
      <c r="Z3097" s="91"/>
      <c r="AA3097" s="91"/>
      <c r="AB3097" s="91"/>
      <c r="AC3097" s="91"/>
      <c r="AD3097" s="91"/>
      <c r="AE3097" s="91"/>
      <c r="AF3097" s="91"/>
      <c r="AG3097" s="91"/>
      <c r="AH3097" s="91"/>
      <c r="AI3097" s="91"/>
      <c r="AJ3097" s="91"/>
      <c r="AK3097" s="91"/>
      <c r="AL3097" s="91"/>
      <c r="AM3097" s="91"/>
    </row>
    <row r="3098" spans="1:39" ht="20.25" hidden="1" customHeight="1">
      <c r="A3098" s="91"/>
      <c r="B3098" s="93" t="s">
        <v>9632</v>
      </c>
      <c r="C3098" s="91" t="s">
        <v>36</v>
      </c>
      <c r="D3098" s="94" t="s">
        <v>840</v>
      </c>
      <c r="E3098" s="94" t="s">
        <v>9649</v>
      </c>
      <c r="F3098" s="95" t="s">
        <v>9650</v>
      </c>
      <c r="G3098" s="96">
        <v>43709</v>
      </c>
      <c r="H3098" s="97">
        <v>22819</v>
      </c>
      <c r="I3098" s="100" t="s">
        <v>9651</v>
      </c>
      <c r="J3098" s="100" t="s">
        <v>58</v>
      </c>
      <c r="K3098" s="95">
        <v>97937326</v>
      </c>
      <c r="L3098" s="91" t="s">
        <v>49</v>
      </c>
      <c r="M3098" s="98">
        <f t="shared" ca="1" si="3"/>
        <v>63.515068493150686</v>
      </c>
      <c r="N3098" s="99">
        <f t="shared" si="4"/>
        <v>57.232876712328768</v>
      </c>
      <c r="O3098" s="98">
        <f t="shared" ca="1" si="5"/>
        <v>6.2821917808219174</v>
      </c>
      <c r="P3098" s="91" t="s">
        <v>43</v>
      </c>
      <c r="Q3098" s="91">
        <v>0</v>
      </c>
      <c r="R3098" s="91">
        <v>0</v>
      </c>
      <c r="S3098" s="91">
        <v>0</v>
      </c>
      <c r="T3098" s="91"/>
      <c r="U3098" s="91"/>
      <c r="V3098" s="91"/>
      <c r="W3098" s="91"/>
      <c r="X3098" s="91"/>
      <c r="Y3098" s="91"/>
      <c r="Z3098" s="91"/>
      <c r="AA3098" s="91"/>
      <c r="AB3098" s="91"/>
      <c r="AC3098" s="91"/>
      <c r="AD3098" s="91"/>
      <c r="AE3098" s="91"/>
      <c r="AF3098" s="91"/>
      <c r="AG3098" s="91"/>
      <c r="AH3098" s="91"/>
      <c r="AI3098" s="91"/>
      <c r="AJ3098" s="91"/>
      <c r="AK3098" s="91"/>
      <c r="AL3098" s="91"/>
      <c r="AM3098" s="91"/>
    </row>
    <row r="3099" spans="1:39" ht="20.25" hidden="1" customHeight="1">
      <c r="A3099" s="91"/>
      <c r="B3099" s="93" t="s">
        <v>9632</v>
      </c>
      <c r="C3099" s="91" t="s">
        <v>36</v>
      </c>
      <c r="D3099" s="94" t="s">
        <v>805</v>
      </c>
      <c r="E3099" s="94" t="s">
        <v>9652</v>
      </c>
      <c r="F3099" s="95" t="s">
        <v>9653</v>
      </c>
      <c r="G3099" s="96">
        <v>45646</v>
      </c>
      <c r="H3099" s="97">
        <v>21159</v>
      </c>
      <c r="I3099" s="100" t="s">
        <v>9654</v>
      </c>
      <c r="J3099" s="100" t="s">
        <v>58</v>
      </c>
      <c r="K3099" s="95">
        <v>952253166</v>
      </c>
      <c r="L3099" s="91" t="s">
        <v>60</v>
      </c>
      <c r="M3099" s="98">
        <f t="shared" ca="1" si="3"/>
        <v>68.063013698630144</v>
      </c>
      <c r="N3099" s="99">
        <f t="shared" si="4"/>
        <v>67.087671232876716</v>
      </c>
      <c r="O3099" s="98">
        <f t="shared" ca="1" si="5"/>
        <v>0.97534246575342465</v>
      </c>
      <c r="P3099" s="91" t="s">
        <v>43</v>
      </c>
      <c r="Q3099" s="91">
        <v>0</v>
      </c>
      <c r="R3099" s="91">
        <v>0</v>
      </c>
      <c r="S3099" s="91">
        <v>0</v>
      </c>
      <c r="T3099" s="91"/>
      <c r="U3099" s="91"/>
      <c r="V3099" s="91"/>
      <c r="W3099" s="91"/>
      <c r="X3099" s="91"/>
      <c r="Y3099" s="91"/>
      <c r="Z3099" s="91"/>
      <c r="AA3099" s="91"/>
      <c r="AB3099" s="91"/>
      <c r="AC3099" s="91"/>
      <c r="AD3099" s="91"/>
      <c r="AE3099" s="91"/>
      <c r="AF3099" s="91"/>
      <c r="AG3099" s="91"/>
      <c r="AH3099" s="91"/>
      <c r="AI3099" s="91"/>
      <c r="AJ3099" s="91"/>
      <c r="AK3099" s="91"/>
      <c r="AL3099" s="91"/>
      <c r="AM3099" s="91"/>
    </row>
    <row r="3100" spans="1:39" ht="20.25" hidden="1" customHeight="1">
      <c r="A3100" s="91"/>
      <c r="B3100" s="93" t="s">
        <v>9632</v>
      </c>
      <c r="C3100" s="91" t="s">
        <v>36</v>
      </c>
      <c r="D3100" s="94" t="s">
        <v>9655</v>
      </c>
      <c r="E3100" s="94" t="s">
        <v>9656</v>
      </c>
      <c r="F3100" s="95" t="s">
        <v>9657</v>
      </c>
      <c r="G3100" s="96">
        <v>45566</v>
      </c>
      <c r="H3100" s="97">
        <v>19493</v>
      </c>
      <c r="I3100" s="100" t="s">
        <v>9658</v>
      </c>
      <c r="J3100" s="100" t="s">
        <v>58</v>
      </c>
      <c r="K3100" s="95">
        <v>974226345</v>
      </c>
      <c r="L3100" s="91" t="s">
        <v>60</v>
      </c>
      <c r="M3100" s="98">
        <f t="shared" ca="1" si="3"/>
        <v>72.627397260273966</v>
      </c>
      <c r="N3100" s="99">
        <f t="shared" si="4"/>
        <v>71.432876712328763</v>
      </c>
      <c r="O3100" s="98">
        <f t="shared" ca="1" si="5"/>
        <v>1.1945205479452055</v>
      </c>
      <c r="P3100" s="91" t="s">
        <v>43</v>
      </c>
      <c r="Q3100" s="91">
        <v>0</v>
      </c>
      <c r="R3100" s="91">
        <v>0</v>
      </c>
      <c r="S3100" s="91">
        <v>0</v>
      </c>
      <c r="T3100" s="91"/>
      <c r="U3100" s="91"/>
      <c r="V3100" s="91"/>
      <c r="W3100" s="91"/>
      <c r="X3100" s="91"/>
      <c r="Y3100" s="91"/>
      <c r="Z3100" s="91"/>
      <c r="AA3100" s="91"/>
      <c r="AB3100" s="91"/>
      <c r="AC3100" s="91"/>
      <c r="AD3100" s="91"/>
      <c r="AE3100" s="91"/>
      <c r="AF3100" s="91"/>
      <c r="AG3100" s="91"/>
      <c r="AH3100" s="91"/>
      <c r="AI3100" s="91"/>
      <c r="AJ3100" s="91"/>
      <c r="AK3100" s="91"/>
      <c r="AL3100" s="91"/>
      <c r="AM3100" s="91"/>
    </row>
  </sheetData>
  <autoFilter ref="A1:AL3100" xr:uid="{00000000-0009-0000-0000-000000000000}">
    <filterColumn colId="1">
      <colorFilter dxfId="0" cellColor="0"/>
    </filterColumn>
    <filterColumn colId="2">
      <filters>
        <filter val="Llamada"/>
      </filters>
    </filterColumn>
    <sortState xmlns:xlrd2="http://schemas.microsoft.com/office/spreadsheetml/2017/richdata2" ref="A8:AL3093">
      <sortCondition ref="E1:E3100"/>
    </sortState>
  </autoFilter>
  <phoneticPr fontId="35" type="noConversion"/>
  <hyperlinks>
    <hyperlink ref="I63" r:id="rId1" xr:uid="{00000000-0004-0000-0000-000000000000}"/>
    <hyperlink ref="I158" r:id="rId2" xr:uid="{00000000-0004-0000-0000-000001000000}"/>
    <hyperlink ref="I1453" r:id="rId3" xr:uid="{00000000-0004-0000-0000-000002000000}"/>
    <hyperlink ref="I160" r:id="rId4" xr:uid="{00000000-0004-0000-0000-000003000000}"/>
    <hyperlink ref="I161" r:id="rId5" xr:uid="{00000000-0004-0000-0000-000004000000}"/>
    <hyperlink ref="I162" r:id="rId6" xr:uid="{00000000-0004-0000-0000-000005000000}"/>
    <hyperlink ref="I163" r:id="rId7" xr:uid="{00000000-0004-0000-0000-000006000000}"/>
    <hyperlink ref="I164" r:id="rId8" xr:uid="{00000000-0004-0000-0000-000007000000}"/>
    <hyperlink ref="I165" r:id="rId9" xr:uid="{00000000-0004-0000-0000-000008000000}"/>
    <hyperlink ref="I166" r:id="rId10" xr:uid="{00000000-0004-0000-0000-000009000000}"/>
    <hyperlink ref="I167" r:id="rId11" xr:uid="{00000000-0004-0000-0000-00000A000000}"/>
    <hyperlink ref="I168" r:id="rId12" xr:uid="{00000000-0004-0000-0000-00000B000000}"/>
    <hyperlink ref="I574" r:id="rId13" xr:uid="{00000000-0004-0000-0000-00000C000000}"/>
    <hyperlink ref="I2907" r:id="rId14" xr:uid="{00000000-0004-0000-0000-00000D000000}"/>
    <hyperlink ref="I171" r:id="rId15" xr:uid="{00000000-0004-0000-0000-00000E000000}"/>
    <hyperlink ref="I172" r:id="rId16" xr:uid="{00000000-0004-0000-0000-00000F000000}"/>
    <hyperlink ref="I280" r:id="rId17" xr:uid="{00000000-0004-0000-0000-000010000000}"/>
    <hyperlink ref="I303" r:id="rId18" xr:uid="{00000000-0004-0000-0000-000011000000}"/>
    <hyperlink ref="I350" r:id="rId19" xr:uid="{00000000-0004-0000-0000-000012000000}"/>
    <hyperlink ref="I384" r:id="rId20" xr:uid="{00000000-0004-0000-0000-000013000000}"/>
    <hyperlink ref="I612" r:id="rId21" xr:uid="{00000000-0004-0000-0000-000014000000}"/>
    <hyperlink ref="I622" r:id="rId22" xr:uid="{00000000-0004-0000-0000-000015000000}"/>
    <hyperlink ref="I626" r:id="rId23" xr:uid="{00000000-0004-0000-0000-000016000000}"/>
    <hyperlink ref="I627" r:id="rId24" xr:uid="{00000000-0004-0000-0000-000017000000}"/>
    <hyperlink ref="I635" r:id="rId25" xr:uid="{00000000-0004-0000-0000-000018000000}"/>
    <hyperlink ref="I638" r:id="rId26" xr:uid="{00000000-0004-0000-0000-000019000000}"/>
    <hyperlink ref="I607" r:id="rId27" xr:uid="{00000000-0004-0000-0000-00001A000000}"/>
    <hyperlink ref="I641" r:id="rId28" xr:uid="{00000000-0004-0000-0000-00001B000000}"/>
    <hyperlink ref="I1533" r:id="rId29" xr:uid="{00000000-0004-0000-0000-00001C000000}"/>
    <hyperlink ref="I150" r:id="rId30" xr:uid="{00000000-0004-0000-0000-00001D000000}"/>
    <hyperlink ref="I644" r:id="rId31" xr:uid="{00000000-0004-0000-0000-00001E000000}"/>
    <hyperlink ref="I645" r:id="rId32" xr:uid="{00000000-0004-0000-0000-00001F000000}"/>
    <hyperlink ref="I646" r:id="rId33" xr:uid="{00000000-0004-0000-0000-000020000000}"/>
    <hyperlink ref="I647" r:id="rId34" xr:uid="{00000000-0004-0000-0000-000021000000}"/>
    <hyperlink ref="I603" r:id="rId35" xr:uid="{00000000-0004-0000-0000-000022000000}"/>
    <hyperlink ref="I649" r:id="rId36" xr:uid="{00000000-0004-0000-0000-000023000000}"/>
    <hyperlink ref="I1038" r:id="rId37" xr:uid="{00000000-0004-0000-0000-000024000000}"/>
    <hyperlink ref="I2615" r:id="rId38" xr:uid="{00000000-0004-0000-0000-000025000000}"/>
    <hyperlink ref="I2297" r:id="rId39" xr:uid="{00000000-0004-0000-0000-000026000000}"/>
    <hyperlink ref="I653" r:id="rId40" xr:uid="{00000000-0004-0000-0000-000027000000}"/>
    <hyperlink ref="I654" r:id="rId41" xr:uid="{00000000-0004-0000-0000-000028000000}"/>
    <hyperlink ref="I585" r:id="rId42" xr:uid="{00000000-0004-0000-0000-000029000000}"/>
    <hyperlink ref="I658" r:id="rId43" xr:uid="{00000000-0004-0000-0000-00002A000000}"/>
    <hyperlink ref="I659" r:id="rId44" xr:uid="{00000000-0004-0000-0000-00002B000000}"/>
    <hyperlink ref="I660" r:id="rId45" xr:uid="{00000000-0004-0000-0000-00002C000000}"/>
    <hyperlink ref="I662" r:id="rId46" xr:uid="{00000000-0004-0000-0000-00002D000000}"/>
    <hyperlink ref="I663" r:id="rId47" xr:uid="{00000000-0004-0000-0000-00002E000000}"/>
    <hyperlink ref="I44" r:id="rId48" xr:uid="{00000000-0004-0000-0000-00002F000000}"/>
    <hyperlink ref="I1002" r:id="rId49" xr:uid="{00000000-0004-0000-0000-000030000000}"/>
    <hyperlink ref="I1079" r:id="rId50" xr:uid="{00000000-0004-0000-0000-000031000000}"/>
    <hyperlink ref="I1080" r:id="rId51" xr:uid="{00000000-0004-0000-0000-000032000000}"/>
    <hyperlink ref="I1081" r:id="rId52" xr:uid="{00000000-0004-0000-0000-000033000000}"/>
    <hyperlink ref="I1082" r:id="rId53" xr:uid="{00000000-0004-0000-0000-000034000000}"/>
    <hyperlink ref="I1083" r:id="rId54" xr:uid="{00000000-0004-0000-0000-000035000000}"/>
    <hyperlink ref="I1086" r:id="rId55" xr:uid="{00000000-0004-0000-0000-000036000000}"/>
    <hyperlink ref="I1087" r:id="rId56" xr:uid="{00000000-0004-0000-0000-000037000000}"/>
    <hyperlink ref="I1088" r:id="rId57" xr:uid="{00000000-0004-0000-0000-000038000000}"/>
    <hyperlink ref="I1193" r:id="rId58" xr:uid="{00000000-0004-0000-0000-000039000000}"/>
    <hyperlink ref="I1200" r:id="rId59" xr:uid="{00000000-0004-0000-0000-00003A000000}"/>
    <hyperlink ref="I1235" r:id="rId60" xr:uid="{00000000-0004-0000-0000-00003B000000}"/>
    <hyperlink ref="I1236" r:id="rId61" xr:uid="{00000000-0004-0000-0000-00003C000000}"/>
    <hyperlink ref="I1246" r:id="rId62" xr:uid="{00000000-0004-0000-0000-00003D000000}"/>
    <hyperlink ref="I1249" r:id="rId63" xr:uid="{00000000-0004-0000-0000-00003E000000}"/>
    <hyperlink ref="I1250" r:id="rId64" xr:uid="{00000000-0004-0000-0000-00003F000000}"/>
    <hyperlink ref="I1396" r:id="rId65" xr:uid="{00000000-0004-0000-0000-000040000000}"/>
    <hyperlink ref="I1410" r:id="rId66" xr:uid="{00000000-0004-0000-0000-000041000000}"/>
    <hyperlink ref="I1505" r:id="rId67" xr:uid="{00000000-0004-0000-0000-000042000000}"/>
    <hyperlink ref="I1517" r:id="rId68" xr:uid="{00000000-0004-0000-0000-000043000000}"/>
    <hyperlink ref="I1526" r:id="rId69" xr:uid="{00000000-0004-0000-0000-000044000000}"/>
    <hyperlink ref="I1550" r:id="rId70" xr:uid="{00000000-0004-0000-0000-000045000000}"/>
    <hyperlink ref="I2824" r:id="rId71" xr:uid="{00000000-0004-0000-0000-000046000000}"/>
    <hyperlink ref="I1749" r:id="rId72" xr:uid="{00000000-0004-0000-0000-000047000000}"/>
    <hyperlink ref="I1751" r:id="rId73" xr:uid="{00000000-0004-0000-0000-000048000000}"/>
    <hyperlink ref="I1775" r:id="rId74" xr:uid="{00000000-0004-0000-0000-000049000000}"/>
    <hyperlink ref="I1780" r:id="rId75" xr:uid="{00000000-0004-0000-0000-00004A000000}"/>
    <hyperlink ref="I1788" r:id="rId76" xr:uid="{00000000-0004-0000-0000-00004B000000}"/>
    <hyperlink ref="I1789" r:id="rId77" xr:uid="{00000000-0004-0000-0000-00004C000000}"/>
    <hyperlink ref="I1791" r:id="rId78" xr:uid="{00000000-0004-0000-0000-00004D000000}"/>
    <hyperlink ref="I1792" r:id="rId79" xr:uid="{00000000-0004-0000-0000-00004E000000}"/>
    <hyperlink ref="I1793" r:id="rId80" xr:uid="{00000000-0004-0000-0000-00004F000000}"/>
    <hyperlink ref="I1794" r:id="rId81" xr:uid="{00000000-0004-0000-0000-000050000000}"/>
    <hyperlink ref="I1795" r:id="rId82" xr:uid="{00000000-0004-0000-0000-000051000000}"/>
    <hyperlink ref="I1797" r:id="rId83" xr:uid="{00000000-0004-0000-0000-000052000000}"/>
    <hyperlink ref="I1799" r:id="rId84" xr:uid="{00000000-0004-0000-0000-000053000000}"/>
    <hyperlink ref="I1800" r:id="rId85" xr:uid="{00000000-0004-0000-0000-000054000000}"/>
    <hyperlink ref="I1801" r:id="rId86" xr:uid="{00000000-0004-0000-0000-000055000000}"/>
    <hyperlink ref="I1805" r:id="rId87" xr:uid="{00000000-0004-0000-0000-000056000000}"/>
    <hyperlink ref="I1810" r:id="rId88" xr:uid="{00000000-0004-0000-0000-000057000000}"/>
    <hyperlink ref="I1813" r:id="rId89" xr:uid="{00000000-0004-0000-0000-000058000000}"/>
    <hyperlink ref="I1816" r:id="rId90" xr:uid="{00000000-0004-0000-0000-000059000000}"/>
    <hyperlink ref="I1819" r:id="rId91" xr:uid="{00000000-0004-0000-0000-00005A000000}"/>
    <hyperlink ref="I1820" r:id="rId92" xr:uid="{00000000-0004-0000-0000-00005B000000}"/>
    <hyperlink ref="I2038" r:id="rId93" xr:uid="{00000000-0004-0000-0000-00005C000000}"/>
    <hyperlink ref="I2153" r:id="rId94" xr:uid="{00000000-0004-0000-0000-00005D000000}"/>
    <hyperlink ref="I2154" r:id="rId95" xr:uid="{00000000-0004-0000-0000-00005E000000}"/>
    <hyperlink ref="I2155" r:id="rId96" xr:uid="{00000000-0004-0000-0000-00005F000000}"/>
    <hyperlink ref="I2156" r:id="rId97" xr:uid="{00000000-0004-0000-0000-000060000000}"/>
    <hyperlink ref="I2157" r:id="rId98" xr:uid="{00000000-0004-0000-0000-000061000000}"/>
    <hyperlink ref="I2158" r:id="rId99" xr:uid="{00000000-0004-0000-0000-000062000000}"/>
    <hyperlink ref="I2159" r:id="rId100" xr:uid="{00000000-0004-0000-0000-000063000000}"/>
    <hyperlink ref="I2160" r:id="rId101" xr:uid="{00000000-0004-0000-0000-000064000000}"/>
    <hyperlink ref="I2161" r:id="rId102" xr:uid="{00000000-0004-0000-0000-000065000000}"/>
    <hyperlink ref="I2163" r:id="rId103" xr:uid="{00000000-0004-0000-0000-000066000000}"/>
    <hyperlink ref="I2164" r:id="rId104" xr:uid="{00000000-0004-0000-0000-000067000000}"/>
    <hyperlink ref="I2165" r:id="rId105" xr:uid="{00000000-0004-0000-0000-000068000000}"/>
    <hyperlink ref="I2166" r:id="rId106" xr:uid="{00000000-0004-0000-0000-000069000000}"/>
    <hyperlink ref="I2167" r:id="rId107" xr:uid="{00000000-0004-0000-0000-00006A000000}"/>
    <hyperlink ref="I2168" r:id="rId108" xr:uid="{00000000-0004-0000-0000-00006B000000}"/>
    <hyperlink ref="I2169" r:id="rId109" xr:uid="{00000000-0004-0000-0000-00006C000000}"/>
    <hyperlink ref="I2170" r:id="rId110" xr:uid="{00000000-0004-0000-0000-00006D000000}"/>
    <hyperlink ref="I255" r:id="rId111" xr:uid="{00000000-0004-0000-0000-00006E000000}"/>
    <hyperlink ref="I2198" r:id="rId112" xr:uid="{00000000-0004-0000-0000-00006F000000}"/>
    <hyperlink ref="I2200" r:id="rId113" xr:uid="{00000000-0004-0000-0000-000070000000}"/>
    <hyperlink ref="I2201" r:id="rId114" xr:uid="{00000000-0004-0000-0000-000071000000}"/>
    <hyperlink ref="I2202" r:id="rId115" xr:uid="{00000000-0004-0000-0000-000072000000}"/>
    <hyperlink ref="I2203" r:id="rId116" xr:uid="{00000000-0004-0000-0000-000073000000}"/>
    <hyperlink ref="I2204" r:id="rId117" xr:uid="{00000000-0004-0000-0000-000074000000}"/>
    <hyperlink ref="I2205" r:id="rId118" xr:uid="{00000000-0004-0000-0000-000075000000}"/>
    <hyperlink ref="I2208" r:id="rId119" xr:uid="{00000000-0004-0000-0000-000076000000}"/>
    <hyperlink ref="I2209" r:id="rId120" xr:uid="{00000000-0004-0000-0000-000077000000}"/>
    <hyperlink ref="I2214" r:id="rId121" xr:uid="{00000000-0004-0000-0000-000078000000}"/>
    <hyperlink ref="I2216" r:id="rId122" xr:uid="{00000000-0004-0000-0000-000079000000}"/>
    <hyperlink ref="I2217" r:id="rId123" xr:uid="{00000000-0004-0000-0000-00007A000000}"/>
    <hyperlink ref="I2218" r:id="rId124" xr:uid="{00000000-0004-0000-0000-00007B000000}"/>
    <hyperlink ref="I2220" r:id="rId125" xr:uid="{00000000-0004-0000-0000-00007C000000}"/>
    <hyperlink ref="I2221" r:id="rId126" xr:uid="{00000000-0004-0000-0000-00007D000000}"/>
    <hyperlink ref="I1133" r:id="rId127" xr:uid="{00000000-0004-0000-0000-00007E000000}"/>
    <hyperlink ref="I2224" r:id="rId128" xr:uid="{00000000-0004-0000-0000-00007F000000}"/>
    <hyperlink ref="I2225" r:id="rId129" xr:uid="{00000000-0004-0000-0000-000080000000}"/>
    <hyperlink ref="I2226" r:id="rId130" xr:uid="{00000000-0004-0000-0000-000081000000}"/>
    <hyperlink ref="I2227" r:id="rId131" xr:uid="{00000000-0004-0000-0000-000082000000}"/>
    <hyperlink ref="I2228" r:id="rId132" xr:uid="{00000000-0004-0000-0000-000083000000}"/>
    <hyperlink ref="I2229" r:id="rId133" xr:uid="{00000000-0004-0000-0000-000084000000}"/>
    <hyperlink ref="I2231" r:id="rId134" xr:uid="{00000000-0004-0000-0000-000085000000}"/>
    <hyperlink ref="I2233" r:id="rId135" xr:uid="{00000000-0004-0000-0000-000086000000}"/>
    <hyperlink ref="I2235" r:id="rId136" xr:uid="{00000000-0004-0000-0000-000087000000}"/>
    <hyperlink ref="I2236" r:id="rId137" xr:uid="{00000000-0004-0000-0000-000088000000}"/>
    <hyperlink ref="I2238" r:id="rId138" xr:uid="{00000000-0004-0000-0000-000089000000}"/>
    <hyperlink ref="I2239" r:id="rId139" xr:uid="{00000000-0004-0000-0000-00008A000000}"/>
    <hyperlink ref="I2240" r:id="rId140" xr:uid="{00000000-0004-0000-0000-00008B000000}"/>
    <hyperlink ref="I2241" r:id="rId141" xr:uid="{00000000-0004-0000-0000-00008C000000}"/>
    <hyperlink ref="I2242" r:id="rId142" xr:uid="{00000000-0004-0000-0000-00008D000000}"/>
    <hyperlink ref="I2250" r:id="rId143" xr:uid="{00000000-0004-0000-0000-00008E000000}"/>
    <hyperlink ref="I2253" r:id="rId144" xr:uid="{00000000-0004-0000-0000-00008F000000}"/>
    <hyperlink ref="I1470" r:id="rId145" xr:uid="{00000000-0004-0000-0000-000090000000}"/>
    <hyperlink ref="I1471" r:id="rId146" xr:uid="{00000000-0004-0000-0000-000091000000}"/>
    <hyperlink ref="I2270" r:id="rId147" xr:uid="{00000000-0004-0000-0000-000092000000}"/>
    <hyperlink ref="I2271" r:id="rId148" xr:uid="{00000000-0004-0000-0000-000093000000}"/>
    <hyperlink ref="I2272" r:id="rId149" xr:uid="{00000000-0004-0000-0000-000094000000}"/>
    <hyperlink ref="I2273" r:id="rId150" xr:uid="{00000000-0004-0000-0000-000095000000}"/>
    <hyperlink ref="I2274" r:id="rId151" xr:uid="{00000000-0004-0000-0000-000096000000}"/>
    <hyperlink ref="I2276" r:id="rId152" xr:uid="{00000000-0004-0000-0000-000097000000}"/>
    <hyperlink ref="I1025" r:id="rId153" xr:uid="{00000000-0004-0000-0000-000098000000}"/>
    <hyperlink ref="I2279" r:id="rId154" xr:uid="{00000000-0004-0000-0000-000099000000}"/>
    <hyperlink ref="I2280" r:id="rId155" xr:uid="{00000000-0004-0000-0000-00009A000000}"/>
    <hyperlink ref="I2281" r:id="rId156" xr:uid="{00000000-0004-0000-0000-00009B000000}"/>
    <hyperlink ref="I2282" r:id="rId157" xr:uid="{00000000-0004-0000-0000-00009C000000}"/>
    <hyperlink ref="I2283" r:id="rId158" xr:uid="{00000000-0004-0000-0000-00009D000000}"/>
    <hyperlink ref="I2284" r:id="rId159" xr:uid="{00000000-0004-0000-0000-00009E000000}"/>
    <hyperlink ref="I2286" r:id="rId160" xr:uid="{00000000-0004-0000-0000-00009F000000}"/>
    <hyperlink ref="I2287" r:id="rId161" xr:uid="{00000000-0004-0000-0000-0000A0000000}"/>
    <hyperlink ref="I2385" r:id="rId162" xr:uid="{00000000-0004-0000-0000-0000A1000000}"/>
    <hyperlink ref="I2390" r:id="rId163" xr:uid="{00000000-0004-0000-0000-0000A2000000}"/>
    <hyperlink ref="I2423" r:id="rId164" xr:uid="{00000000-0004-0000-0000-0000A3000000}"/>
    <hyperlink ref="I2424" r:id="rId165" xr:uid="{00000000-0004-0000-0000-0000A4000000}"/>
    <hyperlink ref="I2426" r:id="rId166" xr:uid="{00000000-0004-0000-0000-0000A5000000}"/>
    <hyperlink ref="I2427" r:id="rId167" xr:uid="{00000000-0004-0000-0000-0000A6000000}"/>
    <hyperlink ref="I2428" r:id="rId168" xr:uid="{00000000-0004-0000-0000-0000A7000000}"/>
    <hyperlink ref="I2429" r:id="rId169" xr:uid="{00000000-0004-0000-0000-0000A8000000}"/>
    <hyperlink ref="I2430" r:id="rId170" xr:uid="{00000000-0004-0000-0000-0000A9000000}"/>
    <hyperlink ref="I2431" r:id="rId171" xr:uid="{00000000-0004-0000-0000-0000AA000000}"/>
    <hyperlink ref="I2432" r:id="rId172" xr:uid="{00000000-0004-0000-0000-0000AB000000}"/>
    <hyperlink ref="I2433" r:id="rId173" xr:uid="{00000000-0004-0000-0000-0000AC000000}"/>
    <hyperlink ref="I2434" r:id="rId174" xr:uid="{00000000-0004-0000-0000-0000AD000000}"/>
    <hyperlink ref="I2435" r:id="rId175" xr:uid="{00000000-0004-0000-0000-0000AE000000}"/>
    <hyperlink ref="I2436" r:id="rId176" xr:uid="{00000000-0004-0000-0000-0000AF000000}"/>
    <hyperlink ref="I2437" r:id="rId177" xr:uid="{00000000-0004-0000-0000-0000B0000000}"/>
    <hyperlink ref="I2438" r:id="rId178" xr:uid="{00000000-0004-0000-0000-0000B1000000}"/>
    <hyperlink ref="I2439" r:id="rId179" xr:uid="{00000000-0004-0000-0000-0000B2000000}"/>
    <hyperlink ref="I2441" r:id="rId180" xr:uid="{00000000-0004-0000-0000-0000B3000000}"/>
    <hyperlink ref="I2442" r:id="rId181" xr:uid="{00000000-0004-0000-0000-0000B4000000}"/>
    <hyperlink ref="I2443" r:id="rId182" xr:uid="{00000000-0004-0000-0000-0000B5000000}"/>
    <hyperlink ref="I2444" r:id="rId183" xr:uid="{00000000-0004-0000-0000-0000B6000000}"/>
    <hyperlink ref="I2449" r:id="rId184" xr:uid="{00000000-0004-0000-0000-0000B7000000}"/>
    <hyperlink ref="I2450" r:id="rId185" xr:uid="{00000000-0004-0000-0000-0000B8000000}"/>
    <hyperlink ref="I2451" r:id="rId186" xr:uid="{00000000-0004-0000-0000-0000B9000000}"/>
    <hyperlink ref="I2453" r:id="rId187" xr:uid="{00000000-0004-0000-0000-0000BA000000}"/>
    <hyperlink ref="I2454" r:id="rId188" xr:uid="{00000000-0004-0000-0000-0000BB000000}"/>
    <hyperlink ref="I2455" r:id="rId189" xr:uid="{00000000-0004-0000-0000-0000BC000000}"/>
    <hyperlink ref="I2456" r:id="rId190" xr:uid="{00000000-0004-0000-0000-0000BD000000}"/>
    <hyperlink ref="I2458" r:id="rId191" xr:uid="{00000000-0004-0000-0000-0000BE000000}"/>
    <hyperlink ref="I2459" r:id="rId192" xr:uid="{00000000-0004-0000-0000-0000BF000000}"/>
    <hyperlink ref="I2462" r:id="rId193" xr:uid="{00000000-0004-0000-0000-0000C0000000}"/>
    <hyperlink ref="I2463" r:id="rId194" xr:uid="{00000000-0004-0000-0000-0000C1000000}"/>
    <hyperlink ref="I2464" r:id="rId195" xr:uid="{00000000-0004-0000-0000-0000C2000000}"/>
    <hyperlink ref="I2466" r:id="rId196" xr:uid="{00000000-0004-0000-0000-0000C3000000}"/>
    <hyperlink ref="I2469" r:id="rId197" xr:uid="{00000000-0004-0000-0000-0000C4000000}"/>
    <hyperlink ref="I2470" r:id="rId198" xr:uid="{00000000-0004-0000-0000-0000C5000000}"/>
    <hyperlink ref="I2472" r:id="rId199" xr:uid="{00000000-0004-0000-0000-0000C6000000}"/>
    <hyperlink ref="I2497" r:id="rId200" xr:uid="{00000000-0004-0000-0000-0000C7000000}"/>
    <hyperlink ref="I2498" r:id="rId201" xr:uid="{00000000-0004-0000-0000-0000C8000000}"/>
    <hyperlink ref="I2499" r:id="rId202" xr:uid="{00000000-0004-0000-0000-0000C9000000}"/>
    <hyperlink ref="I2501" r:id="rId203" xr:uid="{00000000-0004-0000-0000-0000CA000000}"/>
    <hyperlink ref="I2502" r:id="rId204" xr:uid="{00000000-0004-0000-0000-0000CB000000}"/>
    <hyperlink ref="I2503" r:id="rId205" xr:uid="{00000000-0004-0000-0000-0000CC000000}"/>
    <hyperlink ref="I2505" r:id="rId206" xr:uid="{00000000-0004-0000-0000-0000CD000000}"/>
    <hyperlink ref="I2507" r:id="rId207" xr:uid="{00000000-0004-0000-0000-0000CE000000}"/>
    <hyperlink ref="I2508" r:id="rId208" xr:uid="{00000000-0004-0000-0000-0000CF000000}"/>
    <hyperlink ref="I2509" r:id="rId209" xr:uid="{00000000-0004-0000-0000-0000D0000000}"/>
    <hyperlink ref="I2510" r:id="rId210" xr:uid="{00000000-0004-0000-0000-0000D1000000}"/>
    <hyperlink ref="I2513" r:id="rId211" xr:uid="{00000000-0004-0000-0000-0000D2000000}"/>
    <hyperlink ref="I2515" r:id="rId212" xr:uid="{00000000-0004-0000-0000-0000D3000000}"/>
    <hyperlink ref="I2517" r:id="rId213" xr:uid="{00000000-0004-0000-0000-0000D4000000}"/>
    <hyperlink ref="I2519" r:id="rId214" xr:uid="{00000000-0004-0000-0000-0000D5000000}"/>
    <hyperlink ref="I2520" r:id="rId215" xr:uid="{00000000-0004-0000-0000-0000D6000000}"/>
    <hyperlink ref="I2521" r:id="rId216" xr:uid="{00000000-0004-0000-0000-0000D7000000}"/>
    <hyperlink ref="I2522" r:id="rId217" xr:uid="{00000000-0004-0000-0000-0000D8000000}"/>
    <hyperlink ref="I2654" r:id="rId218" xr:uid="{00000000-0004-0000-0000-0000D9000000}"/>
    <hyperlink ref="I2607" r:id="rId219" xr:uid="{00000000-0004-0000-0000-0000DA000000}"/>
    <hyperlink ref="I2700" r:id="rId220" xr:uid="{00000000-0004-0000-0000-0000DB000000}"/>
    <hyperlink ref="I2722" r:id="rId221" xr:uid="{00000000-0004-0000-0000-0000DC000000}"/>
    <hyperlink ref="I2723" r:id="rId222" xr:uid="{00000000-0004-0000-0000-0000DD000000}"/>
    <hyperlink ref="I2726" r:id="rId223" xr:uid="{00000000-0004-0000-0000-0000DE000000}"/>
    <hyperlink ref="I2727" r:id="rId224" xr:uid="{00000000-0004-0000-0000-0000DF000000}"/>
    <hyperlink ref="I2729" r:id="rId225" xr:uid="{00000000-0004-0000-0000-0000E0000000}"/>
    <hyperlink ref="I2730" r:id="rId226" xr:uid="{00000000-0004-0000-0000-0000E1000000}"/>
    <hyperlink ref="I2731" r:id="rId227" xr:uid="{00000000-0004-0000-0000-0000E2000000}"/>
    <hyperlink ref="I1718" r:id="rId228" xr:uid="{00000000-0004-0000-0000-0000E3000000}"/>
    <hyperlink ref="I2765" r:id="rId229" xr:uid="{00000000-0004-0000-0000-0000E4000000}"/>
    <hyperlink ref="I2766" r:id="rId230" xr:uid="{00000000-0004-0000-0000-0000E5000000}"/>
    <hyperlink ref="I2768" r:id="rId231" xr:uid="{00000000-0004-0000-0000-0000E6000000}"/>
    <hyperlink ref="I2769" r:id="rId232" xr:uid="{00000000-0004-0000-0000-0000E7000000}"/>
    <hyperlink ref="I2772" r:id="rId233" xr:uid="{00000000-0004-0000-0000-0000E8000000}"/>
    <hyperlink ref="I2773" r:id="rId234" xr:uid="{00000000-0004-0000-0000-0000E9000000}"/>
    <hyperlink ref="I2774" r:id="rId235" xr:uid="{00000000-0004-0000-0000-0000EA000000}"/>
    <hyperlink ref="I2776" r:id="rId236" xr:uid="{00000000-0004-0000-0000-0000EB000000}"/>
    <hyperlink ref="I2777" r:id="rId237" xr:uid="{00000000-0004-0000-0000-0000EC000000}"/>
    <hyperlink ref="I2778" r:id="rId238" xr:uid="{00000000-0004-0000-0000-0000ED000000}"/>
    <hyperlink ref="I2779" r:id="rId239" xr:uid="{00000000-0004-0000-0000-0000EE000000}"/>
    <hyperlink ref="I2780" r:id="rId240" xr:uid="{00000000-0004-0000-0000-0000EF000000}"/>
    <hyperlink ref="I2781" r:id="rId241" xr:uid="{00000000-0004-0000-0000-0000F0000000}"/>
    <hyperlink ref="I2783" r:id="rId242" xr:uid="{00000000-0004-0000-0000-0000F1000000}"/>
    <hyperlink ref="I2785" r:id="rId243" xr:uid="{00000000-0004-0000-0000-0000F2000000}"/>
    <hyperlink ref="I2800" r:id="rId244" xr:uid="{00000000-0004-0000-0000-0000F3000000}"/>
    <hyperlink ref="I2805" r:id="rId245" xr:uid="{00000000-0004-0000-0000-0000F4000000}"/>
    <hyperlink ref="I2809" r:id="rId246" xr:uid="{00000000-0004-0000-0000-0000F5000000}"/>
    <hyperlink ref="I2817" r:id="rId247" xr:uid="{00000000-0004-0000-0000-0000F6000000}"/>
    <hyperlink ref="I2818" r:id="rId248" xr:uid="{00000000-0004-0000-0000-0000F7000000}"/>
    <hyperlink ref="I2819" r:id="rId249" xr:uid="{00000000-0004-0000-0000-0000F8000000}"/>
    <hyperlink ref="I2822" r:id="rId250" xr:uid="{00000000-0004-0000-0000-0000F9000000}"/>
    <hyperlink ref="I2825" r:id="rId251" xr:uid="{00000000-0004-0000-0000-0000FA000000}"/>
    <hyperlink ref="I2826" r:id="rId252" xr:uid="{00000000-0004-0000-0000-0000FB000000}"/>
    <hyperlink ref="I2828" r:id="rId253" xr:uid="{00000000-0004-0000-0000-0000FC000000}"/>
    <hyperlink ref="I2829" r:id="rId254" xr:uid="{00000000-0004-0000-0000-0000FD000000}"/>
    <hyperlink ref="I2830" r:id="rId255" xr:uid="{00000000-0004-0000-0000-0000FE000000}"/>
    <hyperlink ref="I2831" r:id="rId256" xr:uid="{00000000-0004-0000-0000-0000FF000000}"/>
    <hyperlink ref="I2832" r:id="rId257" xr:uid="{00000000-0004-0000-0000-000000010000}"/>
    <hyperlink ref="I2833" r:id="rId258" xr:uid="{00000000-0004-0000-0000-000001010000}"/>
    <hyperlink ref="I2834" r:id="rId259" xr:uid="{00000000-0004-0000-0000-000002010000}"/>
    <hyperlink ref="I2835" r:id="rId260" xr:uid="{00000000-0004-0000-0000-000003010000}"/>
    <hyperlink ref="I2836" r:id="rId261" xr:uid="{00000000-0004-0000-0000-000004010000}"/>
    <hyperlink ref="I2837" r:id="rId262" xr:uid="{00000000-0004-0000-0000-000005010000}"/>
    <hyperlink ref="I2839" r:id="rId263" xr:uid="{00000000-0004-0000-0000-000006010000}"/>
    <hyperlink ref="I2840" r:id="rId264" xr:uid="{00000000-0004-0000-0000-000007010000}"/>
    <hyperlink ref="I2841" r:id="rId265" xr:uid="{00000000-0004-0000-0000-000008010000}"/>
    <hyperlink ref="I2842" r:id="rId266" xr:uid="{00000000-0004-0000-0000-000009010000}"/>
    <hyperlink ref="I2844" r:id="rId267" xr:uid="{00000000-0004-0000-0000-00000A010000}"/>
    <hyperlink ref="I2887" r:id="rId268" xr:uid="{00000000-0004-0000-0000-00000B010000}"/>
    <hyperlink ref="I2894" r:id="rId269" xr:uid="{00000000-0004-0000-0000-00000C010000}"/>
    <hyperlink ref="I2897" r:id="rId270" xr:uid="{00000000-0004-0000-0000-00000D010000}"/>
    <hyperlink ref="I2919" r:id="rId271" xr:uid="{00000000-0004-0000-0000-00000E010000}"/>
    <hyperlink ref="I2921" r:id="rId272" xr:uid="{00000000-0004-0000-0000-00000F010000}"/>
    <hyperlink ref="I2923" r:id="rId273" xr:uid="{00000000-0004-0000-0000-000010010000}"/>
    <hyperlink ref="I2925" r:id="rId274" xr:uid="{00000000-0004-0000-0000-000011010000}"/>
    <hyperlink ref="I2932" r:id="rId275" xr:uid="{00000000-0004-0000-0000-000012010000}"/>
    <hyperlink ref="I2933" r:id="rId276" xr:uid="{00000000-0004-0000-0000-000013010000}"/>
    <hyperlink ref="I2935" r:id="rId277" xr:uid="{00000000-0004-0000-0000-000014010000}"/>
    <hyperlink ref="I2940" r:id="rId278" xr:uid="{00000000-0004-0000-0000-000015010000}"/>
    <hyperlink ref="I2947" r:id="rId279" xr:uid="{00000000-0004-0000-0000-000016010000}"/>
    <hyperlink ref="I2951" r:id="rId280" xr:uid="{00000000-0004-0000-0000-000017010000}"/>
    <hyperlink ref="I2952" r:id="rId281" xr:uid="{00000000-0004-0000-0000-000018010000}"/>
    <hyperlink ref="I2958" r:id="rId282" xr:uid="{00000000-0004-0000-0000-000019010000}"/>
    <hyperlink ref="I2112" r:id="rId283" xr:uid="{00000000-0004-0000-0000-00001A010000}"/>
    <hyperlink ref="I2113" r:id="rId284" xr:uid="{00000000-0004-0000-0000-00001B010000}"/>
    <hyperlink ref="I2114" r:id="rId285" xr:uid="{00000000-0004-0000-0000-00001C010000}"/>
    <hyperlink ref="I2116" r:id="rId286" xr:uid="{00000000-0004-0000-0000-00001D010000}"/>
    <hyperlink ref="I2118" r:id="rId287" xr:uid="{00000000-0004-0000-0000-00001E010000}"/>
    <hyperlink ref="I2119" r:id="rId288" xr:uid="{00000000-0004-0000-0000-00001F010000}"/>
    <hyperlink ref="I2120" r:id="rId289" xr:uid="{00000000-0004-0000-0000-000020010000}"/>
    <hyperlink ref="I2121" r:id="rId290" xr:uid="{00000000-0004-0000-0000-000021010000}"/>
    <hyperlink ref="I2123" r:id="rId291" xr:uid="{00000000-0004-0000-0000-000022010000}"/>
    <hyperlink ref="I2124" r:id="rId292" xr:uid="{00000000-0004-0000-0000-000023010000}"/>
    <hyperlink ref="I2126" r:id="rId293" xr:uid="{00000000-0004-0000-0000-000024010000}"/>
    <hyperlink ref="I2127" r:id="rId294" xr:uid="{00000000-0004-0000-0000-000025010000}"/>
    <hyperlink ref="I2128" r:id="rId295" xr:uid="{00000000-0004-0000-0000-000026010000}"/>
    <hyperlink ref="I2129" r:id="rId296" xr:uid="{00000000-0004-0000-0000-000027010000}"/>
    <hyperlink ref="I1055" r:id="rId297" xr:uid="{00000000-0004-0000-0000-000028010000}"/>
    <hyperlink ref="I1056" r:id="rId298" xr:uid="{00000000-0004-0000-0000-000029010000}"/>
    <hyperlink ref="I1058" r:id="rId299" xr:uid="{00000000-0004-0000-0000-00002A010000}"/>
    <hyperlink ref="I1059" r:id="rId300" xr:uid="{00000000-0004-0000-0000-00002B010000}"/>
    <hyperlink ref="I1061" r:id="rId301" xr:uid="{00000000-0004-0000-0000-00002C010000}"/>
    <hyperlink ref="I1062" r:id="rId302" xr:uid="{00000000-0004-0000-0000-00002D010000}"/>
    <hyperlink ref="I1063" r:id="rId303" xr:uid="{00000000-0004-0000-0000-00002E010000}"/>
    <hyperlink ref="I1064" r:id="rId304" xr:uid="{00000000-0004-0000-0000-00002F010000}"/>
    <hyperlink ref="I1065" r:id="rId305" xr:uid="{00000000-0004-0000-0000-000030010000}"/>
    <hyperlink ref="I1066" r:id="rId306" xr:uid="{00000000-0004-0000-0000-000031010000}"/>
    <hyperlink ref="I1068" r:id="rId307" xr:uid="{00000000-0004-0000-0000-000032010000}"/>
    <hyperlink ref="I919" r:id="rId308" xr:uid="{00000000-0004-0000-0000-000033010000}"/>
    <hyperlink ref="I2304" r:id="rId309" xr:uid="{00000000-0004-0000-0000-000034010000}"/>
    <hyperlink ref="I1488" r:id="rId310" xr:uid="{00000000-0004-0000-0000-000035010000}"/>
    <hyperlink ref="I2616" r:id="rId311" xr:uid="{00000000-0004-0000-0000-000036010000}"/>
    <hyperlink ref="I1719" r:id="rId312" xr:uid="{00000000-0004-0000-0000-000037010000}"/>
    <hyperlink ref="I2082" r:id="rId313" xr:uid="{00000000-0004-0000-0000-000038010000}"/>
    <hyperlink ref="I2243" r:id="rId314" xr:uid="{00000000-0004-0000-0000-000039010000}"/>
    <hyperlink ref="I2244" r:id="rId315" xr:uid="{00000000-0004-0000-0000-00003A010000}"/>
    <hyperlink ref="I2245" r:id="rId316" xr:uid="{00000000-0004-0000-0000-00003B010000}"/>
    <hyperlink ref="I2787" r:id="rId317" xr:uid="{00000000-0004-0000-0000-00003C010000}"/>
    <hyperlink ref="I2788" r:id="rId318" xr:uid="{00000000-0004-0000-0000-00003D010000}"/>
    <hyperlink ref="I2789" r:id="rId319" xr:uid="{00000000-0004-0000-0000-00003E010000}"/>
    <hyperlink ref="I2790" r:id="rId320" xr:uid="{00000000-0004-0000-0000-00003F010000}"/>
    <hyperlink ref="I2791" r:id="rId321" xr:uid="{00000000-0004-0000-0000-000040010000}"/>
    <hyperlink ref="I929" r:id="rId322" xr:uid="{00000000-0004-0000-0000-000041010000}"/>
    <hyperlink ref="I39" r:id="rId323" xr:uid="{00000000-0004-0000-0000-000042010000}"/>
    <hyperlink ref="I2770" r:id="rId324" xr:uid="{00000000-0004-0000-0000-000043010000}"/>
    <hyperlink ref="I1671" r:id="rId325" xr:uid="{00000000-0004-0000-0000-000044010000}"/>
    <hyperlink ref="I2315" r:id="rId326" xr:uid="{00000000-0004-0000-0000-000045010000}"/>
    <hyperlink ref="I2323" r:id="rId327" xr:uid="{00000000-0004-0000-0000-000046010000}"/>
    <hyperlink ref="I2478" r:id="rId328" xr:uid="{00000000-0004-0000-0000-000047010000}"/>
    <hyperlink ref="I2489" r:id="rId329" xr:uid="{00000000-0004-0000-0000-000048010000}"/>
    <hyperlink ref="I2491" r:id="rId330" xr:uid="{00000000-0004-0000-0000-000049010000}"/>
    <hyperlink ref="I692" r:id="rId331" xr:uid="{00000000-0004-0000-0000-00004A010000}"/>
    <hyperlink ref="I693" r:id="rId332" xr:uid="{00000000-0004-0000-0000-00004B010000}"/>
    <hyperlink ref="I24" r:id="rId333" xr:uid="{00000000-0004-0000-0000-00004C010000}"/>
    <hyperlink ref="I25" r:id="rId334" xr:uid="{00000000-0004-0000-0000-00004D010000}"/>
    <hyperlink ref="I26" r:id="rId335" xr:uid="{00000000-0004-0000-0000-00004E010000}"/>
    <hyperlink ref="I27" r:id="rId336" xr:uid="{00000000-0004-0000-0000-00004F010000}"/>
    <hyperlink ref="I28" r:id="rId337" xr:uid="{00000000-0004-0000-0000-000050010000}"/>
    <hyperlink ref="I29" r:id="rId338" xr:uid="{00000000-0004-0000-0000-000051010000}"/>
    <hyperlink ref="I30" r:id="rId339" xr:uid="{00000000-0004-0000-0000-000052010000}"/>
    <hyperlink ref="I31" r:id="rId340" xr:uid="{00000000-0004-0000-0000-000053010000}"/>
    <hyperlink ref="I32" r:id="rId341" xr:uid="{00000000-0004-0000-0000-000054010000}"/>
    <hyperlink ref="I963" r:id="rId342" xr:uid="{00000000-0004-0000-0000-000055010000}"/>
    <hyperlink ref="I981" r:id="rId343" xr:uid="{00000000-0004-0000-0000-000056010000}"/>
    <hyperlink ref="I982" r:id="rId344" xr:uid="{00000000-0004-0000-0000-000057010000}"/>
    <hyperlink ref="I202" r:id="rId345" xr:uid="{00000000-0004-0000-0000-000058010000}"/>
    <hyperlink ref="I2596" r:id="rId346" xr:uid="{00000000-0004-0000-0000-000059010000}"/>
    <hyperlink ref="I2580" r:id="rId347" xr:uid="{00000000-0004-0000-0000-00005A010000}"/>
    <hyperlink ref="I2582" r:id="rId348" xr:uid="{00000000-0004-0000-0000-00005B010000}"/>
    <hyperlink ref="I2584" r:id="rId349" xr:uid="{00000000-0004-0000-0000-00005C010000}"/>
    <hyperlink ref="I2585" r:id="rId350" xr:uid="{00000000-0004-0000-0000-00005D010000}"/>
    <hyperlink ref="I2586" r:id="rId351" xr:uid="{00000000-0004-0000-0000-00005E010000}"/>
    <hyperlink ref="I2588" r:id="rId352" xr:uid="{00000000-0004-0000-0000-00005F010000}"/>
    <hyperlink ref="I2590" r:id="rId353" xr:uid="{00000000-0004-0000-0000-000060010000}"/>
    <hyperlink ref="I2591" r:id="rId354" xr:uid="{00000000-0004-0000-0000-000061010000}"/>
    <hyperlink ref="I2592" r:id="rId355" xr:uid="{00000000-0004-0000-0000-000062010000}"/>
    <hyperlink ref="I2593" r:id="rId356" xr:uid="{00000000-0004-0000-0000-000063010000}"/>
    <hyperlink ref="I435" r:id="rId357" xr:uid="{00000000-0004-0000-0000-000064010000}"/>
    <hyperlink ref="I438" r:id="rId358" xr:uid="{00000000-0004-0000-0000-000065010000}"/>
    <hyperlink ref="I446" r:id="rId359" xr:uid="{00000000-0004-0000-0000-000066010000}"/>
    <hyperlink ref="I889" r:id="rId360" xr:uid="{00000000-0004-0000-0000-000067010000}"/>
    <hyperlink ref="I892" r:id="rId361" xr:uid="{00000000-0004-0000-0000-000068010000}"/>
    <hyperlink ref="I893" r:id="rId362" xr:uid="{00000000-0004-0000-0000-000069010000}"/>
    <hyperlink ref="I1843" r:id="rId363" xr:uid="{00000000-0004-0000-0000-00006A010000}"/>
    <hyperlink ref="I2671" r:id="rId364" xr:uid="{00000000-0004-0000-0000-00006B010000}"/>
    <hyperlink ref="I2672" r:id="rId365" xr:uid="{00000000-0004-0000-0000-00006C010000}"/>
    <hyperlink ref="I2673" r:id="rId366" xr:uid="{00000000-0004-0000-0000-00006D010000}"/>
    <hyperlink ref="I2674" r:id="rId367" xr:uid="{00000000-0004-0000-0000-00006E010000}"/>
    <hyperlink ref="I2675" r:id="rId368" xr:uid="{00000000-0004-0000-0000-00006F010000}"/>
    <hyperlink ref="I2676" r:id="rId369" xr:uid="{00000000-0004-0000-0000-000070010000}"/>
    <hyperlink ref="I2062" r:id="rId370" xr:uid="{00000000-0004-0000-0000-000071010000}"/>
    <hyperlink ref="I2848" r:id="rId371" xr:uid="{00000000-0004-0000-0000-000072010000}"/>
    <hyperlink ref="I2849" r:id="rId372" xr:uid="{00000000-0004-0000-0000-000073010000}"/>
    <hyperlink ref="I2850" r:id="rId373" xr:uid="{00000000-0004-0000-0000-000074010000}"/>
    <hyperlink ref="I2851" r:id="rId374" xr:uid="{00000000-0004-0000-0000-000075010000}"/>
    <hyperlink ref="I2852" r:id="rId375" xr:uid="{00000000-0004-0000-0000-000076010000}"/>
    <hyperlink ref="I2853" r:id="rId376" xr:uid="{00000000-0004-0000-0000-000077010000}"/>
    <hyperlink ref="I2854" r:id="rId377" xr:uid="{00000000-0004-0000-0000-000078010000}"/>
    <hyperlink ref="I2856" r:id="rId378" xr:uid="{00000000-0004-0000-0000-000079010000}"/>
    <hyperlink ref="I2857" r:id="rId379" xr:uid="{00000000-0004-0000-0000-00007A010000}"/>
    <hyperlink ref="I23" r:id="rId380" xr:uid="{00000000-0004-0000-0000-00007B010000}"/>
    <hyperlink ref="I2415" r:id="rId381" xr:uid="{00000000-0004-0000-0000-00007C010000}"/>
    <hyperlink ref="I2418" r:id="rId382" xr:uid="{00000000-0004-0000-0000-00007D010000}"/>
    <hyperlink ref="I2422" r:id="rId383" xr:uid="{00000000-0004-0000-0000-00007E010000}"/>
  </hyperlinks>
  <printOptions horizontalCentered="1" gridLines="1"/>
  <pageMargins left="0.7" right="0.7" top="0.75" bottom="0.75" header="0" footer="0"/>
  <pageSetup paperSize="9" pageOrder="overThenDown" orientation="landscape" cellComments="atEnd"/>
  <legacyDrawing r:id="rId384"/>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'Campos desplegables'!$C$4:$C$6</xm:f>
          </x14:formula1>
          <xm:sqref>C2:C3100</xm:sqref>
        </x14:dataValidation>
        <x14:dataValidation type="list" allowBlank="1" showErrorMessage="1" xr:uid="{00000000-0002-0000-0000-000001000000}">
          <x14:formula1>
            <xm:f>'Campos desplegables'!$A$4:$A$14</xm:f>
          </x14:formula1>
          <xm:sqref>L2:L2603 L2605 L2938 L3057 L3069 L3089</xm:sqref>
        </x14:dataValidation>
        <x14:dataValidation type="list" allowBlank="1" showErrorMessage="1" xr:uid="{00000000-0002-0000-0000-000002000000}">
          <x14:formula1>
            <xm:f>'Campos desplegables'!$B$4:$B$6</xm:f>
          </x14:formula1>
          <xm:sqref>P2:P3100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D150"/>
  <sheetViews>
    <sheetView workbookViewId="0">
      <pane ySplit="1" topLeftCell="A2" activePane="bottomLeft" state="frozen"/>
      <selection pane="bottomLeft" activeCell="G2" sqref="G2:G146"/>
    </sheetView>
  </sheetViews>
  <sheetFormatPr baseColWidth="10" defaultColWidth="12.5703125" defaultRowHeight="15.75" customHeight="1"/>
  <cols>
    <col min="1" max="1" width="6" customWidth="1"/>
    <col min="2" max="2" width="22.140625" customWidth="1"/>
    <col min="3" max="3" width="25.5703125" bestFit="1" customWidth="1"/>
    <col min="7" max="7" width="22.7109375" customWidth="1"/>
    <col min="9" max="9" width="18.42578125" customWidth="1"/>
    <col min="10" max="19" width="15.28515625" customWidth="1"/>
    <col min="20" max="20" width="11.42578125" customWidth="1"/>
    <col min="21" max="22" width="11.7109375" customWidth="1"/>
    <col min="23" max="25" width="11.140625" customWidth="1"/>
    <col min="26" max="29" width="11.7109375" customWidth="1"/>
    <col min="30" max="31" width="11.140625" customWidth="1"/>
    <col min="32" max="32" width="11.42578125" customWidth="1"/>
    <col min="33" max="33" width="10.42578125" customWidth="1"/>
    <col min="34" max="34" width="10.28515625" customWidth="1"/>
    <col min="35" max="35" width="10.140625" customWidth="1"/>
    <col min="36" max="36" width="11.42578125" customWidth="1"/>
    <col min="37" max="37" width="10.42578125" customWidth="1"/>
    <col min="42" max="42" width="10.28515625" customWidth="1"/>
    <col min="43" max="43" width="11.140625" customWidth="1"/>
    <col min="55" max="55" width="38.42578125" customWidth="1"/>
  </cols>
  <sheetData>
    <row r="1" spans="1:56" ht="51.75" customHeight="1">
      <c r="A1" s="2" t="s">
        <v>0</v>
      </c>
      <c r="B1" s="2" t="s">
        <v>1</v>
      </c>
      <c r="C1" s="2" t="s">
        <v>11609</v>
      </c>
      <c r="D1" s="2" t="s">
        <v>11610</v>
      </c>
      <c r="E1" s="2" t="s">
        <v>11611</v>
      </c>
      <c r="F1" s="2" t="s">
        <v>5</v>
      </c>
      <c r="G1" s="2" t="s">
        <v>11612</v>
      </c>
      <c r="H1" s="2" t="s">
        <v>11613</v>
      </c>
      <c r="I1" s="2" t="s">
        <v>12708</v>
      </c>
      <c r="J1" s="2" t="s">
        <v>11614</v>
      </c>
      <c r="K1" s="2" t="s">
        <v>11615</v>
      </c>
      <c r="L1" s="2" t="s">
        <v>11616</v>
      </c>
      <c r="M1" s="3" t="s">
        <v>11617</v>
      </c>
      <c r="N1" s="3" t="s">
        <v>11618</v>
      </c>
      <c r="O1" s="4" t="s">
        <v>11619</v>
      </c>
      <c r="P1" s="4" t="s">
        <v>11620</v>
      </c>
      <c r="Q1" s="4" t="s">
        <v>11621</v>
      </c>
      <c r="R1" s="4" t="s">
        <v>11622</v>
      </c>
      <c r="S1" s="4" t="s">
        <v>11623</v>
      </c>
      <c r="T1" s="4" t="s">
        <v>15</v>
      </c>
      <c r="U1" s="5" t="s">
        <v>11624</v>
      </c>
      <c r="V1" s="5" t="s">
        <v>11625</v>
      </c>
      <c r="W1" s="5" t="s">
        <v>11626</v>
      </c>
      <c r="X1" s="5" t="s">
        <v>11627</v>
      </c>
      <c r="Y1" s="5" t="s">
        <v>11628</v>
      </c>
      <c r="Z1" s="4" t="s">
        <v>11629</v>
      </c>
      <c r="AA1" s="4" t="s">
        <v>11630</v>
      </c>
      <c r="AB1" s="4" t="s">
        <v>11631</v>
      </c>
      <c r="AC1" s="5" t="s">
        <v>11632</v>
      </c>
      <c r="AD1" s="5" t="s">
        <v>11633</v>
      </c>
      <c r="AE1" s="5" t="s">
        <v>11634</v>
      </c>
      <c r="AF1" s="6" t="s">
        <v>11635</v>
      </c>
      <c r="AG1" s="6" t="s">
        <v>11636</v>
      </c>
      <c r="AH1" s="6" t="s">
        <v>11637</v>
      </c>
      <c r="AI1" s="6" t="s">
        <v>11638</v>
      </c>
      <c r="AJ1" s="6" t="s">
        <v>11639</v>
      </c>
      <c r="AK1" s="6" t="s">
        <v>11640</v>
      </c>
      <c r="AL1" s="6" t="s">
        <v>11641</v>
      </c>
      <c r="AM1" s="6" t="s">
        <v>11642</v>
      </c>
      <c r="AN1" s="6" t="s">
        <v>11643</v>
      </c>
      <c r="AO1" s="6" t="s">
        <v>11644</v>
      </c>
      <c r="AP1" s="5" t="s">
        <v>11645</v>
      </c>
      <c r="AQ1" s="5" t="s">
        <v>11646</v>
      </c>
      <c r="AR1" s="7" t="s">
        <v>11647</v>
      </c>
      <c r="AS1" s="7" t="s">
        <v>11648</v>
      </c>
      <c r="AT1" s="7" t="s">
        <v>11649</v>
      </c>
      <c r="AU1" s="7" t="s">
        <v>11650</v>
      </c>
      <c r="AV1" s="7" t="s">
        <v>11651</v>
      </c>
      <c r="AW1" s="7" t="s">
        <v>11652</v>
      </c>
      <c r="AX1" s="8" t="s">
        <v>11653</v>
      </c>
      <c r="AY1" s="8" t="s">
        <v>11654</v>
      </c>
      <c r="AZ1" s="8" t="s">
        <v>11655</v>
      </c>
      <c r="BA1" s="8" t="s">
        <v>11656</v>
      </c>
      <c r="BB1" s="6" t="s">
        <v>11657</v>
      </c>
      <c r="BC1" s="6" t="s">
        <v>11658</v>
      </c>
      <c r="BD1" s="9" t="s">
        <v>11659</v>
      </c>
    </row>
    <row r="2" spans="1:56" ht="15">
      <c r="A2" s="10"/>
      <c r="B2" s="11" t="s">
        <v>35</v>
      </c>
      <c r="C2" s="10" t="s">
        <v>11660</v>
      </c>
      <c r="D2" s="12">
        <v>7</v>
      </c>
      <c r="E2" s="12">
        <v>0</v>
      </c>
      <c r="F2" s="12" t="s">
        <v>11661</v>
      </c>
      <c r="G2" s="12" t="s">
        <v>11662</v>
      </c>
      <c r="H2" s="13">
        <v>991413562</v>
      </c>
      <c r="I2" s="12" t="s">
        <v>58</v>
      </c>
      <c r="J2" s="12"/>
      <c r="K2" s="12" t="s">
        <v>11663</v>
      </c>
      <c r="L2" s="12" t="s">
        <v>11664</v>
      </c>
      <c r="M2" s="12" t="s">
        <v>11664</v>
      </c>
      <c r="N2" s="12" t="s">
        <v>11664</v>
      </c>
      <c r="O2" s="12" t="s">
        <v>11664</v>
      </c>
      <c r="P2" s="12">
        <v>0</v>
      </c>
      <c r="Q2" s="12">
        <v>0</v>
      </c>
      <c r="R2" s="12">
        <v>0</v>
      </c>
      <c r="S2" s="12">
        <v>0</v>
      </c>
      <c r="T2" s="12">
        <v>0</v>
      </c>
      <c r="U2" s="14" t="s">
        <v>11663</v>
      </c>
      <c r="V2" s="15" t="s">
        <v>11664</v>
      </c>
      <c r="W2" s="14" t="s">
        <v>11664</v>
      </c>
      <c r="X2" s="14" t="s">
        <v>11663</v>
      </c>
      <c r="Y2" s="14" t="s">
        <v>11664</v>
      </c>
      <c r="Z2" s="14" t="s">
        <v>11663</v>
      </c>
      <c r="AA2" s="14" t="s">
        <v>11663</v>
      </c>
      <c r="AB2" s="14" t="s">
        <v>11664</v>
      </c>
      <c r="AC2" s="14" t="s">
        <v>11664</v>
      </c>
      <c r="AD2" s="14" t="s">
        <v>11664</v>
      </c>
      <c r="AE2" s="14" t="s">
        <v>11664</v>
      </c>
      <c r="AF2" s="15">
        <v>0</v>
      </c>
      <c r="AG2" s="15">
        <v>0</v>
      </c>
      <c r="AH2" s="15">
        <v>160</v>
      </c>
      <c r="AI2" s="15">
        <v>0</v>
      </c>
      <c r="AJ2" s="15">
        <v>0</v>
      </c>
      <c r="AK2" s="15">
        <v>0</v>
      </c>
      <c r="AL2" s="15">
        <v>0</v>
      </c>
      <c r="AM2" s="15">
        <v>0</v>
      </c>
      <c r="AN2" s="15">
        <v>0</v>
      </c>
      <c r="AO2" s="15">
        <v>0</v>
      </c>
      <c r="AP2" s="14">
        <v>0</v>
      </c>
      <c r="AQ2" s="14">
        <v>0</v>
      </c>
      <c r="AR2" s="15">
        <v>5</v>
      </c>
      <c r="AS2" s="15">
        <v>4</v>
      </c>
      <c r="AT2" s="15" t="s">
        <v>58</v>
      </c>
      <c r="AU2" s="15" t="s">
        <v>58</v>
      </c>
      <c r="AV2" s="15" t="s">
        <v>58</v>
      </c>
      <c r="AW2" s="15" t="s">
        <v>11665</v>
      </c>
      <c r="AX2" s="15" t="s">
        <v>58</v>
      </c>
      <c r="AY2" s="15">
        <v>1</v>
      </c>
      <c r="AZ2" s="15">
        <v>2</v>
      </c>
      <c r="BA2" s="15" t="s">
        <v>58</v>
      </c>
      <c r="BB2" s="15" t="s">
        <v>11666</v>
      </c>
      <c r="BC2" s="15"/>
      <c r="BD2" s="9">
        <v>0</v>
      </c>
    </row>
    <row r="3" spans="1:56" ht="12.75">
      <c r="A3" s="10"/>
      <c r="B3" s="16" t="s">
        <v>77</v>
      </c>
      <c r="C3" s="10" t="s">
        <v>11667</v>
      </c>
      <c r="D3" s="12">
        <v>20</v>
      </c>
      <c r="E3" s="12">
        <v>22</v>
      </c>
      <c r="F3" s="12" t="s">
        <v>11668</v>
      </c>
      <c r="G3" s="12" t="s">
        <v>11669</v>
      </c>
      <c r="H3" s="17">
        <v>96519624</v>
      </c>
      <c r="I3" s="18">
        <v>44531</v>
      </c>
      <c r="J3" s="12" t="s">
        <v>11670</v>
      </c>
      <c r="K3" s="12" t="s">
        <v>11663</v>
      </c>
      <c r="L3" s="12" t="s">
        <v>11663</v>
      </c>
      <c r="M3" s="12" t="s">
        <v>11664</v>
      </c>
      <c r="N3" s="12" t="s">
        <v>11664</v>
      </c>
      <c r="O3" s="12" t="s">
        <v>11664</v>
      </c>
      <c r="P3" s="12">
        <v>0</v>
      </c>
      <c r="Q3" s="12">
        <v>0</v>
      </c>
      <c r="R3" s="12">
        <v>0</v>
      </c>
      <c r="S3" s="12">
        <v>0</v>
      </c>
      <c r="T3" s="12">
        <v>1</v>
      </c>
      <c r="U3" s="14" t="s">
        <v>11664</v>
      </c>
      <c r="V3" s="15" t="s">
        <v>11663</v>
      </c>
      <c r="W3" s="14" t="s">
        <v>11664</v>
      </c>
      <c r="X3" s="14" t="s">
        <v>11663</v>
      </c>
      <c r="Y3" s="14" t="s">
        <v>11663</v>
      </c>
      <c r="Z3" s="14" t="s">
        <v>11663</v>
      </c>
      <c r="AA3" s="14" t="s">
        <v>11664</v>
      </c>
      <c r="AB3" s="14" t="s">
        <v>11664</v>
      </c>
      <c r="AC3" s="14" t="s">
        <v>11664</v>
      </c>
      <c r="AD3" s="14" t="s">
        <v>11663</v>
      </c>
      <c r="AE3" s="14" t="s">
        <v>11663</v>
      </c>
      <c r="AF3" s="15">
        <v>29</v>
      </c>
      <c r="AG3" s="15">
        <v>29</v>
      </c>
      <c r="AH3" s="15">
        <v>17</v>
      </c>
      <c r="AI3" s="15">
        <v>1</v>
      </c>
      <c r="AJ3" s="15">
        <v>0</v>
      </c>
      <c r="AK3" s="15">
        <v>0</v>
      </c>
      <c r="AL3" s="15">
        <v>0</v>
      </c>
      <c r="AM3" s="15">
        <v>0</v>
      </c>
      <c r="AN3" s="15">
        <v>0</v>
      </c>
      <c r="AO3" s="15">
        <v>0</v>
      </c>
      <c r="AP3" s="14">
        <v>2</v>
      </c>
      <c r="AQ3" s="14">
        <v>0</v>
      </c>
      <c r="AR3" s="15">
        <v>4</v>
      </c>
      <c r="AS3" s="15">
        <v>5</v>
      </c>
      <c r="AT3" s="15">
        <v>2</v>
      </c>
      <c r="AU3" s="15">
        <v>1</v>
      </c>
      <c r="AV3" s="15">
        <v>3</v>
      </c>
      <c r="AW3" s="15" t="s">
        <v>11671</v>
      </c>
      <c r="AX3" s="15">
        <v>1</v>
      </c>
      <c r="AY3" s="15">
        <v>3</v>
      </c>
      <c r="AZ3" s="15">
        <v>2</v>
      </c>
      <c r="BA3" s="15">
        <v>4</v>
      </c>
      <c r="BB3" s="15" t="s">
        <v>11666</v>
      </c>
      <c r="BC3" s="15"/>
      <c r="BD3" s="9">
        <v>1</v>
      </c>
    </row>
    <row r="4" spans="1:56" ht="12.75">
      <c r="A4" s="10"/>
      <c r="B4" s="11" t="s">
        <v>260</v>
      </c>
      <c r="C4" s="10" t="s">
        <v>260</v>
      </c>
      <c r="D4" s="12">
        <v>25</v>
      </c>
      <c r="E4" s="12">
        <v>5</v>
      </c>
      <c r="F4" s="12" t="s">
        <v>11672</v>
      </c>
      <c r="G4" s="12" t="s">
        <v>11673</v>
      </c>
      <c r="H4" s="17">
        <v>722779272</v>
      </c>
      <c r="I4" s="18">
        <v>44866</v>
      </c>
      <c r="J4" s="12" t="s">
        <v>11674</v>
      </c>
      <c r="K4" s="12" t="s">
        <v>11663</v>
      </c>
      <c r="L4" s="12" t="s">
        <v>11663</v>
      </c>
      <c r="M4" s="12" t="s">
        <v>11663</v>
      </c>
      <c r="N4" s="12" t="s">
        <v>11663</v>
      </c>
      <c r="O4" s="12" t="s">
        <v>11663</v>
      </c>
      <c r="P4" s="12">
        <v>0</v>
      </c>
      <c r="Q4" s="12">
        <v>9</v>
      </c>
      <c r="R4" s="12">
        <v>1</v>
      </c>
      <c r="S4" s="12">
        <v>1</v>
      </c>
      <c r="T4" s="12">
        <v>0</v>
      </c>
      <c r="U4" s="14" t="s">
        <v>11663</v>
      </c>
      <c r="V4" s="14" t="s">
        <v>11663</v>
      </c>
      <c r="W4" s="14" t="s">
        <v>11663</v>
      </c>
      <c r="X4" s="14" t="s">
        <v>11663</v>
      </c>
      <c r="Y4" s="14" t="s">
        <v>11663</v>
      </c>
      <c r="Z4" s="14" t="s">
        <v>11663</v>
      </c>
      <c r="AA4" s="14" t="s">
        <v>11663</v>
      </c>
      <c r="AB4" s="14" t="s">
        <v>11664</v>
      </c>
      <c r="AC4" s="14" t="s">
        <v>11664</v>
      </c>
      <c r="AD4" s="14" t="s">
        <v>11663</v>
      </c>
      <c r="AE4" s="14" t="s">
        <v>11664</v>
      </c>
      <c r="AF4" s="15">
        <v>70</v>
      </c>
      <c r="AG4" s="15">
        <v>70</v>
      </c>
      <c r="AH4" s="15">
        <v>40</v>
      </c>
      <c r="AI4" s="15">
        <v>0</v>
      </c>
      <c r="AJ4" s="15">
        <v>0</v>
      </c>
      <c r="AK4" s="15">
        <v>0</v>
      </c>
      <c r="AL4" s="15">
        <v>10</v>
      </c>
      <c r="AM4" s="15">
        <v>1</v>
      </c>
      <c r="AN4" s="15">
        <v>0</v>
      </c>
      <c r="AO4" s="15">
        <v>0</v>
      </c>
      <c r="AP4" s="14">
        <v>0</v>
      </c>
      <c r="AQ4" s="14">
        <v>0</v>
      </c>
      <c r="AR4" s="15">
        <v>5</v>
      </c>
      <c r="AS4" s="15">
        <v>2</v>
      </c>
      <c r="AT4" s="15">
        <v>1</v>
      </c>
      <c r="AU4" s="15">
        <v>3</v>
      </c>
      <c r="AV4" s="15">
        <v>4</v>
      </c>
      <c r="AW4" s="15" t="s">
        <v>11665</v>
      </c>
      <c r="AX4" s="15">
        <v>3</v>
      </c>
      <c r="AY4" s="15">
        <v>1</v>
      </c>
      <c r="AZ4" s="15">
        <v>4</v>
      </c>
      <c r="BA4" s="15">
        <v>2</v>
      </c>
      <c r="BB4" s="15" t="s">
        <v>11675</v>
      </c>
      <c r="BC4" s="15"/>
      <c r="BD4" s="9">
        <v>1</v>
      </c>
    </row>
    <row r="5" spans="1:56" ht="12.75">
      <c r="A5" s="10"/>
      <c r="B5" s="11" t="s">
        <v>371</v>
      </c>
      <c r="C5" s="10" t="s">
        <v>11676</v>
      </c>
      <c r="D5" s="12">
        <v>23</v>
      </c>
      <c r="E5" s="12">
        <v>20</v>
      </c>
      <c r="F5" s="12" t="s">
        <v>11677</v>
      </c>
      <c r="G5" s="12" t="s">
        <v>11678</v>
      </c>
      <c r="H5" s="17">
        <v>975855192</v>
      </c>
      <c r="I5" s="18">
        <v>45200</v>
      </c>
      <c r="J5" s="19" t="s">
        <v>11679</v>
      </c>
      <c r="K5" s="12" t="s">
        <v>11663</v>
      </c>
      <c r="L5" s="12" t="s">
        <v>11663</v>
      </c>
      <c r="M5" s="12" t="s">
        <v>11664</v>
      </c>
      <c r="N5" s="12" t="s">
        <v>11663</v>
      </c>
      <c r="O5" s="12" t="s">
        <v>11663</v>
      </c>
      <c r="P5" s="12" t="s">
        <v>58</v>
      </c>
      <c r="Q5" s="12" t="s">
        <v>58</v>
      </c>
      <c r="R5" s="12">
        <v>1</v>
      </c>
      <c r="S5" s="12">
        <v>3</v>
      </c>
      <c r="T5" s="12">
        <v>1</v>
      </c>
      <c r="U5" s="14" t="s">
        <v>11664</v>
      </c>
      <c r="V5" s="15" t="s">
        <v>11663</v>
      </c>
      <c r="W5" s="14" t="s">
        <v>11663</v>
      </c>
      <c r="X5" s="14" t="s">
        <v>11663</v>
      </c>
      <c r="Y5" s="14" t="s">
        <v>11664</v>
      </c>
      <c r="Z5" s="14" t="s">
        <v>11663</v>
      </c>
      <c r="AA5" s="14" t="s">
        <v>11663</v>
      </c>
      <c r="AB5" s="14" t="s">
        <v>11663</v>
      </c>
      <c r="AC5" s="14" t="s">
        <v>11664</v>
      </c>
      <c r="AD5" s="14" t="s">
        <v>11664</v>
      </c>
      <c r="AE5" s="14" t="s">
        <v>11663</v>
      </c>
      <c r="AF5" s="15">
        <v>0</v>
      </c>
      <c r="AG5" s="15">
        <v>100</v>
      </c>
      <c r="AH5" s="15">
        <v>20</v>
      </c>
      <c r="AI5" s="15">
        <v>6</v>
      </c>
      <c r="AJ5" s="15">
        <v>0</v>
      </c>
      <c r="AK5" s="15">
        <v>0</v>
      </c>
      <c r="AL5" s="15">
        <v>6</v>
      </c>
      <c r="AM5" s="15">
        <v>0</v>
      </c>
      <c r="AN5" s="15">
        <v>1</v>
      </c>
      <c r="AO5" s="15">
        <v>0</v>
      </c>
      <c r="AP5" s="14">
        <v>1</v>
      </c>
      <c r="AQ5" s="14">
        <v>5</v>
      </c>
      <c r="AR5" s="15">
        <v>3</v>
      </c>
      <c r="AS5" s="15">
        <v>2</v>
      </c>
      <c r="AT5" s="15">
        <v>4</v>
      </c>
      <c r="AU5" s="15">
        <v>5</v>
      </c>
      <c r="AV5" s="15">
        <v>1</v>
      </c>
      <c r="AW5" s="15" t="s">
        <v>11671</v>
      </c>
      <c r="AX5" s="15">
        <v>1</v>
      </c>
      <c r="AY5" s="15">
        <v>2</v>
      </c>
      <c r="AZ5" s="15">
        <v>3</v>
      </c>
      <c r="BA5" s="15">
        <v>4</v>
      </c>
      <c r="BB5" s="15" t="s">
        <v>11680</v>
      </c>
      <c r="BC5" s="15"/>
      <c r="BD5" s="9">
        <v>1</v>
      </c>
    </row>
    <row r="6" spans="1:56" ht="12.75">
      <c r="A6" s="10"/>
      <c r="B6" s="11" t="s">
        <v>538</v>
      </c>
      <c r="C6" s="10" t="s">
        <v>11681</v>
      </c>
      <c r="D6" s="12">
        <v>9</v>
      </c>
      <c r="E6" s="12">
        <v>1</v>
      </c>
      <c r="F6" s="12" t="s">
        <v>11682</v>
      </c>
      <c r="G6" s="12" t="s">
        <v>11683</v>
      </c>
      <c r="H6" s="17">
        <v>796611917</v>
      </c>
      <c r="I6" s="12">
        <v>2017</v>
      </c>
      <c r="J6" s="12"/>
      <c r="K6" s="12" t="s">
        <v>11664</v>
      </c>
      <c r="L6" s="12" t="s">
        <v>11664</v>
      </c>
      <c r="M6" s="12" t="s">
        <v>11663</v>
      </c>
      <c r="N6" s="12" t="s">
        <v>11664</v>
      </c>
      <c r="O6" s="12" t="s">
        <v>11663</v>
      </c>
      <c r="P6" s="12">
        <v>7</v>
      </c>
      <c r="Q6" s="12">
        <v>7</v>
      </c>
      <c r="R6" s="12">
        <v>0</v>
      </c>
      <c r="S6" s="12">
        <v>0</v>
      </c>
      <c r="T6" s="12">
        <v>1</v>
      </c>
      <c r="U6" s="14" t="s">
        <v>11664</v>
      </c>
      <c r="V6" s="15" t="s">
        <v>11664</v>
      </c>
      <c r="W6" s="14" t="s">
        <v>11664</v>
      </c>
      <c r="X6" s="14" t="s">
        <v>11664</v>
      </c>
      <c r="Y6" s="14" t="s">
        <v>11664</v>
      </c>
      <c r="Z6" s="14" t="s">
        <v>11663</v>
      </c>
      <c r="AA6" s="14" t="s">
        <v>11663</v>
      </c>
      <c r="AB6" s="14" t="s">
        <v>11663</v>
      </c>
      <c r="AC6" s="14" t="s">
        <v>11663</v>
      </c>
      <c r="AD6" s="14" t="s">
        <v>11663</v>
      </c>
      <c r="AE6" s="14" t="s">
        <v>11663</v>
      </c>
      <c r="AF6" s="15">
        <v>0</v>
      </c>
      <c r="AG6" s="15">
        <v>0</v>
      </c>
      <c r="AH6" s="15">
        <v>0</v>
      </c>
      <c r="AI6" s="15">
        <v>0</v>
      </c>
      <c r="AJ6" s="15">
        <v>0</v>
      </c>
      <c r="AK6" s="15">
        <v>0</v>
      </c>
      <c r="AL6" s="15">
        <v>0</v>
      </c>
      <c r="AM6" s="15">
        <v>0</v>
      </c>
      <c r="AN6" s="15">
        <v>0</v>
      </c>
      <c r="AO6" s="15">
        <v>0</v>
      </c>
      <c r="AP6" s="14">
        <v>0</v>
      </c>
      <c r="AQ6" s="14">
        <v>0</v>
      </c>
      <c r="AR6" s="15">
        <v>2</v>
      </c>
      <c r="AS6" s="15">
        <v>4</v>
      </c>
      <c r="AT6" s="15">
        <v>1</v>
      </c>
      <c r="AU6" s="15">
        <v>3</v>
      </c>
      <c r="AV6" s="15">
        <v>5</v>
      </c>
      <c r="AW6" s="15" t="s">
        <v>11671</v>
      </c>
      <c r="AX6" s="15">
        <v>2</v>
      </c>
      <c r="AY6" s="15">
        <v>3</v>
      </c>
      <c r="AZ6" s="15">
        <v>1</v>
      </c>
      <c r="BA6" s="15">
        <v>4</v>
      </c>
      <c r="BB6" s="15" t="s">
        <v>11680</v>
      </c>
      <c r="BC6" s="15" t="s">
        <v>11684</v>
      </c>
      <c r="BD6" s="9">
        <v>1</v>
      </c>
    </row>
    <row r="7" spans="1:56" ht="12.75">
      <c r="A7" s="10"/>
      <c r="B7" s="11" t="s">
        <v>580</v>
      </c>
      <c r="C7" s="10" t="s">
        <v>11681</v>
      </c>
      <c r="D7" s="12">
        <v>12</v>
      </c>
      <c r="E7" s="12">
        <v>3</v>
      </c>
      <c r="F7" s="12" t="s">
        <v>11685</v>
      </c>
      <c r="G7" s="12" t="s">
        <v>11686</v>
      </c>
      <c r="H7" s="17">
        <v>999698836</v>
      </c>
      <c r="I7" s="18">
        <v>45047</v>
      </c>
      <c r="J7" s="12" t="s">
        <v>11687</v>
      </c>
      <c r="K7" s="12" t="s">
        <v>11663</v>
      </c>
      <c r="L7" s="12" t="s">
        <v>11663</v>
      </c>
      <c r="M7" s="12" t="s">
        <v>11664</v>
      </c>
      <c r="N7" s="12" t="s">
        <v>11663</v>
      </c>
      <c r="O7" s="12" t="s">
        <v>11663</v>
      </c>
      <c r="P7" s="12">
        <v>4</v>
      </c>
      <c r="Q7" s="12">
        <v>2</v>
      </c>
      <c r="R7" s="12">
        <v>0</v>
      </c>
      <c r="S7" s="12">
        <v>0</v>
      </c>
      <c r="T7" s="12">
        <v>2</v>
      </c>
      <c r="U7" s="14" t="s">
        <v>11663</v>
      </c>
      <c r="V7" s="15" t="s">
        <v>11663</v>
      </c>
      <c r="W7" s="14" t="s">
        <v>11664</v>
      </c>
      <c r="X7" s="14" t="s">
        <v>11663</v>
      </c>
      <c r="Y7" s="14" t="s">
        <v>11664</v>
      </c>
      <c r="Z7" s="14" t="s">
        <v>11664</v>
      </c>
      <c r="AA7" s="14" t="s">
        <v>11664</v>
      </c>
      <c r="AB7" s="14" t="s">
        <v>11664</v>
      </c>
      <c r="AC7" s="14" t="s">
        <v>11664</v>
      </c>
      <c r="AD7" s="14" t="s">
        <v>11663</v>
      </c>
      <c r="AE7" s="14" t="s">
        <v>11664</v>
      </c>
      <c r="AF7" s="15">
        <v>56</v>
      </c>
      <c r="AG7" s="15">
        <v>28</v>
      </c>
      <c r="AH7" s="15">
        <v>0</v>
      </c>
      <c r="AI7" s="15">
        <v>1</v>
      </c>
      <c r="AJ7" s="15">
        <v>0</v>
      </c>
      <c r="AK7" s="15">
        <v>0</v>
      </c>
      <c r="AL7" s="15">
        <v>0</v>
      </c>
      <c r="AM7" s="15">
        <v>0</v>
      </c>
      <c r="AN7" s="15">
        <v>0</v>
      </c>
      <c r="AO7" s="15">
        <v>0</v>
      </c>
      <c r="AP7" s="20">
        <v>0</v>
      </c>
      <c r="AQ7" s="20">
        <v>0</v>
      </c>
      <c r="AR7" s="15">
        <v>4</v>
      </c>
      <c r="AS7" s="15">
        <v>5</v>
      </c>
      <c r="AT7" s="15">
        <v>2</v>
      </c>
      <c r="AU7" s="15">
        <v>1</v>
      </c>
      <c r="AV7" s="15">
        <v>3</v>
      </c>
      <c r="AW7" s="15" t="s">
        <v>11671</v>
      </c>
      <c r="AX7" s="15">
        <v>2</v>
      </c>
      <c r="AY7" s="15">
        <v>1</v>
      </c>
      <c r="AZ7" s="15">
        <v>3</v>
      </c>
      <c r="BA7" s="15">
        <v>4</v>
      </c>
      <c r="BB7" s="15" t="s">
        <v>11680</v>
      </c>
      <c r="BC7" s="15"/>
      <c r="BD7" s="9">
        <v>1</v>
      </c>
    </row>
    <row r="8" spans="1:56" ht="15">
      <c r="A8" s="10"/>
      <c r="B8" s="11" t="s">
        <v>637</v>
      </c>
      <c r="C8" s="10" t="s">
        <v>11688</v>
      </c>
      <c r="D8" s="12">
        <v>25</v>
      </c>
      <c r="E8" s="12">
        <v>5</v>
      </c>
      <c r="F8" s="12" t="s">
        <v>11689</v>
      </c>
      <c r="G8" s="12" t="s">
        <v>11690</v>
      </c>
      <c r="H8" s="21">
        <v>9320202907</v>
      </c>
      <c r="I8" s="18">
        <v>44652</v>
      </c>
      <c r="J8" s="12"/>
      <c r="K8" s="12" t="s">
        <v>11664</v>
      </c>
      <c r="L8" s="12" t="s">
        <v>11664</v>
      </c>
      <c r="M8" s="12" t="s">
        <v>11664</v>
      </c>
      <c r="N8" s="12" t="s">
        <v>11664</v>
      </c>
      <c r="O8" s="12" t="s">
        <v>11663</v>
      </c>
      <c r="P8" s="12">
        <v>5</v>
      </c>
      <c r="Q8" s="12">
        <v>5</v>
      </c>
      <c r="R8" s="12">
        <v>1</v>
      </c>
      <c r="S8" s="12">
        <v>1</v>
      </c>
      <c r="T8" s="12">
        <v>0</v>
      </c>
      <c r="U8" s="14" t="s">
        <v>11663</v>
      </c>
      <c r="V8" s="15" t="s">
        <v>11663</v>
      </c>
      <c r="W8" s="14" t="s">
        <v>11664</v>
      </c>
      <c r="X8" s="14" t="s">
        <v>11663</v>
      </c>
      <c r="Y8" s="14" t="s">
        <v>11663</v>
      </c>
      <c r="Z8" s="14" t="s">
        <v>11663</v>
      </c>
      <c r="AA8" s="14" t="s">
        <v>11664</v>
      </c>
      <c r="AB8" s="14" t="s">
        <v>11663</v>
      </c>
      <c r="AC8" s="14" t="s">
        <v>11664</v>
      </c>
      <c r="AD8" s="14" t="s">
        <v>11664</v>
      </c>
      <c r="AE8" s="14" t="s">
        <v>11664</v>
      </c>
      <c r="AF8" s="15">
        <v>0</v>
      </c>
      <c r="AG8" s="15">
        <v>0</v>
      </c>
      <c r="AH8" s="15">
        <v>0</v>
      </c>
      <c r="AI8" s="15">
        <v>0</v>
      </c>
      <c r="AJ8" s="15">
        <v>0</v>
      </c>
      <c r="AK8" s="15">
        <v>0</v>
      </c>
      <c r="AL8" s="15">
        <v>0</v>
      </c>
      <c r="AM8" s="15">
        <v>0</v>
      </c>
      <c r="AN8" s="15">
        <v>0</v>
      </c>
      <c r="AO8" s="15">
        <v>0</v>
      </c>
      <c r="AP8" s="15">
        <v>0</v>
      </c>
      <c r="AQ8" s="15">
        <v>0</v>
      </c>
      <c r="AR8" s="15" t="s">
        <v>58</v>
      </c>
      <c r="AS8" s="15" t="s">
        <v>58</v>
      </c>
      <c r="AT8" s="15" t="s">
        <v>58</v>
      </c>
      <c r="AU8" s="15" t="s">
        <v>58</v>
      </c>
      <c r="AV8" s="15" t="s">
        <v>58</v>
      </c>
      <c r="AW8" s="15" t="s">
        <v>11665</v>
      </c>
      <c r="AX8" s="15" t="s">
        <v>58</v>
      </c>
      <c r="AY8" s="15">
        <v>1</v>
      </c>
      <c r="AZ8" s="15">
        <v>2</v>
      </c>
      <c r="BA8" s="15" t="s">
        <v>58</v>
      </c>
      <c r="BB8" s="15" t="s">
        <v>11666</v>
      </c>
      <c r="BC8" s="15" t="s">
        <v>11691</v>
      </c>
      <c r="BD8" s="9">
        <v>0</v>
      </c>
    </row>
    <row r="9" spans="1:56" ht="15">
      <c r="A9" s="10"/>
      <c r="B9" s="11" t="s">
        <v>738</v>
      </c>
      <c r="C9" s="10" t="s">
        <v>11681</v>
      </c>
      <c r="D9" s="12">
        <v>24</v>
      </c>
      <c r="E9" s="12">
        <v>8</v>
      </c>
      <c r="F9" s="12" t="s">
        <v>11692</v>
      </c>
      <c r="G9" s="21" t="s">
        <v>11693</v>
      </c>
      <c r="H9" s="22">
        <v>442918911</v>
      </c>
      <c r="I9" s="18">
        <v>45505</v>
      </c>
      <c r="J9" s="12" t="s">
        <v>11694</v>
      </c>
      <c r="K9" s="12" t="s">
        <v>11663</v>
      </c>
      <c r="L9" s="12" t="s">
        <v>11663</v>
      </c>
      <c r="M9" s="12" t="s">
        <v>11663</v>
      </c>
      <c r="N9" s="12" t="s">
        <v>11664</v>
      </c>
      <c r="O9" s="12" t="s">
        <v>11663</v>
      </c>
      <c r="P9" s="12">
        <v>3</v>
      </c>
      <c r="Q9" s="12">
        <v>5</v>
      </c>
      <c r="R9" s="12">
        <v>2</v>
      </c>
      <c r="S9" s="12">
        <v>1</v>
      </c>
      <c r="T9" s="12">
        <v>0</v>
      </c>
      <c r="U9" s="14" t="s">
        <v>11663</v>
      </c>
      <c r="V9" s="15" t="s">
        <v>11664</v>
      </c>
      <c r="W9" s="14" t="s">
        <v>11664</v>
      </c>
      <c r="X9" s="14" t="s">
        <v>11663</v>
      </c>
      <c r="Y9" s="14" t="s">
        <v>11664</v>
      </c>
      <c r="Z9" s="14" t="s">
        <v>11663</v>
      </c>
      <c r="AA9" s="14" t="s">
        <v>11663</v>
      </c>
      <c r="AB9" s="14" t="s">
        <v>11663</v>
      </c>
      <c r="AC9" s="14" t="s">
        <v>11663</v>
      </c>
      <c r="AD9" s="14" t="s">
        <v>11663</v>
      </c>
      <c r="AE9" s="14" t="s">
        <v>11663</v>
      </c>
      <c r="AF9" s="15">
        <v>15</v>
      </c>
      <c r="AG9" s="15">
        <v>47</v>
      </c>
      <c r="AH9" s="15">
        <v>29</v>
      </c>
      <c r="AI9" s="15">
        <v>0</v>
      </c>
      <c r="AJ9" s="15">
        <v>0</v>
      </c>
      <c r="AK9" s="15">
        <v>0</v>
      </c>
      <c r="AL9" s="15">
        <v>0</v>
      </c>
      <c r="AM9" s="15">
        <v>0</v>
      </c>
      <c r="AN9" s="15">
        <v>0</v>
      </c>
      <c r="AO9" s="15">
        <v>0</v>
      </c>
      <c r="AP9" s="14">
        <v>1</v>
      </c>
      <c r="AQ9" s="14">
        <v>1</v>
      </c>
      <c r="AR9" s="15">
        <v>5</v>
      </c>
      <c r="AS9" s="15">
        <v>4</v>
      </c>
      <c r="AT9" s="15">
        <v>3</v>
      </c>
      <c r="AU9" s="15">
        <v>2</v>
      </c>
      <c r="AV9" s="15">
        <v>1</v>
      </c>
      <c r="AW9" s="15" t="s">
        <v>11671</v>
      </c>
      <c r="AX9" s="15">
        <v>1</v>
      </c>
      <c r="AY9" s="15">
        <v>3</v>
      </c>
      <c r="AZ9" s="15">
        <v>2</v>
      </c>
      <c r="BA9" s="15">
        <v>4</v>
      </c>
      <c r="BB9" s="15" t="s">
        <v>11666</v>
      </c>
      <c r="BC9" s="15"/>
      <c r="BD9" s="9">
        <v>0</v>
      </c>
    </row>
    <row r="10" spans="1:56" ht="12.75">
      <c r="A10" s="10"/>
      <c r="B10" s="16" t="s">
        <v>879</v>
      </c>
      <c r="C10" s="10" t="s">
        <v>11667</v>
      </c>
      <c r="D10" s="12">
        <v>20</v>
      </c>
      <c r="E10" s="12">
        <v>4</v>
      </c>
      <c r="F10" s="12" t="s">
        <v>11695</v>
      </c>
      <c r="G10" s="12" t="s">
        <v>11696</v>
      </c>
      <c r="H10" s="17">
        <v>98376158</v>
      </c>
      <c r="I10" s="12">
        <v>2020</v>
      </c>
      <c r="J10" s="12"/>
      <c r="K10" s="12" t="s">
        <v>11663</v>
      </c>
      <c r="L10" s="12" t="s">
        <v>11664</v>
      </c>
      <c r="M10" s="12" t="s">
        <v>11664</v>
      </c>
      <c r="N10" s="12" t="s">
        <v>11663</v>
      </c>
      <c r="O10" s="12" t="s">
        <v>11663</v>
      </c>
      <c r="P10" s="12">
        <v>18</v>
      </c>
      <c r="Q10" s="12">
        <v>18</v>
      </c>
      <c r="R10" s="12">
        <v>0</v>
      </c>
      <c r="S10" s="12">
        <v>0</v>
      </c>
      <c r="T10" s="12">
        <v>0</v>
      </c>
      <c r="U10" s="14" t="s">
        <v>11663</v>
      </c>
      <c r="V10" s="15" t="s">
        <v>11664</v>
      </c>
      <c r="W10" s="14" t="s">
        <v>11664</v>
      </c>
      <c r="X10" s="14" t="s">
        <v>11664</v>
      </c>
      <c r="Y10" s="14" t="s">
        <v>11664</v>
      </c>
      <c r="Z10" s="14" t="s">
        <v>11663</v>
      </c>
      <c r="AA10" s="14" t="s">
        <v>11664</v>
      </c>
      <c r="AB10" s="14" t="s">
        <v>11664</v>
      </c>
      <c r="AC10" s="14" t="s">
        <v>11664</v>
      </c>
      <c r="AD10" s="14" t="s">
        <v>11664</v>
      </c>
      <c r="AE10" s="14" t="s">
        <v>11664</v>
      </c>
      <c r="AF10" s="15">
        <v>48</v>
      </c>
      <c r="AG10" s="15">
        <v>36</v>
      </c>
      <c r="AH10" s="15">
        <v>96</v>
      </c>
      <c r="AI10" s="15">
        <v>0</v>
      </c>
      <c r="AJ10" s="15">
        <v>0</v>
      </c>
      <c r="AK10" s="15">
        <v>0</v>
      </c>
      <c r="AL10" s="15">
        <v>0</v>
      </c>
      <c r="AM10" s="15">
        <v>4</v>
      </c>
      <c r="AN10" s="15">
        <v>2</v>
      </c>
      <c r="AO10" s="15">
        <v>2</v>
      </c>
      <c r="AP10" s="14">
        <v>0</v>
      </c>
      <c r="AQ10" s="14">
        <v>0</v>
      </c>
      <c r="AR10" s="15">
        <v>5</v>
      </c>
      <c r="AS10" s="15">
        <v>4</v>
      </c>
      <c r="AT10" s="15">
        <v>3</v>
      </c>
      <c r="AU10" s="15">
        <v>2</v>
      </c>
      <c r="AV10" s="15">
        <v>1</v>
      </c>
      <c r="AW10" s="15" t="s">
        <v>11665</v>
      </c>
      <c r="AX10" s="15">
        <v>1</v>
      </c>
      <c r="AY10" s="15">
        <v>3</v>
      </c>
      <c r="AZ10" s="15">
        <v>2</v>
      </c>
      <c r="BA10" s="15">
        <v>4</v>
      </c>
      <c r="BB10" s="15" t="s">
        <v>1151</v>
      </c>
      <c r="BC10" s="15" t="s">
        <v>11697</v>
      </c>
      <c r="BD10" s="9">
        <v>0</v>
      </c>
    </row>
    <row r="11" spans="1:56" ht="12.75">
      <c r="A11" s="10"/>
      <c r="B11" s="16" t="s">
        <v>973</v>
      </c>
      <c r="C11" s="10" t="s">
        <v>11667</v>
      </c>
      <c r="D11" s="12">
        <v>21</v>
      </c>
      <c r="E11" s="12">
        <v>0</v>
      </c>
      <c r="F11" s="12" t="s">
        <v>11698</v>
      </c>
      <c r="G11" s="12" t="s">
        <v>11699</v>
      </c>
      <c r="H11" s="17">
        <v>997710238</v>
      </c>
      <c r="I11" s="18">
        <v>43586</v>
      </c>
      <c r="J11" s="12"/>
      <c r="K11" s="12" t="s">
        <v>11663</v>
      </c>
      <c r="L11" s="12" t="s">
        <v>11664</v>
      </c>
      <c r="M11" s="12" t="s">
        <v>11664</v>
      </c>
      <c r="N11" s="12" t="s">
        <v>11664</v>
      </c>
      <c r="O11" s="12" t="s">
        <v>11663</v>
      </c>
      <c r="P11" s="12">
        <v>9</v>
      </c>
      <c r="Q11" s="12">
        <v>14</v>
      </c>
      <c r="R11" s="12">
        <v>0</v>
      </c>
      <c r="S11" s="12">
        <v>0</v>
      </c>
      <c r="T11" s="12">
        <v>0</v>
      </c>
      <c r="U11" s="14" t="s">
        <v>11663</v>
      </c>
      <c r="V11" s="15" t="s">
        <v>11664</v>
      </c>
      <c r="W11" s="14" t="s">
        <v>11664</v>
      </c>
      <c r="X11" s="14" t="s">
        <v>11663</v>
      </c>
      <c r="Y11" s="14" t="s">
        <v>11664</v>
      </c>
      <c r="Z11" s="14" t="s">
        <v>11663</v>
      </c>
      <c r="AA11" s="14" t="s">
        <v>11664</v>
      </c>
      <c r="AB11" s="14" t="s">
        <v>11663</v>
      </c>
      <c r="AC11" s="14" t="s">
        <v>11664</v>
      </c>
      <c r="AD11" s="14" t="s">
        <v>11664</v>
      </c>
      <c r="AE11" s="14" t="s">
        <v>11664</v>
      </c>
      <c r="AF11" s="15">
        <v>30</v>
      </c>
      <c r="AG11" s="15">
        <v>50</v>
      </c>
      <c r="AH11" s="15">
        <v>210</v>
      </c>
      <c r="AI11" s="15">
        <v>0</v>
      </c>
      <c r="AJ11" s="15">
        <v>0</v>
      </c>
      <c r="AK11" s="15">
        <v>0</v>
      </c>
      <c r="AL11" s="15">
        <v>0</v>
      </c>
      <c r="AM11" s="15">
        <v>0</v>
      </c>
      <c r="AN11" s="15">
        <v>0</v>
      </c>
      <c r="AO11" s="15">
        <v>0</v>
      </c>
      <c r="AP11" s="14">
        <v>0</v>
      </c>
      <c r="AQ11" s="14">
        <v>0</v>
      </c>
      <c r="AR11" s="15">
        <v>5</v>
      </c>
      <c r="AS11" s="15">
        <v>2</v>
      </c>
      <c r="AT11" s="15">
        <v>4</v>
      </c>
      <c r="AU11" s="15">
        <v>1</v>
      </c>
      <c r="AV11" s="15">
        <v>3</v>
      </c>
      <c r="AW11" s="15" t="s">
        <v>11700</v>
      </c>
      <c r="AX11" s="15">
        <v>2</v>
      </c>
      <c r="AY11" s="15">
        <v>3</v>
      </c>
      <c r="AZ11" s="15">
        <v>1</v>
      </c>
      <c r="BA11" s="15">
        <v>4</v>
      </c>
      <c r="BB11" s="15" t="s">
        <v>11666</v>
      </c>
      <c r="BC11" s="15"/>
      <c r="BD11" s="9">
        <v>1</v>
      </c>
    </row>
    <row r="12" spans="1:56" ht="12.75">
      <c r="A12" s="10"/>
      <c r="B12" s="11" t="s">
        <v>1053</v>
      </c>
      <c r="C12" s="10" t="s">
        <v>11660</v>
      </c>
      <c r="D12" s="12">
        <v>13</v>
      </c>
      <c r="E12" s="12">
        <v>0</v>
      </c>
      <c r="F12" s="12" t="s">
        <v>11701</v>
      </c>
      <c r="G12" s="12" t="s">
        <v>11702</v>
      </c>
      <c r="H12" s="17">
        <v>979844862</v>
      </c>
      <c r="I12" s="18">
        <v>45474</v>
      </c>
      <c r="J12" s="12" t="s">
        <v>11703</v>
      </c>
      <c r="K12" s="12" t="s">
        <v>11663</v>
      </c>
      <c r="L12" s="12" t="s">
        <v>11663</v>
      </c>
      <c r="M12" s="12" t="s">
        <v>11664</v>
      </c>
      <c r="N12" s="12" t="s">
        <v>11664</v>
      </c>
      <c r="O12" s="12" t="s">
        <v>11663</v>
      </c>
      <c r="P12" s="12">
        <v>6</v>
      </c>
      <c r="Q12" s="12">
        <v>3</v>
      </c>
      <c r="R12" s="12">
        <v>2</v>
      </c>
      <c r="S12" s="12">
        <v>0</v>
      </c>
      <c r="T12" s="12">
        <v>1</v>
      </c>
      <c r="U12" s="14" t="s">
        <v>11664</v>
      </c>
      <c r="V12" s="15" t="s">
        <v>11663</v>
      </c>
      <c r="W12" s="14" t="s">
        <v>11664</v>
      </c>
      <c r="X12" s="14" t="s">
        <v>11663</v>
      </c>
      <c r="Y12" s="14" t="s">
        <v>11664</v>
      </c>
      <c r="Z12" s="14" t="s">
        <v>11663</v>
      </c>
      <c r="AA12" s="14" t="s">
        <v>11663</v>
      </c>
      <c r="AB12" s="14" t="s">
        <v>11663</v>
      </c>
      <c r="AC12" s="14" t="s">
        <v>11664</v>
      </c>
      <c r="AD12" s="14" t="s">
        <v>11663</v>
      </c>
      <c r="AE12" s="14" t="s">
        <v>11664</v>
      </c>
      <c r="AF12" s="15">
        <v>750</v>
      </c>
      <c r="AG12" s="15">
        <v>170</v>
      </c>
      <c r="AH12" s="15">
        <v>300</v>
      </c>
      <c r="AI12" s="15">
        <v>0</v>
      </c>
      <c r="AJ12" s="15">
        <v>0</v>
      </c>
      <c r="AK12" s="15">
        <v>13</v>
      </c>
      <c r="AL12" s="15">
        <v>0</v>
      </c>
      <c r="AM12" s="15">
        <v>2</v>
      </c>
      <c r="AN12" s="15">
        <v>2</v>
      </c>
      <c r="AO12" s="15">
        <v>9</v>
      </c>
      <c r="AP12" s="14">
        <v>0</v>
      </c>
      <c r="AQ12" s="14">
        <v>0</v>
      </c>
      <c r="AR12" s="15">
        <v>2</v>
      </c>
      <c r="AS12" s="15">
        <v>1</v>
      </c>
      <c r="AT12" s="15">
        <v>3</v>
      </c>
      <c r="AU12" s="15">
        <v>4</v>
      </c>
      <c r="AV12" s="15">
        <v>5</v>
      </c>
      <c r="AW12" s="15" t="s">
        <v>11665</v>
      </c>
      <c r="AX12" s="15">
        <v>3</v>
      </c>
      <c r="AY12" s="15">
        <v>2</v>
      </c>
      <c r="AZ12" s="15">
        <v>1</v>
      </c>
      <c r="BA12" s="15">
        <v>4</v>
      </c>
      <c r="BB12" s="15" t="s">
        <v>11666</v>
      </c>
      <c r="BC12" s="15" t="s">
        <v>11704</v>
      </c>
      <c r="BD12" s="9">
        <v>1</v>
      </c>
    </row>
    <row r="13" spans="1:56" ht="12.75">
      <c r="A13" s="10"/>
      <c r="B13" s="11" t="s">
        <v>1113</v>
      </c>
      <c r="C13" s="10" t="s">
        <v>11705</v>
      </c>
      <c r="D13" s="12">
        <v>13</v>
      </c>
      <c r="E13" s="12">
        <v>0</v>
      </c>
      <c r="F13" s="12" t="s">
        <v>11706</v>
      </c>
      <c r="G13" s="12" t="s">
        <v>11707</v>
      </c>
      <c r="H13" s="17">
        <v>652633133</v>
      </c>
      <c r="I13" s="18">
        <v>44197</v>
      </c>
      <c r="J13" s="12"/>
      <c r="K13" s="12" t="s">
        <v>11664</v>
      </c>
      <c r="L13" s="12" t="s">
        <v>11663</v>
      </c>
      <c r="M13" s="12" t="s">
        <v>11664</v>
      </c>
      <c r="N13" s="12" t="s">
        <v>11664</v>
      </c>
      <c r="O13" s="12" t="s">
        <v>11663</v>
      </c>
      <c r="P13" s="12">
        <v>2</v>
      </c>
      <c r="Q13" s="12">
        <v>2</v>
      </c>
      <c r="R13" s="12">
        <v>0</v>
      </c>
      <c r="S13" s="12">
        <v>2</v>
      </c>
      <c r="T13" s="12">
        <v>2</v>
      </c>
      <c r="U13" s="14" t="s">
        <v>11664</v>
      </c>
      <c r="V13" s="15" t="s">
        <v>11664</v>
      </c>
      <c r="W13" s="14" t="s">
        <v>11663</v>
      </c>
      <c r="X13" s="14" t="s">
        <v>11663</v>
      </c>
      <c r="Y13" s="14" t="s">
        <v>11663</v>
      </c>
      <c r="Z13" s="14" t="s">
        <v>11663</v>
      </c>
      <c r="AA13" s="14" t="s">
        <v>11663</v>
      </c>
      <c r="AB13" s="14" t="s">
        <v>11664</v>
      </c>
      <c r="AC13" s="14" t="s">
        <v>11664</v>
      </c>
      <c r="AD13" s="14" t="s">
        <v>11663</v>
      </c>
      <c r="AE13" s="14" t="s">
        <v>11664</v>
      </c>
      <c r="AF13" s="15">
        <v>105</v>
      </c>
      <c r="AG13" s="15">
        <v>105</v>
      </c>
      <c r="AH13" s="15">
        <v>120</v>
      </c>
      <c r="AI13" s="15">
        <v>0</v>
      </c>
      <c r="AJ13" s="15">
        <v>0</v>
      </c>
      <c r="AK13" s="15">
        <v>0</v>
      </c>
      <c r="AL13" s="15">
        <v>0</v>
      </c>
      <c r="AM13" s="15">
        <v>0</v>
      </c>
      <c r="AN13" s="15">
        <v>0</v>
      </c>
      <c r="AO13" s="15">
        <v>0</v>
      </c>
      <c r="AP13" s="20">
        <v>0</v>
      </c>
      <c r="AQ13" s="20">
        <v>0</v>
      </c>
      <c r="AR13" s="15">
        <v>5</v>
      </c>
      <c r="AS13" s="15">
        <v>3</v>
      </c>
      <c r="AT13" s="15">
        <v>1</v>
      </c>
      <c r="AU13" s="15">
        <v>2</v>
      </c>
      <c r="AV13" s="15">
        <v>4</v>
      </c>
      <c r="AW13" s="15" t="s">
        <v>11665</v>
      </c>
      <c r="AX13" s="15">
        <v>2</v>
      </c>
      <c r="AY13" s="15">
        <v>3</v>
      </c>
      <c r="AZ13" s="15">
        <v>1</v>
      </c>
      <c r="BA13" s="15">
        <v>4</v>
      </c>
      <c r="BB13" s="15" t="s">
        <v>11666</v>
      </c>
      <c r="BC13" s="15" t="s">
        <v>11708</v>
      </c>
      <c r="BD13" s="9">
        <v>1</v>
      </c>
    </row>
    <row r="14" spans="1:56" ht="15">
      <c r="A14" s="10"/>
      <c r="B14" s="11" t="s">
        <v>1174</v>
      </c>
      <c r="C14" s="10" t="s">
        <v>10526</v>
      </c>
      <c r="D14" s="23">
        <v>22</v>
      </c>
      <c r="E14" s="23">
        <v>0</v>
      </c>
      <c r="F14" s="23" t="s">
        <v>11709</v>
      </c>
      <c r="G14" s="12" t="s">
        <v>11710</v>
      </c>
      <c r="H14" s="17">
        <v>976570039</v>
      </c>
      <c r="I14" s="12" t="s">
        <v>58</v>
      </c>
      <c r="J14" s="12"/>
      <c r="K14" s="12" t="s">
        <v>11663</v>
      </c>
      <c r="L14" s="12" t="s">
        <v>11663</v>
      </c>
      <c r="M14" s="12" t="s">
        <v>11664</v>
      </c>
      <c r="N14" s="12" t="s">
        <v>11663</v>
      </c>
      <c r="O14" s="12" t="s">
        <v>11663</v>
      </c>
      <c r="P14" s="12">
        <v>20</v>
      </c>
      <c r="Q14" s="12">
        <v>8</v>
      </c>
      <c r="R14" s="12">
        <v>3</v>
      </c>
      <c r="S14" s="12">
        <v>0</v>
      </c>
      <c r="T14" s="12">
        <v>0</v>
      </c>
      <c r="U14" s="14" t="s">
        <v>11664</v>
      </c>
      <c r="V14" s="15" t="s">
        <v>11664</v>
      </c>
      <c r="W14" s="14" t="s">
        <v>11664</v>
      </c>
      <c r="X14" s="14" t="s">
        <v>11664</v>
      </c>
      <c r="Y14" s="14" t="s">
        <v>11663</v>
      </c>
      <c r="Z14" s="14" t="s">
        <v>11663</v>
      </c>
      <c r="AA14" s="14" t="s">
        <v>11664</v>
      </c>
      <c r="AB14" s="14" t="s">
        <v>11663</v>
      </c>
      <c r="AC14" s="14" t="s">
        <v>11664</v>
      </c>
      <c r="AD14" s="14" t="s">
        <v>11664</v>
      </c>
      <c r="AE14" s="14" t="s">
        <v>11664</v>
      </c>
      <c r="AF14" s="15">
        <v>120</v>
      </c>
      <c r="AG14" s="15">
        <v>43</v>
      </c>
      <c r="AH14" s="15">
        <v>45</v>
      </c>
      <c r="AI14" s="15">
        <v>4</v>
      </c>
      <c r="AJ14" s="15">
        <v>0</v>
      </c>
      <c r="AK14" s="15">
        <v>0</v>
      </c>
      <c r="AL14" s="15">
        <v>0</v>
      </c>
      <c r="AM14" s="15">
        <v>3</v>
      </c>
      <c r="AN14" s="15">
        <v>0</v>
      </c>
      <c r="AO14" s="15">
        <v>0</v>
      </c>
      <c r="AP14" s="20">
        <v>0</v>
      </c>
      <c r="AQ14" s="20">
        <v>0</v>
      </c>
      <c r="AR14" s="15">
        <v>5</v>
      </c>
      <c r="AS14" s="15">
        <v>4</v>
      </c>
      <c r="AT14" s="15">
        <v>2</v>
      </c>
      <c r="AU14" s="15">
        <v>1</v>
      </c>
      <c r="AV14" s="15">
        <v>3</v>
      </c>
      <c r="AW14" s="15" t="s">
        <v>11665</v>
      </c>
      <c r="AX14" s="15">
        <v>1</v>
      </c>
      <c r="AY14" s="15">
        <v>2</v>
      </c>
      <c r="AZ14" s="15">
        <v>3</v>
      </c>
      <c r="BA14" s="15">
        <v>4</v>
      </c>
      <c r="BB14" s="15" t="s">
        <v>11666</v>
      </c>
      <c r="BC14" s="15"/>
      <c r="BD14" s="9">
        <v>1</v>
      </c>
    </row>
    <row r="15" spans="1:56" ht="12.75">
      <c r="A15" s="10"/>
      <c r="B15" s="11" t="s">
        <v>1245</v>
      </c>
      <c r="C15" s="10" t="s">
        <v>11681</v>
      </c>
      <c r="D15" s="12">
        <v>47</v>
      </c>
      <c r="E15" s="12">
        <v>6</v>
      </c>
      <c r="F15" s="12" t="s">
        <v>11711</v>
      </c>
      <c r="G15" s="12" t="s">
        <v>11712</v>
      </c>
      <c r="H15" s="17">
        <v>979388879</v>
      </c>
      <c r="I15" s="18">
        <v>44531</v>
      </c>
      <c r="J15" s="12" t="s">
        <v>11713</v>
      </c>
      <c r="K15" s="12" t="s">
        <v>11663</v>
      </c>
      <c r="L15" s="12" t="s">
        <v>11663</v>
      </c>
      <c r="M15" s="12" t="s">
        <v>11663</v>
      </c>
      <c r="N15" s="12" t="s">
        <v>11664</v>
      </c>
      <c r="O15" s="12" t="s">
        <v>11663</v>
      </c>
      <c r="P15" s="12">
        <v>6</v>
      </c>
      <c r="Q15" s="12">
        <v>6</v>
      </c>
      <c r="R15" s="12">
        <v>0</v>
      </c>
      <c r="S15" s="12">
        <v>4</v>
      </c>
      <c r="T15" s="12">
        <v>1</v>
      </c>
      <c r="U15" s="14" t="s">
        <v>11663</v>
      </c>
      <c r="V15" s="15" t="s">
        <v>11663</v>
      </c>
      <c r="W15" s="14" t="s">
        <v>11663</v>
      </c>
      <c r="X15" s="14" t="s">
        <v>11663</v>
      </c>
      <c r="Y15" s="14" t="s">
        <v>11664</v>
      </c>
      <c r="Z15" s="14" t="s">
        <v>11663</v>
      </c>
      <c r="AA15" s="14" t="s">
        <v>11663</v>
      </c>
      <c r="AB15" s="14" t="s">
        <v>11663</v>
      </c>
      <c r="AC15" s="14" t="s">
        <v>11664</v>
      </c>
      <c r="AD15" s="14" t="s">
        <v>11663</v>
      </c>
      <c r="AE15" s="14" t="s">
        <v>11663</v>
      </c>
      <c r="AF15" s="15">
        <v>230</v>
      </c>
      <c r="AG15" s="15">
        <v>82</v>
      </c>
      <c r="AH15" s="15">
        <v>60</v>
      </c>
      <c r="AI15" s="15">
        <v>0</v>
      </c>
      <c r="AJ15" s="15">
        <v>0</v>
      </c>
      <c r="AK15" s="15">
        <v>0</v>
      </c>
      <c r="AL15" s="15">
        <v>0</v>
      </c>
      <c r="AM15" s="15">
        <v>0</v>
      </c>
      <c r="AN15" s="15">
        <v>0</v>
      </c>
      <c r="AO15" s="15">
        <v>2</v>
      </c>
      <c r="AP15" s="14">
        <v>0</v>
      </c>
      <c r="AQ15" s="14">
        <v>0</v>
      </c>
      <c r="AR15" s="15">
        <v>1</v>
      </c>
      <c r="AS15" s="15">
        <v>2</v>
      </c>
      <c r="AT15" s="15">
        <v>3</v>
      </c>
      <c r="AU15" s="15">
        <v>4</v>
      </c>
      <c r="AV15" s="15">
        <v>5</v>
      </c>
      <c r="AW15" s="15" t="s">
        <v>11665</v>
      </c>
      <c r="AX15" s="15">
        <v>3</v>
      </c>
      <c r="AY15" s="15">
        <v>2</v>
      </c>
      <c r="AZ15" s="15">
        <v>1</v>
      </c>
      <c r="BA15" s="15">
        <v>4</v>
      </c>
      <c r="BB15" s="15" t="s">
        <v>11680</v>
      </c>
      <c r="BC15" s="15"/>
      <c r="BD15" s="9">
        <v>0</v>
      </c>
    </row>
    <row r="16" spans="1:56" ht="12.75">
      <c r="A16" s="10"/>
      <c r="B16" s="11" t="s">
        <v>1477</v>
      </c>
      <c r="C16" s="10" t="s">
        <v>11681</v>
      </c>
      <c r="D16" s="12">
        <v>33</v>
      </c>
      <c r="E16" s="12">
        <v>9</v>
      </c>
      <c r="F16" s="12" t="s">
        <v>11714</v>
      </c>
      <c r="G16" s="12" t="s">
        <v>11715</v>
      </c>
      <c r="H16" s="19">
        <v>993204220</v>
      </c>
      <c r="I16" s="18">
        <v>43678</v>
      </c>
      <c r="J16" s="12" t="s">
        <v>11716</v>
      </c>
      <c r="K16" s="12" t="s">
        <v>11663</v>
      </c>
      <c r="L16" s="12" t="s">
        <v>11663</v>
      </c>
      <c r="M16" s="12" t="s">
        <v>11663</v>
      </c>
      <c r="N16" s="12" t="s">
        <v>11663</v>
      </c>
      <c r="O16" s="12" t="s">
        <v>11663</v>
      </c>
      <c r="P16" s="12">
        <v>4</v>
      </c>
      <c r="Q16" s="12">
        <v>8</v>
      </c>
      <c r="R16" s="12">
        <v>0</v>
      </c>
      <c r="S16" s="12">
        <v>4</v>
      </c>
      <c r="T16" s="12">
        <v>3</v>
      </c>
      <c r="U16" s="14" t="s">
        <v>11663</v>
      </c>
      <c r="V16" s="15" t="s">
        <v>11664</v>
      </c>
      <c r="W16" s="14" t="s">
        <v>11664</v>
      </c>
      <c r="X16" s="14" t="s">
        <v>11663</v>
      </c>
      <c r="Y16" s="14" t="s">
        <v>11663</v>
      </c>
      <c r="Z16" s="14" t="s">
        <v>11663</v>
      </c>
      <c r="AA16" s="14" t="s">
        <v>11663</v>
      </c>
      <c r="AB16" s="14" t="s">
        <v>11664</v>
      </c>
      <c r="AC16" s="14" t="s">
        <v>11663</v>
      </c>
      <c r="AD16" s="14" t="s">
        <v>11663</v>
      </c>
      <c r="AE16" s="14" t="s">
        <v>11663</v>
      </c>
      <c r="AF16" s="15">
        <v>15</v>
      </c>
      <c r="AG16" s="15">
        <v>213</v>
      </c>
      <c r="AH16" s="15">
        <v>219</v>
      </c>
      <c r="AI16" s="15">
        <v>2</v>
      </c>
      <c r="AJ16" s="15">
        <v>4</v>
      </c>
      <c r="AK16" s="15">
        <v>0</v>
      </c>
      <c r="AL16" s="15">
        <v>1</v>
      </c>
      <c r="AM16" s="15">
        <v>0</v>
      </c>
      <c r="AN16" s="15">
        <v>0</v>
      </c>
      <c r="AO16" s="15">
        <v>146</v>
      </c>
      <c r="AP16" s="14">
        <v>0</v>
      </c>
      <c r="AQ16" s="14">
        <v>5</v>
      </c>
      <c r="AR16" s="15">
        <v>2</v>
      </c>
      <c r="AS16" s="15">
        <v>5</v>
      </c>
      <c r="AT16" s="15">
        <v>1</v>
      </c>
      <c r="AU16" s="15">
        <v>3</v>
      </c>
      <c r="AV16" s="15">
        <v>4</v>
      </c>
      <c r="AW16" s="15" t="s">
        <v>11665</v>
      </c>
      <c r="AX16" s="15">
        <v>1</v>
      </c>
      <c r="AY16" s="15">
        <v>2</v>
      </c>
      <c r="AZ16" s="15">
        <v>3</v>
      </c>
      <c r="BA16" s="15">
        <v>4</v>
      </c>
      <c r="BB16" s="15" t="s">
        <v>11675</v>
      </c>
      <c r="BC16" s="15" t="s">
        <v>11717</v>
      </c>
      <c r="BD16" s="9">
        <v>1</v>
      </c>
    </row>
    <row r="17" spans="1:56" ht="15">
      <c r="A17" s="10"/>
      <c r="B17" s="11" t="s">
        <v>1659</v>
      </c>
      <c r="C17" s="10" t="s">
        <v>11681</v>
      </c>
      <c r="D17" s="12">
        <v>9</v>
      </c>
      <c r="E17" s="12">
        <v>2</v>
      </c>
      <c r="F17" s="12" t="s">
        <v>11718</v>
      </c>
      <c r="G17" s="24" t="s">
        <v>11719</v>
      </c>
      <c r="H17" s="19">
        <v>923710907</v>
      </c>
      <c r="I17" s="12">
        <v>2016</v>
      </c>
      <c r="J17" s="21" t="s">
        <v>11720</v>
      </c>
      <c r="K17" s="12" t="s">
        <v>11663</v>
      </c>
      <c r="L17" s="12" t="s">
        <v>11663</v>
      </c>
      <c r="M17" s="12" t="s">
        <v>11664</v>
      </c>
      <c r="N17" s="12" t="s">
        <v>11663</v>
      </c>
      <c r="O17" s="12" t="s">
        <v>11663</v>
      </c>
      <c r="P17" s="12">
        <v>2</v>
      </c>
      <c r="Q17" s="12">
        <v>2</v>
      </c>
      <c r="R17" s="12">
        <v>2</v>
      </c>
      <c r="S17" s="12">
        <v>1</v>
      </c>
      <c r="T17" s="12">
        <v>1</v>
      </c>
      <c r="U17" s="14" t="s">
        <v>11664</v>
      </c>
      <c r="V17" s="15" t="s">
        <v>11664</v>
      </c>
      <c r="W17" s="14" t="s">
        <v>11664</v>
      </c>
      <c r="X17" s="14" t="s">
        <v>11664</v>
      </c>
      <c r="Y17" s="14" t="s">
        <v>11663</v>
      </c>
      <c r="Z17" s="14" t="s">
        <v>11663</v>
      </c>
      <c r="AA17" s="14" t="s">
        <v>11663</v>
      </c>
      <c r="AB17" s="14" t="s">
        <v>11663</v>
      </c>
      <c r="AC17" s="14" t="s">
        <v>11663</v>
      </c>
      <c r="AD17" s="14" t="s">
        <v>11663</v>
      </c>
      <c r="AE17" s="14" t="s">
        <v>11664</v>
      </c>
      <c r="AF17" s="14">
        <v>73</v>
      </c>
      <c r="AG17" s="15">
        <v>35</v>
      </c>
      <c r="AH17" s="15">
        <v>0</v>
      </c>
      <c r="AI17" s="15">
        <v>1</v>
      </c>
      <c r="AJ17" s="15">
        <v>2</v>
      </c>
      <c r="AK17" s="15">
        <v>0</v>
      </c>
      <c r="AL17" s="15">
        <v>1</v>
      </c>
      <c r="AM17" s="15">
        <v>1</v>
      </c>
      <c r="AN17" s="15">
        <v>3</v>
      </c>
      <c r="AO17" s="15">
        <v>57</v>
      </c>
      <c r="AP17" s="14">
        <v>0</v>
      </c>
      <c r="AQ17" s="14">
        <v>0</v>
      </c>
      <c r="AR17" s="15">
        <v>2</v>
      </c>
      <c r="AS17" s="15">
        <v>5</v>
      </c>
      <c r="AT17" s="15">
        <v>4</v>
      </c>
      <c r="AU17" s="15">
        <v>1</v>
      </c>
      <c r="AV17" s="15">
        <v>3</v>
      </c>
      <c r="AW17" s="15" t="s">
        <v>11700</v>
      </c>
      <c r="AX17" s="15">
        <v>1</v>
      </c>
      <c r="AY17" s="15">
        <v>3</v>
      </c>
      <c r="AZ17" s="15">
        <v>2</v>
      </c>
      <c r="BA17" s="15">
        <v>4</v>
      </c>
      <c r="BB17" s="15" t="s">
        <v>11666</v>
      </c>
      <c r="BC17" s="15"/>
      <c r="BD17" s="9">
        <v>1</v>
      </c>
    </row>
    <row r="18" spans="1:56" ht="12.75">
      <c r="A18" s="10"/>
      <c r="B18" s="11" t="s">
        <v>1698</v>
      </c>
      <c r="C18" s="10" t="s">
        <v>11667</v>
      </c>
      <c r="D18" s="12">
        <v>24</v>
      </c>
      <c r="E18" s="12">
        <v>4</v>
      </c>
      <c r="F18" s="12" t="s">
        <v>11721</v>
      </c>
      <c r="G18" s="12" t="s">
        <v>11722</v>
      </c>
      <c r="H18" s="17">
        <v>987504663</v>
      </c>
      <c r="I18" s="18">
        <v>45444</v>
      </c>
      <c r="J18" s="12" t="s">
        <v>11723</v>
      </c>
      <c r="K18" s="12" t="s">
        <v>11663</v>
      </c>
      <c r="L18" s="12" t="s">
        <v>11663</v>
      </c>
      <c r="M18" s="12" t="s">
        <v>11664</v>
      </c>
      <c r="N18" s="12" t="s">
        <v>11664</v>
      </c>
      <c r="O18" s="12" t="s">
        <v>11663</v>
      </c>
      <c r="P18" s="12">
        <v>8</v>
      </c>
      <c r="Q18" s="12">
        <v>8</v>
      </c>
      <c r="R18" s="12">
        <v>1</v>
      </c>
      <c r="S18" s="12">
        <v>0</v>
      </c>
      <c r="T18" s="12">
        <v>0</v>
      </c>
      <c r="U18" s="14" t="s">
        <v>11664</v>
      </c>
      <c r="V18" s="15" t="s">
        <v>11664</v>
      </c>
      <c r="W18" s="14" t="s">
        <v>11663</v>
      </c>
      <c r="X18" s="14" t="s">
        <v>11663</v>
      </c>
      <c r="Y18" s="14" t="s">
        <v>11664</v>
      </c>
      <c r="Z18" s="14" t="s">
        <v>11663</v>
      </c>
      <c r="AA18" s="14" t="s">
        <v>11664</v>
      </c>
      <c r="AB18" s="14" t="s">
        <v>11664</v>
      </c>
      <c r="AC18" s="14" t="s">
        <v>11664</v>
      </c>
      <c r="AD18" s="14" t="s">
        <v>11664</v>
      </c>
      <c r="AE18" s="14" t="s">
        <v>11664</v>
      </c>
      <c r="AF18" s="15">
        <v>8</v>
      </c>
      <c r="AG18" s="15">
        <v>10</v>
      </c>
      <c r="AH18" s="15">
        <v>20</v>
      </c>
      <c r="AI18" s="15">
        <v>0</v>
      </c>
      <c r="AJ18" s="15">
        <v>0</v>
      </c>
      <c r="AK18" s="15">
        <v>0</v>
      </c>
      <c r="AL18" s="15">
        <v>0</v>
      </c>
      <c r="AM18" s="15">
        <v>0</v>
      </c>
      <c r="AN18" s="15">
        <v>0</v>
      </c>
      <c r="AO18" s="15">
        <v>0</v>
      </c>
      <c r="AP18" s="14">
        <v>0</v>
      </c>
      <c r="AQ18" s="14">
        <v>0</v>
      </c>
      <c r="AR18" s="15">
        <v>3</v>
      </c>
      <c r="AS18" s="15">
        <v>5</v>
      </c>
      <c r="AT18" s="15">
        <v>1</v>
      </c>
      <c r="AU18" s="15">
        <v>2</v>
      </c>
      <c r="AV18" s="15">
        <v>4</v>
      </c>
      <c r="AW18" s="15" t="s">
        <v>11671</v>
      </c>
      <c r="AX18" s="15">
        <v>2</v>
      </c>
      <c r="AY18" s="15">
        <v>4</v>
      </c>
      <c r="AZ18" s="15">
        <v>1</v>
      </c>
      <c r="BA18" s="15">
        <v>3</v>
      </c>
      <c r="BB18" s="15" t="s">
        <v>1151</v>
      </c>
      <c r="BC18" s="15" t="s">
        <v>11724</v>
      </c>
      <c r="BD18" s="9">
        <v>1</v>
      </c>
    </row>
    <row r="19" spans="1:56" ht="15">
      <c r="A19" s="10"/>
      <c r="B19" s="11" t="s">
        <v>1811</v>
      </c>
      <c r="C19" s="10" t="s">
        <v>11681</v>
      </c>
      <c r="D19" s="12">
        <v>76</v>
      </c>
      <c r="E19" s="12">
        <v>2</v>
      </c>
      <c r="F19" s="12" t="s">
        <v>11725</v>
      </c>
      <c r="G19" s="25" t="s">
        <v>11726</v>
      </c>
      <c r="H19" s="19">
        <v>412954653</v>
      </c>
      <c r="I19" s="18">
        <v>45566</v>
      </c>
      <c r="J19" s="21" t="s">
        <v>11727</v>
      </c>
      <c r="K19" s="12" t="s">
        <v>11663</v>
      </c>
      <c r="L19" s="12" t="s">
        <v>11663</v>
      </c>
      <c r="M19" s="12" t="s">
        <v>11663</v>
      </c>
      <c r="N19" s="12" t="s">
        <v>11663</v>
      </c>
      <c r="O19" s="12" t="s">
        <v>11663</v>
      </c>
      <c r="P19" s="12">
        <v>10</v>
      </c>
      <c r="Q19" s="12">
        <v>11</v>
      </c>
      <c r="R19" s="12">
        <v>3</v>
      </c>
      <c r="S19" s="12">
        <v>4</v>
      </c>
      <c r="T19" s="12">
        <v>1</v>
      </c>
      <c r="U19" s="14" t="s">
        <v>11664</v>
      </c>
      <c r="V19" s="15" t="s">
        <v>11664</v>
      </c>
      <c r="W19" s="14" t="s">
        <v>11664</v>
      </c>
      <c r="X19" s="14" t="s">
        <v>11663</v>
      </c>
      <c r="Y19" s="14" t="s">
        <v>11663</v>
      </c>
      <c r="Z19" s="14" t="s">
        <v>11663</v>
      </c>
      <c r="AA19" s="14" t="s">
        <v>11663</v>
      </c>
      <c r="AB19" s="14" t="s">
        <v>11663</v>
      </c>
      <c r="AC19" s="14" t="s">
        <v>11664</v>
      </c>
      <c r="AD19" s="14" t="s">
        <v>11664</v>
      </c>
      <c r="AE19" s="14" t="s">
        <v>11664</v>
      </c>
      <c r="AF19" s="15">
        <v>93</v>
      </c>
      <c r="AG19" s="15">
        <v>34</v>
      </c>
      <c r="AH19" s="15">
        <v>27</v>
      </c>
      <c r="AI19" s="15">
        <v>3</v>
      </c>
      <c r="AJ19" s="15">
        <v>1</v>
      </c>
      <c r="AK19" s="15">
        <v>0</v>
      </c>
      <c r="AL19" s="15">
        <v>2</v>
      </c>
      <c r="AM19" s="15">
        <v>1</v>
      </c>
      <c r="AN19" s="15">
        <v>0</v>
      </c>
      <c r="AO19" s="15">
        <v>137</v>
      </c>
      <c r="AP19" s="14">
        <v>0</v>
      </c>
      <c r="AQ19" s="14">
        <v>2</v>
      </c>
      <c r="AR19" s="15">
        <v>5</v>
      </c>
      <c r="AS19" s="15">
        <v>2</v>
      </c>
      <c r="AT19" s="15">
        <v>1</v>
      </c>
      <c r="AU19" s="15">
        <v>3</v>
      </c>
      <c r="AV19" s="15">
        <v>4</v>
      </c>
      <c r="AW19" s="15" t="s">
        <v>11665</v>
      </c>
      <c r="AX19" s="15">
        <v>1</v>
      </c>
      <c r="AY19" s="15">
        <v>2</v>
      </c>
      <c r="AZ19" s="15">
        <v>4</v>
      </c>
      <c r="BA19" s="15">
        <v>3</v>
      </c>
      <c r="BB19" s="15" t="s">
        <v>11675</v>
      </c>
      <c r="BC19" s="15"/>
      <c r="BD19" s="9">
        <v>1</v>
      </c>
    </row>
    <row r="20" spans="1:56" ht="12.75">
      <c r="A20" s="10"/>
      <c r="B20" s="11" t="s">
        <v>2235</v>
      </c>
      <c r="C20" s="10" t="s">
        <v>11660</v>
      </c>
      <c r="D20" s="12">
        <v>14</v>
      </c>
      <c r="E20" s="12">
        <v>8</v>
      </c>
      <c r="F20" s="12" t="s">
        <v>58</v>
      </c>
      <c r="G20" s="12" t="s">
        <v>11728</v>
      </c>
      <c r="H20" s="17">
        <v>985768450</v>
      </c>
      <c r="I20" s="12" t="s">
        <v>58</v>
      </c>
      <c r="J20" s="12" t="s">
        <v>11729</v>
      </c>
      <c r="K20" s="12" t="s">
        <v>11663</v>
      </c>
      <c r="L20" s="12" t="s">
        <v>11663</v>
      </c>
      <c r="M20" s="12" t="s">
        <v>11663</v>
      </c>
      <c r="N20" s="12" t="s">
        <v>11664</v>
      </c>
      <c r="O20" s="12" t="s">
        <v>11663</v>
      </c>
      <c r="P20" s="12">
        <v>6</v>
      </c>
      <c r="Q20" s="12">
        <v>6</v>
      </c>
      <c r="R20" s="12">
        <v>0</v>
      </c>
      <c r="S20" s="12">
        <v>1</v>
      </c>
      <c r="T20" s="12">
        <v>0</v>
      </c>
      <c r="U20" s="14" t="s">
        <v>11663</v>
      </c>
      <c r="V20" s="15" t="s">
        <v>11663</v>
      </c>
      <c r="W20" s="14" t="s">
        <v>11663</v>
      </c>
      <c r="X20" s="14" t="s">
        <v>11664</v>
      </c>
      <c r="Y20" s="14" t="s">
        <v>11663</v>
      </c>
      <c r="Z20" s="14" t="s">
        <v>11663</v>
      </c>
      <c r="AA20" s="14" t="s">
        <v>11663</v>
      </c>
      <c r="AB20" s="14" t="s">
        <v>11664</v>
      </c>
      <c r="AC20" s="14" t="s">
        <v>11663</v>
      </c>
      <c r="AD20" s="14" t="s">
        <v>11663</v>
      </c>
      <c r="AE20" s="14" t="s">
        <v>11663</v>
      </c>
      <c r="AF20" s="15">
        <v>0</v>
      </c>
      <c r="AG20" s="15">
        <v>0</v>
      </c>
      <c r="AH20" s="15">
        <v>0</v>
      </c>
      <c r="AI20" s="15">
        <v>0</v>
      </c>
      <c r="AJ20" s="15">
        <v>0</v>
      </c>
      <c r="AK20" s="15">
        <v>0</v>
      </c>
      <c r="AL20" s="15">
        <v>0</v>
      </c>
      <c r="AM20" s="15">
        <v>0</v>
      </c>
      <c r="AN20" s="15">
        <v>0</v>
      </c>
      <c r="AO20" s="15">
        <v>0</v>
      </c>
      <c r="AP20" s="15">
        <v>0</v>
      </c>
      <c r="AQ20" s="15">
        <v>0</v>
      </c>
      <c r="AR20" s="15">
        <v>1</v>
      </c>
      <c r="AS20" s="15">
        <v>2</v>
      </c>
      <c r="AT20" s="15">
        <v>5</v>
      </c>
      <c r="AU20" s="15">
        <v>4</v>
      </c>
      <c r="AV20" s="15">
        <v>3</v>
      </c>
      <c r="AW20" s="15" t="s">
        <v>11671</v>
      </c>
      <c r="AX20" s="15">
        <v>2</v>
      </c>
      <c r="AY20" s="15">
        <v>1</v>
      </c>
      <c r="AZ20" s="15">
        <v>4</v>
      </c>
      <c r="BA20" s="15">
        <v>3</v>
      </c>
      <c r="BB20" s="15" t="s">
        <v>11680</v>
      </c>
      <c r="BC20" s="15"/>
      <c r="BD20" s="9">
        <v>0</v>
      </c>
    </row>
    <row r="21" spans="1:56" ht="15">
      <c r="A21" s="10"/>
      <c r="B21" s="11" t="s">
        <v>2320</v>
      </c>
      <c r="C21" s="10" t="s">
        <v>11688</v>
      </c>
      <c r="D21" s="12">
        <v>20</v>
      </c>
      <c r="E21" s="12">
        <v>6</v>
      </c>
      <c r="F21" s="12" t="s">
        <v>11730</v>
      </c>
      <c r="G21" s="21" t="s">
        <v>11731</v>
      </c>
      <c r="H21" s="22">
        <v>981820329</v>
      </c>
      <c r="I21" s="18">
        <v>44652</v>
      </c>
      <c r="J21" s="12"/>
      <c r="K21" s="12" t="s">
        <v>11664</v>
      </c>
      <c r="L21" s="12" t="s">
        <v>11663</v>
      </c>
      <c r="M21" s="12" t="s">
        <v>11663</v>
      </c>
      <c r="N21" s="12" t="s">
        <v>11663</v>
      </c>
      <c r="O21" s="12" t="s">
        <v>11663</v>
      </c>
      <c r="P21" s="12">
        <v>2</v>
      </c>
      <c r="Q21" s="12">
        <v>8</v>
      </c>
      <c r="R21" s="26">
        <v>7</v>
      </c>
      <c r="S21" s="12">
        <v>1</v>
      </c>
      <c r="T21" s="12">
        <v>2</v>
      </c>
      <c r="U21" s="14" t="s">
        <v>11664</v>
      </c>
      <c r="V21" s="15" t="s">
        <v>11664</v>
      </c>
      <c r="W21" s="14" t="s">
        <v>11663</v>
      </c>
      <c r="X21" s="14" t="s">
        <v>11663</v>
      </c>
      <c r="Y21" s="14" t="s">
        <v>11663</v>
      </c>
      <c r="Z21" s="14" t="s">
        <v>11663</v>
      </c>
      <c r="AA21" s="14" t="s">
        <v>11664</v>
      </c>
      <c r="AB21" s="14" t="s">
        <v>11663</v>
      </c>
      <c r="AC21" s="14" t="s">
        <v>11664</v>
      </c>
      <c r="AD21" s="14" t="s">
        <v>11663</v>
      </c>
      <c r="AE21" s="14" t="s">
        <v>11663</v>
      </c>
      <c r="AF21" s="15">
        <v>100</v>
      </c>
      <c r="AG21" s="15">
        <v>30</v>
      </c>
      <c r="AH21" s="15">
        <v>10</v>
      </c>
      <c r="AI21" s="15">
        <v>0</v>
      </c>
      <c r="AJ21" s="15">
        <v>2</v>
      </c>
      <c r="AK21" s="15">
        <v>0</v>
      </c>
      <c r="AL21" s="15">
        <v>2</v>
      </c>
      <c r="AM21" s="15">
        <v>2</v>
      </c>
      <c r="AN21" s="15">
        <v>1</v>
      </c>
      <c r="AO21" s="15">
        <v>0</v>
      </c>
      <c r="AP21" s="14">
        <v>0</v>
      </c>
      <c r="AQ21" s="14">
        <v>0</v>
      </c>
      <c r="AR21" s="15">
        <v>1</v>
      </c>
      <c r="AS21" s="15">
        <v>5</v>
      </c>
      <c r="AT21" s="15">
        <v>4</v>
      </c>
      <c r="AU21" s="15">
        <v>2</v>
      </c>
      <c r="AV21" s="15">
        <v>3</v>
      </c>
      <c r="AW21" s="15" t="s">
        <v>11671</v>
      </c>
      <c r="AX21" s="15">
        <v>4</v>
      </c>
      <c r="AY21" s="15">
        <v>1</v>
      </c>
      <c r="AZ21" s="15">
        <v>2</v>
      </c>
      <c r="BA21" s="15">
        <v>3</v>
      </c>
      <c r="BB21" s="15" t="s">
        <v>1151</v>
      </c>
      <c r="BC21" s="15" t="s">
        <v>11732</v>
      </c>
      <c r="BD21" s="9">
        <v>1</v>
      </c>
    </row>
    <row r="22" spans="1:56" ht="15">
      <c r="A22" s="10"/>
      <c r="B22" s="11" t="s">
        <v>2419</v>
      </c>
      <c r="C22" s="10" t="s">
        <v>11688</v>
      </c>
      <c r="D22" s="12">
        <v>17</v>
      </c>
      <c r="E22" s="12">
        <v>10</v>
      </c>
      <c r="F22" s="12" t="s">
        <v>11733</v>
      </c>
      <c r="G22" s="12" t="s">
        <v>11734</v>
      </c>
      <c r="H22" s="23" t="s">
        <v>11735</v>
      </c>
      <c r="I22" s="12" t="s">
        <v>58</v>
      </c>
      <c r="J22" s="21" t="s">
        <v>11736</v>
      </c>
      <c r="K22" s="12" t="s">
        <v>11663</v>
      </c>
      <c r="L22" s="12" t="s">
        <v>11663</v>
      </c>
      <c r="M22" s="12" t="s">
        <v>11663</v>
      </c>
      <c r="N22" s="12" t="s">
        <v>11664</v>
      </c>
      <c r="O22" s="12" t="s">
        <v>11663</v>
      </c>
      <c r="P22" s="12" t="s">
        <v>58</v>
      </c>
      <c r="Q22" s="12" t="s">
        <v>58</v>
      </c>
      <c r="R22" s="12">
        <v>0</v>
      </c>
      <c r="S22" s="12">
        <v>0</v>
      </c>
      <c r="T22" s="12">
        <v>0</v>
      </c>
      <c r="U22" s="14" t="s">
        <v>11664</v>
      </c>
      <c r="V22" s="15" t="s">
        <v>11663</v>
      </c>
      <c r="W22" s="14" t="s">
        <v>11663</v>
      </c>
      <c r="X22" s="14" t="s">
        <v>11663</v>
      </c>
      <c r="Y22" s="14" t="s">
        <v>11663</v>
      </c>
      <c r="Z22" s="14" t="s">
        <v>11664</v>
      </c>
      <c r="AA22" s="14" t="s">
        <v>11664</v>
      </c>
      <c r="AB22" s="14" t="s">
        <v>11664</v>
      </c>
      <c r="AC22" s="14" t="s">
        <v>11664</v>
      </c>
      <c r="AD22" s="14" t="s">
        <v>11663</v>
      </c>
      <c r="AE22" s="14" t="s">
        <v>11664</v>
      </c>
      <c r="AF22" s="15">
        <v>0</v>
      </c>
      <c r="AG22" s="15">
        <v>0</v>
      </c>
      <c r="AH22" s="15">
        <v>0</v>
      </c>
      <c r="AI22" s="15">
        <v>0</v>
      </c>
      <c r="AJ22" s="15">
        <v>3</v>
      </c>
      <c r="AK22" s="15">
        <v>0</v>
      </c>
      <c r="AL22" s="15">
        <v>6</v>
      </c>
      <c r="AM22" s="15">
        <v>2</v>
      </c>
      <c r="AN22" s="15">
        <v>0</v>
      </c>
      <c r="AO22" s="15">
        <v>0</v>
      </c>
      <c r="AP22" s="14">
        <v>4</v>
      </c>
      <c r="AQ22" s="14">
        <v>0</v>
      </c>
      <c r="AR22" s="15">
        <v>3</v>
      </c>
      <c r="AS22" s="15">
        <v>5</v>
      </c>
      <c r="AT22" s="15">
        <v>2</v>
      </c>
      <c r="AU22" s="15">
        <v>1</v>
      </c>
      <c r="AV22" s="15">
        <v>4</v>
      </c>
      <c r="AW22" s="15" t="s">
        <v>11700</v>
      </c>
      <c r="AX22" s="15">
        <v>3</v>
      </c>
      <c r="AY22" s="15">
        <v>2</v>
      </c>
      <c r="AZ22" s="15">
        <v>1</v>
      </c>
      <c r="BA22" s="15">
        <v>4</v>
      </c>
      <c r="BB22" s="15" t="s">
        <v>11737</v>
      </c>
      <c r="BC22" s="15"/>
      <c r="BD22" s="9">
        <v>1</v>
      </c>
    </row>
    <row r="23" spans="1:56" ht="15">
      <c r="A23" s="10"/>
      <c r="B23" s="11" t="s">
        <v>2513</v>
      </c>
      <c r="C23" s="10" t="s">
        <v>11660</v>
      </c>
      <c r="D23" s="12">
        <v>23</v>
      </c>
      <c r="E23" s="12">
        <v>0</v>
      </c>
      <c r="F23" s="12" t="s">
        <v>11738</v>
      </c>
      <c r="G23" s="27" t="s">
        <v>11739</v>
      </c>
      <c r="H23" s="21">
        <v>945802224</v>
      </c>
      <c r="I23" s="18">
        <v>45474</v>
      </c>
      <c r="J23" s="12" t="s">
        <v>11740</v>
      </c>
      <c r="K23" s="12" t="s">
        <v>11663</v>
      </c>
      <c r="L23" s="12" t="s">
        <v>11663</v>
      </c>
      <c r="M23" s="12" t="s">
        <v>11664</v>
      </c>
      <c r="N23" s="12" t="s">
        <v>11664</v>
      </c>
      <c r="O23" s="12" t="s">
        <v>11663</v>
      </c>
      <c r="P23" s="12">
        <v>8</v>
      </c>
      <c r="Q23" s="12">
        <v>1</v>
      </c>
      <c r="R23" s="12">
        <v>3</v>
      </c>
      <c r="S23" s="12">
        <v>1</v>
      </c>
      <c r="T23" s="12">
        <v>0</v>
      </c>
      <c r="U23" s="14" t="s">
        <v>11663</v>
      </c>
      <c r="V23" s="15" t="s">
        <v>11664</v>
      </c>
      <c r="W23" s="14" t="s">
        <v>11663</v>
      </c>
      <c r="X23" s="14" t="s">
        <v>11663</v>
      </c>
      <c r="Y23" s="14" t="s">
        <v>11664</v>
      </c>
      <c r="Z23" s="14" t="s">
        <v>11663</v>
      </c>
      <c r="AA23" s="14" t="s">
        <v>11663</v>
      </c>
      <c r="AB23" s="14" t="s">
        <v>11663</v>
      </c>
      <c r="AC23" s="14" t="s">
        <v>11663</v>
      </c>
      <c r="AD23" s="14" t="s">
        <v>11663</v>
      </c>
      <c r="AE23" s="14" t="s">
        <v>11663</v>
      </c>
      <c r="AF23" s="15">
        <v>50</v>
      </c>
      <c r="AG23" s="15">
        <v>30</v>
      </c>
      <c r="AH23" s="15">
        <v>50</v>
      </c>
      <c r="AI23" s="15">
        <v>1</v>
      </c>
      <c r="AJ23" s="15">
        <v>0</v>
      </c>
      <c r="AK23" s="15">
        <v>2</v>
      </c>
      <c r="AL23" s="15">
        <v>2</v>
      </c>
      <c r="AM23" s="15">
        <v>1</v>
      </c>
      <c r="AN23" s="15">
        <v>0</v>
      </c>
      <c r="AO23" s="15">
        <v>0</v>
      </c>
      <c r="AP23" s="14">
        <v>0</v>
      </c>
      <c r="AQ23" s="14">
        <v>0</v>
      </c>
      <c r="AR23" s="15">
        <v>3</v>
      </c>
      <c r="AS23" s="15">
        <v>2</v>
      </c>
      <c r="AT23" s="15">
        <v>4</v>
      </c>
      <c r="AU23" s="15">
        <v>1</v>
      </c>
      <c r="AV23" s="15">
        <v>5</v>
      </c>
      <c r="AW23" s="15" t="s">
        <v>11665</v>
      </c>
      <c r="AX23" s="15">
        <v>3</v>
      </c>
      <c r="AY23" s="15">
        <v>2</v>
      </c>
      <c r="AZ23" s="15">
        <v>1</v>
      </c>
      <c r="BA23" s="15">
        <v>4</v>
      </c>
      <c r="BB23" s="15" t="s">
        <v>1151</v>
      </c>
      <c r="BC23" s="15" t="s">
        <v>11741</v>
      </c>
      <c r="BD23" s="9">
        <v>1</v>
      </c>
    </row>
    <row r="24" spans="1:56" ht="12.75">
      <c r="A24" s="10"/>
      <c r="B24" s="11" t="s">
        <v>2626</v>
      </c>
      <c r="C24" s="10" t="s">
        <v>11705</v>
      </c>
      <c r="D24" s="12">
        <v>10</v>
      </c>
      <c r="E24" s="12">
        <v>0</v>
      </c>
      <c r="F24" s="12" t="s">
        <v>11742</v>
      </c>
      <c r="G24" s="12" t="s">
        <v>11743</v>
      </c>
      <c r="H24" s="17">
        <v>56977997</v>
      </c>
      <c r="I24" s="12" t="s">
        <v>58</v>
      </c>
      <c r="J24" s="12" t="s">
        <v>11744</v>
      </c>
      <c r="K24" s="12" t="s">
        <v>11663</v>
      </c>
      <c r="L24" s="12" t="s">
        <v>11663</v>
      </c>
      <c r="M24" s="12" t="s">
        <v>11664</v>
      </c>
      <c r="N24" s="12" t="s">
        <v>11664</v>
      </c>
      <c r="O24" s="12" t="s">
        <v>11663</v>
      </c>
      <c r="P24" s="12">
        <v>5</v>
      </c>
      <c r="Q24" s="12">
        <v>5</v>
      </c>
      <c r="R24" s="12">
        <v>0</v>
      </c>
      <c r="S24" s="12">
        <v>0</v>
      </c>
      <c r="T24" s="12">
        <v>0</v>
      </c>
      <c r="U24" s="14" t="s">
        <v>11664</v>
      </c>
      <c r="V24" s="15" t="s">
        <v>11664</v>
      </c>
      <c r="W24" s="14" t="s">
        <v>11663</v>
      </c>
      <c r="X24" s="14" t="s">
        <v>11663</v>
      </c>
      <c r="Y24" s="14" t="s">
        <v>11663</v>
      </c>
      <c r="Z24" s="14" t="s">
        <v>11663</v>
      </c>
      <c r="AA24" s="14" t="s">
        <v>11663</v>
      </c>
      <c r="AB24" s="14" t="s">
        <v>11664</v>
      </c>
      <c r="AC24" s="14" t="s">
        <v>11664</v>
      </c>
      <c r="AD24" s="14" t="s">
        <v>11664</v>
      </c>
      <c r="AE24" s="14" t="s">
        <v>11664</v>
      </c>
      <c r="AF24" s="15">
        <v>30</v>
      </c>
      <c r="AG24" s="15">
        <v>0</v>
      </c>
      <c r="AH24" s="15">
        <v>20</v>
      </c>
      <c r="AI24" s="15">
        <v>0</v>
      </c>
      <c r="AJ24" s="15">
        <v>0</v>
      </c>
      <c r="AK24" s="15">
        <v>0</v>
      </c>
      <c r="AL24" s="15">
        <v>0</v>
      </c>
      <c r="AM24" s="15">
        <v>0</v>
      </c>
      <c r="AN24" s="15">
        <v>0</v>
      </c>
      <c r="AO24" s="15">
        <v>0</v>
      </c>
      <c r="AP24" s="20">
        <v>0</v>
      </c>
      <c r="AQ24" s="20">
        <v>0</v>
      </c>
      <c r="AR24" s="15">
        <v>3</v>
      </c>
      <c r="AS24" s="15">
        <v>4</v>
      </c>
      <c r="AT24" s="15">
        <v>1</v>
      </c>
      <c r="AU24" s="15">
        <v>2</v>
      </c>
      <c r="AV24" s="15">
        <v>5</v>
      </c>
      <c r="AW24" s="15" t="s">
        <v>11665</v>
      </c>
      <c r="AX24" s="15">
        <v>3</v>
      </c>
      <c r="AY24" s="15">
        <v>2</v>
      </c>
      <c r="AZ24" s="15">
        <v>1</v>
      </c>
      <c r="BA24" s="15">
        <v>4</v>
      </c>
      <c r="BB24" s="15" t="s">
        <v>1151</v>
      </c>
      <c r="BC24" s="15" t="s">
        <v>11745</v>
      </c>
      <c r="BD24" s="9">
        <v>0</v>
      </c>
    </row>
    <row r="25" spans="1:56" ht="15">
      <c r="A25" s="10"/>
      <c r="B25" s="11" t="s">
        <v>2663</v>
      </c>
      <c r="C25" s="10" t="s">
        <v>11681</v>
      </c>
      <c r="D25" s="12">
        <v>11</v>
      </c>
      <c r="E25" s="12">
        <v>9</v>
      </c>
      <c r="F25" s="12" t="s">
        <v>11746</v>
      </c>
      <c r="G25" s="25" t="s">
        <v>11747</v>
      </c>
      <c r="H25" s="28">
        <v>962051572</v>
      </c>
      <c r="I25" s="18">
        <v>44409</v>
      </c>
      <c r="J25" s="27"/>
      <c r="K25" s="12" t="s">
        <v>11664</v>
      </c>
      <c r="L25" s="12" t="s">
        <v>11664</v>
      </c>
      <c r="M25" s="12" t="s">
        <v>11664</v>
      </c>
      <c r="N25" s="12" t="s">
        <v>11663</v>
      </c>
      <c r="O25" s="12" t="s">
        <v>11663</v>
      </c>
      <c r="P25" s="12">
        <v>10</v>
      </c>
      <c r="Q25" s="12">
        <v>11</v>
      </c>
      <c r="R25" s="12">
        <v>0</v>
      </c>
      <c r="S25" s="12">
        <v>0</v>
      </c>
      <c r="T25" s="12">
        <v>0</v>
      </c>
      <c r="U25" s="14" t="s">
        <v>11664</v>
      </c>
      <c r="V25" s="15" t="s">
        <v>11664</v>
      </c>
      <c r="W25" s="14" t="s">
        <v>11664</v>
      </c>
      <c r="X25" s="14" t="s">
        <v>11663</v>
      </c>
      <c r="Y25" s="14" t="s">
        <v>11664</v>
      </c>
      <c r="Z25" s="14" t="s">
        <v>11663</v>
      </c>
      <c r="AA25" s="14" t="s">
        <v>11664</v>
      </c>
      <c r="AB25" s="14" t="s">
        <v>11664</v>
      </c>
      <c r="AC25" s="14" t="s">
        <v>11664</v>
      </c>
      <c r="AD25" s="14" t="s">
        <v>11663</v>
      </c>
      <c r="AE25" s="14" t="s">
        <v>11663</v>
      </c>
      <c r="AF25" s="15">
        <v>92</v>
      </c>
      <c r="AG25" s="15">
        <v>105</v>
      </c>
      <c r="AH25" s="15">
        <v>0</v>
      </c>
      <c r="AI25" s="15">
        <v>0</v>
      </c>
      <c r="AJ25" s="15">
        <v>0</v>
      </c>
      <c r="AK25" s="15">
        <v>0</v>
      </c>
      <c r="AL25" s="15">
        <v>0</v>
      </c>
      <c r="AM25" s="15">
        <v>11</v>
      </c>
      <c r="AN25" s="15">
        <v>2</v>
      </c>
      <c r="AO25" s="15">
        <v>10</v>
      </c>
      <c r="AP25" s="14">
        <v>0</v>
      </c>
      <c r="AQ25" s="14">
        <v>0</v>
      </c>
      <c r="AR25" s="15">
        <v>1</v>
      </c>
      <c r="AS25" s="15">
        <v>3</v>
      </c>
      <c r="AT25" s="15">
        <v>4</v>
      </c>
      <c r="AU25" s="15">
        <v>5</v>
      </c>
      <c r="AV25" s="15">
        <v>2</v>
      </c>
      <c r="AW25" s="15" t="s">
        <v>11665</v>
      </c>
      <c r="AX25" s="15">
        <v>4</v>
      </c>
      <c r="AY25" s="15">
        <v>3</v>
      </c>
      <c r="AZ25" s="15">
        <v>2</v>
      </c>
      <c r="BA25" s="15">
        <v>1</v>
      </c>
      <c r="BB25" s="15" t="s">
        <v>11680</v>
      </c>
      <c r="BC25" s="15"/>
      <c r="BD25" s="9">
        <v>0</v>
      </c>
    </row>
    <row r="26" spans="1:56" ht="12.75">
      <c r="A26" s="10"/>
      <c r="B26" s="11" t="s">
        <v>11748</v>
      </c>
      <c r="C26" s="10" t="s">
        <v>10526</v>
      </c>
      <c r="D26" s="12">
        <v>31</v>
      </c>
      <c r="E26" s="12">
        <v>13</v>
      </c>
      <c r="F26" s="12" t="s">
        <v>11749</v>
      </c>
      <c r="G26" s="12" t="s">
        <v>11750</v>
      </c>
      <c r="H26" s="17">
        <v>927615972</v>
      </c>
      <c r="I26" s="18">
        <v>44927</v>
      </c>
      <c r="J26" s="12" t="s">
        <v>11751</v>
      </c>
      <c r="K26" s="12" t="s">
        <v>11663</v>
      </c>
      <c r="L26" s="12" t="s">
        <v>11663</v>
      </c>
      <c r="M26" s="12" t="s">
        <v>11663</v>
      </c>
      <c r="N26" s="12" t="s">
        <v>11663</v>
      </c>
      <c r="O26" s="12" t="s">
        <v>11663</v>
      </c>
      <c r="P26" s="12">
        <v>2</v>
      </c>
      <c r="Q26" s="12">
        <v>1</v>
      </c>
      <c r="R26" s="12">
        <v>0</v>
      </c>
      <c r="S26" s="12">
        <v>1</v>
      </c>
      <c r="T26" s="12">
        <v>1</v>
      </c>
      <c r="U26" s="14" t="s">
        <v>11664</v>
      </c>
      <c r="V26" s="15" t="s">
        <v>11664</v>
      </c>
      <c r="W26" s="14" t="s">
        <v>11663</v>
      </c>
      <c r="X26" s="14" t="s">
        <v>11663</v>
      </c>
      <c r="Y26" s="14" t="s">
        <v>11664</v>
      </c>
      <c r="Z26" s="14" t="s">
        <v>11663</v>
      </c>
      <c r="AA26" s="14" t="s">
        <v>11664</v>
      </c>
      <c r="AB26" s="14" t="s">
        <v>11664</v>
      </c>
      <c r="AC26" s="14" t="s">
        <v>11664</v>
      </c>
      <c r="AD26" s="14" t="s">
        <v>11663</v>
      </c>
      <c r="AE26" s="14" t="s">
        <v>11663</v>
      </c>
      <c r="AF26" s="15">
        <v>20</v>
      </c>
      <c r="AG26" s="15">
        <v>30</v>
      </c>
      <c r="AH26" s="15">
        <v>40</v>
      </c>
      <c r="AI26" s="15">
        <v>4</v>
      </c>
      <c r="AJ26" s="15">
        <v>2</v>
      </c>
      <c r="AK26" s="15">
        <v>1</v>
      </c>
      <c r="AL26" s="15">
        <v>0</v>
      </c>
      <c r="AM26" s="15">
        <v>0</v>
      </c>
      <c r="AN26" s="15">
        <v>0</v>
      </c>
      <c r="AO26" s="15">
        <v>60</v>
      </c>
      <c r="AP26" s="14">
        <v>1</v>
      </c>
      <c r="AQ26" s="14">
        <v>0</v>
      </c>
      <c r="AR26" s="15">
        <v>1</v>
      </c>
      <c r="AS26" s="15">
        <v>3</v>
      </c>
      <c r="AT26" s="15">
        <v>4</v>
      </c>
      <c r="AU26" s="15">
        <v>5</v>
      </c>
      <c r="AV26" s="15">
        <v>2</v>
      </c>
      <c r="AW26" s="15" t="s">
        <v>11665</v>
      </c>
      <c r="AX26" s="15">
        <v>3</v>
      </c>
      <c r="AY26" s="15">
        <v>2</v>
      </c>
      <c r="AZ26" s="15">
        <v>4</v>
      </c>
      <c r="BA26" s="15">
        <v>1</v>
      </c>
      <c r="BB26" s="15" t="s">
        <v>11666</v>
      </c>
      <c r="BC26" s="15"/>
      <c r="BD26" s="9">
        <v>1</v>
      </c>
    </row>
    <row r="27" spans="1:56" ht="12.75">
      <c r="A27" s="10"/>
      <c r="B27" s="11" t="s">
        <v>2848</v>
      </c>
      <c r="C27" s="10" t="s">
        <v>260</v>
      </c>
      <c r="D27" s="12">
        <v>58</v>
      </c>
      <c r="E27" s="12">
        <v>10</v>
      </c>
      <c r="F27" s="12" t="s">
        <v>11752</v>
      </c>
      <c r="G27" s="27" t="s">
        <v>11753</v>
      </c>
      <c r="H27" s="1">
        <v>973650711</v>
      </c>
      <c r="I27" s="18">
        <v>45413</v>
      </c>
      <c r="J27" s="12" t="s">
        <v>11754</v>
      </c>
      <c r="K27" s="12" t="s">
        <v>11663</v>
      </c>
      <c r="L27" s="12" t="s">
        <v>11663</v>
      </c>
      <c r="M27" s="12" t="s">
        <v>11664</v>
      </c>
      <c r="N27" s="12" t="s">
        <v>11664</v>
      </c>
      <c r="O27" s="12" t="s">
        <v>11663</v>
      </c>
      <c r="P27" s="12">
        <v>5</v>
      </c>
      <c r="Q27" s="12">
        <v>25</v>
      </c>
      <c r="R27" s="12">
        <v>1</v>
      </c>
      <c r="S27" s="12">
        <v>0</v>
      </c>
      <c r="T27" s="12">
        <v>3</v>
      </c>
      <c r="U27" s="14" t="s">
        <v>11664</v>
      </c>
      <c r="V27" s="15" t="s">
        <v>11663</v>
      </c>
      <c r="W27" s="14" t="s">
        <v>11663</v>
      </c>
      <c r="X27" s="14" t="s">
        <v>11663</v>
      </c>
      <c r="Y27" s="14" t="s">
        <v>11663</v>
      </c>
      <c r="Z27" s="14" t="s">
        <v>11663</v>
      </c>
      <c r="AA27" s="14" t="s">
        <v>11664</v>
      </c>
      <c r="AB27" s="14" t="s">
        <v>11663</v>
      </c>
      <c r="AC27" s="14" t="s">
        <v>11663</v>
      </c>
      <c r="AD27" s="14" t="s">
        <v>11663</v>
      </c>
      <c r="AE27" s="14" t="s">
        <v>11664</v>
      </c>
      <c r="AF27" s="15">
        <v>150</v>
      </c>
      <c r="AG27" s="15">
        <v>150</v>
      </c>
      <c r="AH27" s="15">
        <v>150</v>
      </c>
      <c r="AI27" s="15">
        <v>0</v>
      </c>
      <c r="AJ27" s="15">
        <v>0</v>
      </c>
      <c r="AK27" s="15">
        <v>0</v>
      </c>
      <c r="AL27" s="15">
        <v>2</v>
      </c>
      <c r="AM27" s="15">
        <v>1</v>
      </c>
      <c r="AN27" s="15">
        <v>1</v>
      </c>
      <c r="AO27" s="15">
        <v>60</v>
      </c>
      <c r="AP27" s="14">
        <v>0</v>
      </c>
      <c r="AQ27" s="14">
        <v>2</v>
      </c>
      <c r="AR27" s="15">
        <v>5</v>
      </c>
      <c r="AS27" s="15">
        <v>3</v>
      </c>
      <c r="AT27" s="15">
        <v>1</v>
      </c>
      <c r="AU27" s="15">
        <v>2</v>
      </c>
      <c r="AV27" s="15">
        <v>4</v>
      </c>
      <c r="AW27" s="15" t="s">
        <v>11665</v>
      </c>
      <c r="AX27" s="15">
        <v>3</v>
      </c>
      <c r="AY27" s="15">
        <v>4</v>
      </c>
      <c r="AZ27" s="15">
        <v>1</v>
      </c>
      <c r="BA27" s="15">
        <v>2</v>
      </c>
      <c r="BB27" s="15" t="s">
        <v>11666</v>
      </c>
      <c r="BC27" s="15" t="s">
        <v>11755</v>
      </c>
      <c r="BD27" s="9">
        <v>1</v>
      </c>
    </row>
    <row r="28" spans="1:56" ht="12.75">
      <c r="A28" s="10"/>
      <c r="B28" s="11" t="s">
        <v>3110</v>
      </c>
      <c r="C28" s="10" t="s">
        <v>11756</v>
      </c>
      <c r="D28" s="12">
        <v>11</v>
      </c>
      <c r="E28" s="12">
        <v>3</v>
      </c>
      <c r="F28" s="12" t="s">
        <v>11757</v>
      </c>
      <c r="G28" s="12" t="s">
        <v>11758</v>
      </c>
      <c r="H28" s="17">
        <v>982383360</v>
      </c>
      <c r="I28" s="12">
        <v>2001</v>
      </c>
      <c r="J28" s="12" t="s">
        <v>11759</v>
      </c>
      <c r="K28" s="12" t="s">
        <v>11663</v>
      </c>
      <c r="L28" s="12" t="s">
        <v>11663</v>
      </c>
      <c r="M28" s="12" t="s">
        <v>11664</v>
      </c>
      <c r="N28" s="12" t="s">
        <v>11664</v>
      </c>
      <c r="O28" s="12" t="s">
        <v>11663</v>
      </c>
      <c r="P28" s="12">
        <v>6</v>
      </c>
      <c r="Q28" s="12">
        <v>6</v>
      </c>
      <c r="R28" s="12">
        <v>0</v>
      </c>
      <c r="S28" s="12">
        <v>0</v>
      </c>
      <c r="T28" s="12">
        <v>0</v>
      </c>
      <c r="U28" s="14" t="s">
        <v>11664</v>
      </c>
      <c r="V28" s="15" t="s">
        <v>11664</v>
      </c>
      <c r="W28" s="14" t="s">
        <v>11663</v>
      </c>
      <c r="X28" s="14" t="s">
        <v>11663</v>
      </c>
      <c r="Y28" s="14" t="s">
        <v>11663</v>
      </c>
      <c r="Z28" s="14" t="s">
        <v>11663</v>
      </c>
      <c r="AA28" s="14" t="s">
        <v>11664</v>
      </c>
      <c r="AB28" s="14" t="s">
        <v>11664</v>
      </c>
      <c r="AC28" s="14" t="s">
        <v>11664</v>
      </c>
      <c r="AD28" s="14" t="s">
        <v>11663</v>
      </c>
      <c r="AE28" s="14" t="s">
        <v>11664</v>
      </c>
      <c r="AF28" s="15">
        <v>0</v>
      </c>
      <c r="AG28" s="15">
        <v>20</v>
      </c>
      <c r="AH28" s="15">
        <v>20</v>
      </c>
      <c r="AI28" s="15">
        <v>0</v>
      </c>
      <c r="AJ28" s="15">
        <v>0</v>
      </c>
      <c r="AK28" s="15">
        <v>0</v>
      </c>
      <c r="AL28" s="15">
        <v>0</v>
      </c>
      <c r="AM28" s="15">
        <v>0</v>
      </c>
      <c r="AN28" s="15">
        <v>1</v>
      </c>
      <c r="AO28" s="15">
        <v>0</v>
      </c>
      <c r="AP28" s="14">
        <v>0</v>
      </c>
      <c r="AQ28" s="14">
        <v>0</v>
      </c>
      <c r="AR28" s="15">
        <v>5</v>
      </c>
      <c r="AS28" s="15">
        <v>4</v>
      </c>
      <c r="AT28" s="15">
        <v>1</v>
      </c>
      <c r="AU28" s="15">
        <v>2</v>
      </c>
      <c r="AV28" s="15">
        <v>3</v>
      </c>
      <c r="AW28" s="15" t="s">
        <v>11665</v>
      </c>
      <c r="AX28" s="15">
        <v>3</v>
      </c>
      <c r="AY28" s="15">
        <v>1</v>
      </c>
      <c r="AZ28" s="15">
        <v>2</v>
      </c>
      <c r="BA28" s="15">
        <v>4</v>
      </c>
      <c r="BB28" s="15" t="s">
        <v>1151</v>
      </c>
      <c r="BC28" s="15" t="s">
        <v>11760</v>
      </c>
      <c r="BD28" s="9">
        <v>1</v>
      </c>
    </row>
    <row r="29" spans="1:56" ht="12.75">
      <c r="A29" s="10"/>
      <c r="B29" s="11" t="s">
        <v>3169</v>
      </c>
      <c r="C29" s="10" t="s">
        <v>11660</v>
      </c>
      <c r="D29" s="12">
        <v>10</v>
      </c>
      <c r="E29" s="12">
        <v>0</v>
      </c>
      <c r="F29" s="12" t="s">
        <v>11738</v>
      </c>
      <c r="G29" s="12" t="s">
        <v>11761</v>
      </c>
      <c r="H29" s="1">
        <v>995985661</v>
      </c>
      <c r="I29" s="12" t="s">
        <v>58</v>
      </c>
      <c r="J29" s="29" t="s">
        <v>11762</v>
      </c>
      <c r="K29" s="12" t="s">
        <v>11663</v>
      </c>
      <c r="L29" s="12" t="s">
        <v>11663</v>
      </c>
      <c r="M29" s="12" t="s">
        <v>11663</v>
      </c>
      <c r="N29" s="12" t="s">
        <v>11663</v>
      </c>
      <c r="O29" s="12" t="s">
        <v>11663</v>
      </c>
      <c r="P29" s="12">
        <v>4</v>
      </c>
      <c r="Q29" s="12">
        <v>4</v>
      </c>
      <c r="R29" s="12">
        <v>0</v>
      </c>
      <c r="S29" s="12">
        <v>1</v>
      </c>
      <c r="T29" s="12">
        <v>1</v>
      </c>
      <c r="U29" s="14" t="s">
        <v>11663</v>
      </c>
      <c r="V29" s="15" t="s">
        <v>11664</v>
      </c>
      <c r="W29" s="14" t="s">
        <v>11663</v>
      </c>
      <c r="X29" s="14" t="s">
        <v>11663</v>
      </c>
      <c r="Y29" s="14" t="s">
        <v>11663</v>
      </c>
      <c r="Z29" s="14" t="s">
        <v>11663</v>
      </c>
      <c r="AA29" s="14" t="s">
        <v>11663</v>
      </c>
      <c r="AB29" s="14" t="s">
        <v>11664</v>
      </c>
      <c r="AC29" s="14" t="s">
        <v>11664</v>
      </c>
      <c r="AD29" s="14" t="s">
        <v>11664</v>
      </c>
      <c r="AE29" s="14" t="s">
        <v>11664</v>
      </c>
      <c r="AF29" s="15">
        <v>300</v>
      </c>
      <c r="AG29" s="15">
        <v>250</v>
      </c>
      <c r="AH29" s="15">
        <v>150</v>
      </c>
      <c r="AI29" s="15">
        <v>0</v>
      </c>
      <c r="AJ29" s="15">
        <v>0</v>
      </c>
      <c r="AK29" s="15">
        <v>0</v>
      </c>
      <c r="AL29" s="15">
        <v>0</v>
      </c>
      <c r="AM29" s="15">
        <v>0</v>
      </c>
      <c r="AN29" s="15">
        <v>0</v>
      </c>
      <c r="AO29" s="15">
        <v>0</v>
      </c>
      <c r="AP29" s="14">
        <v>0</v>
      </c>
      <c r="AQ29" s="14">
        <v>0</v>
      </c>
      <c r="AR29" s="15">
        <v>1</v>
      </c>
      <c r="AS29" s="15">
        <v>2</v>
      </c>
      <c r="AT29" s="15">
        <v>3</v>
      </c>
      <c r="AU29" s="15">
        <v>5</v>
      </c>
      <c r="AV29" s="15">
        <v>4</v>
      </c>
      <c r="AW29" s="15" t="s">
        <v>11700</v>
      </c>
      <c r="AX29" s="15">
        <v>1</v>
      </c>
      <c r="AY29" s="15" t="s">
        <v>58</v>
      </c>
      <c r="AZ29" s="15">
        <v>2</v>
      </c>
      <c r="BA29" s="15" t="s">
        <v>58</v>
      </c>
      <c r="BB29" s="15" t="s">
        <v>11675</v>
      </c>
      <c r="BC29" s="15" t="s">
        <v>11763</v>
      </c>
      <c r="BD29" s="9">
        <v>0</v>
      </c>
    </row>
    <row r="30" spans="1:56" ht="12.75">
      <c r="A30" s="10"/>
      <c r="B30" s="11" t="s">
        <v>3211</v>
      </c>
      <c r="C30" s="10" t="s">
        <v>11705</v>
      </c>
      <c r="D30" s="12">
        <v>13</v>
      </c>
      <c r="E30" s="12">
        <v>3</v>
      </c>
      <c r="F30" s="12" t="s">
        <v>11764</v>
      </c>
      <c r="G30" s="12" t="s">
        <v>11765</v>
      </c>
      <c r="H30" s="1">
        <v>950169720</v>
      </c>
      <c r="I30" s="18">
        <v>44501</v>
      </c>
      <c r="J30" s="12"/>
      <c r="K30" s="12" t="s">
        <v>11664</v>
      </c>
      <c r="L30" s="12" t="s">
        <v>11664</v>
      </c>
      <c r="M30" s="12" t="s">
        <v>11663</v>
      </c>
      <c r="N30" s="12" t="s">
        <v>11663</v>
      </c>
      <c r="O30" s="12" t="s">
        <v>11663</v>
      </c>
      <c r="P30" s="12">
        <v>3</v>
      </c>
      <c r="Q30" s="12">
        <v>3</v>
      </c>
      <c r="R30" s="12">
        <v>0</v>
      </c>
      <c r="S30" s="12">
        <v>0</v>
      </c>
      <c r="T30" s="12">
        <v>0</v>
      </c>
      <c r="U30" s="14" t="s">
        <v>11663</v>
      </c>
      <c r="V30" s="15" t="s">
        <v>11664</v>
      </c>
      <c r="W30" s="14" t="s">
        <v>11663</v>
      </c>
      <c r="X30" s="14" t="s">
        <v>11664</v>
      </c>
      <c r="Y30" s="14" t="s">
        <v>11664</v>
      </c>
      <c r="Z30" s="14" t="s">
        <v>11663</v>
      </c>
      <c r="AA30" s="14" t="s">
        <v>11663</v>
      </c>
      <c r="AB30" s="14" t="s">
        <v>11663</v>
      </c>
      <c r="AC30" s="14" t="s">
        <v>11664</v>
      </c>
      <c r="AD30" s="14" t="s">
        <v>11664</v>
      </c>
      <c r="AE30" s="14" t="s">
        <v>11664</v>
      </c>
      <c r="AF30" s="15">
        <v>0</v>
      </c>
      <c r="AG30" s="15">
        <v>0</v>
      </c>
      <c r="AH30" s="15">
        <v>0</v>
      </c>
      <c r="AI30" s="15">
        <v>0</v>
      </c>
      <c r="AJ30" s="15">
        <v>0</v>
      </c>
      <c r="AK30" s="15">
        <v>0</v>
      </c>
      <c r="AL30" s="15">
        <v>0</v>
      </c>
      <c r="AM30" s="15">
        <v>0</v>
      </c>
      <c r="AN30" s="15">
        <v>0</v>
      </c>
      <c r="AO30" s="15">
        <v>0</v>
      </c>
      <c r="AP30" s="15">
        <v>0</v>
      </c>
      <c r="AQ30" s="15">
        <v>0</v>
      </c>
      <c r="AR30" s="15">
        <v>4</v>
      </c>
      <c r="AS30" s="15">
        <v>3</v>
      </c>
      <c r="AT30" s="15">
        <v>1</v>
      </c>
      <c r="AU30" s="15">
        <v>2</v>
      </c>
      <c r="AV30" s="15">
        <v>5</v>
      </c>
      <c r="AW30" s="15" t="s">
        <v>11671</v>
      </c>
      <c r="AX30" s="15" t="s">
        <v>58</v>
      </c>
      <c r="AY30" s="15" t="s">
        <v>58</v>
      </c>
      <c r="AZ30" s="15" t="s">
        <v>58</v>
      </c>
      <c r="BA30" s="15" t="s">
        <v>58</v>
      </c>
      <c r="BB30" s="15" t="s">
        <v>11666</v>
      </c>
      <c r="BC30" s="15"/>
      <c r="BD30" s="9">
        <v>0</v>
      </c>
    </row>
    <row r="31" spans="1:56" ht="12.75">
      <c r="A31" s="10"/>
      <c r="B31" s="11" t="s">
        <v>3261</v>
      </c>
      <c r="C31" s="10" t="s">
        <v>11667</v>
      </c>
      <c r="D31" s="12">
        <v>21</v>
      </c>
      <c r="E31" s="12">
        <v>0</v>
      </c>
      <c r="F31" s="12" t="s">
        <v>11766</v>
      </c>
      <c r="G31" s="27" t="s">
        <v>11767</v>
      </c>
      <c r="H31" s="1">
        <v>978736669</v>
      </c>
      <c r="I31" s="12" t="s">
        <v>58</v>
      </c>
      <c r="J31" s="12" t="s">
        <v>11768</v>
      </c>
      <c r="K31" s="12" t="s">
        <v>11663</v>
      </c>
      <c r="L31" s="12" t="s">
        <v>11663</v>
      </c>
      <c r="M31" s="12" t="s">
        <v>11663</v>
      </c>
      <c r="N31" s="12" t="s">
        <v>11664</v>
      </c>
      <c r="O31" s="12" t="s">
        <v>11663</v>
      </c>
      <c r="P31" s="12">
        <v>21</v>
      </c>
      <c r="Q31" s="12">
        <v>21</v>
      </c>
      <c r="R31" s="12">
        <v>0</v>
      </c>
      <c r="S31" s="12">
        <v>0</v>
      </c>
      <c r="T31" s="12">
        <v>0</v>
      </c>
      <c r="U31" s="14" t="s">
        <v>11664</v>
      </c>
      <c r="V31" s="15" t="s">
        <v>11664</v>
      </c>
      <c r="W31" s="14" t="s">
        <v>11664</v>
      </c>
      <c r="X31" s="14" t="s">
        <v>11663</v>
      </c>
      <c r="Y31" s="14" t="s">
        <v>11664</v>
      </c>
      <c r="Z31" s="14" t="s">
        <v>11663</v>
      </c>
      <c r="AA31" s="14" t="s">
        <v>11663</v>
      </c>
      <c r="AB31" s="14" t="s">
        <v>11664</v>
      </c>
      <c r="AC31" s="14" t="s">
        <v>11664</v>
      </c>
      <c r="AD31" s="14" t="s">
        <v>11664</v>
      </c>
      <c r="AE31" s="14" t="s">
        <v>11663</v>
      </c>
      <c r="AF31" s="15">
        <v>0</v>
      </c>
      <c r="AG31" s="15">
        <v>0</v>
      </c>
      <c r="AH31" s="15">
        <v>0</v>
      </c>
      <c r="AI31" s="15">
        <v>2</v>
      </c>
      <c r="AJ31" s="15">
        <v>0</v>
      </c>
      <c r="AK31" s="15">
        <v>0</v>
      </c>
      <c r="AL31" s="15">
        <v>0</v>
      </c>
      <c r="AM31" s="15">
        <v>7</v>
      </c>
      <c r="AN31" s="15">
        <v>2</v>
      </c>
      <c r="AO31" s="14">
        <v>0</v>
      </c>
      <c r="AP31" s="14">
        <v>1</v>
      </c>
      <c r="AQ31" s="15">
        <v>0</v>
      </c>
      <c r="AR31" s="15">
        <v>5</v>
      </c>
      <c r="AS31" s="15">
        <v>4</v>
      </c>
      <c r="AT31" s="15">
        <v>3</v>
      </c>
      <c r="AU31" s="15">
        <v>2</v>
      </c>
      <c r="AV31" s="15">
        <v>1</v>
      </c>
      <c r="AW31" s="15" t="s">
        <v>11665</v>
      </c>
      <c r="AX31" s="15">
        <v>4</v>
      </c>
      <c r="AY31" s="15">
        <v>2</v>
      </c>
      <c r="AZ31" s="15">
        <v>1</v>
      </c>
      <c r="BA31" s="15">
        <v>4</v>
      </c>
      <c r="BB31" s="15" t="s">
        <v>11680</v>
      </c>
      <c r="BC31" s="15" t="s">
        <v>11769</v>
      </c>
      <c r="BD31" s="9">
        <v>0</v>
      </c>
    </row>
    <row r="32" spans="1:56" ht="15">
      <c r="A32" s="10"/>
      <c r="B32" s="11" t="s">
        <v>3319</v>
      </c>
      <c r="C32" s="10" t="s">
        <v>11688</v>
      </c>
      <c r="D32" s="12">
        <v>12</v>
      </c>
      <c r="E32" s="12">
        <v>2</v>
      </c>
      <c r="F32" s="12" t="s">
        <v>11770</v>
      </c>
      <c r="G32" s="12" t="s">
        <v>11771</v>
      </c>
      <c r="H32" s="22">
        <v>532523101</v>
      </c>
      <c r="I32" s="12" t="s">
        <v>11772</v>
      </c>
      <c r="J32" s="12"/>
      <c r="K32" s="12" t="s">
        <v>11664</v>
      </c>
      <c r="L32" s="12" t="s">
        <v>11664</v>
      </c>
      <c r="M32" s="12" t="s">
        <v>11664</v>
      </c>
      <c r="N32" s="12" t="s">
        <v>11664</v>
      </c>
      <c r="O32" s="12" t="s">
        <v>11663</v>
      </c>
      <c r="P32" s="12" t="s">
        <v>58</v>
      </c>
      <c r="Q32" s="12" t="s">
        <v>58</v>
      </c>
      <c r="R32" s="12">
        <v>0</v>
      </c>
      <c r="S32" s="12">
        <v>0</v>
      </c>
      <c r="T32" s="12">
        <v>0</v>
      </c>
      <c r="U32" s="14" t="s">
        <v>11663</v>
      </c>
      <c r="V32" s="15" t="s">
        <v>11664</v>
      </c>
      <c r="W32" s="14" t="s">
        <v>11664</v>
      </c>
      <c r="X32" s="14" t="s">
        <v>11663</v>
      </c>
      <c r="Y32" s="14" t="s">
        <v>11664</v>
      </c>
      <c r="Z32" s="14" t="s">
        <v>11663</v>
      </c>
      <c r="AA32" s="14" t="s">
        <v>11664</v>
      </c>
      <c r="AB32" s="14" t="s">
        <v>11664</v>
      </c>
      <c r="AC32" s="14" t="s">
        <v>11664</v>
      </c>
      <c r="AD32" s="14" t="s">
        <v>11663</v>
      </c>
      <c r="AE32" s="14" t="s">
        <v>11663</v>
      </c>
      <c r="AF32" s="15">
        <v>87</v>
      </c>
      <c r="AG32" s="15">
        <v>48</v>
      </c>
      <c r="AH32" s="15">
        <v>15</v>
      </c>
      <c r="AI32" s="15">
        <v>0</v>
      </c>
      <c r="AJ32" s="15">
        <v>0</v>
      </c>
      <c r="AK32" s="15">
        <v>0</v>
      </c>
      <c r="AL32" s="15">
        <v>0</v>
      </c>
      <c r="AM32" s="15">
        <v>0</v>
      </c>
      <c r="AN32" s="15">
        <v>0</v>
      </c>
      <c r="AO32" s="15">
        <v>0</v>
      </c>
      <c r="AP32" s="14">
        <v>1</v>
      </c>
      <c r="AQ32" s="14">
        <v>0</v>
      </c>
      <c r="AR32" s="15">
        <v>1</v>
      </c>
      <c r="AS32" s="15">
        <v>2</v>
      </c>
      <c r="AT32" s="15">
        <v>3</v>
      </c>
      <c r="AU32" s="15">
        <v>4</v>
      </c>
      <c r="AV32" s="15">
        <v>5</v>
      </c>
      <c r="AW32" s="15" t="s">
        <v>11671</v>
      </c>
      <c r="AX32" s="15" t="s">
        <v>58</v>
      </c>
      <c r="AY32" s="15" t="s">
        <v>58</v>
      </c>
      <c r="AZ32" s="15">
        <v>1</v>
      </c>
      <c r="BA32" s="15" t="s">
        <v>58</v>
      </c>
      <c r="BB32" s="15" t="s">
        <v>11666</v>
      </c>
      <c r="BC32" s="15" t="s">
        <v>11773</v>
      </c>
      <c r="BD32" s="9">
        <v>0</v>
      </c>
    </row>
    <row r="33" spans="1:56" ht="12.75">
      <c r="A33" s="10"/>
      <c r="B33" s="11" t="s">
        <v>3374</v>
      </c>
      <c r="C33" s="10" t="s">
        <v>11676</v>
      </c>
      <c r="D33" s="12">
        <v>24</v>
      </c>
      <c r="E33" s="12">
        <v>20</v>
      </c>
      <c r="F33" s="12" t="s">
        <v>11774</v>
      </c>
      <c r="G33" s="12" t="s">
        <v>11775</v>
      </c>
      <c r="H33" s="17">
        <v>572344939</v>
      </c>
      <c r="I33" s="12" t="s">
        <v>58</v>
      </c>
      <c r="J33" s="12" t="s">
        <v>11776</v>
      </c>
      <c r="K33" s="12" t="s">
        <v>11663</v>
      </c>
      <c r="L33" s="12" t="s">
        <v>11663</v>
      </c>
      <c r="M33" s="12" t="s">
        <v>11663</v>
      </c>
      <c r="N33" s="12" t="s">
        <v>11663</v>
      </c>
      <c r="O33" s="12" t="s">
        <v>11663</v>
      </c>
      <c r="P33" s="12">
        <v>5</v>
      </c>
      <c r="Q33" s="12">
        <v>15</v>
      </c>
      <c r="R33" s="12">
        <v>1</v>
      </c>
      <c r="S33" s="12">
        <v>3</v>
      </c>
      <c r="T33" s="12">
        <v>1</v>
      </c>
      <c r="U33" s="14" t="s">
        <v>11663</v>
      </c>
      <c r="V33" s="15" t="s">
        <v>11663</v>
      </c>
      <c r="W33" s="14" t="s">
        <v>11663</v>
      </c>
      <c r="X33" s="14" t="s">
        <v>11663</v>
      </c>
      <c r="Y33" s="14" t="s">
        <v>11664</v>
      </c>
      <c r="Z33" s="14" t="s">
        <v>11663</v>
      </c>
      <c r="AA33" s="14" t="s">
        <v>11663</v>
      </c>
      <c r="AB33" s="14" t="s">
        <v>11664</v>
      </c>
      <c r="AC33" s="14" t="s">
        <v>11664</v>
      </c>
      <c r="AD33" s="14" t="s">
        <v>11663</v>
      </c>
      <c r="AE33" s="14" t="s">
        <v>11663</v>
      </c>
      <c r="AF33" s="15">
        <v>1500</v>
      </c>
      <c r="AG33" s="15">
        <v>1500</v>
      </c>
      <c r="AH33" s="15">
        <v>1500</v>
      </c>
      <c r="AI33" s="15">
        <v>1</v>
      </c>
      <c r="AJ33" s="15">
        <v>1</v>
      </c>
      <c r="AK33" s="15">
        <v>30</v>
      </c>
      <c r="AL33" s="15">
        <v>9</v>
      </c>
      <c r="AM33" s="15">
        <v>0</v>
      </c>
      <c r="AN33" s="15">
        <v>1</v>
      </c>
      <c r="AO33" s="15">
        <v>500</v>
      </c>
      <c r="AP33" s="14">
        <v>0</v>
      </c>
      <c r="AQ33" s="14">
        <v>0</v>
      </c>
      <c r="AR33" s="15">
        <v>5</v>
      </c>
      <c r="AS33" s="15">
        <v>4</v>
      </c>
      <c r="AT33" s="15">
        <v>3</v>
      </c>
      <c r="AU33" s="15">
        <v>2</v>
      </c>
      <c r="AV33" s="15">
        <v>1</v>
      </c>
      <c r="AW33" s="15" t="s">
        <v>11700</v>
      </c>
      <c r="AX33" s="15">
        <v>1</v>
      </c>
      <c r="AY33" s="15">
        <v>2</v>
      </c>
      <c r="AZ33" s="15">
        <v>3</v>
      </c>
      <c r="BA33" s="15">
        <v>4</v>
      </c>
      <c r="BB33" s="15" t="s">
        <v>11675</v>
      </c>
      <c r="BC33" s="15" t="s">
        <v>11777</v>
      </c>
      <c r="BD33" s="9">
        <v>0</v>
      </c>
    </row>
    <row r="34" spans="1:56" ht="15">
      <c r="A34" s="10"/>
      <c r="B34" s="11" t="s">
        <v>3557</v>
      </c>
      <c r="C34" s="10" t="s">
        <v>11756</v>
      </c>
      <c r="D34" s="12">
        <v>11</v>
      </c>
      <c r="E34" s="12">
        <v>1</v>
      </c>
      <c r="F34" s="12" t="s">
        <v>11778</v>
      </c>
      <c r="G34" s="17" t="s">
        <v>11779</v>
      </c>
      <c r="H34" s="19">
        <v>986284017</v>
      </c>
      <c r="I34" s="30">
        <v>45566</v>
      </c>
      <c r="J34" s="21" t="s">
        <v>11780</v>
      </c>
      <c r="K34" s="12" t="s">
        <v>11663</v>
      </c>
      <c r="L34" s="12" t="s">
        <v>11663</v>
      </c>
      <c r="M34" s="12" t="s">
        <v>11664</v>
      </c>
      <c r="N34" s="12" t="s">
        <v>11664</v>
      </c>
      <c r="O34" s="12" t="s">
        <v>11663</v>
      </c>
      <c r="P34" s="12">
        <v>4</v>
      </c>
      <c r="Q34" s="12">
        <v>5</v>
      </c>
      <c r="R34" s="12">
        <v>1</v>
      </c>
      <c r="S34" s="12">
        <v>1</v>
      </c>
      <c r="T34" s="12">
        <v>0</v>
      </c>
      <c r="U34" s="14" t="s">
        <v>11664</v>
      </c>
      <c r="V34" s="15" t="s">
        <v>11664</v>
      </c>
      <c r="W34" s="14" t="s">
        <v>11663</v>
      </c>
      <c r="X34" s="14" t="s">
        <v>11663</v>
      </c>
      <c r="Y34" s="14" t="s">
        <v>11664</v>
      </c>
      <c r="Z34" s="14" t="s">
        <v>11663</v>
      </c>
      <c r="AA34" s="14" t="s">
        <v>11663</v>
      </c>
      <c r="AB34" s="14" t="s">
        <v>11664</v>
      </c>
      <c r="AC34" s="14" t="s">
        <v>11664</v>
      </c>
      <c r="AD34" s="14" t="s">
        <v>11663</v>
      </c>
      <c r="AE34" s="14" t="s">
        <v>11664</v>
      </c>
      <c r="AF34" s="15">
        <v>35</v>
      </c>
      <c r="AG34" s="15">
        <v>325</v>
      </c>
      <c r="AH34" s="15">
        <v>0</v>
      </c>
      <c r="AI34" s="15">
        <v>0</v>
      </c>
      <c r="AJ34" s="15">
        <v>0</v>
      </c>
      <c r="AK34" s="15">
        <v>0</v>
      </c>
      <c r="AL34" s="15">
        <v>1</v>
      </c>
      <c r="AM34" s="15">
        <v>0</v>
      </c>
      <c r="AN34" s="15">
        <v>1</v>
      </c>
      <c r="AO34" s="15">
        <v>49</v>
      </c>
      <c r="AP34" s="14">
        <v>0</v>
      </c>
      <c r="AQ34" s="14">
        <v>0</v>
      </c>
      <c r="AR34" s="15">
        <v>5</v>
      </c>
      <c r="AS34" s="15">
        <v>4</v>
      </c>
      <c r="AT34" s="15">
        <v>1</v>
      </c>
      <c r="AU34" s="15">
        <v>2</v>
      </c>
      <c r="AV34" s="15">
        <v>3</v>
      </c>
      <c r="AW34" s="15" t="s">
        <v>11671</v>
      </c>
      <c r="AX34" s="15">
        <v>1</v>
      </c>
      <c r="AY34" s="15">
        <v>3</v>
      </c>
      <c r="AZ34" s="15">
        <v>2</v>
      </c>
      <c r="BA34" s="15">
        <v>4</v>
      </c>
      <c r="BB34" s="15" t="s">
        <v>11675</v>
      </c>
      <c r="BC34" s="15" t="s">
        <v>11763</v>
      </c>
      <c r="BD34" s="9">
        <v>0</v>
      </c>
    </row>
    <row r="35" spans="1:56" ht="15">
      <c r="A35" s="10"/>
      <c r="B35" s="11" t="s">
        <v>3610</v>
      </c>
      <c r="C35" s="10" t="s">
        <v>11688</v>
      </c>
      <c r="D35" s="12"/>
      <c r="E35" s="12"/>
      <c r="F35" s="12" t="s">
        <v>11781</v>
      </c>
      <c r="G35" s="12" t="s">
        <v>11782</v>
      </c>
      <c r="H35" s="23">
        <v>967252337</v>
      </c>
      <c r="I35" s="18">
        <v>44774</v>
      </c>
      <c r="J35" s="12"/>
      <c r="K35" s="12" t="s">
        <v>11663</v>
      </c>
      <c r="L35" s="12" t="s">
        <v>11664</v>
      </c>
      <c r="M35" s="12" t="s">
        <v>11664</v>
      </c>
      <c r="N35" s="12" t="s">
        <v>11663</v>
      </c>
      <c r="O35" s="12" t="s">
        <v>11664</v>
      </c>
      <c r="P35" s="12">
        <v>0</v>
      </c>
      <c r="Q35" s="12">
        <v>0</v>
      </c>
      <c r="R35" s="12">
        <v>0</v>
      </c>
      <c r="S35" s="12">
        <v>2</v>
      </c>
      <c r="T35" s="12">
        <v>0</v>
      </c>
      <c r="U35" s="14" t="s">
        <v>11663</v>
      </c>
      <c r="V35" s="15" t="s">
        <v>11664</v>
      </c>
      <c r="W35" s="14" t="s">
        <v>11663</v>
      </c>
      <c r="X35" s="14" t="s">
        <v>11663</v>
      </c>
      <c r="Y35" s="14" t="s">
        <v>11663</v>
      </c>
      <c r="Z35" s="14" t="s">
        <v>11663</v>
      </c>
      <c r="AA35" s="14" t="s">
        <v>11663</v>
      </c>
      <c r="AB35" s="14" t="s">
        <v>11664</v>
      </c>
      <c r="AC35" s="14" t="s">
        <v>11664</v>
      </c>
      <c r="AD35" s="14" t="s">
        <v>11663</v>
      </c>
      <c r="AE35" s="14" t="s">
        <v>11664</v>
      </c>
      <c r="AF35" s="15">
        <v>0</v>
      </c>
      <c r="AG35" s="15">
        <v>0</v>
      </c>
      <c r="AH35" s="15">
        <v>0</v>
      </c>
      <c r="AI35" s="15">
        <v>0</v>
      </c>
      <c r="AJ35" s="15">
        <v>0</v>
      </c>
      <c r="AK35" s="15">
        <v>0</v>
      </c>
      <c r="AL35" s="15">
        <v>0</v>
      </c>
      <c r="AM35" s="15">
        <v>0</v>
      </c>
      <c r="AN35" s="15">
        <v>0</v>
      </c>
      <c r="AO35" s="15">
        <v>12</v>
      </c>
      <c r="AP35" s="14">
        <v>3</v>
      </c>
      <c r="AQ35" s="14">
        <v>0</v>
      </c>
      <c r="AR35" s="15">
        <v>1</v>
      </c>
      <c r="AS35" s="15">
        <v>2</v>
      </c>
      <c r="AT35" s="15">
        <v>3</v>
      </c>
      <c r="AU35" s="15">
        <v>4</v>
      </c>
      <c r="AV35" s="15">
        <v>5</v>
      </c>
      <c r="AW35" s="15" t="s">
        <v>11665</v>
      </c>
      <c r="AX35" s="15">
        <v>1</v>
      </c>
      <c r="AY35" s="15">
        <v>2</v>
      </c>
      <c r="AZ35" s="15">
        <v>4</v>
      </c>
      <c r="BA35" s="15">
        <v>3</v>
      </c>
      <c r="BB35" s="15" t="s">
        <v>11737</v>
      </c>
      <c r="BC35" s="15" t="s">
        <v>11783</v>
      </c>
      <c r="BD35" s="9">
        <v>1</v>
      </c>
    </row>
    <row r="36" spans="1:56" ht="12.75">
      <c r="A36" s="10"/>
      <c r="B36" s="11" t="s">
        <v>11784</v>
      </c>
      <c r="C36" s="31" t="s">
        <v>11785</v>
      </c>
      <c r="D36" s="12"/>
      <c r="E36" s="12"/>
      <c r="F36" s="12" t="s">
        <v>11786</v>
      </c>
      <c r="G36" s="27" t="s">
        <v>11787</v>
      </c>
      <c r="H36" s="1">
        <v>642322528</v>
      </c>
      <c r="I36" s="18">
        <v>44562</v>
      </c>
      <c r="J36" s="27" t="s">
        <v>11788</v>
      </c>
      <c r="K36" s="27" t="s">
        <v>11663</v>
      </c>
      <c r="L36" s="12" t="s">
        <v>11663</v>
      </c>
      <c r="M36" s="12" t="s">
        <v>11663</v>
      </c>
      <c r="N36" s="12" t="s">
        <v>11663</v>
      </c>
      <c r="O36" s="12" t="s">
        <v>11663</v>
      </c>
      <c r="P36" s="12">
        <v>4</v>
      </c>
      <c r="Q36" s="12">
        <v>4</v>
      </c>
      <c r="R36" s="12">
        <v>0</v>
      </c>
      <c r="S36" s="12">
        <v>0</v>
      </c>
      <c r="T36" s="12">
        <v>0</v>
      </c>
      <c r="U36" s="14" t="s">
        <v>11664</v>
      </c>
      <c r="V36" s="15" t="s">
        <v>11664</v>
      </c>
      <c r="W36" s="14" t="s">
        <v>11663</v>
      </c>
      <c r="X36" s="14" t="s">
        <v>11663</v>
      </c>
      <c r="Y36" s="14" t="s">
        <v>11664</v>
      </c>
      <c r="Z36" s="14" t="s">
        <v>11663</v>
      </c>
      <c r="AA36" s="14" t="s">
        <v>11663</v>
      </c>
      <c r="AB36" s="14" t="s">
        <v>11663</v>
      </c>
      <c r="AC36" s="14" t="s">
        <v>11664</v>
      </c>
      <c r="AD36" s="14" t="s">
        <v>11664</v>
      </c>
      <c r="AE36" s="14" t="s">
        <v>11663</v>
      </c>
      <c r="AF36" s="15">
        <v>283</v>
      </c>
      <c r="AG36" s="15">
        <v>3504</v>
      </c>
      <c r="AH36" s="15">
        <v>0</v>
      </c>
      <c r="AI36" s="15">
        <v>0</v>
      </c>
      <c r="AJ36" s="15">
        <v>0</v>
      </c>
      <c r="AK36" s="15">
        <v>0</v>
      </c>
      <c r="AL36" s="15">
        <v>0</v>
      </c>
      <c r="AM36" s="15">
        <v>0</v>
      </c>
      <c r="AN36" s="15">
        <v>0</v>
      </c>
      <c r="AO36" s="15">
        <v>0</v>
      </c>
      <c r="AP36" s="20">
        <v>1</v>
      </c>
      <c r="AQ36" s="20">
        <v>0</v>
      </c>
      <c r="AR36" s="15">
        <v>3</v>
      </c>
      <c r="AS36" s="15">
        <v>2</v>
      </c>
      <c r="AT36" s="15">
        <v>1</v>
      </c>
      <c r="AU36" s="15">
        <v>4</v>
      </c>
      <c r="AV36" s="15">
        <v>5</v>
      </c>
      <c r="AW36" s="15" t="s">
        <v>11665</v>
      </c>
      <c r="AX36" s="15" t="s">
        <v>58</v>
      </c>
      <c r="AY36" s="15">
        <v>1</v>
      </c>
      <c r="AZ36" s="15">
        <v>2</v>
      </c>
      <c r="BA36" s="15" t="s">
        <v>58</v>
      </c>
      <c r="BB36" s="15"/>
      <c r="BC36" s="15"/>
      <c r="BD36" s="9">
        <v>1</v>
      </c>
    </row>
    <row r="37" spans="1:56" ht="12.75">
      <c r="A37" s="10"/>
      <c r="B37" s="11" t="s">
        <v>3796</v>
      </c>
      <c r="C37" s="10" t="s">
        <v>11785</v>
      </c>
      <c r="D37" s="12"/>
      <c r="E37" s="12"/>
      <c r="F37" s="12" t="s">
        <v>11789</v>
      </c>
      <c r="G37" s="12" t="s">
        <v>11790</v>
      </c>
      <c r="H37" s="17">
        <v>944903828</v>
      </c>
      <c r="I37" s="12" t="s">
        <v>58</v>
      </c>
      <c r="J37" s="12"/>
      <c r="K37" s="12" t="s">
        <v>11663</v>
      </c>
      <c r="L37" s="12" t="s">
        <v>11663</v>
      </c>
      <c r="M37" s="12" t="s">
        <v>11664</v>
      </c>
      <c r="N37" s="12" t="s">
        <v>11663</v>
      </c>
      <c r="O37" s="12" t="s">
        <v>11664</v>
      </c>
      <c r="P37" s="12">
        <v>0</v>
      </c>
      <c r="Q37" s="12">
        <v>0</v>
      </c>
      <c r="R37" s="12">
        <v>0</v>
      </c>
      <c r="S37" s="12">
        <v>0</v>
      </c>
      <c r="T37" s="12">
        <v>0</v>
      </c>
      <c r="U37" s="14" t="s">
        <v>11663</v>
      </c>
      <c r="V37" s="15" t="s">
        <v>11664</v>
      </c>
      <c r="W37" s="14" t="s">
        <v>11664</v>
      </c>
      <c r="X37" s="14" t="s">
        <v>11664</v>
      </c>
      <c r="Y37" s="14" t="s">
        <v>11663</v>
      </c>
      <c r="Z37" s="14" t="s">
        <v>11663</v>
      </c>
      <c r="AA37" s="14" t="s">
        <v>11663</v>
      </c>
      <c r="AB37" s="14" t="s">
        <v>11663</v>
      </c>
      <c r="AC37" s="14" t="s">
        <v>11664</v>
      </c>
      <c r="AD37" s="14" t="s">
        <v>11664</v>
      </c>
      <c r="AE37" s="14" t="s">
        <v>11664</v>
      </c>
      <c r="AF37" s="15">
        <v>20</v>
      </c>
      <c r="AG37" s="15">
        <v>99</v>
      </c>
      <c r="AH37" s="15">
        <v>0</v>
      </c>
      <c r="AI37" s="15">
        <v>0</v>
      </c>
      <c r="AJ37" s="15">
        <v>0</v>
      </c>
      <c r="AK37" s="15">
        <v>0</v>
      </c>
      <c r="AL37" s="15">
        <v>0</v>
      </c>
      <c r="AM37" s="15">
        <v>0</v>
      </c>
      <c r="AN37" s="15">
        <v>0</v>
      </c>
      <c r="AO37" s="15">
        <v>0</v>
      </c>
      <c r="AP37" s="14">
        <v>0</v>
      </c>
      <c r="AQ37" s="14">
        <v>0</v>
      </c>
      <c r="AR37" s="15">
        <v>2</v>
      </c>
      <c r="AS37" s="15">
        <v>1</v>
      </c>
      <c r="AT37" s="15">
        <v>3</v>
      </c>
      <c r="AU37" s="15">
        <v>4</v>
      </c>
      <c r="AV37" s="15">
        <v>5</v>
      </c>
      <c r="AW37" s="15" t="s">
        <v>11665</v>
      </c>
      <c r="AX37" s="15">
        <v>3</v>
      </c>
      <c r="AY37" s="15">
        <v>2</v>
      </c>
      <c r="AZ37" s="15">
        <v>1</v>
      </c>
      <c r="BA37" s="15">
        <v>4</v>
      </c>
      <c r="BB37" s="15"/>
      <c r="BC37" s="15"/>
      <c r="BD37" s="9">
        <v>1</v>
      </c>
    </row>
    <row r="38" spans="1:56" ht="12.75">
      <c r="A38" s="10"/>
      <c r="B38" s="11" t="s">
        <v>3849</v>
      </c>
      <c r="C38" s="10" t="s">
        <v>11785</v>
      </c>
      <c r="D38" s="12"/>
      <c r="E38" s="12"/>
      <c r="F38" s="12" t="s">
        <v>11791</v>
      </c>
      <c r="G38" s="12" t="s">
        <v>11792</v>
      </c>
      <c r="H38" s="17" t="s">
        <v>10272</v>
      </c>
      <c r="I38" s="12" t="s">
        <v>58</v>
      </c>
      <c r="J38" s="12"/>
      <c r="K38" s="12" t="s">
        <v>11663</v>
      </c>
      <c r="L38" s="12" t="s">
        <v>11663</v>
      </c>
      <c r="M38" s="12" t="s">
        <v>11663</v>
      </c>
      <c r="N38" s="12" t="s">
        <v>11664</v>
      </c>
      <c r="O38" s="12" t="s">
        <v>11663</v>
      </c>
      <c r="P38" s="12">
        <v>0</v>
      </c>
      <c r="Q38" s="12">
        <v>9</v>
      </c>
      <c r="R38" s="12">
        <v>0</v>
      </c>
      <c r="S38" s="12">
        <v>0</v>
      </c>
      <c r="T38" s="12">
        <v>0</v>
      </c>
      <c r="U38" s="14" t="s">
        <v>11664</v>
      </c>
      <c r="V38" s="15" t="s">
        <v>11664</v>
      </c>
      <c r="W38" s="14" t="s">
        <v>11664</v>
      </c>
      <c r="X38" s="14" t="s">
        <v>11663</v>
      </c>
      <c r="Y38" s="14" t="s">
        <v>11664</v>
      </c>
      <c r="Z38" s="14" t="s">
        <v>11664</v>
      </c>
      <c r="AA38" s="14" t="s">
        <v>11663</v>
      </c>
      <c r="AB38" s="14" t="s">
        <v>11664</v>
      </c>
      <c r="AC38" s="14" t="s">
        <v>11664</v>
      </c>
      <c r="AD38" s="14" t="s">
        <v>11663</v>
      </c>
      <c r="AE38" s="14" t="s">
        <v>11664</v>
      </c>
      <c r="AF38" s="15">
        <v>0</v>
      </c>
      <c r="AG38" s="15">
        <v>0</v>
      </c>
      <c r="AH38" s="15">
        <v>0</v>
      </c>
      <c r="AI38" s="15">
        <v>0</v>
      </c>
      <c r="AJ38" s="15">
        <v>0</v>
      </c>
      <c r="AK38" s="15">
        <v>0</v>
      </c>
      <c r="AL38" s="15">
        <v>0</v>
      </c>
      <c r="AM38" s="15">
        <v>0</v>
      </c>
      <c r="AN38" s="15">
        <v>0</v>
      </c>
      <c r="AO38" s="15">
        <v>0</v>
      </c>
      <c r="AP38" s="15">
        <v>0</v>
      </c>
      <c r="AQ38" s="15">
        <v>0</v>
      </c>
      <c r="AR38" s="15">
        <v>2</v>
      </c>
      <c r="AS38" s="15">
        <v>1</v>
      </c>
      <c r="AT38" s="15">
        <v>3</v>
      </c>
      <c r="AU38" s="15">
        <v>4</v>
      </c>
      <c r="AV38" s="15">
        <v>5</v>
      </c>
      <c r="AW38" s="15" t="s">
        <v>11665</v>
      </c>
      <c r="AX38" s="15">
        <v>3</v>
      </c>
      <c r="AY38" s="15">
        <v>2</v>
      </c>
      <c r="AZ38" s="15">
        <v>1</v>
      </c>
      <c r="BA38" s="15">
        <v>4</v>
      </c>
      <c r="BB38" s="15" t="s">
        <v>11680</v>
      </c>
      <c r="BC38" s="15"/>
      <c r="BD38" s="9">
        <v>1</v>
      </c>
    </row>
    <row r="39" spans="1:56" ht="12.75">
      <c r="A39" s="10"/>
      <c r="B39" s="11" t="s">
        <v>3885</v>
      </c>
      <c r="C39" s="10" t="s">
        <v>11667</v>
      </c>
      <c r="D39" s="12"/>
      <c r="E39" s="12"/>
      <c r="F39" s="12" t="s">
        <v>11793</v>
      </c>
      <c r="G39" s="12" t="s">
        <v>11794</v>
      </c>
      <c r="H39" s="17">
        <v>989151454</v>
      </c>
      <c r="I39" s="18">
        <v>45413</v>
      </c>
      <c r="J39" s="12"/>
      <c r="K39" s="12" t="s">
        <v>11663</v>
      </c>
      <c r="L39" s="12" t="s">
        <v>11663</v>
      </c>
      <c r="M39" s="12" t="s">
        <v>11664</v>
      </c>
      <c r="N39" s="12" t="s">
        <v>11664</v>
      </c>
      <c r="O39" s="12" t="s">
        <v>11663</v>
      </c>
      <c r="P39" s="12">
        <v>4</v>
      </c>
      <c r="Q39" s="12">
        <v>5</v>
      </c>
      <c r="R39" s="12">
        <v>0</v>
      </c>
      <c r="S39" s="12">
        <v>0</v>
      </c>
      <c r="T39" s="12">
        <v>0</v>
      </c>
      <c r="U39" s="14" t="s">
        <v>11664</v>
      </c>
      <c r="V39" s="15" t="s">
        <v>11664</v>
      </c>
      <c r="W39" s="14" t="s">
        <v>11664</v>
      </c>
      <c r="X39" s="14" t="s">
        <v>11664</v>
      </c>
      <c r="Y39" s="14" t="s">
        <v>11664</v>
      </c>
      <c r="Z39" s="14" t="s">
        <v>11663</v>
      </c>
      <c r="AA39" s="14" t="s">
        <v>11664</v>
      </c>
      <c r="AB39" s="14" t="s">
        <v>11663</v>
      </c>
      <c r="AC39" s="14" t="s">
        <v>11664</v>
      </c>
      <c r="AD39" s="14" t="s">
        <v>11664</v>
      </c>
      <c r="AE39" s="14" t="s">
        <v>11663</v>
      </c>
      <c r="AF39" s="15">
        <v>70</v>
      </c>
      <c r="AG39" s="15">
        <v>15</v>
      </c>
      <c r="AH39" s="15">
        <v>0</v>
      </c>
      <c r="AI39" s="15">
        <v>0</v>
      </c>
      <c r="AJ39" s="15">
        <v>0</v>
      </c>
      <c r="AK39" s="15">
        <v>0</v>
      </c>
      <c r="AL39" s="15">
        <v>0</v>
      </c>
      <c r="AM39" s="15">
        <v>0</v>
      </c>
      <c r="AN39" s="15">
        <v>0</v>
      </c>
      <c r="AO39" s="15">
        <v>0</v>
      </c>
      <c r="AP39" s="14">
        <v>0</v>
      </c>
      <c r="AQ39" s="14">
        <v>0</v>
      </c>
      <c r="AR39" s="15">
        <v>2</v>
      </c>
      <c r="AS39" s="15">
        <v>3</v>
      </c>
      <c r="AT39" s="15">
        <v>1</v>
      </c>
      <c r="AU39" s="15">
        <v>4</v>
      </c>
      <c r="AV39" s="15">
        <v>5</v>
      </c>
      <c r="AW39" s="15" t="s">
        <v>11665</v>
      </c>
      <c r="AX39" s="15">
        <v>1</v>
      </c>
      <c r="AY39" s="15">
        <v>3</v>
      </c>
      <c r="AZ39" s="15">
        <v>4</v>
      </c>
      <c r="BA39" s="15">
        <v>2</v>
      </c>
      <c r="BB39" s="15" t="s">
        <v>1151</v>
      </c>
      <c r="BC39" s="15" t="s">
        <v>11795</v>
      </c>
      <c r="BD39" s="9">
        <v>0</v>
      </c>
    </row>
    <row r="40" spans="1:56" ht="15">
      <c r="A40" s="10"/>
      <c r="B40" s="11" t="s">
        <v>3935</v>
      </c>
      <c r="C40" s="10" t="s">
        <v>11681</v>
      </c>
      <c r="D40" s="12"/>
      <c r="E40" s="12"/>
      <c r="F40" s="12" t="s">
        <v>11796</v>
      </c>
      <c r="G40" s="12" t="s">
        <v>11797</v>
      </c>
      <c r="H40" s="22">
        <v>998656463</v>
      </c>
      <c r="I40" s="18">
        <v>45261</v>
      </c>
      <c r="J40" s="12"/>
      <c r="K40" s="12" t="s">
        <v>11664</v>
      </c>
      <c r="L40" s="12" t="s">
        <v>11663</v>
      </c>
      <c r="M40" s="12" t="s">
        <v>11663</v>
      </c>
      <c r="N40" s="12" t="s">
        <v>11663</v>
      </c>
      <c r="O40" s="12" t="s">
        <v>11663</v>
      </c>
      <c r="P40" s="12">
        <v>0</v>
      </c>
      <c r="Q40" s="12">
        <v>1</v>
      </c>
      <c r="R40" s="12">
        <v>0</v>
      </c>
      <c r="S40" s="12">
        <v>4</v>
      </c>
      <c r="T40" s="12">
        <v>0</v>
      </c>
      <c r="U40" s="14" t="s">
        <v>11664</v>
      </c>
      <c r="V40" s="15" t="s">
        <v>11664</v>
      </c>
      <c r="W40" s="14" t="s">
        <v>11663</v>
      </c>
      <c r="X40" s="14" t="s">
        <v>11663</v>
      </c>
      <c r="Y40" s="14" t="s">
        <v>11663</v>
      </c>
      <c r="Z40" s="14" t="s">
        <v>11663</v>
      </c>
      <c r="AA40" s="14" t="s">
        <v>11663</v>
      </c>
      <c r="AB40" s="14" t="s">
        <v>11663</v>
      </c>
      <c r="AC40" s="14" t="s">
        <v>11663</v>
      </c>
      <c r="AD40" s="14" t="s">
        <v>11663</v>
      </c>
      <c r="AE40" s="14" t="s">
        <v>11663</v>
      </c>
      <c r="AF40" s="15">
        <v>35</v>
      </c>
      <c r="AG40" s="15">
        <v>36</v>
      </c>
      <c r="AH40" s="15">
        <v>19</v>
      </c>
      <c r="AI40" s="15">
        <v>2</v>
      </c>
      <c r="AJ40" s="15">
        <v>0</v>
      </c>
      <c r="AK40" s="15">
        <v>0</v>
      </c>
      <c r="AL40" s="15">
        <v>1</v>
      </c>
      <c r="AM40" s="15">
        <v>1</v>
      </c>
      <c r="AN40" s="15">
        <v>1</v>
      </c>
      <c r="AO40" s="15">
        <v>74</v>
      </c>
      <c r="AP40" s="14">
        <v>0</v>
      </c>
      <c r="AQ40" s="14">
        <v>0</v>
      </c>
      <c r="AR40" s="15">
        <v>1</v>
      </c>
      <c r="AS40" s="15">
        <v>2</v>
      </c>
      <c r="AT40" s="15">
        <v>4</v>
      </c>
      <c r="AU40" s="15">
        <v>3</v>
      </c>
      <c r="AV40" s="15">
        <v>5</v>
      </c>
      <c r="AW40" s="15" t="s">
        <v>11665</v>
      </c>
      <c r="AX40" s="15">
        <v>3</v>
      </c>
      <c r="AY40" s="15">
        <v>2</v>
      </c>
      <c r="AZ40" s="15">
        <v>1</v>
      </c>
      <c r="BA40" s="15">
        <v>4</v>
      </c>
      <c r="BB40" s="15" t="s">
        <v>11666</v>
      </c>
      <c r="BC40" s="15"/>
      <c r="BD40" s="9">
        <v>1</v>
      </c>
    </row>
    <row r="41" spans="1:56" ht="12.75">
      <c r="A41" s="10"/>
      <c r="B41" s="16" t="s">
        <v>3992</v>
      </c>
      <c r="C41" s="10" t="s">
        <v>11667</v>
      </c>
      <c r="D41" s="12"/>
      <c r="E41" s="12"/>
      <c r="F41" s="12" t="s">
        <v>11798</v>
      </c>
      <c r="G41" s="12" t="s">
        <v>11799</v>
      </c>
      <c r="H41" s="17">
        <v>982306102</v>
      </c>
      <c r="I41" s="18">
        <v>44835</v>
      </c>
      <c r="J41" s="12" t="s">
        <v>11800</v>
      </c>
      <c r="K41" s="12" t="s">
        <v>11663</v>
      </c>
      <c r="L41" s="12" t="s">
        <v>11663</v>
      </c>
      <c r="M41" s="12" t="s">
        <v>11664</v>
      </c>
      <c r="N41" s="12" t="s">
        <v>11664</v>
      </c>
      <c r="O41" s="12" t="s">
        <v>11663</v>
      </c>
      <c r="P41" s="12">
        <v>18</v>
      </c>
      <c r="Q41" s="12">
        <v>16</v>
      </c>
      <c r="R41" s="12">
        <v>0</v>
      </c>
      <c r="S41" s="12">
        <v>0</v>
      </c>
      <c r="T41" s="12">
        <v>0</v>
      </c>
      <c r="U41" s="14" t="s">
        <v>11664</v>
      </c>
      <c r="V41" s="15" t="s">
        <v>11664</v>
      </c>
      <c r="W41" s="14" t="s">
        <v>11664</v>
      </c>
      <c r="X41" s="14" t="s">
        <v>11664</v>
      </c>
      <c r="Y41" s="14" t="s">
        <v>11663</v>
      </c>
      <c r="Z41" s="14" t="s">
        <v>11663</v>
      </c>
      <c r="AA41" s="14" t="s">
        <v>11664</v>
      </c>
      <c r="AB41" s="14" t="s">
        <v>11663</v>
      </c>
      <c r="AC41" s="14" t="s">
        <v>11663</v>
      </c>
      <c r="AD41" s="14" t="s">
        <v>11664</v>
      </c>
      <c r="AE41" s="14" t="s">
        <v>11664</v>
      </c>
      <c r="AF41" s="15">
        <v>20</v>
      </c>
      <c r="AG41" s="15">
        <v>120</v>
      </c>
      <c r="AH41" s="15">
        <v>10</v>
      </c>
      <c r="AI41" s="15">
        <v>0</v>
      </c>
      <c r="AJ41" s="15">
        <v>0</v>
      </c>
      <c r="AK41" s="15">
        <v>0</v>
      </c>
      <c r="AL41" s="15">
        <v>0</v>
      </c>
      <c r="AM41" s="15">
        <v>1</v>
      </c>
      <c r="AN41" s="15">
        <v>0</v>
      </c>
      <c r="AO41" s="15">
        <v>0</v>
      </c>
      <c r="AP41" s="14">
        <v>0</v>
      </c>
      <c r="AQ41" s="14">
        <v>0</v>
      </c>
      <c r="AR41" s="15">
        <v>4</v>
      </c>
      <c r="AS41" s="15">
        <v>2</v>
      </c>
      <c r="AT41" s="15">
        <v>5</v>
      </c>
      <c r="AU41" s="15">
        <v>1</v>
      </c>
      <c r="AV41" s="15">
        <v>3</v>
      </c>
      <c r="AW41" s="15" t="s">
        <v>11665</v>
      </c>
      <c r="AX41" s="15">
        <v>2</v>
      </c>
      <c r="AY41" s="15">
        <v>4</v>
      </c>
      <c r="AZ41" s="15">
        <v>1</v>
      </c>
      <c r="BA41" s="15">
        <v>3</v>
      </c>
      <c r="BB41" s="15" t="s">
        <v>11666</v>
      </c>
      <c r="BC41" s="15" t="s">
        <v>11763</v>
      </c>
      <c r="BD41" s="9">
        <v>1</v>
      </c>
    </row>
    <row r="42" spans="1:56" ht="12.75">
      <c r="A42" s="10"/>
      <c r="B42" s="11" t="s">
        <v>4104</v>
      </c>
      <c r="C42" s="10" t="s">
        <v>11660</v>
      </c>
      <c r="D42" s="12"/>
      <c r="E42" s="12"/>
      <c r="F42" s="12" t="s">
        <v>11801</v>
      </c>
      <c r="G42" s="12" t="s">
        <v>4145</v>
      </c>
      <c r="H42" s="17">
        <v>958250550</v>
      </c>
      <c r="I42" s="32">
        <v>45108</v>
      </c>
      <c r="J42" s="12" t="s">
        <v>11802</v>
      </c>
      <c r="K42" s="12" t="s">
        <v>11663</v>
      </c>
      <c r="L42" s="12" t="s">
        <v>11663</v>
      </c>
      <c r="M42" s="12" t="s">
        <v>11663</v>
      </c>
      <c r="N42" s="12" t="s">
        <v>11663</v>
      </c>
      <c r="O42" s="12" t="s">
        <v>11663</v>
      </c>
      <c r="P42" s="12">
        <v>15</v>
      </c>
      <c r="Q42" s="12">
        <v>14</v>
      </c>
      <c r="R42" s="12">
        <v>0</v>
      </c>
      <c r="S42" s="12">
        <v>0</v>
      </c>
      <c r="T42" s="12">
        <v>0</v>
      </c>
      <c r="U42" s="14" t="s">
        <v>11663</v>
      </c>
      <c r="V42" s="15" t="s">
        <v>11664</v>
      </c>
      <c r="W42" s="14" t="s">
        <v>11663</v>
      </c>
      <c r="X42" s="14" t="s">
        <v>11663</v>
      </c>
      <c r="Y42" s="14" t="s">
        <v>11663</v>
      </c>
      <c r="Z42" s="14" t="s">
        <v>11663</v>
      </c>
      <c r="AA42" s="14" t="s">
        <v>11663</v>
      </c>
      <c r="AB42" s="14" t="s">
        <v>11663</v>
      </c>
      <c r="AC42" s="14" t="s">
        <v>11663</v>
      </c>
      <c r="AD42" s="14" t="s">
        <v>11663</v>
      </c>
      <c r="AE42" s="14" t="s">
        <v>11664</v>
      </c>
      <c r="AF42" s="15">
        <v>210</v>
      </c>
      <c r="AG42" s="15">
        <v>278</v>
      </c>
      <c r="AH42" s="15">
        <v>320</v>
      </c>
      <c r="AI42" s="15">
        <v>0</v>
      </c>
      <c r="AJ42" s="15">
        <v>0</v>
      </c>
      <c r="AK42" s="15">
        <v>2</v>
      </c>
      <c r="AL42" s="15">
        <v>0</v>
      </c>
      <c r="AM42" s="15">
        <v>2</v>
      </c>
      <c r="AN42" s="15">
        <v>0</v>
      </c>
      <c r="AO42" s="15">
        <v>0</v>
      </c>
      <c r="AP42" s="14">
        <v>0</v>
      </c>
      <c r="AQ42" s="14">
        <v>0</v>
      </c>
      <c r="AR42" s="15">
        <v>1</v>
      </c>
      <c r="AS42" s="15">
        <v>4</v>
      </c>
      <c r="AT42" s="15">
        <v>5</v>
      </c>
      <c r="AU42" s="15">
        <v>2</v>
      </c>
      <c r="AV42" s="15">
        <v>3</v>
      </c>
      <c r="AW42" s="15" t="s">
        <v>11700</v>
      </c>
      <c r="AX42" s="15">
        <v>2</v>
      </c>
      <c r="AY42" s="15">
        <v>1</v>
      </c>
      <c r="AZ42" s="15">
        <v>3</v>
      </c>
      <c r="BA42" s="15">
        <v>4</v>
      </c>
      <c r="BB42" s="15" t="s">
        <v>11680</v>
      </c>
      <c r="BC42" s="15"/>
      <c r="BD42" s="9">
        <v>1</v>
      </c>
    </row>
    <row r="43" spans="1:56" ht="12.75">
      <c r="A43" s="10"/>
      <c r="B43" s="11" t="s">
        <v>4214</v>
      </c>
      <c r="C43" s="10" t="s">
        <v>11705</v>
      </c>
      <c r="D43" s="12"/>
      <c r="E43" s="12"/>
      <c r="F43" s="12" t="s">
        <v>11803</v>
      </c>
      <c r="G43" s="12" t="s">
        <v>11804</v>
      </c>
      <c r="H43" s="17">
        <v>949435335</v>
      </c>
      <c r="I43" s="18">
        <v>44440</v>
      </c>
      <c r="J43" s="12" t="s">
        <v>11805</v>
      </c>
      <c r="K43" s="12" t="s">
        <v>11663</v>
      </c>
      <c r="L43" s="12" t="s">
        <v>11663</v>
      </c>
      <c r="M43" s="12" t="s">
        <v>11664</v>
      </c>
      <c r="N43" s="12" t="s">
        <v>11663</v>
      </c>
      <c r="O43" s="12" t="s">
        <v>11663</v>
      </c>
      <c r="P43" s="12">
        <v>1</v>
      </c>
      <c r="Q43" s="12">
        <v>2</v>
      </c>
      <c r="R43" s="12">
        <v>0</v>
      </c>
      <c r="S43" s="12">
        <v>4</v>
      </c>
      <c r="T43" s="12">
        <v>1</v>
      </c>
      <c r="U43" s="14" t="s">
        <v>11663</v>
      </c>
      <c r="V43" s="15" t="s">
        <v>11663</v>
      </c>
      <c r="W43" s="14" t="s">
        <v>11663</v>
      </c>
      <c r="X43" s="14" t="s">
        <v>11663</v>
      </c>
      <c r="Y43" s="14" t="s">
        <v>11664</v>
      </c>
      <c r="Z43" s="14" t="s">
        <v>11663</v>
      </c>
      <c r="AA43" s="14" t="s">
        <v>11663</v>
      </c>
      <c r="AB43" s="14" t="s">
        <v>11664</v>
      </c>
      <c r="AC43" s="14" t="s">
        <v>11664</v>
      </c>
      <c r="AD43" s="14" t="s">
        <v>11663</v>
      </c>
      <c r="AE43" s="14" t="s">
        <v>11664</v>
      </c>
      <c r="AF43" s="15">
        <v>33</v>
      </c>
      <c r="AG43" s="15">
        <v>0</v>
      </c>
      <c r="AH43" s="15">
        <v>9</v>
      </c>
      <c r="AI43" s="15">
        <v>1</v>
      </c>
      <c r="AJ43" s="15">
        <v>0</v>
      </c>
      <c r="AK43" s="15">
        <v>0</v>
      </c>
      <c r="AL43" s="15">
        <v>2</v>
      </c>
      <c r="AM43" s="15">
        <v>1</v>
      </c>
      <c r="AN43" s="15">
        <v>1</v>
      </c>
      <c r="AO43" s="15">
        <v>12</v>
      </c>
      <c r="AP43" s="14">
        <v>0</v>
      </c>
      <c r="AQ43" s="14">
        <v>0</v>
      </c>
      <c r="AR43" s="15">
        <v>4</v>
      </c>
      <c r="AS43" s="15">
        <v>2</v>
      </c>
      <c r="AT43" s="15">
        <v>3</v>
      </c>
      <c r="AU43" s="15">
        <v>1</v>
      </c>
      <c r="AV43" s="15">
        <v>5</v>
      </c>
      <c r="AW43" s="15" t="s">
        <v>11700</v>
      </c>
      <c r="AX43" s="15">
        <v>3</v>
      </c>
      <c r="AY43" s="15">
        <v>2</v>
      </c>
      <c r="AZ43" s="15">
        <v>1</v>
      </c>
      <c r="BA43" s="15">
        <v>4</v>
      </c>
      <c r="BB43" s="15" t="s">
        <v>11680</v>
      </c>
      <c r="BC43" s="15"/>
      <c r="BD43" s="9">
        <v>1</v>
      </c>
    </row>
    <row r="44" spans="1:56" ht="12.75">
      <c r="A44" s="10"/>
      <c r="B44" s="11" t="s">
        <v>4303</v>
      </c>
      <c r="C44" s="10" t="s">
        <v>11660</v>
      </c>
      <c r="D44" s="12"/>
      <c r="E44" s="12"/>
      <c r="F44" s="12" t="s">
        <v>11806</v>
      </c>
      <c r="G44" s="12" t="s">
        <v>11807</v>
      </c>
      <c r="H44" s="17" t="s">
        <v>10272</v>
      </c>
      <c r="I44" s="12" t="s">
        <v>58</v>
      </c>
      <c r="J44" s="12" t="s">
        <v>11808</v>
      </c>
      <c r="K44" s="12" t="s">
        <v>11663</v>
      </c>
      <c r="L44" s="12" t="s">
        <v>11663</v>
      </c>
      <c r="M44" s="12" t="s">
        <v>11663</v>
      </c>
      <c r="N44" s="12" t="s">
        <v>11664</v>
      </c>
      <c r="O44" s="12" t="s">
        <v>11663</v>
      </c>
      <c r="P44" s="12">
        <v>0</v>
      </c>
      <c r="Q44" s="12" t="s">
        <v>58</v>
      </c>
      <c r="R44" s="12">
        <v>0</v>
      </c>
      <c r="S44" s="12">
        <v>0</v>
      </c>
      <c r="T44" s="12">
        <v>0</v>
      </c>
      <c r="U44" s="14" t="s">
        <v>11663</v>
      </c>
      <c r="V44" s="15" t="s">
        <v>11664</v>
      </c>
      <c r="W44" s="14" t="s">
        <v>11664</v>
      </c>
      <c r="X44" s="14" t="s">
        <v>11663</v>
      </c>
      <c r="Y44" s="14" t="s">
        <v>11664</v>
      </c>
      <c r="Z44" s="14" t="s">
        <v>11663</v>
      </c>
      <c r="AA44" s="14" t="s">
        <v>11664</v>
      </c>
      <c r="AB44" s="14" t="s">
        <v>11663</v>
      </c>
      <c r="AC44" s="14" t="s">
        <v>11664</v>
      </c>
      <c r="AD44" s="14" t="s">
        <v>11663</v>
      </c>
      <c r="AE44" s="14" t="s">
        <v>11664</v>
      </c>
      <c r="AF44" s="15">
        <v>30</v>
      </c>
      <c r="AG44" s="15">
        <v>30</v>
      </c>
      <c r="AH44" s="15">
        <v>30</v>
      </c>
      <c r="AI44" s="15">
        <v>0</v>
      </c>
      <c r="AJ44" s="15">
        <v>0</v>
      </c>
      <c r="AK44" s="15">
        <v>0</v>
      </c>
      <c r="AL44" s="15">
        <v>0</v>
      </c>
      <c r="AM44" s="15">
        <v>0</v>
      </c>
      <c r="AN44" s="15">
        <v>0</v>
      </c>
      <c r="AO44" s="15">
        <v>0</v>
      </c>
      <c r="AP44" s="14">
        <v>0</v>
      </c>
      <c r="AQ44" s="14">
        <v>0</v>
      </c>
      <c r="AR44" s="15">
        <v>5</v>
      </c>
      <c r="AS44" s="15">
        <v>1</v>
      </c>
      <c r="AT44" s="15">
        <v>4</v>
      </c>
      <c r="AU44" s="15">
        <v>2</v>
      </c>
      <c r="AV44" s="15">
        <v>3</v>
      </c>
      <c r="AW44" s="15" t="s">
        <v>11665</v>
      </c>
      <c r="AX44" s="15">
        <v>3</v>
      </c>
      <c r="AY44" s="15">
        <v>2</v>
      </c>
      <c r="AZ44" s="15">
        <v>1</v>
      </c>
      <c r="BA44" s="15">
        <v>4</v>
      </c>
      <c r="BB44" s="15" t="s">
        <v>11666</v>
      </c>
      <c r="BC44" s="15" t="s">
        <v>11809</v>
      </c>
      <c r="BD44" s="9">
        <v>1</v>
      </c>
    </row>
    <row r="45" spans="1:56" ht="12.75">
      <c r="A45" s="10"/>
      <c r="B45" s="33" t="s">
        <v>4326</v>
      </c>
      <c r="C45" s="10" t="s">
        <v>11756</v>
      </c>
      <c r="D45" s="12"/>
      <c r="E45" s="12"/>
      <c r="F45" s="12" t="s">
        <v>11810</v>
      </c>
      <c r="G45" s="34" t="s">
        <v>11811</v>
      </c>
      <c r="H45" s="34">
        <v>4430445651</v>
      </c>
      <c r="I45" s="30">
        <v>44835</v>
      </c>
      <c r="J45" s="27"/>
      <c r="K45" s="12" t="s">
        <v>11664</v>
      </c>
      <c r="L45" s="12" t="s">
        <v>11664</v>
      </c>
      <c r="M45" s="12" t="s">
        <v>11663</v>
      </c>
      <c r="N45" s="12" t="s">
        <v>11663</v>
      </c>
      <c r="O45" s="12"/>
      <c r="P45" s="12"/>
      <c r="Q45" s="12"/>
      <c r="R45" s="12"/>
      <c r="S45" s="12" t="s">
        <v>11812</v>
      </c>
      <c r="T45" s="12"/>
      <c r="U45" s="14"/>
      <c r="V45" s="15"/>
      <c r="W45" s="14"/>
      <c r="X45" s="14"/>
      <c r="Y45" s="14"/>
      <c r="Z45" s="14"/>
      <c r="AA45" s="14"/>
      <c r="AB45" s="14"/>
      <c r="AC45" s="14"/>
      <c r="AD45" s="14"/>
      <c r="AE45" s="14"/>
      <c r="AF45" s="15"/>
      <c r="AG45" s="15"/>
      <c r="AH45" s="15"/>
      <c r="AI45" s="15"/>
      <c r="AJ45" s="15"/>
      <c r="AK45" s="15"/>
      <c r="AL45" s="15"/>
      <c r="AM45" s="15"/>
      <c r="AN45" s="15"/>
      <c r="AO45" s="15"/>
      <c r="AP45" s="20"/>
      <c r="AQ45" s="20"/>
      <c r="AR45" s="15"/>
      <c r="AS45" s="15"/>
      <c r="AT45" s="15"/>
      <c r="AU45" s="15"/>
      <c r="AV45" s="15"/>
      <c r="AW45" s="15"/>
      <c r="AX45" s="15"/>
      <c r="AY45" s="15"/>
      <c r="AZ45" s="15"/>
      <c r="BA45" s="15"/>
      <c r="BB45" s="15"/>
      <c r="BC45" s="15"/>
      <c r="BD45" s="9">
        <v>0</v>
      </c>
    </row>
    <row r="46" spans="1:56" ht="12.75">
      <c r="A46" s="10"/>
      <c r="B46" s="11" t="s">
        <v>4367</v>
      </c>
      <c r="C46" s="10" t="s">
        <v>11813</v>
      </c>
      <c r="D46" s="12"/>
      <c r="E46" s="12"/>
      <c r="F46" s="12" t="s">
        <v>11814</v>
      </c>
      <c r="G46" s="12" t="s">
        <v>11815</v>
      </c>
      <c r="H46" s="17">
        <v>974318583</v>
      </c>
      <c r="I46" s="18">
        <v>44835</v>
      </c>
      <c r="J46" s="12"/>
      <c r="K46" s="12" t="s">
        <v>11663</v>
      </c>
      <c r="L46" s="12" t="s">
        <v>11663</v>
      </c>
      <c r="M46" s="12" t="s">
        <v>11663</v>
      </c>
      <c r="N46" s="12" t="s">
        <v>11664</v>
      </c>
      <c r="O46" s="12" t="s">
        <v>11664</v>
      </c>
      <c r="P46" s="12">
        <v>0</v>
      </c>
      <c r="Q46" s="12">
        <v>0</v>
      </c>
      <c r="R46" s="12">
        <v>0</v>
      </c>
      <c r="S46" s="12">
        <v>0</v>
      </c>
      <c r="T46" s="12">
        <v>0</v>
      </c>
      <c r="U46" s="14" t="s">
        <v>11664</v>
      </c>
      <c r="V46" s="15" t="s">
        <v>11664</v>
      </c>
      <c r="W46" s="14" t="s">
        <v>11664</v>
      </c>
      <c r="X46" s="14" t="s">
        <v>11664</v>
      </c>
      <c r="Y46" s="14" t="s">
        <v>11663</v>
      </c>
      <c r="Z46" s="14" t="s">
        <v>11663</v>
      </c>
      <c r="AA46" s="14" t="s">
        <v>11664</v>
      </c>
      <c r="AB46" s="14" t="s">
        <v>11663</v>
      </c>
      <c r="AC46" s="14" t="s">
        <v>11664</v>
      </c>
      <c r="AD46" s="14" t="s">
        <v>11663</v>
      </c>
      <c r="AE46" s="14" t="s">
        <v>11664</v>
      </c>
      <c r="AF46" s="15">
        <v>24</v>
      </c>
      <c r="AG46" s="15">
        <v>24</v>
      </c>
      <c r="AH46" s="15">
        <v>0</v>
      </c>
      <c r="AI46" s="15">
        <v>0</v>
      </c>
      <c r="AJ46" s="15">
        <v>0</v>
      </c>
      <c r="AK46" s="15">
        <v>0</v>
      </c>
      <c r="AL46" s="15">
        <v>0</v>
      </c>
      <c r="AM46" s="15">
        <v>1</v>
      </c>
      <c r="AN46" s="15">
        <v>0</v>
      </c>
      <c r="AO46" s="15">
        <v>0</v>
      </c>
      <c r="AP46" s="20">
        <v>0</v>
      </c>
      <c r="AQ46" s="20">
        <v>0</v>
      </c>
      <c r="AR46" s="15">
        <v>5</v>
      </c>
      <c r="AS46" s="15">
        <v>4</v>
      </c>
      <c r="AT46" s="15">
        <v>3</v>
      </c>
      <c r="AU46" s="15">
        <v>2</v>
      </c>
      <c r="AV46" s="15">
        <v>1</v>
      </c>
      <c r="AW46" s="15" t="s">
        <v>11671</v>
      </c>
      <c r="AX46" s="15">
        <v>1</v>
      </c>
      <c r="AY46" s="15">
        <v>2</v>
      </c>
      <c r="AZ46" s="15">
        <v>3</v>
      </c>
      <c r="BA46" s="15">
        <v>4</v>
      </c>
      <c r="BB46" s="15" t="s">
        <v>11680</v>
      </c>
      <c r="BC46" s="15"/>
      <c r="BD46" s="9">
        <v>0</v>
      </c>
    </row>
    <row r="47" spans="1:56" ht="12.75">
      <c r="A47" s="10"/>
      <c r="B47" s="11" t="s">
        <v>4396</v>
      </c>
      <c r="C47" s="10" t="s">
        <v>11667</v>
      </c>
      <c r="D47" s="12"/>
      <c r="E47" s="12"/>
      <c r="F47" s="12" t="s">
        <v>11816</v>
      </c>
      <c r="G47" s="12" t="s">
        <v>11817</v>
      </c>
      <c r="H47" s="17">
        <v>987969235</v>
      </c>
      <c r="I47" s="18">
        <v>45597</v>
      </c>
      <c r="J47" s="12" t="s">
        <v>11818</v>
      </c>
      <c r="K47" s="12" t="s">
        <v>11663</v>
      </c>
      <c r="L47" s="12" t="s">
        <v>11664</v>
      </c>
      <c r="M47" s="12" t="s">
        <v>11663</v>
      </c>
      <c r="N47" s="12" t="s">
        <v>11664</v>
      </c>
      <c r="O47" s="12" t="s">
        <v>11663</v>
      </c>
      <c r="P47" s="12" t="s">
        <v>58</v>
      </c>
      <c r="Q47" s="12" t="s">
        <v>58</v>
      </c>
      <c r="R47" s="12">
        <v>0</v>
      </c>
      <c r="S47" s="12">
        <v>0</v>
      </c>
      <c r="T47" s="12">
        <v>0</v>
      </c>
      <c r="U47" s="14" t="s">
        <v>11664</v>
      </c>
      <c r="V47" s="15" t="s">
        <v>11664</v>
      </c>
      <c r="W47" s="14" t="s">
        <v>11664</v>
      </c>
      <c r="X47" s="14" t="s">
        <v>11664</v>
      </c>
      <c r="Y47" s="14" t="s">
        <v>11663</v>
      </c>
      <c r="Z47" s="14" t="s">
        <v>11663</v>
      </c>
      <c r="AA47" s="14" t="s">
        <v>11664</v>
      </c>
      <c r="AB47" s="14" t="s">
        <v>11664</v>
      </c>
      <c r="AC47" s="14" t="s">
        <v>11664</v>
      </c>
      <c r="AD47" s="14" t="s">
        <v>11663</v>
      </c>
      <c r="AE47" s="14" t="s">
        <v>11664</v>
      </c>
      <c r="AF47" s="15">
        <v>5</v>
      </c>
      <c r="AG47" s="15">
        <v>5</v>
      </c>
      <c r="AH47" s="15">
        <v>3</v>
      </c>
      <c r="AI47" s="15">
        <v>0</v>
      </c>
      <c r="AJ47" s="15">
        <v>0</v>
      </c>
      <c r="AK47" s="15">
        <v>0</v>
      </c>
      <c r="AL47" s="15">
        <v>0</v>
      </c>
      <c r="AM47" s="15">
        <v>0</v>
      </c>
      <c r="AN47" s="15">
        <v>1</v>
      </c>
      <c r="AO47" s="15">
        <v>0</v>
      </c>
      <c r="AP47" s="14">
        <v>0</v>
      </c>
      <c r="AQ47" s="14">
        <v>0</v>
      </c>
      <c r="AR47" s="15">
        <v>1</v>
      </c>
      <c r="AS47" s="15">
        <v>2</v>
      </c>
      <c r="AT47" s="15">
        <v>3</v>
      </c>
      <c r="AU47" s="15">
        <v>4</v>
      </c>
      <c r="AV47" s="15">
        <v>5</v>
      </c>
      <c r="AW47" s="15" t="s">
        <v>11700</v>
      </c>
      <c r="AX47" s="15">
        <v>4</v>
      </c>
      <c r="AY47" s="15">
        <v>1</v>
      </c>
      <c r="AZ47" s="15">
        <v>2</v>
      </c>
      <c r="BA47" s="15">
        <v>3</v>
      </c>
      <c r="BB47" s="15" t="s">
        <v>11666</v>
      </c>
      <c r="BC47" s="15"/>
      <c r="BD47" s="9">
        <v>0</v>
      </c>
    </row>
    <row r="48" spans="1:56" ht="12.75">
      <c r="A48" s="10"/>
      <c r="B48" s="11" t="s">
        <v>4457</v>
      </c>
      <c r="C48" s="10" t="s">
        <v>11660</v>
      </c>
      <c r="D48" s="12"/>
      <c r="E48" s="12"/>
      <c r="F48" s="12" t="s">
        <v>11819</v>
      </c>
      <c r="G48" s="12" t="s">
        <v>11820</v>
      </c>
      <c r="H48" s="1">
        <v>995697671</v>
      </c>
      <c r="I48" s="18">
        <v>45474</v>
      </c>
      <c r="J48" s="12" t="s">
        <v>11821</v>
      </c>
      <c r="K48" s="12" t="s">
        <v>11663</v>
      </c>
      <c r="L48" s="12" t="s">
        <v>11663</v>
      </c>
      <c r="M48" s="12" t="s">
        <v>11664</v>
      </c>
      <c r="N48" s="12" t="s">
        <v>11663</v>
      </c>
      <c r="O48" s="12" t="s">
        <v>11663</v>
      </c>
      <c r="P48" s="12">
        <v>2</v>
      </c>
      <c r="Q48" s="12">
        <v>1</v>
      </c>
      <c r="R48" s="12">
        <v>0</v>
      </c>
      <c r="S48" s="12">
        <v>0</v>
      </c>
      <c r="T48" s="12">
        <v>1</v>
      </c>
      <c r="U48" s="14" t="s">
        <v>11663</v>
      </c>
      <c r="V48" s="15" t="s">
        <v>11663</v>
      </c>
      <c r="W48" s="14" t="s">
        <v>11664</v>
      </c>
      <c r="X48" s="14" t="s">
        <v>11663</v>
      </c>
      <c r="Y48" s="14" t="s">
        <v>11663</v>
      </c>
      <c r="Z48" s="14" t="s">
        <v>11664</v>
      </c>
      <c r="AA48" s="14" t="s">
        <v>11664</v>
      </c>
      <c r="AB48" s="14" t="s">
        <v>11664</v>
      </c>
      <c r="AC48" s="14" t="s">
        <v>11664</v>
      </c>
      <c r="AD48" s="14" t="s">
        <v>11663</v>
      </c>
      <c r="AE48" s="14" t="s">
        <v>11664</v>
      </c>
      <c r="AF48" s="15">
        <v>20</v>
      </c>
      <c r="AG48" s="15">
        <v>15</v>
      </c>
      <c r="AH48" s="15">
        <v>0</v>
      </c>
      <c r="AI48" s="15">
        <v>0</v>
      </c>
      <c r="AJ48" s="15">
        <v>3</v>
      </c>
      <c r="AK48" s="15">
        <v>16</v>
      </c>
      <c r="AL48" s="15">
        <v>1</v>
      </c>
      <c r="AM48" s="15">
        <v>2</v>
      </c>
      <c r="AN48" s="15">
        <v>0</v>
      </c>
      <c r="AO48" s="15">
        <v>2</v>
      </c>
      <c r="AP48" s="14">
        <v>0</v>
      </c>
      <c r="AQ48" s="14">
        <v>2</v>
      </c>
      <c r="AR48" s="15">
        <v>1</v>
      </c>
      <c r="AS48" s="15">
        <v>2</v>
      </c>
      <c r="AT48" s="15">
        <v>5</v>
      </c>
      <c r="AU48" s="15">
        <v>3</v>
      </c>
      <c r="AV48" s="15">
        <v>4</v>
      </c>
      <c r="AW48" s="15" t="s">
        <v>11665</v>
      </c>
      <c r="AX48" s="15">
        <v>3</v>
      </c>
      <c r="AY48" s="15">
        <v>1</v>
      </c>
      <c r="AZ48" s="15">
        <v>2</v>
      </c>
      <c r="BA48" s="15">
        <v>4</v>
      </c>
      <c r="BB48" s="15" t="s">
        <v>1151</v>
      </c>
      <c r="BC48" s="15" t="s">
        <v>11822</v>
      </c>
      <c r="BD48" s="9">
        <v>0</v>
      </c>
    </row>
    <row r="49" spans="1:56" ht="12.75">
      <c r="A49" s="10"/>
      <c r="B49" s="11" t="s">
        <v>4579</v>
      </c>
      <c r="C49" s="10" t="s">
        <v>11681</v>
      </c>
      <c r="D49" s="12"/>
      <c r="E49" s="12"/>
      <c r="F49" s="12" t="s">
        <v>11823</v>
      </c>
      <c r="G49" s="12" t="s">
        <v>4595</v>
      </c>
      <c r="H49" s="17">
        <v>88510194</v>
      </c>
      <c r="I49" s="12">
        <v>2017</v>
      </c>
      <c r="J49" s="12" t="s">
        <v>11824</v>
      </c>
      <c r="K49" s="12" t="s">
        <v>11663</v>
      </c>
      <c r="L49" s="12" t="s">
        <v>11663</v>
      </c>
      <c r="M49" s="12" t="s">
        <v>11664</v>
      </c>
      <c r="N49" s="12" t="s">
        <v>11664</v>
      </c>
      <c r="O49" s="12" t="s">
        <v>11663</v>
      </c>
      <c r="P49" s="12">
        <v>2</v>
      </c>
      <c r="Q49" s="12">
        <v>1</v>
      </c>
      <c r="R49" s="12">
        <v>1</v>
      </c>
      <c r="S49" s="12">
        <v>2</v>
      </c>
      <c r="T49" s="12">
        <v>0</v>
      </c>
      <c r="U49" s="14" t="s">
        <v>11664</v>
      </c>
      <c r="V49" s="14" t="s">
        <v>11663</v>
      </c>
      <c r="W49" s="14" t="s">
        <v>11663</v>
      </c>
      <c r="X49" s="14" t="s">
        <v>11663</v>
      </c>
      <c r="Y49" s="14" t="s">
        <v>11663</v>
      </c>
      <c r="Z49" s="14" t="s">
        <v>11663</v>
      </c>
      <c r="AA49" s="14" t="s">
        <v>11663</v>
      </c>
      <c r="AB49" s="14" t="s">
        <v>11664</v>
      </c>
      <c r="AC49" s="14" t="s">
        <v>11664</v>
      </c>
      <c r="AD49" s="14" t="s">
        <v>11663</v>
      </c>
      <c r="AE49" s="14" t="s">
        <v>11663</v>
      </c>
      <c r="AF49" s="15">
        <v>15</v>
      </c>
      <c r="AG49" s="15">
        <v>20</v>
      </c>
      <c r="AH49" s="15">
        <v>10</v>
      </c>
      <c r="AI49" s="15">
        <v>1</v>
      </c>
      <c r="AJ49" s="15">
        <v>1</v>
      </c>
      <c r="AK49" s="15">
        <v>0</v>
      </c>
      <c r="AL49" s="15">
        <v>1</v>
      </c>
      <c r="AM49" s="15">
        <v>1</v>
      </c>
      <c r="AN49" s="15">
        <v>2</v>
      </c>
      <c r="AO49" s="15">
        <v>0</v>
      </c>
      <c r="AP49" s="14">
        <v>0</v>
      </c>
      <c r="AQ49" s="14">
        <v>0</v>
      </c>
      <c r="AR49" s="15">
        <v>1</v>
      </c>
      <c r="AS49" s="15">
        <v>2</v>
      </c>
      <c r="AT49" s="15">
        <v>3</v>
      </c>
      <c r="AU49" s="15">
        <v>4</v>
      </c>
      <c r="AV49" s="15">
        <v>5</v>
      </c>
      <c r="AW49" s="15" t="s">
        <v>11671</v>
      </c>
      <c r="AX49" s="15">
        <v>1</v>
      </c>
      <c r="AY49" s="15">
        <v>2</v>
      </c>
      <c r="AZ49" s="15">
        <v>3</v>
      </c>
      <c r="BA49" s="15">
        <v>4</v>
      </c>
      <c r="BB49" s="15" t="s">
        <v>11737</v>
      </c>
      <c r="BC49" s="15"/>
      <c r="BD49" s="9">
        <v>0</v>
      </c>
    </row>
    <row r="50" spans="1:56" ht="12.75">
      <c r="A50" s="10"/>
      <c r="B50" s="11" t="s">
        <v>4618</v>
      </c>
      <c r="C50" s="10" t="s">
        <v>11660</v>
      </c>
      <c r="D50" s="12"/>
      <c r="E50" s="12"/>
      <c r="F50" s="12" t="s">
        <v>11825</v>
      </c>
      <c r="G50" s="12" t="s">
        <v>11826</v>
      </c>
      <c r="H50" s="17" t="s">
        <v>58</v>
      </c>
      <c r="I50" s="18">
        <v>45444</v>
      </c>
      <c r="J50" s="27"/>
      <c r="K50" s="12" t="s">
        <v>11664</v>
      </c>
      <c r="L50" s="12" t="s">
        <v>11664</v>
      </c>
      <c r="M50" s="12" t="s">
        <v>11664</v>
      </c>
      <c r="N50" s="12" t="s">
        <v>11664</v>
      </c>
      <c r="O50" s="12" t="s">
        <v>11664</v>
      </c>
      <c r="P50" s="12">
        <v>0</v>
      </c>
      <c r="Q50" s="12">
        <v>0</v>
      </c>
      <c r="R50" s="12">
        <v>0</v>
      </c>
      <c r="S50" s="12">
        <v>0</v>
      </c>
      <c r="T50" s="12">
        <v>0</v>
      </c>
      <c r="U50" s="14" t="s">
        <v>11663</v>
      </c>
      <c r="V50" s="15" t="s">
        <v>11663</v>
      </c>
      <c r="W50" s="14" t="s">
        <v>11664</v>
      </c>
      <c r="X50" s="14" t="s">
        <v>11663</v>
      </c>
      <c r="Y50" s="14" t="s">
        <v>11664</v>
      </c>
      <c r="Z50" s="14" t="s">
        <v>11663</v>
      </c>
      <c r="AA50" s="14" t="s">
        <v>11663</v>
      </c>
      <c r="AB50" s="14" t="s">
        <v>11663</v>
      </c>
      <c r="AC50" s="14" t="s">
        <v>11664</v>
      </c>
      <c r="AD50" s="14" t="s">
        <v>11663</v>
      </c>
      <c r="AE50" s="14" t="s">
        <v>11664</v>
      </c>
      <c r="AF50" s="15">
        <v>1</v>
      </c>
      <c r="AG50" s="15">
        <v>1</v>
      </c>
      <c r="AH50" s="15">
        <v>0</v>
      </c>
      <c r="AI50" s="15">
        <v>0</v>
      </c>
      <c r="AJ50" s="15">
        <v>0</v>
      </c>
      <c r="AK50" s="15">
        <v>0</v>
      </c>
      <c r="AL50" s="15">
        <v>0</v>
      </c>
      <c r="AM50" s="15">
        <v>0</v>
      </c>
      <c r="AN50" s="15">
        <v>0</v>
      </c>
      <c r="AO50" s="15">
        <v>0</v>
      </c>
      <c r="AP50" s="15">
        <v>0</v>
      </c>
      <c r="AQ50" s="15">
        <v>0</v>
      </c>
      <c r="AR50" s="15">
        <v>5</v>
      </c>
      <c r="AS50" s="15">
        <v>2</v>
      </c>
      <c r="AT50" s="15">
        <v>4</v>
      </c>
      <c r="AU50" s="15">
        <v>3</v>
      </c>
      <c r="AV50" s="15">
        <v>1</v>
      </c>
      <c r="AW50" s="15" t="s">
        <v>11665</v>
      </c>
      <c r="AX50" s="15">
        <v>3</v>
      </c>
      <c r="AY50" s="15">
        <v>2</v>
      </c>
      <c r="AZ50" s="15">
        <v>1</v>
      </c>
      <c r="BA50" s="15">
        <v>4</v>
      </c>
      <c r="BB50" s="15" t="s">
        <v>1151</v>
      </c>
      <c r="BC50" s="15" t="s">
        <v>11827</v>
      </c>
      <c r="BD50" s="9">
        <v>0</v>
      </c>
    </row>
    <row r="51" spans="1:56" ht="12.75">
      <c r="A51" s="10"/>
      <c r="B51" s="11" t="s">
        <v>4648</v>
      </c>
      <c r="C51" s="10" t="s">
        <v>11681</v>
      </c>
      <c r="D51" s="12"/>
      <c r="E51" s="12"/>
      <c r="F51" s="12" t="s">
        <v>11828</v>
      </c>
      <c r="G51" s="12" t="s">
        <v>11829</v>
      </c>
      <c r="H51" s="17">
        <v>978000883</v>
      </c>
      <c r="I51" s="18">
        <v>44927</v>
      </c>
      <c r="J51" s="12"/>
      <c r="K51" s="12" t="s">
        <v>11664</v>
      </c>
      <c r="L51" s="12" t="s">
        <v>11664</v>
      </c>
      <c r="M51" s="12" t="s">
        <v>11663</v>
      </c>
      <c r="N51" s="12" t="s">
        <v>11664</v>
      </c>
      <c r="O51" s="12" t="s">
        <v>11663</v>
      </c>
      <c r="P51" s="12">
        <v>6</v>
      </c>
      <c r="Q51" s="12">
        <v>7</v>
      </c>
      <c r="R51" s="12">
        <v>0</v>
      </c>
      <c r="S51" s="12">
        <v>0</v>
      </c>
      <c r="T51" s="12">
        <v>0</v>
      </c>
      <c r="U51" s="14" t="s">
        <v>11664</v>
      </c>
      <c r="V51" s="15" t="s">
        <v>11664</v>
      </c>
      <c r="W51" s="14" t="s">
        <v>11664</v>
      </c>
      <c r="X51" s="14" t="s">
        <v>11664</v>
      </c>
      <c r="Y51" s="14" t="s">
        <v>11664</v>
      </c>
      <c r="Z51" s="14" t="s">
        <v>11663</v>
      </c>
      <c r="AA51" s="14" t="s">
        <v>11664</v>
      </c>
      <c r="AB51" s="14" t="s">
        <v>11664</v>
      </c>
      <c r="AC51" s="14" t="s">
        <v>11664</v>
      </c>
      <c r="AD51" s="14" t="s">
        <v>11663</v>
      </c>
      <c r="AE51" s="14" t="s">
        <v>11664</v>
      </c>
      <c r="AF51" s="14">
        <v>14</v>
      </c>
      <c r="AG51" s="15">
        <v>24</v>
      </c>
      <c r="AH51" s="15">
        <v>0</v>
      </c>
      <c r="AI51" s="15">
        <v>0</v>
      </c>
      <c r="AJ51" s="15">
        <v>0</v>
      </c>
      <c r="AK51" s="15">
        <v>0</v>
      </c>
      <c r="AL51" s="15">
        <v>0</v>
      </c>
      <c r="AM51" s="15">
        <v>0</v>
      </c>
      <c r="AN51" s="15">
        <v>0</v>
      </c>
      <c r="AO51" s="15">
        <v>0</v>
      </c>
      <c r="AP51" s="14">
        <v>0</v>
      </c>
      <c r="AQ51" s="14">
        <v>0</v>
      </c>
      <c r="AR51" s="15">
        <v>3</v>
      </c>
      <c r="AS51" s="15">
        <v>1</v>
      </c>
      <c r="AT51" s="15">
        <v>2</v>
      </c>
      <c r="AU51" s="15">
        <v>4</v>
      </c>
      <c r="AV51" s="15">
        <v>5</v>
      </c>
      <c r="AW51" s="15" t="s">
        <v>11665</v>
      </c>
      <c r="AX51" s="35" t="s">
        <v>58</v>
      </c>
      <c r="AY51" s="35" t="s">
        <v>58</v>
      </c>
      <c r="AZ51" s="35" t="s">
        <v>58</v>
      </c>
      <c r="BA51" s="35" t="s">
        <v>58</v>
      </c>
      <c r="BB51" s="15" t="s">
        <v>1151</v>
      </c>
      <c r="BC51" s="15" t="s">
        <v>11724</v>
      </c>
      <c r="BD51" s="9">
        <v>0</v>
      </c>
    </row>
    <row r="52" spans="1:56" ht="12.75">
      <c r="A52" s="10"/>
      <c r="B52" s="11" t="s">
        <v>4702</v>
      </c>
      <c r="C52" s="10" t="s">
        <v>11756</v>
      </c>
      <c r="D52" s="12"/>
      <c r="E52" s="12"/>
      <c r="F52" s="12" t="s">
        <v>11830</v>
      </c>
      <c r="G52" s="12" t="s">
        <v>11831</v>
      </c>
      <c r="H52" s="17">
        <v>99182265</v>
      </c>
      <c r="I52" s="18">
        <v>44835</v>
      </c>
      <c r="J52" s="12" t="s">
        <v>11832</v>
      </c>
      <c r="K52" s="12" t="s">
        <v>11663</v>
      </c>
      <c r="L52" s="12" t="s">
        <v>11663</v>
      </c>
      <c r="M52" s="12" t="s">
        <v>11663</v>
      </c>
      <c r="N52" s="12" t="s">
        <v>11663</v>
      </c>
      <c r="O52" s="12" t="s">
        <v>11664</v>
      </c>
      <c r="P52" s="12">
        <v>0</v>
      </c>
      <c r="Q52" s="12">
        <v>0</v>
      </c>
      <c r="R52" s="12">
        <v>0</v>
      </c>
      <c r="S52" s="12">
        <v>1</v>
      </c>
      <c r="T52" s="12">
        <v>1</v>
      </c>
      <c r="U52" s="14" t="s">
        <v>11664</v>
      </c>
      <c r="V52" s="15" t="s">
        <v>11663</v>
      </c>
      <c r="W52" s="14" t="s">
        <v>11663</v>
      </c>
      <c r="X52" s="14" t="s">
        <v>11663</v>
      </c>
      <c r="Y52" s="14" t="s">
        <v>11663</v>
      </c>
      <c r="Z52" s="14" t="s">
        <v>11663</v>
      </c>
      <c r="AA52" s="14" t="s">
        <v>11663</v>
      </c>
      <c r="AB52" s="14" t="s">
        <v>11663</v>
      </c>
      <c r="AC52" s="14" t="s">
        <v>11664</v>
      </c>
      <c r="AD52" s="14" t="s">
        <v>11663</v>
      </c>
      <c r="AE52" s="14" t="s">
        <v>11664</v>
      </c>
      <c r="AF52" s="15">
        <v>0</v>
      </c>
      <c r="AG52" s="15">
        <v>0</v>
      </c>
      <c r="AH52" s="15">
        <v>0</v>
      </c>
      <c r="AI52" s="15">
        <v>0</v>
      </c>
      <c r="AJ52" s="15">
        <v>0</v>
      </c>
      <c r="AK52" s="15">
        <v>0</v>
      </c>
      <c r="AL52" s="15">
        <v>0</v>
      </c>
      <c r="AM52" s="15">
        <v>0</v>
      </c>
      <c r="AN52" s="15">
        <v>0</v>
      </c>
      <c r="AO52" s="15">
        <v>0</v>
      </c>
      <c r="AP52" s="15">
        <v>0</v>
      </c>
      <c r="AQ52" s="15">
        <v>0</v>
      </c>
      <c r="AR52" s="15">
        <v>4</v>
      </c>
      <c r="AS52" s="15">
        <v>5</v>
      </c>
      <c r="AT52" s="15">
        <v>3</v>
      </c>
      <c r="AU52" s="15">
        <v>2</v>
      </c>
      <c r="AV52" s="15">
        <v>1</v>
      </c>
      <c r="AW52" s="15" t="s">
        <v>11665</v>
      </c>
      <c r="AX52" s="15">
        <v>2</v>
      </c>
      <c r="AY52" s="15">
        <v>3</v>
      </c>
      <c r="AZ52" s="15">
        <v>1</v>
      </c>
      <c r="BA52" s="15">
        <v>4</v>
      </c>
      <c r="BB52" s="15" t="s">
        <v>11737</v>
      </c>
      <c r="BC52" s="15" t="s">
        <v>11763</v>
      </c>
      <c r="BD52" s="9">
        <v>0</v>
      </c>
    </row>
    <row r="53" spans="1:56" ht="12.75">
      <c r="A53" s="10"/>
      <c r="B53" s="11" t="s">
        <v>4783</v>
      </c>
      <c r="C53" s="10" t="s">
        <v>260</v>
      </c>
      <c r="D53" s="12"/>
      <c r="E53" s="12"/>
      <c r="F53" s="12" t="s">
        <v>11833</v>
      </c>
      <c r="G53" s="12" t="s">
        <v>11834</v>
      </c>
      <c r="H53" s="17">
        <v>990833852</v>
      </c>
      <c r="I53" s="18">
        <v>43374</v>
      </c>
      <c r="J53" s="12"/>
      <c r="K53" s="12" t="s">
        <v>11664</v>
      </c>
      <c r="L53" s="12" t="s">
        <v>11663</v>
      </c>
      <c r="M53" s="12" t="s">
        <v>11663</v>
      </c>
      <c r="N53" s="12" t="s">
        <v>11664</v>
      </c>
      <c r="O53" s="12" t="s">
        <v>11663</v>
      </c>
      <c r="P53" s="12">
        <v>7</v>
      </c>
      <c r="Q53" s="12">
        <v>23</v>
      </c>
      <c r="R53" s="12">
        <v>0</v>
      </c>
      <c r="S53" s="12">
        <v>1</v>
      </c>
      <c r="T53" s="12">
        <v>0</v>
      </c>
      <c r="U53" s="14" t="s">
        <v>11664</v>
      </c>
      <c r="V53" s="15" t="s">
        <v>11664</v>
      </c>
      <c r="W53" s="14" t="s">
        <v>11664</v>
      </c>
      <c r="X53" s="14" t="s">
        <v>11663</v>
      </c>
      <c r="Y53" s="14" t="s">
        <v>11664</v>
      </c>
      <c r="Z53" s="14" t="s">
        <v>11663</v>
      </c>
      <c r="AA53" s="14" t="s">
        <v>11663</v>
      </c>
      <c r="AB53" s="14" t="s">
        <v>11663</v>
      </c>
      <c r="AC53" s="14" t="s">
        <v>11664</v>
      </c>
      <c r="AD53" s="14" t="s">
        <v>11663</v>
      </c>
      <c r="AE53" s="14" t="s">
        <v>11664</v>
      </c>
      <c r="AF53" s="15">
        <v>40</v>
      </c>
      <c r="AG53" s="15">
        <v>50</v>
      </c>
      <c r="AH53" s="15">
        <v>20</v>
      </c>
      <c r="AI53" s="15">
        <v>0</v>
      </c>
      <c r="AJ53" s="15">
        <v>0</v>
      </c>
      <c r="AK53" s="15">
        <v>0</v>
      </c>
      <c r="AL53" s="15">
        <v>5</v>
      </c>
      <c r="AM53" s="15">
        <v>0</v>
      </c>
      <c r="AN53" s="15">
        <v>0</v>
      </c>
      <c r="AO53" s="15">
        <v>1</v>
      </c>
      <c r="AP53" s="14">
        <v>0</v>
      </c>
      <c r="AQ53" s="14">
        <v>0</v>
      </c>
      <c r="AR53" s="15">
        <v>4</v>
      </c>
      <c r="AS53" s="15">
        <v>5</v>
      </c>
      <c r="AT53" s="15">
        <v>1</v>
      </c>
      <c r="AU53" s="15">
        <v>2</v>
      </c>
      <c r="AV53" s="15">
        <v>3</v>
      </c>
      <c r="AW53" s="15" t="s">
        <v>11700</v>
      </c>
      <c r="AX53" s="15">
        <v>4</v>
      </c>
      <c r="AY53" s="15">
        <v>2</v>
      </c>
      <c r="AZ53" s="15">
        <v>1</v>
      </c>
      <c r="BA53" s="15">
        <v>3</v>
      </c>
      <c r="BB53" s="15" t="s">
        <v>11680</v>
      </c>
      <c r="BC53" s="15"/>
      <c r="BD53" s="9">
        <v>1</v>
      </c>
    </row>
    <row r="54" spans="1:56" ht="15">
      <c r="A54" s="10"/>
      <c r="B54" s="11" t="s">
        <v>4896</v>
      </c>
      <c r="C54" s="10" t="s">
        <v>11756</v>
      </c>
      <c r="D54" s="12"/>
      <c r="E54" s="12"/>
      <c r="F54" s="12" t="s">
        <v>11835</v>
      </c>
      <c r="G54" s="12" t="s">
        <v>11836</v>
      </c>
      <c r="H54" s="17">
        <v>228323242</v>
      </c>
      <c r="I54" s="18">
        <v>45200</v>
      </c>
      <c r="J54" s="21" t="s">
        <v>11837</v>
      </c>
      <c r="K54" s="12" t="s">
        <v>11663</v>
      </c>
      <c r="L54" s="12" t="s">
        <v>11663</v>
      </c>
      <c r="M54" s="12" t="s">
        <v>11664</v>
      </c>
      <c r="N54" s="12" t="s">
        <v>11663</v>
      </c>
      <c r="O54" s="12" t="s">
        <v>11663</v>
      </c>
      <c r="P54" s="12">
        <v>0</v>
      </c>
      <c r="Q54" s="12">
        <v>3</v>
      </c>
      <c r="R54" s="12">
        <v>0</v>
      </c>
      <c r="S54" s="12">
        <v>1</v>
      </c>
      <c r="T54" s="12">
        <v>1</v>
      </c>
      <c r="U54" s="14" t="s">
        <v>11664</v>
      </c>
      <c r="V54" s="15" t="s">
        <v>11664</v>
      </c>
      <c r="W54" s="14" t="s">
        <v>11663</v>
      </c>
      <c r="X54" s="14" t="s">
        <v>11663</v>
      </c>
      <c r="Y54" s="14" t="s">
        <v>11664</v>
      </c>
      <c r="Z54" s="14" t="s">
        <v>11663</v>
      </c>
      <c r="AA54" s="14" t="s">
        <v>11663</v>
      </c>
      <c r="AB54" s="14" t="s">
        <v>11664</v>
      </c>
      <c r="AC54" s="14" t="s">
        <v>11664</v>
      </c>
      <c r="AD54" s="14" t="s">
        <v>11663</v>
      </c>
      <c r="AE54" s="14" t="s">
        <v>11663</v>
      </c>
      <c r="AF54" s="15">
        <v>80</v>
      </c>
      <c r="AG54" s="15">
        <v>110</v>
      </c>
      <c r="AH54" s="15">
        <v>70</v>
      </c>
      <c r="AI54" s="15">
        <v>1</v>
      </c>
      <c r="AJ54" s="15">
        <v>0</v>
      </c>
      <c r="AK54" s="15">
        <v>0</v>
      </c>
      <c r="AL54" s="15">
        <v>8</v>
      </c>
      <c r="AM54" s="15">
        <v>0</v>
      </c>
      <c r="AN54" s="15">
        <v>0</v>
      </c>
      <c r="AO54" s="15">
        <v>0</v>
      </c>
      <c r="AP54" s="14">
        <v>2</v>
      </c>
      <c r="AQ54" s="14">
        <v>0</v>
      </c>
      <c r="AR54" s="15">
        <v>5</v>
      </c>
      <c r="AS54" s="15">
        <v>1</v>
      </c>
      <c r="AT54" s="15">
        <v>3</v>
      </c>
      <c r="AU54" s="15">
        <v>2</v>
      </c>
      <c r="AV54" s="15">
        <v>4</v>
      </c>
      <c r="AW54" s="15" t="s">
        <v>11700</v>
      </c>
      <c r="AX54" s="15">
        <v>1</v>
      </c>
      <c r="AY54" s="15">
        <v>2</v>
      </c>
      <c r="AZ54" s="15">
        <v>3</v>
      </c>
      <c r="BA54" s="15">
        <v>4</v>
      </c>
      <c r="BB54" s="15" t="s">
        <v>11666</v>
      </c>
      <c r="BC54" s="15"/>
      <c r="BD54" s="9">
        <v>0</v>
      </c>
    </row>
    <row r="55" spans="1:56" ht="12.75">
      <c r="A55" s="10"/>
      <c r="B55" s="11" t="s">
        <v>5023</v>
      </c>
      <c r="C55" s="10" t="s">
        <v>10526</v>
      </c>
      <c r="D55" s="12"/>
      <c r="E55" s="12"/>
      <c r="F55" s="12" t="s">
        <v>11838</v>
      </c>
      <c r="G55" s="12" t="s">
        <v>11839</v>
      </c>
      <c r="H55" s="17">
        <v>752491100</v>
      </c>
      <c r="I55" s="12">
        <v>2016</v>
      </c>
      <c r="J55" s="12" t="s">
        <v>11840</v>
      </c>
      <c r="K55" s="12" t="s">
        <v>11663</v>
      </c>
      <c r="L55" s="12" t="s">
        <v>11663</v>
      </c>
      <c r="M55" s="12" t="s">
        <v>11664</v>
      </c>
      <c r="N55" s="12" t="s">
        <v>11663</v>
      </c>
      <c r="O55" s="12" t="s">
        <v>11663</v>
      </c>
      <c r="P55" s="12">
        <v>6</v>
      </c>
      <c r="Q55" s="12">
        <v>6</v>
      </c>
      <c r="R55" s="12">
        <v>0</v>
      </c>
      <c r="S55" s="12">
        <v>0</v>
      </c>
      <c r="T55" s="12">
        <v>0</v>
      </c>
      <c r="U55" s="36" t="s">
        <v>11663</v>
      </c>
      <c r="V55" s="37" t="s">
        <v>11664</v>
      </c>
      <c r="W55" s="36" t="s">
        <v>11663</v>
      </c>
      <c r="X55" s="36" t="s">
        <v>11663</v>
      </c>
      <c r="Y55" s="36" t="s">
        <v>11664</v>
      </c>
      <c r="Z55" s="36" t="s">
        <v>11663</v>
      </c>
      <c r="AA55" s="36" t="s">
        <v>11663</v>
      </c>
      <c r="AB55" s="36" t="s">
        <v>11664</v>
      </c>
      <c r="AC55" s="36" t="s">
        <v>11664</v>
      </c>
      <c r="AD55" s="36" t="s">
        <v>11663</v>
      </c>
      <c r="AE55" s="36" t="s">
        <v>11664</v>
      </c>
      <c r="AF55" s="35">
        <v>117</v>
      </c>
      <c r="AG55" s="15">
        <v>170</v>
      </c>
      <c r="AH55" s="15">
        <v>1856</v>
      </c>
      <c r="AI55" s="15">
        <v>0</v>
      </c>
      <c r="AJ55" s="15">
        <v>0</v>
      </c>
      <c r="AK55" s="15">
        <v>0</v>
      </c>
      <c r="AL55" s="15">
        <v>0</v>
      </c>
      <c r="AM55" s="15">
        <v>1</v>
      </c>
      <c r="AN55" s="15">
        <v>0</v>
      </c>
      <c r="AO55" s="15">
        <v>0</v>
      </c>
      <c r="AP55" s="20">
        <v>0</v>
      </c>
      <c r="AQ55" s="20">
        <v>0</v>
      </c>
      <c r="AR55" s="15">
        <v>3</v>
      </c>
      <c r="AS55" s="15">
        <v>2</v>
      </c>
      <c r="AT55" s="15">
        <v>4</v>
      </c>
      <c r="AU55" s="15">
        <v>1</v>
      </c>
      <c r="AV55" s="15">
        <v>5</v>
      </c>
      <c r="AW55" s="15" t="s">
        <v>11665</v>
      </c>
      <c r="AX55" s="15">
        <v>3</v>
      </c>
      <c r="AY55" s="15">
        <v>1</v>
      </c>
      <c r="AZ55" s="15">
        <v>2</v>
      </c>
      <c r="BA55" s="15">
        <v>4</v>
      </c>
      <c r="BB55" s="15" t="s">
        <v>11680</v>
      </c>
      <c r="BC55" s="15"/>
      <c r="BD55" s="9">
        <v>1</v>
      </c>
    </row>
    <row r="56" spans="1:56" ht="15">
      <c r="A56" s="10"/>
      <c r="B56" s="11" t="s">
        <v>5143</v>
      </c>
      <c r="C56" s="10" t="s">
        <v>11681</v>
      </c>
      <c r="D56" s="22"/>
      <c r="E56" s="22"/>
      <c r="F56" s="22" t="s">
        <v>11841</v>
      </c>
      <c r="G56" s="12" t="s">
        <v>11842</v>
      </c>
      <c r="H56" s="19">
        <v>976992595</v>
      </c>
      <c r="I56" s="18">
        <v>44044</v>
      </c>
      <c r="J56" s="12"/>
      <c r="K56" s="12" t="s">
        <v>11663</v>
      </c>
      <c r="L56" s="12" t="s">
        <v>11663</v>
      </c>
      <c r="M56" s="12" t="s">
        <v>11664</v>
      </c>
      <c r="N56" s="12" t="s">
        <v>11664</v>
      </c>
      <c r="O56" s="12" t="s">
        <v>11663</v>
      </c>
      <c r="P56" s="12">
        <v>3</v>
      </c>
      <c r="Q56" s="12">
        <v>3</v>
      </c>
      <c r="R56" s="12">
        <v>0</v>
      </c>
      <c r="S56" s="12">
        <v>0</v>
      </c>
      <c r="T56" s="12">
        <v>0</v>
      </c>
      <c r="U56" s="14" t="s">
        <v>11843</v>
      </c>
      <c r="V56" s="15" t="s">
        <v>11664</v>
      </c>
      <c r="W56" s="14" t="s">
        <v>11664</v>
      </c>
      <c r="X56" s="14" t="s">
        <v>11664</v>
      </c>
      <c r="Y56" s="14" t="s">
        <v>11664</v>
      </c>
      <c r="Z56" s="14" t="s">
        <v>11663</v>
      </c>
      <c r="AA56" s="14" t="s">
        <v>11663</v>
      </c>
      <c r="AB56" s="14" t="s">
        <v>11663</v>
      </c>
      <c r="AC56" s="14" t="s">
        <v>11663</v>
      </c>
      <c r="AD56" s="14" t="s">
        <v>11663</v>
      </c>
      <c r="AE56" s="14" t="s">
        <v>11663</v>
      </c>
      <c r="AF56" s="14">
        <v>129</v>
      </c>
      <c r="AG56" s="15">
        <v>140</v>
      </c>
      <c r="AH56" s="15">
        <v>0</v>
      </c>
      <c r="AI56" s="15">
        <v>0</v>
      </c>
      <c r="AJ56" s="15">
        <v>0</v>
      </c>
      <c r="AK56" s="15">
        <v>0</v>
      </c>
      <c r="AL56" s="15">
        <v>0</v>
      </c>
      <c r="AM56" s="15">
        <v>0</v>
      </c>
      <c r="AN56" s="15">
        <v>0</v>
      </c>
      <c r="AO56" s="15">
        <v>0</v>
      </c>
      <c r="AP56" s="15">
        <v>0</v>
      </c>
      <c r="AQ56" s="14">
        <v>4</v>
      </c>
      <c r="AR56" s="15">
        <v>4</v>
      </c>
      <c r="AS56" s="15">
        <v>5</v>
      </c>
      <c r="AT56" s="15">
        <v>2</v>
      </c>
      <c r="AU56" s="15">
        <v>3</v>
      </c>
      <c r="AV56" s="15">
        <v>1</v>
      </c>
      <c r="AW56" s="15" t="s">
        <v>11671</v>
      </c>
      <c r="AX56" s="15">
        <v>3</v>
      </c>
      <c r="AY56" s="15">
        <v>4</v>
      </c>
      <c r="AZ56" s="15">
        <v>1</v>
      </c>
      <c r="BA56" s="15">
        <v>2</v>
      </c>
      <c r="BB56" s="15" t="s">
        <v>11680</v>
      </c>
      <c r="BC56" s="15"/>
      <c r="BD56" s="9">
        <v>1</v>
      </c>
    </row>
    <row r="57" spans="1:56" ht="15">
      <c r="A57" s="10"/>
      <c r="B57" s="11" t="s">
        <v>11844</v>
      </c>
      <c r="C57" s="10" t="s">
        <v>11681</v>
      </c>
      <c r="D57" s="12"/>
      <c r="E57" s="12"/>
      <c r="F57" s="12" t="s">
        <v>11845</v>
      </c>
      <c r="G57" s="12" t="s">
        <v>11846</v>
      </c>
      <c r="H57" s="22">
        <v>98809459</v>
      </c>
      <c r="I57" s="18">
        <v>45566</v>
      </c>
      <c r="J57" s="12"/>
      <c r="K57" s="12" t="s">
        <v>11664</v>
      </c>
      <c r="L57" s="12" t="s">
        <v>11664</v>
      </c>
      <c r="M57" s="12" t="s">
        <v>11663</v>
      </c>
      <c r="N57" s="12" t="s">
        <v>11664</v>
      </c>
      <c r="O57" s="12" t="s">
        <v>11663</v>
      </c>
      <c r="P57" s="12">
        <v>1</v>
      </c>
      <c r="Q57" s="12">
        <v>15</v>
      </c>
      <c r="R57" s="12">
        <v>0</v>
      </c>
      <c r="S57" s="12">
        <v>0</v>
      </c>
      <c r="T57" s="12">
        <v>0</v>
      </c>
      <c r="U57" s="14" t="s">
        <v>11663</v>
      </c>
      <c r="V57" s="15" t="s">
        <v>11664</v>
      </c>
      <c r="W57" s="14" t="s">
        <v>11664</v>
      </c>
      <c r="X57" s="14" t="s">
        <v>11664</v>
      </c>
      <c r="Y57" s="14" t="s">
        <v>11664</v>
      </c>
      <c r="Z57" s="14" t="s">
        <v>11663</v>
      </c>
      <c r="AA57" s="14" t="s">
        <v>11664</v>
      </c>
      <c r="AB57" s="14" t="s">
        <v>11663</v>
      </c>
      <c r="AC57" s="14" t="s">
        <v>11664</v>
      </c>
      <c r="AD57" s="14" t="s">
        <v>11664</v>
      </c>
      <c r="AE57" s="14" t="s">
        <v>11664</v>
      </c>
      <c r="AF57" s="15">
        <v>0</v>
      </c>
      <c r="AG57" s="15">
        <v>3</v>
      </c>
      <c r="AH57" s="15">
        <v>10</v>
      </c>
      <c r="AI57" s="15">
        <v>1</v>
      </c>
      <c r="AJ57" s="15">
        <v>0</v>
      </c>
      <c r="AK57" s="15">
        <v>0</v>
      </c>
      <c r="AL57" s="15">
        <v>1</v>
      </c>
      <c r="AM57" s="15">
        <v>1</v>
      </c>
      <c r="AN57" s="15">
        <v>2</v>
      </c>
      <c r="AO57" s="15">
        <v>27</v>
      </c>
      <c r="AP57" s="14">
        <v>0</v>
      </c>
      <c r="AQ57" s="14">
        <v>0</v>
      </c>
      <c r="AR57" s="15">
        <v>3</v>
      </c>
      <c r="AS57" s="15">
        <v>2</v>
      </c>
      <c r="AT57" s="15">
        <v>4</v>
      </c>
      <c r="AU57" s="15">
        <v>1</v>
      </c>
      <c r="AV57" s="15">
        <v>5</v>
      </c>
      <c r="AW57" s="15" t="s">
        <v>11671</v>
      </c>
      <c r="AX57" s="15">
        <v>3</v>
      </c>
      <c r="AY57" s="15">
        <v>2</v>
      </c>
      <c r="AZ57" s="15">
        <v>1</v>
      </c>
      <c r="BA57" s="15">
        <v>4</v>
      </c>
      <c r="BB57" s="15" t="s">
        <v>11666</v>
      </c>
      <c r="BC57" s="15" t="s">
        <v>11847</v>
      </c>
      <c r="BD57" s="9">
        <v>1</v>
      </c>
    </row>
    <row r="58" spans="1:56" ht="12.75">
      <c r="A58" s="10"/>
      <c r="B58" s="11" t="s">
        <v>5291</v>
      </c>
      <c r="C58" s="10" t="s">
        <v>11681</v>
      </c>
      <c r="D58" s="12"/>
      <c r="E58" s="12"/>
      <c r="F58" s="12" t="s">
        <v>11848</v>
      </c>
      <c r="G58" s="12" t="s">
        <v>11849</v>
      </c>
      <c r="H58" s="17">
        <v>443067732</v>
      </c>
      <c r="I58" s="18">
        <v>44743</v>
      </c>
      <c r="J58" s="12" t="s">
        <v>11850</v>
      </c>
      <c r="K58" s="12" t="s">
        <v>11663</v>
      </c>
      <c r="L58" s="12" t="s">
        <v>11663</v>
      </c>
      <c r="M58" s="12" t="s">
        <v>11664</v>
      </c>
      <c r="N58" s="12" t="s">
        <v>11664</v>
      </c>
      <c r="O58" s="12" t="s">
        <v>11663</v>
      </c>
      <c r="P58" s="12">
        <v>3</v>
      </c>
      <c r="Q58" s="12">
        <v>3</v>
      </c>
      <c r="R58" s="12">
        <v>0</v>
      </c>
      <c r="S58" s="12">
        <v>0</v>
      </c>
      <c r="T58" s="12">
        <v>0</v>
      </c>
      <c r="U58" s="14" t="s">
        <v>11663</v>
      </c>
      <c r="V58" s="15" t="s">
        <v>11663</v>
      </c>
      <c r="W58" s="14" t="s">
        <v>11664</v>
      </c>
      <c r="X58" s="14" t="s">
        <v>11664</v>
      </c>
      <c r="Y58" s="14" t="s">
        <v>11663</v>
      </c>
      <c r="Z58" s="14" t="s">
        <v>11663</v>
      </c>
      <c r="AA58" s="14" t="s">
        <v>11664</v>
      </c>
      <c r="AB58" s="14" t="s">
        <v>11663</v>
      </c>
      <c r="AC58" s="14" t="s">
        <v>11664</v>
      </c>
      <c r="AD58" s="14" t="s">
        <v>11663</v>
      </c>
      <c r="AE58" s="14" t="s">
        <v>11664</v>
      </c>
      <c r="AF58" s="15">
        <v>38</v>
      </c>
      <c r="AG58" s="15">
        <v>38</v>
      </c>
      <c r="AH58" s="15">
        <v>0</v>
      </c>
      <c r="AI58" s="15">
        <v>0</v>
      </c>
      <c r="AJ58" s="15">
        <v>0</v>
      </c>
      <c r="AK58" s="15">
        <v>0</v>
      </c>
      <c r="AL58" s="15">
        <v>0</v>
      </c>
      <c r="AM58" s="15">
        <v>1</v>
      </c>
      <c r="AN58" s="15">
        <v>1</v>
      </c>
      <c r="AO58" s="15">
        <v>1</v>
      </c>
      <c r="AP58" s="14">
        <v>0</v>
      </c>
      <c r="AQ58" s="14">
        <v>0</v>
      </c>
      <c r="AR58" s="15">
        <v>4</v>
      </c>
      <c r="AS58" s="15">
        <v>1</v>
      </c>
      <c r="AT58" s="15">
        <v>5</v>
      </c>
      <c r="AU58" s="15">
        <v>2</v>
      </c>
      <c r="AV58" s="15">
        <v>3</v>
      </c>
      <c r="AW58" s="15" t="s">
        <v>11665</v>
      </c>
      <c r="AX58" s="15">
        <v>3</v>
      </c>
      <c r="AY58" s="15">
        <v>2</v>
      </c>
      <c r="AZ58" s="15">
        <v>1</v>
      </c>
      <c r="BA58" s="15">
        <v>4</v>
      </c>
      <c r="BB58" s="15" t="s">
        <v>11680</v>
      </c>
      <c r="BC58" s="15"/>
      <c r="BD58" s="9">
        <v>1</v>
      </c>
    </row>
    <row r="59" spans="1:56" ht="12.75">
      <c r="A59" s="10"/>
      <c r="B59" s="11" t="s">
        <v>5365</v>
      </c>
      <c r="C59" s="10" t="s">
        <v>11681</v>
      </c>
      <c r="D59" s="12"/>
      <c r="E59" s="12"/>
      <c r="F59" s="12" t="s">
        <v>11851</v>
      </c>
      <c r="G59" s="27" t="s">
        <v>11852</v>
      </c>
      <c r="H59" s="17" t="s">
        <v>11853</v>
      </c>
      <c r="I59" s="18">
        <v>44805</v>
      </c>
      <c r="J59" s="12" t="s">
        <v>11854</v>
      </c>
      <c r="K59" s="12" t="s">
        <v>11663</v>
      </c>
      <c r="L59" s="12" t="s">
        <v>11663</v>
      </c>
      <c r="M59" s="12" t="s">
        <v>11664</v>
      </c>
      <c r="N59" s="12" t="s">
        <v>11663</v>
      </c>
      <c r="O59" s="12" t="s">
        <v>11663</v>
      </c>
      <c r="P59" s="12">
        <v>8</v>
      </c>
      <c r="Q59" s="12">
        <v>8</v>
      </c>
      <c r="R59" s="12">
        <v>0</v>
      </c>
      <c r="S59" s="12">
        <v>0</v>
      </c>
      <c r="T59" s="12">
        <v>0</v>
      </c>
      <c r="U59" s="14" t="s">
        <v>11664</v>
      </c>
      <c r="V59" s="15" t="s">
        <v>11664</v>
      </c>
      <c r="W59" s="14" t="s">
        <v>11664</v>
      </c>
      <c r="X59" s="14" t="s">
        <v>11663</v>
      </c>
      <c r="Y59" s="14" t="s">
        <v>11664</v>
      </c>
      <c r="Z59" s="14" t="s">
        <v>11663</v>
      </c>
      <c r="AA59" s="14" t="s">
        <v>11664</v>
      </c>
      <c r="AB59" s="14" t="s">
        <v>11663</v>
      </c>
      <c r="AC59" s="14" t="s">
        <v>11663</v>
      </c>
      <c r="AD59" s="14" t="s">
        <v>11663</v>
      </c>
      <c r="AE59" s="14" t="s">
        <v>11663</v>
      </c>
      <c r="AF59" s="15">
        <v>60</v>
      </c>
      <c r="AG59" s="15">
        <v>200</v>
      </c>
      <c r="AH59" s="15">
        <v>500</v>
      </c>
      <c r="AI59" s="15">
        <v>0</v>
      </c>
      <c r="AJ59" s="15">
        <v>0</v>
      </c>
      <c r="AK59" s="15">
        <v>0</v>
      </c>
      <c r="AL59" s="15">
        <v>0</v>
      </c>
      <c r="AM59" s="15">
        <v>0</v>
      </c>
      <c r="AN59" s="15">
        <v>0</v>
      </c>
      <c r="AO59" s="15">
        <v>0</v>
      </c>
      <c r="AP59" s="14">
        <v>0</v>
      </c>
      <c r="AQ59" s="14">
        <v>0</v>
      </c>
      <c r="AR59" s="15">
        <v>1</v>
      </c>
      <c r="AS59" s="15">
        <v>2</v>
      </c>
      <c r="AT59" s="15">
        <v>4</v>
      </c>
      <c r="AU59" s="15">
        <v>3</v>
      </c>
      <c r="AV59" s="15">
        <v>5</v>
      </c>
      <c r="AW59" s="15" t="s">
        <v>11671</v>
      </c>
      <c r="AX59" s="15">
        <v>3</v>
      </c>
      <c r="AY59" s="15">
        <v>2</v>
      </c>
      <c r="AZ59" s="15">
        <v>1</v>
      </c>
      <c r="BA59" s="15">
        <v>4</v>
      </c>
      <c r="BB59" s="15" t="s">
        <v>11680</v>
      </c>
      <c r="BC59" s="15"/>
      <c r="BD59" s="9">
        <v>1</v>
      </c>
    </row>
    <row r="60" spans="1:56" ht="12.75">
      <c r="A60" s="10"/>
      <c r="B60" s="11" t="s">
        <v>5484</v>
      </c>
      <c r="C60" s="10" t="s">
        <v>11756</v>
      </c>
      <c r="D60" s="12"/>
      <c r="E60" s="12"/>
      <c r="F60" s="12" t="s">
        <v>11855</v>
      </c>
      <c r="G60" s="12" t="s">
        <v>11856</v>
      </c>
      <c r="H60" s="17">
        <v>982190367</v>
      </c>
      <c r="I60" s="18">
        <v>44713</v>
      </c>
      <c r="J60" s="12" t="s">
        <v>11857</v>
      </c>
      <c r="K60" s="12" t="s">
        <v>11663</v>
      </c>
      <c r="L60" s="12" t="s">
        <v>11663</v>
      </c>
      <c r="M60" s="12" t="s">
        <v>11663</v>
      </c>
      <c r="N60" s="12" t="s">
        <v>11663</v>
      </c>
      <c r="O60" s="12" t="s">
        <v>11664</v>
      </c>
      <c r="P60" s="12">
        <v>0</v>
      </c>
      <c r="Q60" s="12">
        <v>0</v>
      </c>
      <c r="R60" s="12">
        <v>5</v>
      </c>
      <c r="S60" s="12">
        <v>3</v>
      </c>
      <c r="T60" s="12">
        <v>2</v>
      </c>
      <c r="U60" s="14" t="s">
        <v>11663</v>
      </c>
      <c r="V60" s="15" t="s">
        <v>11663</v>
      </c>
      <c r="W60" s="14" t="s">
        <v>11664</v>
      </c>
      <c r="X60" s="14" t="s">
        <v>11663</v>
      </c>
      <c r="Y60" s="14" t="s">
        <v>11663</v>
      </c>
      <c r="Z60" s="14" t="s">
        <v>11663</v>
      </c>
      <c r="AA60" s="14" t="s">
        <v>11663</v>
      </c>
      <c r="AB60" s="14" t="s">
        <v>11663</v>
      </c>
      <c r="AC60" s="14" t="s">
        <v>11664</v>
      </c>
      <c r="AD60" s="14" t="s">
        <v>11663</v>
      </c>
      <c r="AE60" s="14" t="s">
        <v>11663</v>
      </c>
      <c r="AF60" s="15">
        <v>95</v>
      </c>
      <c r="AG60" s="15">
        <v>10</v>
      </c>
      <c r="AH60" s="15">
        <v>95</v>
      </c>
      <c r="AI60" s="15">
        <v>0</v>
      </c>
      <c r="AJ60" s="15">
        <v>0</v>
      </c>
      <c r="AK60" s="15">
        <v>0</v>
      </c>
      <c r="AL60" s="15">
        <v>1</v>
      </c>
      <c r="AM60" s="15">
        <v>1</v>
      </c>
      <c r="AN60" s="15">
        <v>3</v>
      </c>
      <c r="AO60" s="15">
        <v>0</v>
      </c>
      <c r="AP60" s="14">
        <v>5</v>
      </c>
      <c r="AQ60" s="14">
        <v>10</v>
      </c>
      <c r="AR60" s="15">
        <v>5</v>
      </c>
      <c r="AS60" s="15">
        <v>4</v>
      </c>
      <c r="AT60" s="15">
        <v>3</v>
      </c>
      <c r="AU60" s="15">
        <v>2</v>
      </c>
      <c r="AV60" s="15">
        <v>1</v>
      </c>
      <c r="AW60" s="15"/>
      <c r="AX60" s="15">
        <v>2</v>
      </c>
      <c r="AY60" s="15">
        <v>1</v>
      </c>
      <c r="AZ60" s="15">
        <v>3</v>
      </c>
      <c r="BA60" s="15">
        <v>4</v>
      </c>
      <c r="BB60" s="15" t="s">
        <v>11737</v>
      </c>
      <c r="BC60" s="15"/>
      <c r="BD60" s="9">
        <v>0</v>
      </c>
    </row>
    <row r="61" spans="1:56" ht="12.75">
      <c r="A61" s="10"/>
      <c r="B61" s="11" t="s">
        <v>11858</v>
      </c>
      <c r="C61" s="10" t="s">
        <v>11660</v>
      </c>
      <c r="D61" s="12"/>
      <c r="E61" s="12"/>
      <c r="F61" s="12" t="s">
        <v>11859</v>
      </c>
      <c r="G61" s="12" t="s">
        <v>11860</v>
      </c>
      <c r="H61" s="17">
        <v>950772582</v>
      </c>
      <c r="I61" s="18">
        <v>45139</v>
      </c>
      <c r="J61" s="12"/>
      <c r="K61" s="12" t="s">
        <v>11663</v>
      </c>
      <c r="L61" s="12" t="s">
        <v>11663</v>
      </c>
      <c r="M61" s="12" t="s">
        <v>11664</v>
      </c>
      <c r="N61" s="12" t="s">
        <v>11663</v>
      </c>
      <c r="O61" s="12" t="s">
        <v>11664</v>
      </c>
      <c r="P61" s="12">
        <v>0</v>
      </c>
      <c r="Q61" s="12">
        <v>0</v>
      </c>
      <c r="R61" s="12">
        <v>0</v>
      </c>
      <c r="S61" s="12">
        <v>0</v>
      </c>
      <c r="T61" s="12">
        <v>0</v>
      </c>
      <c r="U61" s="14" t="s">
        <v>11663</v>
      </c>
      <c r="V61" s="15" t="s">
        <v>11664</v>
      </c>
      <c r="W61" s="15" t="s">
        <v>11664</v>
      </c>
      <c r="X61" s="15" t="s">
        <v>11664</v>
      </c>
      <c r="Y61" s="15" t="s">
        <v>11664</v>
      </c>
      <c r="Z61" s="14" t="s">
        <v>11663</v>
      </c>
      <c r="AA61" s="14" t="s">
        <v>11664</v>
      </c>
      <c r="AB61" s="14" t="s">
        <v>11664</v>
      </c>
      <c r="AC61" s="14" t="s">
        <v>11664</v>
      </c>
      <c r="AD61" s="14" t="s">
        <v>11663</v>
      </c>
      <c r="AE61" s="14" t="s">
        <v>11664</v>
      </c>
      <c r="AF61" s="15">
        <v>18</v>
      </c>
      <c r="AG61" s="15">
        <v>12</v>
      </c>
      <c r="AH61" s="15">
        <v>4</v>
      </c>
      <c r="AI61" s="15">
        <v>0</v>
      </c>
      <c r="AJ61" s="15">
        <v>0</v>
      </c>
      <c r="AK61" s="15">
        <v>0</v>
      </c>
      <c r="AL61" s="15">
        <v>0</v>
      </c>
      <c r="AM61" s="15">
        <v>0</v>
      </c>
      <c r="AN61" s="15">
        <v>0</v>
      </c>
      <c r="AO61" s="15">
        <v>7</v>
      </c>
      <c r="AP61" s="14">
        <v>0</v>
      </c>
      <c r="AQ61" s="14">
        <v>0</v>
      </c>
      <c r="AR61" s="15">
        <v>5</v>
      </c>
      <c r="AS61" s="15">
        <v>1</v>
      </c>
      <c r="AT61" s="15">
        <v>3</v>
      </c>
      <c r="AU61" s="15">
        <v>1</v>
      </c>
      <c r="AV61" s="15">
        <v>5</v>
      </c>
      <c r="AW61" s="15" t="s">
        <v>11700</v>
      </c>
      <c r="AX61" s="15">
        <v>3</v>
      </c>
      <c r="AY61" s="15">
        <v>2</v>
      </c>
      <c r="AZ61" s="15">
        <v>1</v>
      </c>
      <c r="BA61" s="15">
        <v>4</v>
      </c>
      <c r="BB61" s="15" t="s">
        <v>11666</v>
      </c>
      <c r="BC61" s="15"/>
      <c r="BD61" s="9">
        <v>1</v>
      </c>
    </row>
    <row r="62" spans="1:56" ht="12.75">
      <c r="A62" s="10"/>
      <c r="B62" s="11" t="s">
        <v>5788</v>
      </c>
      <c r="C62" s="10" t="s">
        <v>11705</v>
      </c>
      <c r="D62" s="12"/>
      <c r="E62" s="12"/>
      <c r="F62" s="12" t="s">
        <v>11861</v>
      </c>
      <c r="G62" s="12" t="s">
        <v>11862</v>
      </c>
      <c r="H62" s="17">
        <v>994448225</v>
      </c>
      <c r="I62" s="12" t="s">
        <v>58</v>
      </c>
      <c r="J62" s="12"/>
      <c r="K62" s="12" t="s">
        <v>11663</v>
      </c>
      <c r="L62" s="12" t="s">
        <v>11664</v>
      </c>
      <c r="M62" s="12" t="s">
        <v>11664</v>
      </c>
      <c r="N62" s="12" t="s">
        <v>11663</v>
      </c>
      <c r="O62" s="12" t="s">
        <v>11663</v>
      </c>
      <c r="P62" s="12">
        <v>2</v>
      </c>
      <c r="Q62" s="12">
        <v>2</v>
      </c>
      <c r="R62" s="12">
        <v>1</v>
      </c>
      <c r="S62" s="12">
        <v>0</v>
      </c>
      <c r="T62" s="12">
        <v>0</v>
      </c>
      <c r="U62" s="14" t="s">
        <v>11664</v>
      </c>
      <c r="V62" s="15" t="s">
        <v>11664</v>
      </c>
      <c r="W62" s="14" t="s">
        <v>11664</v>
      </c>
      <c r="X62" s="14" t="s">
        <v>11663</v>
      </c>
      <c r="Y62" s="14" t="s">
        <v>11664</v>
      </c>
      <c r="Z62" s="14" t="s">
        <v>11663</v>
      </c>
      <c r="AA62" s="14" t="s">
        <v>11664</v>
      </c>
      <c r="AB62" s="14" t="s">
        <v>11664</v>
      </c>
      <c r="AC62" s="14" t="s">
        <v>11664</v>
      </c>
      <c r="AD62" s="14" t="s">
        <v>11664</v>
      </c>
      <c r="AE62" s="14" t="s">
        <v>11664</v>
      </c>
      <c r="AF62" s="15">
        <v>0</v>
      </c>
      <c r="AG62" s="15">
        <v>0</v>
      </c>
      <c r="AH62" s="15">
        <v>0</v>
      </c>
      <c r="AI62" s="15">
        <v>0</v>
      </c>
      <c r="AJ62" s="15">
        <v>0</v>
      </c>
      <c r="AK62" s="15">
        <v>0</v>
      </c>
      <c r="AL62" s="15">
        <v>1</v>
      </c>
      <c r="AM62" s="15">
        <v>0</v>
      </c>
      <c r="AN62" s="15">
        <v>0</v>
      </c>
      <c r="AO62" s="15">
        <v>0</v>
      </c>
      <c r="AP62" s="14">
        <v>1</v>
      </c>
      <c r="AQ62" s="14">
        <v>0</v>
      </c>
      <c r="AR62" s="15" t="s">
        <v>58</v>
      </c>
      <c r="AS62" s="15" t="s">
        <v>58</v>
      </c>
      <c r="AT62" s="15" t="s">
        <v>58</v>
      </c>
      <c r="AU62" s="15" t="s">
        <v>58</v>
      </c>
      <c r="AV62" s="15" t="s">
        <v>58</v>
      </c>
      <c r="AW62" s="15" t="s">
        <v>11700</v>
      </c>
      <c r="AX62" s="15" t="s">
        <v>58</v>
      </c>
      <c r="AY62" s="15" t="s">
        <v>58</v>
      </c>
      <c r="AZ62" s="15" t="s">
        <v>58</v>
      </c>
      <c r="BA62" s="15" t="s">
        <v>58</v>
      </c>
      <c r="BB62" s="15" t="s">
        <v>11666</v>
      </c>
      <c r="BC62" s="15" t="s">
        <v>11863</v>
      </c>
      <c r="BD62" s="9">
        <v>0</v>
      </c>
    </row>
    <row r="63" spans="1:56" ht="12.75">
      <c r="A63" s="10"/>
      <c r="B63" s="11" t="s">
        <v>5824</v>
      </c>
      <c r="C63" s="10" t="s">
        <v>11688</v>
      </c>
      <c r="D63" s="12"/>
      <c r="E63" s="12"/>
      <c r="F63" s="12" t="s">
        <v>10272</v>
      </c>
      <c r="G63" s="12" t="s">
        <v>11864</v>
      </c>
      <c r="H63" s="17">
        <v>997661179</v>
      </c>
      <c r="I63" s="12" t="s">
        <v>58</v>
      </c>
      <c r="J63" s="12"/>
      <c r="K63" s="12" t="s">
        <v>11664</v>
      </c>
      <c r="L63" s="12" t="s">
        <v>11664</v>
      </c>
      <c r="M63" s="12" t="s">
        <v>11664</v>
      </c>
      <c r="N63" s="12" t="s">
        <v>11664</v>
      </c>
      <c r="O63" s="12" t="s">
        <v>11663</v>
      </c>
      <c r="P63" s="12" t="s">
        <v>58</v>
      </c>
      <c r="Q63" s="12" t="s">
        <v>58</v>
      </c>
      <c r="R63" s="12">
        <v>0</v>
      </c>
      <c r="S63" s="12">
        <v>0</v>
      </c>
      <c r="T63" s="12">
        <v>0</v>
      </c>
      <c r="U63" s="14" t="s">
        <v>11664</v>
      </c>
      <c r="V63" s="15" t="s">
        <v>11664</v>
      </c>
      <c r="W63" s="14" t="s">
        <v>11664</v>
      </c>
      <c r="X63" s="14" t="s">
        <v>11663</v>
      </c>
      <c r="Y63" s="14" t="s">
        <v>11664</v>
      </c>
      <c r="Z63" s="14" t="s">
        <v>11663</v>
      </c>
      <c r="AA63" s="14" t="s">
        <v>11664</v>
      </c>
      <c r="AB63" s="14" t="s">
        <v>11664</v>
      </c>
      <c r="AC63" s="14" t="s">
        <v>11664</v>
      </c>
      <c r="AD63" s="14" t="s">
        <v>11664</v>
      </c>
      <c r="AE63" s="14" t="s">
        <v>11664</v>
      </c>
      <c r="AF63" s="15">
        <v>0</v>
      </c>
      <c r="AG63" s="15">
        <v>0</v>
      </c>
      <c r="AH63" s="15">
        <v>0</v>
      </c>
      <c r="AI63" s="15">
        <v>0</v>
      </c>
      <c r="AJ63" s="15">
        <v>0</v>
      </c>
      <c r="AK63" s="15">
        <v>0</v>
      </c>
      <c r="AL63" s="15">
        <v>0</v>
      </c>
      <c r="AM63" s="15">
        <v>0</v>
      </c>
      <c r="AN63" s="15">
        <v>0</v>
      </c>
      <c r="AO63" s="15">
        <v>0</v>
      </c>
      <c r="AP63" s="15">
        <v>0</v>
      </c>
      <c r="AQ63" s="15">
        <v>0</v>
      </c>
      <c r="AR63" s="15" t="s">
        <v>58</v>
      </c>
      <c r="AS63" s="15" t="s">
        <v>58</v>
      </c>
      <c r="AT63" s="15" t="s">
        <v>58</v>
      </c>
      <c r="AU63" s="15" t="s">
        <v>58</v>
      </c>
      <c r="AV63" s="15" t="s">
        <v>58</v>
      </c>
      <c r="AW63" s="15" t="s">
        <v>11665</v>
      </c>
      <c r="AX63" s="15" t="s">
        <v>58</v>
      </c>
      <c r="AY63" s="15" t="s">
        <v>58</v>
      </c>
      <c r="AZ63" s="15">
        <v>1</v>
      </c>
      <c r="BA63" s="15" t="s">
        <v>58</v>
      </c>
      <c r="BB63" s="15" t="s">
        <v>11666</v>
      </c>
      <c r="BC63" s="15"/>
      <c r="BD63" s="9">
        <v>0</v>
      </c>
    </row>
    <row r="64" spans="1:56" ht="12.75">
      <c r="A64" s="10"/>
      <c r="B64" s="11" t="s">
        <v>5846</v>
      </c>
      <c r="C64" s="10" t="s">
        <v>10526</v>
      </c>
      <c r="D64" s="12"/>
      <c r="E64" s="12"/>
      <c r="F64" s="12" t="s">
        <v>11865</v>
      </c>
      <c r="G64" s="12" t="s">
        <v>11866</v>
      </c>
      <c r="H64" s="17">
        <v>990451670</v>
      </c>
      <c r="I64" s="12" t="s">
        <v>58</v>
      </c>
      <c r="J64" s="12"/>
      <c r="K64" s="12" t="s">
        <v>11664</v>
      </c>
      <c r="L64" s="12" t="s">
        <v>11663</v>
      </c>
      <c r="M64" s="12" t="s">
        <v>11664</v>
      </c>
      <c r="N64" s="12" t="s">
        <v>11664</v>
      </c>
      <c r="O64" s="12" t="s">
        <v>11663</v>
      </c>
      <c r="P64" s="12">
        <v>7</v>
      </c>
      <c r="Q64" s="12">
        <v>7</v>
      </c>
      <c r="R64" s="12">
        <v>0</v>
      </c>
      <c r="S64" s="12">
        <v>0</v>
      </c>
      <c r="T64" s="12">
        <v>0</v>
      </c>
      <c r="U64" s="14" t="s">
        <v>11663</v>
      </c>
      <c r="V64" s="15" t="s">
        <v>11664</v>
      </c>
      <c r="W64" s="14" t="s">
        <v>11663</v>
      </c>
      <c r="X64" s="14" t="s">
        <v>11664</v>
      </c>
      <c r="Y64" s="14" t="s">
        <v>11663</v>
      </c>
      <c r="Z64" s="14" t="s">
        <v>11663</v>
      </c>
      <c r="AA64" s="14" t="s">
        <v>11663</v>
      </c>
      <c r="AB64" s="14" t="s">
        <v>11664</v>
      </c>
      <c r="AC64" s="14" t="s">
        <v>11663</v>
      </c>
      <c r="AD64" s="14" t="s">
        <v>11663</v>
      </c>
      <c r="AE64" s="14" t="s">
        <v>11664</v>
      </c>
      <c r="AF64" s="15">
        <v>120</v>
      </c>
      <c r="AG64" s="15">
        <v>96</v>
      </c>
      <c r="AH64" s="15">
        <v>200</v>
      </c>
      <c r="AI64" s="15">
        <v>2</v>
      </c>
      <c r="AJ64" s="15">
        <v>0</v>
      </c>
      <c r="AK64" s="15">
        <v>0</v>
      </c>
      <c r="AL64" s="15">
        <v>0</v>
      </c>
      <c r="AM64" s="15">
        <v>0</v>
      </c>
      <c r="AN64" s="15">
        <v>0</v>
      </c>
      <c r="AO64" s="15">
        <v>35</v>
      </c>
      <c r="AP64" s="14">
        <v>0</v>
      </c>
      <c r="AQ64" s="14">
        <v>1</v>
      </c>
      <c r="AR64" s="15">
        <v>2</v>
      </c>
      <c r="AS64" s="15">
        <v>3</v>
      </c>
      <c r="AT64" s="15">
        <v>1</v>
      </c>
      <c r="AU64" s="15">
        <v>4</v>
      </c>
      <c r="AV64" s="15">
        <v>5</v>
      </c>
      <c r="AW64" s="15" t="s">
        <v>11671</v>
      </c>
      <c r="AX64" s="15">
        <v>3</v>
      </c>
      <c r="AY64" s="15">
        <v>2</v>
      </c>
      <c r="AZ64" s="15">
        <v>1</v>
      </c>
      <c r="BA64" s="15">
        <v>4</v>
      </c>
      <c r="BB64" s="15" t="s">
        <v>11666</v>
      </c>
      <c r="BC64" s="15"/>
      <c r="BD64" s="9">
        <v>1</v>
      </c>
    </row>
    <row r="65" spans="1:56" ht="12.75">
      <c r="A65" s="10"/>
      <c r="B65" s="11" t="s">
        <v>5912</v>
      </c>
      <c r="C65" s="10" t="s">
        <v>11681</v>
      </c>
      <c r="D65" s="27"/>
      <c r="E65" s="27"/>
      <c r="F65" s="27" t="s">
        <v>11867</v>
      </c>
      <c r="G65" s="12" t="s">
        <v>11868</v>
      </c>
      <c r="H65" s="28">
        <v>432648474</v>
      </c>
      <c r="I65" s="18">
        <v>43739</v>
      </c>
      <c r="J65" s="27" t="s">
        <v>11869</v>
      </c>
      <c r="K65" s="27" t="s">
        <v>11663</v>
      </c>
      <c r="L65" s="12" t="s">
        <v>11663</v>
      </c>
      <c r="M65" s="12" t="s">
        <v>11663</v>
      </c>
      <c r="N65" s="12" t="s">
        <v>11663</v>
      </c>
      <c r="O65" s="12" t="s">
        <v>11663</v>
      </c>
      <c r="P65" s="12">
        <v>10</v>
      </c>
      <c r="Q65" s="12">
        <v>4</v>
      </c>
      <c r="R65" s="12">
        <v>1</v>
      </c>
      <c r="S65" s="12">
        <v>0</v>
      </c>
      <c r="T65" s="12">
        <v>1</v>
      </c>
      <c r="U65" s="14" t="s">
        <v>11664</v>
      </c>
      <c r="V65" s="15" t="s">
        <v>11664</v>
      </c>
      <c r="W65" s="14" t="s">
        <v>11663</v>
      </c>
      <c r="X65" s="14" t="s">
        <v>11663</v>
      </c>
      <c r="Y65" s="14" t="s">
        <v>11664</v>
      </c>
      <c r="Z65" s="14" t="s">
        <v>11663</v>
      </c>
      <c r="AA65" s="14" t="s">
        <v>11663</v>
      </c>
      <c r="AB65" s="14" t="s">
        <v>11663</v>
      </c>
      <c r="AC65" s="14" t="s">
        <v>11664</v>
      </c>
      <c r="AD65" s="14" t="s">
        <v>11663</v>
      </c>
      <c r="AE65" s="14" t="s">
        <v>11664</v>
      </c>
      <c r="AF65" s="14">
        <v>17</v>
      </c>
      <c r="AG65" s="15">
        <v>127</v>
      </c>
      <c r="AH65" s="15">
        <v>221</v>
      </c>
      <c r="AI65" s="15">
        <v>2</v>
      </c>
      <c r="AJ65" s="15">
        <v>0</v>
      </c>
      <c r="AK65" s="15">
        <v>0</v>
      </c>
      <c r="AL65" s="15">
        <v>0</v>
      </c>
      <c r="AM65" s="15">
        <v>2</v>
      </c>
      <c r="AN65" s="15">
        <v>2</v>
      </c>
      <c r="AO65" s="15">
        <v>155</v>
      </c>
      <c r="AP65" s="14">
        <v>0</v>
      </c>
      <c r="AQ65" s="14">
        <v>0</v>
      </c>
      <c r="AR65" s="15">
        <v>5</v>
      </c>
      <c r="AS65" s="15">
        <v>4</v>
      </c>
      <c r="AT65" s="15">
        <v>1</v>
      </c>
      <c r="AU65" s="15">
        <v>2</v>
      </c>
      <c r="AV65" s="15">
        <v>3</v>
      </c>
      <c r="AW65" s="15" t="s">
        <v>11665</v>
      </c>
      <c r="AX65" s="15">
        <v>1</v>
      </c>
      <c r="AY65" s="15">
        <v>4</v>
      </c>
      <c r="AZ65" s="15">
        <v>3</v>
      </c>
      <c r="BA65" s="15">
        <v>2</v>
      </c>
      <c r="BB65" s="15" t="s">
        <v>11680</v>
      </c>
      <c r="BC65" s="15"/>
      <c r="BD65" s="9">
        <v>0</v>
      </c>
    </row>
    <row r="66" spans="1:56" ht="12.75">
      <c r="A66" s="10"/>
      <c r="B66" s="11" t="s">
        <v>6041</v>
      </c>
      <c r="C66" s="10" t="s">
        <v>11756</v>
      </c>
      <c r="D66" s="12"/>
      <c r="E66" s="12"/>
      <c r="F66" s="12" t="s">
        <v>11838</v>
      </c>
      <c r="G66" s="12" t="s">
        <v>11870</v>
      </c>
      <c r="H66" s="1">
        <v>99554706</v>
      </c>
      <c r="I66" s="12" t="s">
        <v>58</v>
      </c>
      <c r="J66" s="12" t="s">
        <v>11871</v>
      </c>
      <c r="K66" s="12" t="s">
        <v>11663</v>
      </c>
      <c r="L66" s="12" t="s">
        <v>11663</v>
      </c>
      <c r="M66" s="12" t="s">
        <v>11663</v>
      </c>
      <c r="N66" s="12" t="s">
        <v>11663</v>
      </c>
      <c r="O66" s="12" t="s">
        <v>11663</v>
      </c>
      <c r="P66" s="12">
        <v>4</v>
      </c>
      <c r="Q66" s="12">
        <v>14</v>
      </c>
      <c r="R66" s="12">
        <v>1</v>
      </c>
      <c r="S66" s="12">
        <v>2</v>
      </c>
      <c r="T66" s="12">
        <v>0</v>
      </c>
      <c r="U66" s="14" t="s">
        <v>11664</v>
      </c>
      <c r="V66" s="15" t="s">
        <v>11664</v>
      </c>
      <c r="W66" s="14" t="s">
        <v>11663</v>
      </c>
      <c r="X66" s="14" t="s">
        <v>11663</v>
      </c>
      <c r="Y66" s="14" t="s">
        <v>11663</v>
      </c>
      <c r="Z66" s="14" t="s">
        <v>11664</v>
      </c>
      <c r="AA66" s="14" t="s">
        <v>11664</v>
      </c>
      <c r="AB66" s="14" t="s">
        <v>11663</v>
      </c>
      <c r="AC66" s="14" t="s">
        <v>11664</v>
      </c>
      <c r="AD66" s="14" t="s">
        <v>11663</v>
      </c>
      <c r="AE66" s="14" t="s">
        <v>11664</v>
      </c>
      <c r="AF66" s="15">
        <v>23</v>
      </c>
      <c r="AG66" s="15">
        <v>568</v>
      </c>
      <c r="AH66" s="15">
        <v>30</v>
      </c>
      <c r="AI66" s="15">
        <v>1</v>
      </c>
      <c r="AJ66" s="15">
        <v>10</v>
      </c>
      <c r="AK66" s="15">
        <v>2</v>
      </c>
      <c r="AL66" s="15">
        <v>0</v>
      </c>
      <c r="AM66" s="15">
        <v>0</v>
      </c>
      <c r="AN66" s="15">
        <v>3</v>
      </c>
      <c r="AO66" s="15">
        <v>16</v>
      </c>
      <c r="AP66" s="14">
        <v>0</v>
      </c>
      <c r="AQ66" s="14">
        <v>0</v>
      </c>
      <c r="AR66" s="15">
        <v>1</v>
      </c>
      <c r="AS66" s="15">
        <v>3</v>
      </c>
      <c r="AT66" s="15">
        <v>4</v>
      </c>
      <c r="AU66" s="15">
        <v>5</v>
      </c>
      <c r="AV66" s="15">
        <v>2</v>
      </c>
      <c r="AW66" s="15" t="s">
        <v>11665</v>
      </c>
      <c r="AX66" s="15">
        <v>3</v>
      </c>
      <c r="AY66" s="15">
        <v>2</v>
      </c>
      <c r="AZ66" s="15">
        <v>1</v>
      </c>
      <c r="BA66" s="15">
        <v>4</v>
      </c>
      <c r="BB66" s="15" t="s">
        <v>11675</v>
      </c>
      <c r="BC66" s="15" t="s">
        <v>11872</v>
      </c>
      <c r="BD66" s="9">
        <v>1</v>
      </c>
    </row>
    <row r="67" spans="1:56" ht="12.75">
      <c r="A67" s="10"/>
      <c r="B67" s="11" t="s">
        <v>11873</v>
      </c>
      <c r="C67" s="10" t="s">
        <v>11667</v>
      </c>
      <c r="D67" s="12"/>
      <c r="E67" s="12"/>
      <c r="F67" s="12" t="s">
        <v>11874</v>
      </c>
      <c r="G67" s="38" t="s">
        <v>11875</v>
      </c>
      <c r="H67" s="17">
        <v>988864998</v>
      </c>
      <c r="I67" s="18">
        <v>45383</v>
      </c>
      <c r="J67" s="12"/>
      <c r="K67" s="12" t="s">
        <v>11663</v>
      </c>
      <c r="L67" s="12" t="s">
        <v>11663</v>
      </c>
      <c r="M67" s="12" t="s">
        <v>11664</v>
      </c>
      <c r="N67" s="12" t="s">
        <v>11664</v>
      </c>
      <c r="O67" s="12" t="s">
        <v>11663</v>
      </c>
      <c r="P67" s="12">
        <v>4</v>
      </c>
      <c r="Q67" s="12">
        <v>4</v>
      </c>
      <c r="R67" s="12">
        <v>0</v>
      </c>
      <c r="S67" s="12">
        <v>0</v>
      </c>
      <c r="T67" s="12">
        <v>0</v>
      </c>
      <c r="U67" s="14" t="s">
        <v>11663</v>
      </c>
      <c r="V67" s="15" t="s">
        <v>11664</v>
      </c>
      <c r="W67" s="14" t="s">
        <v>11664</v>
      </c>
      <c r="X67" s="14" t="s">
        <v>11663</v>
      </c>
      <c r="Y67" s="14" t="s">
        <v>11664</v>
      </c>
      <c r="Z67" s="14" t="s">
        <v>11663</v>
      </c>
      <c r="AA67" s="14" t="s">
        <v>11664</v>
      </c>
      <c r="AB67" s="14" t="s">
        <v>11664</v>
      </c>
      <c r="AC67" s="14" t="s">
        <v>11664</v>
      </c>
      <c r="AD67" s="14" t="s">
        <v>11663</v>
      </c>
      <c r="AE67" s="14" t="s">
        <v>11663</v>
      </c>
      <c r="AF67" s="15">
        <v>8</v>
      </c>
      <c r="AG67" s="15">
        <v>0</v>
      </c>
      <c r="AH67" s="15">
        <v>13</v>
      </c>
      <c r="AI67" s="15">
        <v>0</v>
      </c>
      <c r="AJ67" s="15">
        <v>0</v>
      </c>
      <c r="AK67" s="15">
        <v>0</v>
      </c>
      <c r="AL67" s="15">
        <v>0</v>
      </c>
      <c r="AM67" s="15">
        <v>3</v>
      </c>
      <c r="AN67" s="15">
        <v>3</v>
      </c>
      <c r="AO67" s="15">
        <v>10</v>
      </c>
      <c r="AP67" s="14">
        <v>0</v>
      </c>
      <c r="AQ67" s="14">
        <v>0</v>
      </c>
      <c r="AR67" s="15">
        <v>3</v>
      </c>
      <c r="AS67" s="15">
        <v>2</v>
      </c>
      <c r="AT67" s="15">
        <v>1</v>
      </c>
      <c r="AU67" s="15">
        <v>4</v>
      </c>
      <c r="AV67" s="15">
        <v>5</v>
      </c>
      <c r="AW67" s="15" t="s">
        <v>11665</v>
      </c>
      <c r="AX67" s="15">
        <v>2</v>
      </c>
      <c r="AY67" s="15">
        <v>3</v>
      </c>
      <c r="AZ67" s="15">
        <v>1</v>
      </c>
      <c r="BA67" s="15">
        <v>4</v>
      </c>
      <c r="BB67" s="15" t="s">
        <v>11680</v>
      </c>
      <c r="BC67" s="15"/>
      <c r="BD67" s="9">
        <v>1</v>
      </c>
    </row>
    <row r="68" spans="1:56" ht="15">
      <c r="A68" s="10"/>
      <c r="B68" s="11" t="s">
        <v>6146</v>
      </c>
      <c r="C68" s="10" t="s">
        <v>11660</v>
      </c>
      <c r="D68" s="12"/>
      <c r="E68" s="12"/>
      <c r="F68" s="12" t="s">
        <v>11876</v>
      </c>
      <c r="G68" s="12" t="s">
        <v>11877</v>
      </c>
      <c r="H68" s="13">
        <v>981203941</v>
      </c>
      <c r="I68" s="18">
        <v>45474</v>
      </c>
      <c r="J68" s="12"/>
      <c r="K68" s="12" t="s">
        <v>11663</v>
      </c>
      <c r="L68" s="12" t="s">
        <v>11664</v>
      </c>
      <c r="M68" s="12" t="s">
        <v>11664</v>
      </c>
      <c r="N68" s="12" t="s">
        <v>11664</v>
      </c>
      <c r="O68" s="12" t="s">
        <v>11664</v>
      </c>
      <c r="P68" s="12">
        <v>0</v>
      </c>
      <c r="Q68" s="12">
        <v>0</v>
      </c>
      <c r="R68" s="12">
        <v>0</v>
      </c>
      <c r="S68" s="12">
        <v>0</v>
      </c>
      <c r="T68" s="12">
        <v>0</v>
      </c>
      <c r="U68" s="14" t="s">
        <v>11664</v>
      </c>
      <c r="V68" s="15" t="s">
        <v>11664</v>
      </c>
      <c r="W68" s="14" t="s">
        <v>11664</v>
      </c>
      <c r="X68" s="14" t="s">
        <v>11663</v>
      </c>
      <c r="Y68" s="14" t="s">
        <v>11663</v>
      </c>
      <c r="Z68" s="14" t="s">
        <v>11663</v>
      </c>
      <c r="AA68" s="14" t="s">
        <v>11663</v>
      </c>
      <c r="AB68" s="14" t="s">
        <v>11664</v>
      </c>
      <c r="AC68" s="14" t="s">
        <v>11664</v>
      </c>
      <c r="AD68" s="14" t="s">
        <v>11664</v>
      </c>
      <c r="AE68" s="14" t="s">
        <v>11664</v>
      </c>
      <c r="AF68" s="15">
        <v>0</v>
      </c>
      <c r="AG68" s="15">
        <v>0</v>
      </c>
      <c r="AH68" s="15">
        <v>0</v>
      </c>
      <c r="AI68" s="15">
        <v>0</v>
      </c>
      <c r="AJ68" s="15">
        <v>0</v>
      </c>
      <c r="AK68" s="15">
        <v>0</v>
      </c>
      <c r="AL68" s="15">
        <v>0</v>
      </c>
      <c r="AM68" s="15">
        <v>0</v>
      </c>
      <c r="AN68" s="15">
        <v>0</v>
      </c>
      <c r="AO68" s="15">
        <v>0</v>
      </c>
      <c r="AP68" s="15">
        <v>0</v>
      </c>
      <c r="AQ68" s="15">
        <v>0</v>
      </c>
      <c r="AR68" s="15">
        <v>1</v>
      </c>
      <c r="AS68" s="15">
        <v>2</v>
      </c>
      <c r="AT68" s="15">
        <v>3</v>
      </c>
      <c r="AU68" s="15">
        <v>5</v>
      </c>
      <c r="AV68" s="15">
        <v>4</v>
      </c>
      <c r="AW68" s="15" t="s">
        <v>11665</v>
      </c>
      <c r="AX68" s="15">
        <v>4</v>
      </c>
      <c r="AY68" s="15">
        <v>1</v>
      </c>
      <c r="AZ68" s="15">
        <v>2</v>
      </c>
      <c r="BA68" s="15">
        <v>3</v>
      </c>
      <c r="BB68" s="15" t="s">
        <v>1151</v>
      </c>
      <c r="BC68" s="15" t="s">
        <v>11878</v>
      </c>
      <c r="BD68" s="9">
        <v>0</v>
      </c>
    </row>
    <row r="69" spans="1:56" ht="12.75">
      <c r="A69" s="10"/>
      <c r="B69" s="11" t="s">
        <v>11879</v>
      </c>
      <c r="C69" s="10" t="s">
        <v>11676</v>
      </c>
      <c r="D69" s="12"/>
      <c r="E69" s="12"/>
      <c r="F69" s="12" t="s">
        <v>11880</v>
      </c>
      <c r="G69" s="9" t="s">
        <v>11881</v>
      </c>
      <c r="H69" s="17">
        <v>986141117</v>
      </c>
      <c r="I69" s="18">
        <v>44927</v>
      </c>
      <c r="J69" s="12" t="s">
        <v>11882</v>
      </c>
      <c r="K69" s="12" t="s">
        <v>11663</v>
      </c>
      <c r="L69" s="12" t="s">
        <v>11663</v>
      </c>
      <c r="M69" s="12" t="s">
        <v>11664</v>
      </c>
      <c r="N69" s="12" t="s">
        <v>11663</v>
      </c>
      <c r="O69" s="12" t="s">
        <v>11663</v>
      </c>
      <c r="P69" s="12">
        <v>14</v>
      </c>
      <c r="Q69" s="12">
        <v>14</v>
      </c>
      <c r="R69" s="12">
        <v>0</v>
      </c>
      <c r="S69" s="12">
        <v>2</v>
      </c>
      <c r="T69" s="12">
        <v>0</v>
      </c>
      <c r="U69" s="14" t="s">
        <v>11663</v>
      </c>
      <c r="V69" s="15" t="s">
        <v>11663</v>
      </c>
      <c r="W69" s="14" t="s">
        <v>11663</v>
      </c>
      <c r="X69" s="14" t="s">
        <v>11663</v>
      </c>
      <c r="Y69" s="14" t="s">
        <v>11663</v>
      </c>
      <c r="Z69" s="14" t="s">
        <v>11663</v>
      </c>
      <c r="AA69" s="14" t="s">
        <v>11664</v>
      </c>
      <c r="AB69" s="14" t="s">
        <v>11663</v>
      </c>
      <c r="AC69" s="14" t="s">
        <v>11664</v>
      </c>
      <c r="AD69" s="14" t="s">
        <v>11663</v>
      </c>
      <c r="AE69" s="14" t="s">
        <v>11664</v>
      </c>
      <c r="AF69" s="15">
        <v>12</v>
      </c>
      <c r="AG69" s="15">
        <v>30</v>
      </c>
      <c r="AH69" s="15">
        <v>54</v>
      </c>
      <c r="AI69" s="15">
        <v>0</v>
      </c>
      <c r="AJ69" s="15">
        <v>0</v>
      </c>
      <c r="AK69" s="15">
        <v>0</v>
      </c>
      <c r="AL69" s="15">
        <v>0</v>
      </c>
      <c r="AM69" s="15">
        <v>0</v>
      </c>
      <c r="AN69" s="15">
        <v>0</v>
      </c>
      <c r="AO69" s="15">
        <v>0</v>
      </c>
      <c r="AP69" s="14">
        <v>0</v>
      </c>
      <c r="AQ69" s="14">
        <v>1</v>
      </c>
      <c r="AR69" s="15">
        <v>1</v>
      </c>
      <c r="AS69" s="15">
        <v>3</v>
      </c>
      <c r="AT69" s="15">
        <v>5</v>
      </c>
      <c r="AU69" s="15">
        <v>2</v>
      </c>
      <c r="AV69" s="15">
        <v>4</v>
      </c>
      <c r="AW69" s="15" t="s">
        <v>11671</v>
      </c>
      <c r="AX69" s="15">
        <v>4</v>
      </c>
      <c r="AY69" s="15">
        <v>2</v>
      </c>
      <c r="AZ69" s="15">
        <v>1</v>
      </c>
      <c r="BA69" s="15">
        <v>3</v>
      </c>
      <c r="BB69" s="15" t="s">
        <v>1151</v>
      </c>
      <c r="BC69" s="15" t="s">
        <v>11883</v>
      </c>
      <c r="BD69" s="9">
        <v>1</v>
      </c>
    </row>
    <row r="70" spans="1:56" ht="12.75">
      <c r="A70" s="10"/>
      <c r="B70" s="11" t="s">
        <v>11884</v>
      </c>
      <c r="C70" s="10" t="s">
        <v>11756</v>
      </c>
      <c r="D70" s="12"/>
      <c r="E70" s="12"/>
      <c r="F70" s="12" t="s">
        <v>11885</v>
      </c>
      <c r="G70" s="18">
        <v>45139</v>
      </c>
      <c r="H70" s="1">
        <v>998753449</v>
      </c>
      <c r="I70" s="18">
        <v>45139</v>
      </c>
      <c r="J70" s="12" t="s">
        <v>11886</v>
      </c>
      <c r="K70" s="12" t="s">
        <v>11663</v>
      </c>
      <c r="L70" s="12" t="s">
        <v>11663</v>
      </c>
      <c r="M70" s="12" t="s">
        <v>11663</v>
      </c>
      <c r="N70" s="12" t="s">
        <v>11664</v>
      </c>
      <c r="O70" s="12" t="s">
        <v>11664</v>
      </c>
      <c r="P70" s="12">
        <v>0</v>
      </c>
      <c r="Q70" s="12">
        <v>0</v>
      </c>
      <c r="R70" s="12">
        <v>0</v>
      </c>
      <c r="S70" s="12">
        <v>5</v>
      </c>
      <c r="T70" s="12">
        <v>1</v>
      </c>
      <c r="U70" s="14" t="s">
        <v>11664</v>
      </c>
      <c r="V70" s="15" t="s">
        <v>11663</v>
      </c>
      <c r="W70" s="14" t="s">
        <v>11663</v>
      </c>
      <c r="X70" s="14" t="s">
        <v>11663</v>
      </c>
      <c r="Y70" s="14" t="s">
        <v>11663</v>
      </c>
      <c r="Z70" s="14" t="s">
        <v>11663</v>
      </c>
      <c r="AA70" s="14" t="s">
        <v>11663</v>
      </c>
      <c r="AB70" s="14" t="s">
        <v>11663</v>
      </c>
      <c r="AC70" s="14" t="s">
        <v>11664</v>
      </c>
      <c r="AD70" s="14" t="s">
        <v>11663</v>
      </c>
      <c r="AE70" s="14" t="s">
        <v>11663</v>
      </c>
      <c r="AF70" s="15">
        <v>52</v>
      </c>
      <c r="AG70" s="15">
        <v>22</v>
      </c>
      <c r="AH70" s="15">
        <v>0</v>
      </c>
      <c r="AI70" s="15">
        <v>5</v>
      </c>
      <c r="AJ70" s="15">
        <v>0</v>
      </c>
      <c r="AK70" s="15">
        <v>0</v>
      </c>
      <c r="AL70" s="15">
        <v>2</v>
      </c>
      <c r="AM70" s="15">
        <v>0</v>
      </c>
      <c r="AN70" s="15">
        <v>0</v>
      </c>
      <c r="AO70" s="15">
        <v>404</v>
      </c>
      <c r="AP70" s="20">
        <v>3</v>
      </c>
      <c r="AQ70" s="20">
        <v>2</v>
      </c>
      <c r="AR70" s="15">
        <v>5</v>
      </c>
      <c r="AS70" s="15">
        <v>4</v>
      </c>
      <c r="AT70" s="15">
        <v>2</v>
      </c>
      <c r="AU70" s="15">
        <v>1</v>
      </c>
      <c r="AV70" s="15">
        <v>3</v>
      </c>
      <c r="AW70" s="15" t="s">
        <v>11665</v>
      </c>
      <c r="AX70" s="15">
        <v>4</v>
      </c>
      <c r="AY70" s="15">
        <v>3</v>
      </c>
      <c r="AZ70" s="15">
        <v>2</v>
      </c>
      <c r="BA70" s="15">
        <v>1</v>
      </c>
      <c r="BB70" s="15" t="s">
        <v>11666</v>
      </c>
      <c r="BC70" s="15"/>
      <c r="BD70" s="9">
        <v>0</v>
      </c>
    </row>
    <row r="71" spans="1:56" ht="15">
      <c r="A71" s="10"/>
      <c r="B71" s="11" t="s">
        <v>6657</v>
      </c>
      <c r="C71" s="10" t="s">
        <v>11667</v>
      </c>
      <c r="D71" s="12"/>
      <c r="E71" s="12"/>
      <c r="F71" s="12" t="s">
        <v>11887</v>
      </c>
      <c r="G71" s="12" t="s">
        <v>11888</v>
      </c>
      <c r="H71" s="22">
        <v>996341353</v>
      </c>
      <c r="I71" s="18">
        <v>41883</v>
      </c>
      <c r="J71" s="21" t="s">
        <v>11889</v>
      </c>
      <c r="K71" s="12" t="s">
        <v>11663</v>
      </c>
      <c r="L71" s="12" t="s">
        <v>11663</v>
      </c>
      <c r="M71" s="12" t="s">
        <v>11663</v>
      </c>
      <c r="N71" s="12" t="s">
        <v>11664</v>
      </c>
      <c r="O71" s="12" t="s">
        <v>11663</v>
      </c>
      <c r="P71" s="12">
        <v>8</v>
      </c>
      <c r="Q71" s="12">
        <v>8</v>
      </c>
      <c r="R71" s="12" t="s">
        <v>11890</v>
      </c>
      <c r="S71" s="12">
        <v>0</v>
      </c>
      <c r="T71" s="12">
        <v>1</v>
      </c>
      <c r="U71" s="14" t="s">
        <v>11664</v>
      </c>
      <c r="V71" s="15" t="s">
        <v>11664</v>
      </c>
      <c r="W71" s="14" t="s">
        <v>11664</v>
      </c>
      <c r="X71" s="14" t="s">
        <v>11664</v>
      </c>
      <c r="Y71" s="14" t="s">
        <v>11664</v>
      </c>
      <c r="Z71" s="14" t="s">
        <v>11664</v>
      </c>
      <c r="AA71" s="14" t="s">
        <v>11664</v>
      </c>
      <c r="AB71" s="14" t="s">
        <v>11663</v>
      </c>
      <c r="AC71" s="14" t="s">
        <v>11664</v>
      </c>
      <c r="AD71" s="14" t="s">
        <v>11663</v>
      </c>
      <c r="AE71" s="14" t="s">
        <v>11664</v>
      </c>
      <c r="AF71" s="15">
        <v>45</v>
      </c>
      <c r="AG71" s="15">
        <v>30</v>
      </c>
      <c r="AH71" s="15">
        <v>51</v>
      </c>
      <c r="AI71" s="15">
        <v>2</v>
      </c>
      <c r="AJ71" s="15">
        <v>0</v>
      </c>
      <c r="AK71" s="15">
        <v>0</v>
      </c>
      <c r="AL71" s="15">
        <v>0</v>
      </c>
      <c r="AM71" s="15">
        <v>1</v>
      </c>
      <c r="AN71" s="15">
        <v>0</v>
      </c>
      <c r="AO71" s="15">
        <v>0</v>
      </c>
      <c r="AP71" s="14">
        <v>0</v>
      </c>
      <c r="AQ71" s="14">
        <v>0</v>
      </c>
      <c r="AR71" s="15">
        <v>1</v>
      </c>
      <c r="AS71" s="15">
        <v>2</v>
      </c>
      <c r="AT71" s="15">
        <v>3</v>
      </c>
      <c r="AU71" s="15">
        <v>4</v>
      </c>
      <c r="AV71" s="15">
        <v>5</v>
      </c>
      <c r="AW71" s="15" t="s">
        <v>11665</v>
      </c>
      <c r="AX71" s="15">
        <v>4</v>
      </c>
      <c r="AY71" s="15">
        <v>3</v>
      </c>
      <c r="AZ71" s="15">
        <v>2</v>
      </c>
      <c r="BA71" s="15">
        <v>1</v>
      </c>
      <c r="BB71" s="15" t="s">
        <v>1151</v>
      </c>
      <c r="BC71" s="15" t="s">
        <v>11891</v>
      </c>
      <c r="BD71" s="9">
        <v>0</v>
      </c>
    </row>
    <row r="72" spans="1:56" ht="12.75">
      <c r="A72" s="10"/>
      <c r="B72" s="11" t="s">
        <v>6787</v>
      </c>
      <c r="C72" s="10" t="s">
        <v>11705</v>
      </c>
      <c r="D72" s="12"/>
      <c r="E72" s="12"/>
      <c r="F72" s="12" t="s">
        <v>11892</v>
      </c>
      <c r="G72" s="12" t="s">
        <v>11893</v>
      </c>
      <c r="H72" s="1">
        <v>971006827</v>
      </c>
      <c r="I72" s="12" t="s">
        <v>58</v>
      </c>
      <c r="J72" s="12" t="s">
        <v>11894</v>
      </c>
      <c r="K72" s="12" t="s">
        <v>11663</v>
      </c>
      <c r="L72" s="12" t="s">
        <v>11663</v>
      </c>
      <c r="M72" s="12" t="s">
        <v>11664</v>
      </c>
      <c r="N72" s="12" t="s">
        <v>11664</v>
      </c>
      <c r="O72" s="12" t="s">
        <v>11663</v>
      </c>
      <c r="P72" s="12">
        <v>3</v>
      </c>
      <c r="Q72" s="12">
        <v>3</v>
      </c>
      <c r="R72" s="12">
        <v>0</v>
      </c>
      <c r="S72" s="12">
        <v>1</v>
      </c>
      <c r="T72" s="12">
        <v>1</v>
      </c>
      <c r="U72" s="14" t="s">
        <v>11663</v>
      </c>
      <c r="V72" s="15" t="s">
        <v>11663</v>
      </c>
      <c r="W72" s="14" t="s">
        <v>11664</v>
      </c>
      <c r="X72" s="14" t="s">
        <v>11663</v>
      </c>
      <c r="Y72" s="14" t="s">
        <v>11664</v>
      </c>
      <c r="Z72" s="14" t="s">
        <v>11663</v>
      </c>
      <c r="AA72" s="14" t="s">
        <v>11664</v>
      </c>
      <c r="AB72" s="14" t="s">
        <v>11663</v>
      </c>
      <c r="AC72" s="14" t="s">
        <v>11664</v>
      </c>
      <c r="AD72" s="14" t="s">
        <v>11663</v>
      </c>
      <c r="AE72" s="14" t="s">
        <v>11663</v>
      </c>
      <c r="AF72" s="15">
        <v>38</v>
      </c>
      <c r="AG72" s="15">
        <v>0</v>
      </c>
      <c r="AH72" s="15">
        <v>71</v>
      </c>
      <c r="AI72" s="15">
        <v>23</v>
      </c>
      <c r="AJ72" s="15">
        <v>0</v>
      </c>
      <c r="AK72" s="15">
        <v>0</v>
      </c>
      <c r="AL72" s="15">
        <v>0</v>
      </c>
      <c r="AM72" s="15">
        <v>0</v>
      </c>
      <c r="AN72" s="15">
        <v>0</v>
      </c>
      <c r="AO72" s="15">
        <v>190</v>
      </c>
      <c r="AP72" s="14">
        <v>0</v>
      </c>
      <c r="AQ72" s="14">
        <v>0</v>
      </c>
      <c r="AR72" s="15">
        <v>5</v>
      </c>
      <c r="AS72" s="15">
        <v>4</v>
      </c>
      <c r="AT72" s="15">
        <v>3</v>
      </c>
      <c r="AU72" s="15">
        <v>2</v>
      </c>
      <c r="AV72" s="15">
        <v>1</v>
      </c>
      <c r="AW72" s="15" t="s">
        <v>11665</v>
      </c>
      <c r="AX72" s="15" t="s">
        <v>58</v>
      </c>
      <c r="AY72" s="15" t="s">
        <v>58</v>
      </c>
      <c r="AZ72" s="15">
        <v>1</v>
      </c>
      <c r="BA72" s="15" t="s">
        <v>58</v>
      </c>
      <c r="BB72" s="15" t="s">
        <v>11666</v>
      </c>
      <c r="BC72" s="15" t="s">
        <v>11895</v>
      </c>
      <c r="BD72" s="9">
        <v>0</v>
      </c>
    </row>
    <row r="73" spans="1:56" ht="12.75">
      <c r="A73" s="10"/>
      <c r="B73" s="11" t="s">
        <v>11896</v>
      </c>
      <c r="C73" s="10" t="s">
        <v>11897</v>
      </c>
      <c r="D73" s="12"/>
      <c r="E73" s="12"/>
      <c r="F73" s="12" t="s">
        <v>11898</v>
      </c>
      <c r="G73" s="12" t="s">
        <v>11899</v>
      </c>
      <c r="H73" s="39">
        <v>612411204</v>
      </c>
      <c r="I73" s="12" t="s">
        <v>58</v>
      </c>
      <c r="J73" s="12" t="s">
        <v>11900</v>
      </c>
      <c r="K73" s="12" t="s">
        <v>11663</v>
      </c>
      <c r="L73" s="12" t="s">
        <v>11664</v>
      </c>
      <c r="M73" s="12" t="s">
        <v>11664</v>
      </c>
      <c r="N73" s="12" t="s">
        <v>11664</v>
      </c>
      <c r="O73" s="12" t="s">
        <v>11663</v>
      </c>
      <c r="P73" s="12">
        <v>19</v>
      </c>
      <c r="Q73" s="12">
        <v>21</v>
      </c>
      <c r="R73" s="12">
        <v>0</v>
      </c>
      <c r="S73" s="12">
        <v>2</v>
      </c>
      <c r="T73" s="12">
        <v>0</v>
      </c>
      <c r="U73" s="14" t="s">
        <v>11664</v>
      </c>
      <c r="V73" s="15" t="s">
        <v>11663</v>
      </c>
      <c r="W73" s="14" t="s">
        <v>11664</v>
      </c>
      <c r="X73" s="14" t="s">
        <v>11663</v>
      </c>
      <c r="Y73" s="14" t="s">
        <v>11664</v>
      </c>
      <c r="Z73" s="14" t="s">
        <v>11663</v>
      </c>
      <c r="AA73" s="14" t="s">
        <v>11663</v>
      </c>
      <c r="AB73" s="14" t="s">
        <v>11664</v>
      </c>
      <c r="AC73" s="14" t="s">
        <v>11664</v>
      </c>
      <c r="AD73" s="14" t="s">
        <v>11664</v>
      </c>
      <c r="AE73" s="14" t="s">
        <v>11664</v>
      </c>
      <c r="AF73" s="15">
        <v>0</v>
      </c>
      <c r="AG73" s="15">
        <v>0</v>
      </c>
      <c r="AH73" s="15">
        <v>0</v>
      </c>
      <c r="AI73" s="15">
        <v>0</v>
      </c>
      <c r="AJ73" s="15">
        <v>0</v>
      </c>
      <c r="AK73" s="15">
        <v>0</v>
      </c>
      <c r="AL73" s="15">
        <v>0</v>
      </c>
      <c r="AM73" s="15">
        <v>0</v>
      </c>
      <c r="AN73" s="15">
        <v>0</v>
      </c>
      <c r="AO73" s="15">
        <v>0</v>
      </c>
      <c r="AP73" s="15">
        <v>0</v>
      </c>
      <c r="AQ73" s="15">
        <v>0</v>
      </c>
      <c r="AR73" s="15">
        <v>1</v>
      </c>
      <c r="AS73" s="15">
        <v>5</v>
      </c>
      <c r="AT73" s="15">
        <v>2</v>
      </c>
      <c r="AU73" s="15">
        <v>3</v>
      </c>
      <c r="AV73" s="15">
        <v>4</v>
      </c>
      <c r="AW73" s="15" t="s">
        <v>11665</v>
      </c>
      <c r="AX73" s="15">
        <v>3</v>
      </c>
      <c r="AY73" s="15">
        <v>1</v>
      </c>
      <c r="AZ73" s="15">
        <v>2</v>
      </c>
      <c r="BA73" s="15">
        <v>4</v>
      </c>
      <c r="BB73" s="15" t="s">
        <v>11666</v>
      </c>
      <c r="BC73" s="15"/>
      <c r="BD73" s="9">
        <v>0</v>
      </c>
    </row>
    <row r="74" spans="1:56" ht="15">
      <c r="A74" s="10"/>
      <c r="B74" s="11" t="s">
        <v>6838</v>
      </c>
      <c r="C74" s="10" t="s">
        <v>11705</v>
      </c>
      <c r="D74" s="22"/>
      <c r="E74" s="22"/>
      <c r="F74" s="22" t="s">
        <v>11901</v>
      </c>
      <c r="G74" s="12" t="s">
        <v>11902</v>
      </c>
      <c r="H74" s="22" t="s">
        <v>11903</v>
      </c>
      <c r="I74" s="18">
        <v>44470</v>
      </c>
      <c r="J74" s="21" t="s">
        <v>11904</v>
      </c>
      <c r="K74" s="12" t="s">
        <v>11663</v>
      </c>
      <c r="L74" s="12" t="s">
        <v>11663</v>
      </c>
      <c r="M74" s="12" t="s">
        <v>11664</v>
      </c>
      <c r="N74" s="12" t="s">
        <v>11664</v>
      </c>
      <c r="O74" s="12" t="s">
        <v>11663</v>
      </c>
      <c r="P74" s="12">
        <v>1</v>
      </c>
      <c r="Q74" s="12">
        <v>0</v>
      </c>
      <c r="R74" s="12">
        <v>0</v>
      </c>
      <c r="S74" s="12">
        <v>1</v>
      </c>
      <c r="T74" s="12">
        <v>0</v>
      </c>
      <c r="U74" s="14" t="s">
        <v>11663</v>
      </c>
      <c r="V74" s="15" t="s">
        <v>11663</v>
      </c>
      <c r="W74" s="14" t="s">
        <v>11664</v>
      </c>
      <c r="X74" s="14" t="s">
        <v>11664</v>
      </c>
      <c r="Y74" s="14" t="s">
        <v>11664</v>
      </c>
      <c r="Z74" s="14" t="s">
        <v>11663</v>
      </c>
      <c r="AA74" s="14" t="s">
        <v>11663</v>
      </c>
      <c r="AB74" s="14" t="s">
        <v>11663</v>
      </c>
      <c r="AC74" s="14" t="s">
        <v>11664</v>
      </c>
      <c r="AD74" s="14" t="s">
        <v>11664</v>
      </c>
      <c r="AE74" s="14" t="s">
        <v>11664</v>
      </c>
      <c r="AF74" s="15">
        <v>0</v>
      </c>
      <c r="AG74" s="15">
        <v>0</v>
      </c>
      <c r="AH74" s="15">
        <v>0</v>
      </c>
      <c r="AI74" s="15">
        <v>0</v>
      </c>
      <c r="AJ74" s="15">
        <v>0</v>
      </c>
      <c r="AK74" s="15">
        <v>0</v>
      </c>
      <c r="AL74" s="15">
        <v>0</v>
      </c>
      <c r="AM74" s="15">
        <v>0</v>
      </c>
      <c r="AN74" s="15">
        <v>0</v>
      </c>
      <c r="AO74" s="15">
        <v>0</v>
      </c>
      <c r="AP74" s="15">
        <v>0</v>
      </c>
      <c r="AQ74" s="15">
        <v>0</v>
      </c>
      <c r="AR74" s="15">
        <v>1</v>
      </c>
      <c r="AS74" s="15">
        <v>2</v>
      </c>
      <c r="AT74" s="15">
        <v>3</v>
      </c>
      <c r="AU74" s="15">
        <v>4</v>
      </c>
      <c r="AV74" s="15">
        <v>5</v>
      </c>
      <c r="AW74" s="15" t="s">
        <v>11671</v>
      </c>
      <c r="AX74" s="15">
        <v>3</v>
      </c>
      <c r="AY74" s="15">
        <v>1</v>
      </c>
      <c r="AZ74" s="15">
        <v>2</v>
      </c>
      <c r="BA74" s="15">
        <v>4</v>
      </c>
      <c r="BB74" s="15" t="s">
        <v>11666</v>
      </c>
      <c r="BC74" s="15" t="s">
        <v>11905</v>
      </c>
      <c r="BD74" s="9">
        <v>0</v>
      </c>
    </row>
    <row r="75" spans="1:56" ht="12.75">
      <c r="A75" s="10"/>
      <c r="B75" s="11" t="s">
        <v>6891</v>
      </c>
      <c r="C75" s="10" t="s">
        <v>11667</v>
      </c>
      <c r="D75" s="12"/>
      <c r="E75" s="12"/>
      <c r="F75" s="12" t="s">
        <v>11906</v>
      </c>
      <c r="G75" s="12" t="s">
        <v>11907</v>
      </c>
      <c r="H75" s="17">
        <v>984072300</v>
      </c>
      <c r="I75" s="18">
        <v>43739</v>
      </c>
      <c r="J75" s="12" t="s">
        <v>11908</v>
      </c>
      <c r="K75" s="12" t="s">
        <v>11663</v>
      </c>
      <c r="L75" s="12" t="s">
        <v>11663</v>
      </c>
      <c r="M75" s="12" t="s">
        <v>11664</v>
      </c>
      <c r="N75" s="12" t="s">
        <v>11664</v>
      </c>
      <c r="O75" s="12" t="s">
        <v>11663</v>
      </c>
      <c r="P75" s="12">
        <v>1</v>
      </c>
      <c r="Q75" s="12">
        <v>1</v>
      </c>
      <c r="R75" s="12">
        <v>0</v>
      </c>
      <c r="S75" s="12">
        <v>0</v>
      </c>
      <c r="T75" s="12">
        <v>0</v>
      </c>
      <c r="U75" s="14" t="s">
        <v>11664</v>
      </c>
      <c r="V75" s="14" t="s">
        <v>11664</v>
      </c>
      <c r="W75" s="14" t="s">
        <v>11664</v>
      </c>
      <c r="X75" s="14" t="s">
        <v>11664</v>
      </c>
      <c r="Y75" s="14" t="s">
        <v>11664</v>
      </c>
      <c r="Z75" s="14" t="s">
        <v>11663</v>
      </c>
      <c r="AA75" s="14" t="s">
        <v>11664</v>
      </c>
      <c r="AB75" s="14" t="s">
        <v>11664</v>
      </c>
      <c r="AC75" s="14" t="s">
        <v>11664</v>
      </c>
      <c r="AD75" s="14" t="s">
        <v>11664</v>
      </c>
      <c r="AE75" s="14" t="s">
        <v>11664</v>
      </c>
      <c r="AF75" s="15">
        <v>5</v>
      </c>
      <c r="AG75" s="15">
        <v>167</v>
      </c>
      <c r="AH75" s="15">
        <v>0</v>
      </c>
      <c r="AI75" s="15">
        <v>0</v>
      </c>
      <c r="AJ75" s="15">
        <v>0</v>
      </c>
      <c r="AK75" s="15">
        <v>0</v>
      </c>
      <c r="AL75" s="15">
        <v>0</v>
      </c>
      <c r="AM75" s="15">
        <v>0</v>
      </c>
      <c r="AN75" s="15">
        <v>0</v>
      </c>
      <c r="AO75" s="15">
        <v>0</v>
      </c>
      <c r="AP75" s="14">
        <v>0</v>
      </c>
      <c r="AQ75" s="14">
        <v>0</v>
      </c>
      <c r="AR75" s="15">
        <v>5</v>
      </c>
      <c r="AS75" s="15">
        <v>4</v>
      </c>
      <c r="AT75" s="15">
        <v>3</v>
      </c>
      <c r="AU75" s="15">
        <v>2</v>
      </c>
      <c r="AV75" s="15">
        <v>1</v>
      </c>
      <c r="AW75" s="15" t="s">
        <v>11665</v>
      </c>
      <c r="AX75" s="15">
        <v>1</v>
      </c>
      <c r="AY75" s="15">
        <v>3</v>
      </c>
      <c r="AZ75" s="15">
        <v>2</v>
      </c>
      <c r="BA75" s="15">
        <v>4</v>
      </c>
      <c r="BB75" s="15" t="s">
        <v>1151</v>
      </c>
      <c r="BC75" s="15" t="s">
        <v>11909</v>
      </c>
      <c r="BD75" s="9">
        <v>0</v>
      </c>
    </row>
    <row r="76" spans="1:56" ht="12.75">
      <c r="A76" s="10"/>
      <c r="B76" s="11" t="s">
        <v>6967</v>
      </c>
      <c r="C76" s="10" t="s">
        <v>11756</v>
      </c>
      <c r="D76" s="12"/>
      <c r="E76" s="12"/>
      <c r="F76" s="12" t="s">
        <v>11910</v>
      </c>
      <c r="G76" s="12" t="s">
        <v>11911</v>
      </c>
      <c r="H76" s="17">
        <v>989599887</v>
      </c>
      <c r="I76" s="18">
        <v>44835</v>
      </c>
      <c r="J76" s="12" t="s">
        <v>11912</v>
      </c>
      <c r="K76" s="12" t="s">
        <v>11663</v>
      </c>
      <c r="L76" s="12" t="s">
        <v>11663</v>
      </c>
      <c r="M76" s="12" t="s">
        <v>11663</v>
      </c>
      <c r="N76" s="12" t="s">
        <v>11664</v>
      </c>
      <c r="O76" s="12" t="s">
        <v>11664</v>
      </c>
      <c r="P76" s="12">
        <v>0</v>
      </c>
      <c r="Q76" s="12">
        <v>0</v>
      </c>
      <c r="R76" s="12">
        <v>0</v>
      </c>
      <c r="S76" s="12">
        <v>0</v>
      </c>
      <c r="T76" s="12">
        <v>0</v>
      </c>
      <c r="U76" s="14" t="s">
        <v>11664</v>
      </c>
      <c r="V76" s="15" t="s">
        <v>11663</v>
      </c>
      <c r="W76" s="14" t="s">
        <v>11663</v>
      </c>
      <c r="X76" s="14" t="s">
        <v>11663</v>
      </c>
      <c r="Y76" s="14" t="s">
        <v>11664</v>
      </c>
      <c r="Z76" s="14" t="s">
        <v>11663</v>
      </c>
      <c r="AA76" s="14" t="s">
        <v>11664</v>
      </c>
      <c r="AB76" s="14" t="s">
        <v>11663</v>
      </c>
      <c r="AC76" s="14" t="s">
        <v>11664</v>
      </c>
      <c r="AD76" s="14" t="s">
        <v>11663</v>
      </c>
      <c r="AE76" s="14" t="s">
        <v>11664</v>
      </c>
      <c r="AF76" s="15">
        <v>0</v>
      </c>
      <c r="AG76" s="15">
        <v>554</v>
      </c>
      <c r="AH76" s="15">
        <v>176</v>
      </c>
      <c r="AI76" s="15">
        <v>0</v>
      </c>
      <c r="AJ76" s="15">
        <v>0</v>
      </c>
      <c r="AK76" s="15">
        <v>0</v>
      </c>
      <c r="AL76" s="15">
        <v>0</v>
      </c>
      <c r="AM76" s="15">
        <v>0</v>
      </c>
      <c r="AN76" s="15">
        <v>0</v>
      </c>
      <c r="AO76" s="15">
        <v>0</v>
      </c>
      <c r="AP76" s="14">
        <v>0</v>
      </c>
      <c r="AQ76" s="14">
        <v>0</v>
      </c>
      <c r="AR76" s="15">
        <v>1</v>
      </c>
      <c r="AS76" s="15">
        <v>4</v>
      </c>
      <c r="AT76" s="15">
        <v>2</v>
      </c>
      <c r="AU76" s="15">
        <v>3</v>
      </c>
      <c r="AV76" s="15">
        <v>5</v>
      </c>
      <c r="AW76" s="15" t="s">
        <v>11671</v>
      </c>
      <c r="AX76" s="15">
        <v>1</v>
      </c>
      <c r="AY76" s="15">
        <v>2</v>
      </c>
      <c r="AZ76" s="15">
        <v>3</v>
      </c>
      <c r="BA76" s="15">
        <v>4</v>
      </c>
      <c r="BB76" s="15" t="s">
        <v>11737</v>
      </c>
      <c r="BC76" s="15"/>
      <c r="BD76" s="9">
        <v>1</v>
      </c>
    </row>
    <row r="77" spans="1:56" ht="12.75">
      <c r="A77" s="10"/>
      <c r="B77" s="11" t="s">
        <v>7024</v>
      </c>
      <c r="C77" s="10" t="s">
        <v>11660</v>
      </c>
      <c r="D77" s="12"/>
      <c r="E77" s="12"/>
      <c r="F77" s="12" t="s">
        <v>11913</v>
      </c>
      <c r="G77" s="12" t="s">
        <v>11914</v>
      </c>
      <c r="H77" s="17" t="s">
        <v>58</v>
      </c>
      <c r="I77" s="30">
        <v>45536</v>
      </c>
      <c r="J77" s="12" t="s">
        <v>11915</v>
      </c>
      <c r="K77" s="12" t="s">
        <v>11663</v>
      </c>
      <c r="L77" s="12" t="s">
        <v>11663</v>
      </c>
      <c r="M77" s="12" t="s">
        <v>11664</v>
      </c>
      <c r="N77" s="12" t="s">
        <v>11664</v>
      </c>
      <c r="O77" s="12" t="s">
        <v>11663</v>
      </c>
      <c r="P77" s="12">
        <v>14</v>
      </c>
      <c r="Q77" s="12">
        <v>14</v>
      </c>
      <c r="R77" s="12">
        <v>0</v>
      </c>
      <c r="S77" s="12">
        <v>0</v>
      </c>
      <c r="T77" s="12">
        <v>0</v>
      </c>
      <c r="U77" s="14" t="s">
        <v>11664</v>
      </c>
      <c r="V77" s="15" t="s">
        <v>11664</v>
      </c>
      <c r="W77" s="14" t="s">
        <v>11664</v>
      </c>
      <c r="X77" s="14" t="s">
        <v>11663</v>
      </c>
      <c r="Y77" s="14" t="s">
        <v>11663</v>
      </c>
      <c r="Z77" s="14" t="s">
        <v>11663</v>
      </c>
      <c r="AA77" s="14" t="s">
        <v>11664</v>
      </c>
      <c r="AB77" s="14" t="s">
        <v>11664</v>
      </c>
      <c r="AC77" s="14" t="s">
        <v>11664</v>
      </c>
      <c r="AD77" s="14" t="s">
        <v>11664</v>
      </c>
      <c r="AE77" s="14" t="s">
        <v>11664</v>
      </c>
      <c r="AF77" s="15">
        <v>230</v>
      </c>
      <c r="AG77" s="15">
        <v>230</v>
      </c>
      <c r="AH77" s="15">
        <v>230</v>
      </c>
      <c r="AI77" s="15">
        <v>1</v>
      </c>
      <c r="AJ77" s="15">
        <v>2</v>
      </c>
      <c r="AK77" s="15">
        <v>0</v>
      </c>
      <c r="AL77" s="15">
        <v>0</v>
      </c>
      <c r="AM77" s="15">
        <v>0</v>
      </c>
      <c r="AN77" s="15">
        <v>0</v>
      </c>
      <c r="AO77" s="15">
        <v>0</v>
      </c>
      <c r="AP77" s="14">
        <v>0</v>
      </c>
      <c r="AQ77" s="14">
        <v>0</v>
      </c>
      <c r="AR77" s="15">
        <v>5</v>
      </c>
      <c r="AS77" s="15">
        <v>4</v>
      </c>
      <c r="AT77" s="15">
        <v>2</v>
      </c>
      <c r="AU77" s="15">
        <v>3</v>
      </c>
      <c r="AV77" s="15">
        <v>1</v>
      </c>
      <c r="AW77" s="15" t="s">
        <v>11665</v>
      </c>
      <c r="AX77" s="15">
        <v>1</v>
      </c>
      <c r="AY77" s="15">
        <v>2</v>
      </c>
      <c r="AZ77" s="15">
        <v>3</v>
      </c>
      <c r="BA77" s="15">
        <v>4</v>
      </c>
      <c r="BB77" s="15" t="s">
        <v>1151</v>
      </c>
      <c r="BC77" s="15" t="s">
        <v>11916</v>
      </c>
      <c r="BD77" s="9">
        <v>0</v>
      </c>
    </row>
    <row r="78" spans="1:56" ht="12.75">
      <c r="A78" s="10"/>
      <c r="B78" s="11" t="s">
        <v>7126</v>
      </c>
      <c r="C78" s="10" t="s">
        <v>11660</v>
      </c>
      <c r="D78" s="12"/>
      <c r="E78" s="12"/>
      <c r="F78" s="12" t="s">
        <v>11917</v>
      </c>
      <c r="G78" s="12" t="s">
        <v>11918</v>
      </c>
      <c r="H78" s="1">
        <v>951018320</v>
      </c>
      <c r="I78" s="12" t="s">
        <v>11919</v>
      </c>
      <c r="J78" s="12" t="s">
        <v>11920</v>
      </c>
      <c r="K78" s="12" t="s">
        <v>11663</v>
      </c>
      <c r="L78" s="12" t="s">
        <v>11663</v>
      </c>
      <c r="M78" s="12" t="s">
        <v>11664</v>
      </c>
      <c r="N78" s="12" t="s">
        <v>11664</v>
      </c>
      <c r="O78" s="12" t="s">
        <v>11663</v>
      </c>
      <c r="P78" s="12">
        <v>2</v>
      </c>
      <c r="Q78" s="12">
        <v>1</v>
      </c>
      <c r="R78" s="12">
        <v>0</v>
      </c>
      <c r="S78" s="12">
        <v>1</v>
      </c>
      <c r="T78" s="12">
        <v>0</v>
      </c>
      <c r="U78" s="14" t="s">
        <v>11663</v>
      </c>
      <c r="V78" s="15" t="s">
        <v>11663</v>
      </c>
      <c r="W78" s="14" t="s">
        <v>11664</v>
      </c>
      <c r="X78" s="14" t="s">
        <v>11663</v>
      </c>
      <c r="Y78" s="14" t="s">
        <v>11663</v>
      </c>
      <c r="Z78" s="14" t="s">
        <v>11664</v>
      </c>
      <c r="AA78" s="14" t="s">
        <v>11664</v>
      </c>
      <c r="AB78" s="14" t="s">
        <v>11664</v>
      </c>
      <c r="AC78" s="14" t="s">
        <v>11664</v>
      </c>
      <c r="AD78" s="14" t="s">
        <v>11663</v>
      </c>
      <c r="AE78" s="14" t="s">
        <v>11664</v>
      </c>
      <c r="AF78" s="15">
        <v>91</v>
      </c>
      <c r="AG78" s="15">
        <v>65</v>
      </c>
      <c r="AH78" s="15">
        <v>0</v>
      </c>
      <c r="AI78" s="15">
        <v>0</v>
      </c>
      <c r="AJ78" s="15">
        <v>0</v>
      </c>
      <c r="AK78" s="15">
        <v>0</v>
      </c>
      <c r="AL78" s="15">
        <v>0</v>
      </c>
      <c r="AM78" s="15">
        <v>0</v>
      </c>
      <c r="AN78" s="15">
        <v>0</v>
      </c>
      <c r="AO78" s="15">
        <v>80</v>
      </c>
      <c r="AP78" s="14">
        <v>0</v>
      </c>
      <c r="AQ78" s="14">
        <v>0</v>
      </c>
      <c r="AR78" s="15">
        <v>5</v>
      </c>
      <c r="AS78" s="15">
        <v>1</v>
      </c>
      <c r="AT78" s="15">
        <v>3</v>
      </c>
      <c r="AU78" s="15">
        <v>2</v>
      </c>
      <c r="AV78" s="15">
        <v>4</v>
      </c>
      <c r="AW78" s="15" t="s">
        <v>11665</v>
      </c>
      <c r="AX78" s="15">
        <v>4</v>
      </c>
      <c r="AY78" s="15">
        <v>3</v>
      </c>
      <c r="AZ78" s="15">
        <v>2</v>
      </c>
      <c r="BA78" s="15">
        <v>1</v>
      </c>
      <c r="BB78" s="15" t="s">
        <v>11737</v>
      </c>
      <c r="BC78" s="15"/>
      <c r="BD78" s="9">
        <v>0</v>
      </c>
    </row>
    <row r="79" spans="1:56" ht="12.75">
      <c r="A79" s="10"/>
      <c r="B79" s="11" t="s">
        <v>7270</v>
      </c>
      <c r="C79" s="10" t="s">
        <v>11660</v>
      </c>
      <c r="D79" s="12"/>
      <c r="E79" s="12"/>
      <c r="F79" s="12" t="s">
        <v>11838</v>
      </c>
      <c r="G79" s="12" t="s">
        <v>11921</v>
      </c>
      <c r="H79" s="17">
        <v>984903038</v>
      </c>
      <c r="I79" s="18">
        <v>45200</v>
      </c>
      <c r="J79" s="12"/>
      <c r="K79" s="12" t="s">
        <v>11664</v>
      </c>
      <c r="L79" s="12" t="s">
        <v>11663</v>
      </c>
      <c r="M79" s="12" t="s">
        <v>11663</v>
      </c>
      <c r="N79" s="12" t="s">
        <v>11663</v>
      </c>
      <c r="O79" s="12" t="s">
        <v>11663</v>
      </c>
      <c r="P79" s="12">
        <v>5</v>
      </c>
      <c r="Q79" s="12">
        <v>0</v>
      </c>
      <c r="R79" s="12">
        <v>0</v>
      </c>
      <c r="S79" s="12">
        <v>0</v>
      </c>
      <c r="T79" s="12">
        <v>0</v>
      </c>
      <c r="U79" s="14" t="s">
        <v>11663</v>
      </c>
      <c r="V79" s="15" t="s">
        <v>11663</v>
      </c>
      <c r="W79" s="14" t="s">
        <v>11664</v>
      </c>
      <c r="X79" s="14" t="s">
        <v>11663</v>
      </c>
      <c r="Y79" s="14" t="s">
        <v>11663</v>
      </c>
      <c r="Z79" s="14" t="s">
        <v>11663</v>
      </c>
      <c r="AA79" s="14" t="s">
        <v>11664</v>
      </c>
      <c r="AB79" s="14" t="s">
        <v>11663</v>
      </c>
      <c r="AC79" s="14" t="s">
        <v>11663</v>
      </c>
      <c r="AD79" s="14" t="s">
        <v>11663</v>
      </c>
      <c r="AE79" s="14" t="s">
        <v>11663</v>
      </c>
      <c r="AF79" s="15">
        <v>30</v>
      </c>
      <c r="AG79" s="15">
        <v>45</v>
      </c>
      <c r="AH79" s="15">
        <v>0</v>
      </c>
      <c r="AI79" s="15">
        <v>0</v>
      </c>
      <c r="AJ79" s="15">
        <v>0</v>
      </c>
      <c r="AK79" s="15">
        <v>0</v>
      </c>
      <c r="AL79" s="15">
        <v>1</v>
      </c>
      <c r="AM79" s="15">
        <v>0</v>
      </c>
      <c r="AN79" s="15">
        <v>0</v>
      </c>
      <c r="AO79" s="15">
        <v>0</v>
      </c>
      <c r="AP79" s="15">
        <v>0</v>
      </c>
      <c r="AQ79" s="15">
        <v>0</v>
      </c>
      <c r="AR79" s="15">
        <v>2</v>
      </c>
      <c r="AS79" s="15">
        <v>1</v>
      </c>
      <c r="AT79" s="15">
        <v>3</v>
      </c>
      <c r="AU79" s="15">
        <v>5</v>
      </c>
      <c r="AV79" s="15">
        <v>4</v>
      </c>
      <c r="AW79" s="15" t="s">
        <v>11665</v>
      </c>
      <c r="AX79" s="15">
        <v>3</v>
      </c>
      <c r="AY79" s="15">
        <v>2</v>
      </c>
      <c r="AZ79" s="15">
        <v>1</v>
      </c>
      <c r="BA79" s="15">
        <v>4</v>
      </c>
      <c r="BB79" s="15" t="s">
        <v>11737</v>
      </c>
      <c r="BC79" s="15" t="s">
        <v>11922</v>
      </c>
      <c r="BD79" s="9">
        <v>0</v>
      </c>
    </row>
    <row r="80" spans="1:56" ht="12.75">
      <c r="A80" s="10"/>
      <c r="B80" s="11" t="s">
        <v>7360</v>
      </c>
      <c r="C80" s="10" t="s">
        <v>11813</v>
      </c>
      <c r="D80" s="12"/>
      <c r="E80" s="12"/>
      <c r="F80" s="12" t="s">
        <v>11923</v>
      </c>
      <c r="G80" s="40" t="s">
        <v>11924</v>
      </c>
      <c r="H80" s="17">
        <v>96984881</v>
      </c>
      <c r="I80" s="18">
        <v>45597</v>
      </c>
      <c r="J80" s="12"/>
      <c r="K80" s="12" t="s">
        <v>11663</v>
      </c>
      <c r="L80" s="12" t="s">
        <v>11663</v>
      </c>
      <c r="M80" s="12" t="s">
        <v>11664</v>
      </c>
      <c r="N80" s="12" t="s">
        <v>11663</v>
      </c>
      <c r="O80" s="12" t="s">
        <v>11664</v>
      </c>
      <c r="P80" s="12">
        <v>6</v>
      </c>
      <c r="Q80" s="12">
        <v>6</v>
      </c>
      <c r="R80" s="12">
        <v>0</v>
      </c>
      <c r="S80" s="12">
        <v>0</v>
      </c>
      <c r="T80" s="12">
        <v>0</v>
      </c>
      <c r="U80" s="14" t="s">
        <v>11663</v>
      </c>
      <c r="V80" s="15" t="s">
        <v>11664</v>
      </c>
      <c r="W80" s="14" t="s">
        <v>11664</v>
      </c>
      <c r="X80" s="14" t="s">
        <v>11663</v>
      </c>
      <c r="Y80" s="14" t="s">
        <v>11664</v>
      </c>
      <c r="Z80" s="14" t="s">
        <v>11664</v>
      </c>
      <c r="AA80" s="14" t="s">
        <v>11664</v>
      </c>
      <c r="AB80" s="14" t="s">
        <v>11664</v>
      </c>
      <c r="AC80" s="14" t="s">
        <v>11664</v>
      </c>
      <c r="AD80" s="14" t="s">
        <v>11664</v>
      </c>
      <c r="AE80" s="14" t="s">
        <v>11664</v>
      </c>
      <c r="AF80" s="15">
        <v>0</v>
      </c>
      <c r="AG80" s="15">
        <v>0</v>
      </c>
      <c r="AH80" s="15">
        <v>0</v>
      </c>
      <c r="AI80" s="15">
        <v>1</v>
      </c>
      <c r="AJ80" s="15">
        <v>0</v>
      </c>
      <c r="AK80" s="15">
        <v>0</v>
      </c>
      <c r="AL80" s="15">
        <v>0</v>
      </c>
      <c r="AM80" s="15">
        <v>0</v>
      </c>
      <c r="AN80" s="15">
        <v>0</v>
      </c>
      <c r="AO80" s="15">
        <v>0</v>
      </c>
      <c r="AP80" s="14">
        <v>1</v>
      </c>
      <c r="AQ80" s="14">
        <v>0</v>
      </c>
      <c r="AR80" s="15">
        <v>1</v>
      </c>
      <c r="AS80" s="15">
        <v>4</v>
      </c>
      <c r="AT80" s="15">
        <v>2</v>
      </c>
      <c r="AU80" s="15">
        <v>3</v>
      </c>
      <c r="AV80" s="15">
        <v>5</v>
      </c>
      <c r="AW80" s="15" t="s">
        <v>11665</v>
      </c>
      <c r="AX80" s="15" t="s">
        <v>58</v>
      </c>
      <c r="AY80" s="15" t="s">
        <v>58</v>
      </c>
      <c r="AZ80" s="15" t="s">
        <v>58</v>
      </c>
      <c r="BA80" s="15" t="s">
        <v>58</v>
      </c>
      <c r="BB80" s="15" t="s">
        <v>11737</v>
      </c>
      <c r="BC80" s="15"/>
      <c r="BD80" s="9">
        <v>0</v>
      </c>
    </row>
    <row r="81" spans="1:56" ht="12.75">
      <c r="A81" s="10"/>
      <c r="B81" s="11" t="s">
        <v>7434</v>
      </c>
      <c r="C81" s="10" t="s">
        <v>11756</v>
      </c>
      <c r="D81" s="12"/>
      <c r="E81" s="12"/>
      <c r="F81" s="12" t="s">
        <v>11925</v>
      </c>
      <c r="G81" s="12" t="s">
        <v>11926</v>
      </c>
      <c r="H81" s="17">
        <v>976190191</v>
      </c>
      <c r="I81" s="18">
        <v>40452</v>
      </c>
      <c r="J81" s="12"/>
      <c r="K81" s="12" t="s">
        <v>11663</v>
      </c>
      <c r="L81" s="12" t="s">
        <v>11663</v>
      </c>
      <c r="M81" s="12" t="s">
        <v>11664</v>
      </c>
      <c r="N81" s="12" t="s">
        <v>11663</v>
      </c>
      <c r="O81" s="12" t="s">
        <v>11663</v>
      </c>
      <c r="P81" s="12">
        <v>2</v>
      </c>
      <c r="Q81" s="12">
        <v>0</v>
      </c>
      <c r="R81" s="12">
        <v>3</v>
      </c>
      <c r="S81" s="12">
        <v>0</v>
      </c>
      <c r="T81" s="12">
        <v>0</v>
      </c>
      <c r="U81" s="14" t="s">
        <v>11663</v>
      </c>
      <c r="V81" s="15" t="s">
        <v>11664</v>
      </c>
      <c r="W81" s="14" t="s">
        <v>11663</v>
      </c>
      <c r="X81" s="14" t="s">
        <v>11663</v>
      </c>
      <c r="Y81" s="14" t="s">
        <v>11664</v>
      </c>
      <c r="Z81" s="14" t="s">
        <v>11663</v>
      </c>
      <c r="AA81" s="14" t="s">
        <v>11664</v>
      </c>
      <c r="AB81" s="14" t="s">
        <v>11664</v>
      </c>
      <c r="AC81" s="14" t="s">
        <v>11664</v>
      </c>
      <c r="AD81" s="14" t="s">
        <v>11664</v>
      </c>
      <c r="AE81" s="14" t="s">
        <v>11664</v>
      </c>
      <c r="AF81" s="15">
        <v>0</v>
      </c>
      <c r="AG81" s="15">
        <v>6</v>
      </c>
      <c r="AH81" s="15">
        <v>7</v>
      </c>
      <c r="AI81" s="15">
        <v>0</v>
      </c>
      <c r="AJ81" s="15">
        <v>0</v>
      </c>
      <c r="AK81" s="15">
        <v>0</v>
      </c>
      <c r="AL81" s="15">
        <v>0</v>
      </c>
      <c r="AM81" s="15">
        <v>0</v>
      </c>
      <c r="AN81" s="15">
        <v>0</v>
      </c>
      <c r="AO81" s="15">
        <v>0</v>
      </c>
      <c r="AP81" s="14">
        <v>0</v>
      </c>
      <c r="AQ81" s="14">
        <v>0</v>
      </c>
      <c r="AR81" s="15">
        <v>1</v>
      </c>
      <c r="AS81" s="15">
        <v>2</v>
      </c>
      <c r="AT81" s="15">
        <v>5</v>
      </c>
      <c r="AU81" s="15">
        <v>4</v>
      </c>
      <c r="AV81" s="15">
        <v>3</v>
      </c>
      <c r="AW81" s="15" t="s">
        <v>11665</v>
      </c>
      <c r="AX81" s="15">
        <v>3</v>
      </c>
      <c r="AY81" s="15">
        <v>1</v>
      </c>
      <c r="AZ81" s="15">
        <v>2</v>
      </c>
      <c r="BA81" s="15">
        <v>4</v>
      </c>
      <c r="BB81" s="15" t="s">
        <v>1151</v>
      </c>
      <c r="BC81" s="15" t="s">
        <v>11927</v>
      </c>
      <c r="BD81" s="9">
        <v>1</v>
      </c>
    </row>
    <row r="82" spans="1:56" ht="12.75">
      <c r="A82" s="10"/>
      <c r="B82" s="11" t="s">
        <v>11928</v>
      </c>
      <c r="C82" s="10" t="s">
        <v>11785</v>
      </c>
      <c r="D82" s="12"/>
      <c r="E82" s="12"/>
      <c r="F82" s="12" t="s">
        <v>10272</v>
      </c>
      <c r="G82" s="12" t="s">
        <v>11929</v>
      </c>
      <c r="H82" s="1">
        <v>921960119</v>
      </c>
      <c r="I82" s="18">
        <v>44562</v>
      </c>
      <c r="J82" s="27" t="s">
        <v>11930</v>
      </c>
      <c r="K82" s="27" t="s">
        <v>11663</v>
      </c>
      <c r="L82" s="12" t="s">
        <v>11663</v>
      </c>
      <c r="M82" s="12" t="s">
        <v>11664</v>
      </c>
      <c r="N82" s="12" t="s">
        <v>11664</v>
      </c>
      <c r="O82" s="12" t="s">
        <v>11663</v>
      </c>
      <c r="P82" s="12">
        <v>0</v>
      </c>
      <c r="Q82" s="12">
        <v>5</v>
      </c>
      <c r="R82" s="12">
        <v>0</v>
      </c>
      <c r="S82" s="12">
        <v>0</v>
      </c>
      <c r="T82" s="12">
        <v>0</v>
      </c>
      <c r="U82" s="14" t="s">
        <v>11664</v>
      </c>
      <c r="V82" s="15" t="s">
        <v>11664</v>
      </c>
      <c r="W82" s="14" t="s">
        <v>11664</v>
      </c>
      <c r="X82" s="14" t="s">
        <v>11664</v>
      </c>
      <c r="Y82" s="14" t="s">
        <v>11664</v>
      </c>
      <c r="Z82" s="14" t="s">
        <v>11663</v>
      </c>
      <c r="AA82" s="14" t="s">
        <v>11663</v>
      </c>
      <c r="AB82" s="14" t="s">
        <v>11663</v>
      </c>
      <c r="AC82" s="14" t="s">
        <v>11664</v>
      </c>
      <c r="AD82" s="14" t="s">
        <v>11663</v>
      </c>
      <c r="AE82" s="14" t="s">
        <v>11663</v>
      </c>
      <c r="AF82" s="15">
        <v>2</v>
      </c>
      <c r="AG82" s="15">
        <v>120</v>
      </c>
      <c r="AH82" s="15">
        <v>4</v>
      </c>
      <c r="AI82" s="15">
        <v>0</v>
      </c>
      <c r="AJ82" s="15">
        <v>0</v>
      </c>
      <c r="AK82" s="15">
        <v>0</v>
      </c>
      <c r="AL82" s="15">
        <v>0</v>
      </c>
      <c r="AM82" s="15">
        <v>1</v>
      </c>
      <c r="AN82" s="15">
        <v>1</v>
      </c>
      <c r="AO82" s="15">
        <v>11</v>
      </c>
      <c r="AP82" s="20">
        <v>0</v>
      </c>
      <c r="AQ82" s="20">
        <v>0</v>
      </c>
      <c r="AR82" s="15">
        <v>5</v>
      </c>
      <c r="AS82" s="15">
        <v>3</v>
      </c>
      <c r="AT82" s="15">
        <v>2</v>
      </c>
      <c r="AU82" s="15">
        <v>1</v>
      </c>
      <c r="AV82" s="15">
        <v>4</v>
      </c>
      <c r="AW82" s="15" t="s">
        <v>11665</v>
      </c>
      <c r="AX82" s="15">
        <v>2</v>
      </c>
      <c r="AY82" s="15">
        <v>3</v>
      </c>
      <c r="AZ82" s="15">
        <v>1</v>
      </c>
      <c r="BA82" s="15">
        <v>4</v>
      </c>
      <c r="BB82" s="15" t="s">
        <v>1151</v>
      </c>
      <c r="BC82" s="15" t="s">
        <v>11931</v>
      </c>
      <c r="BD82" s="9">
        <v>0</v>
      </c>
    </row>
    <row r="83" spans="1:56" ht="12.75">
      <c r="A83" s="10"/>
      <c r="B83" s="11" t="s">
        <v>7520</v>
      </c>
      <c r="C83" s="10" t="s">
        <v>11785</v>
      </c>
      <c r="D83" s="12"/>
      <c r="E83" s="12"/>
      <c r="F83" s="12" t="s">
        <v>11932</v>
      </c>
      <c r="G83" s="12" t="s">
        <v>11933</v>
      </c>
      <c r="H83" s="17">
        <v>976030312</v>
      </c>
      <c r="I83" s="18">
        <v>44621</v>
      </c>
      <c r="J83" s="12" t="s">
        <v>11934</v>
      </c>
      <c r="K83" s="27" t="s">
        <v>11663</v>
      </c>
      <c r="L83" s="12" t="s">
        <v>11663</v>
      </c>
      <c r="M83" s="12" t="s">
        <v>11664</v>
      </c>
      <c r="N83" s="12" t="s">
        <v>11663</v>
      </c>
      <c r="O83" s="12" t="s">
        <v>11663</v>
      </c>
      <c r="P83" s="12">
        <v>6</v>
      </c>
      <c r="Q83" s="12">
        <v>6</v>
      </c>
      <c r="R83" s="12">
        <v>0</v>
      </c>
      <c r="S83" s="12">
        <v>0</v>
      </c>
      <c r="T83" s="12">
        <v>0</v>
      </c>
      <c r="U83" s="14" t="s">
        <v>11664</v>
      </c>
      <c r="V83" s="15" t="s">
        <v>11664</v>
      </c>
      <c r="W83" s="14" t="s">
        <v>11664</v>
      </c>
      <c r="X83" s="14" t="s">
        <v>11664</v>
      </c>
      <c r="Y83" s="14" t="s">
        <v>11663</v>
      </c>
      <c r="Z83" s="14" t="s">
        <v>11663</v>
      </c>
      <c r="AA83" s="14" t="s">
        <v>11664</v>
      </c>
      <c r="AB83" s="14" t="s">
        <v>11664</v>
      </c>
      <c r="AC83" s="14" t="s">
        <v>11664</v>
      </c>
      <c r="AD83" s="14" t="s">
        <v>11663</v>
      </c>
      <c r="AE83" s="14" t="s">
        <v>11663</v>
      </c>
      <c r="AF83" s="15">
        <v>240</v>
      </c>
      <c r="AG83" s="15">
        <v>240</v>
      </c>
      <c r="AH83" s="15">
        <v>30</v>
      </c>
      <c r="AI83" s="15">
        <v>0</v>
      </c>
      <c r="AJ83" s="15">
        <v>0</v>
      </c>
      <c r="AK83" s="15">
        <v>0</v>
      </c>
      <c r="AL83" s="15">
        <v>0</v>
      </c>
      <c r="AM83" s="15">
        <v>2</v>
      </c>
      <c r="AN83" s="15">
        <v>0</v>
      </c>
      <c r="AO83" s="15">
        <v>0</v>
      </c>
      <c r="AP83" s="20">
        <v>0</v>
      </c>
      <c r="AQ83" s="20">
        <v>0</v>
      </c>
      <c r="AR83" s="15">
        <v>1</v>
      </c>
      <c r="AS83" s="15">
        <v>2</v>
      </c>
      <c r="AT83" s="15">
        <v>3</v>
      </c>
      <c r="AU83" s="15">
        <v>4</v>
      </c>
      <c r="AV83" s="15">
        <v>5</v>
      </c>
      <c r="AW83" s="15" t="s">
        <v>11665</v>
      </c>
      <c r="AX83" s="15">
        <v>3</v>
      </c>
      <c r="AY83" s="15">
        <v>2</v>
      </c>
      <c r="AZ83" s="15">
        <v>1</v>
      </c>
      <c r="BA83" s="15">
        <v>4</v>
      </c>
      <c r="BB83" s="15" t="s">
        <v>11666</v>
      </c>
      <c r="BC83" s="15" t="s">
        <v>11763</v>
      </c>
      <c r="BD83" s="9">
        <v>1</v>
      </c>
    </row>
    <row r="84" spans="1:56" ht="15">
      <c r="A84" s="10"/>
      <c r="B84" s="41" t="s">
        <v>7542</v>
      </c>
      <c r="C84" s="10" t="s">
        <v>11688</v>
      </c>
      <c r="D84" s="12"/>
      <c r="E84" s="12"/>
      <c r="F84" s="12" t="s">
        <v>11935</v>
      </c>
      <c r="G84" s="12" t="s">
        <v>11936</v>
      </c>
      <c r="H84" s="22">
        <v>996160734</v>
      </c>
      <c r="I84" s="18">
        <v>45536</v>
      </c>
      <c r="J84" s="12"/>
      <c r="K84" s="12" t="s">
        <v>11663</v>
      </c>
      <c r="L84" s="12" t="s">
        <v>11663</v>
      </c>
      <c r="M84" s="12" t="s">
        <v>11663</v>
      </c>
      <c r="N84" s="12" t="s">
        <v>11663</v>
      </c>
      <c r="O84" s="12" t="s">
        <v>11663</v>
      </c>
      <c r="P84" s="12" t="s">
        <v>58</v>
      </c>
      <c r="Q84" s="12" t="s">
        <v>58</v>
      </c>
      <c r="R84" s="12">
        <v>0</v>
      </c>
      <c r="S84" s="12">
        <v>1</v>
      </c>
      <c r="T84" s="12">
        <v>0</v>
      </c>
      <c r="U84" s="14" t="s">
        <v>11663</v>
      </c>
      <c r="V84" s="15" t="s">
        <v>11664</v>
      </c>
      <c r="W84" s="14" t="s">
        <v>11664</v>
      </c>
      <c r="X84" s="14" t="s">
        <v>11664</v>
      </c>
      <c r="Y84" s="14" t="s">
        <v>11664</v>
      </c>
      <c r="Z84" s="14" t="s">
        <v>11664</v>
      </c>
      <c r="AA84" s="14" t="s">
        <v>11664</v>
      </c>
      <c r="AB84" s="14" t="s">
        <v>11664</v>
      </c>
      <c r="AC84" s="14" t="s">
        <v>11664</v>
      </c>
      <c r="AD84" s="14" t="s">
        <v>11664</v>
      </c>
      <c r="AE84" s="14" t="s">
        <v>11664</v>
      </c>
      <c r="AF84" s="15">
        <v>0</v>
      </c>
      <c r="AG84" s="15">
        <v>0</v>
      </c>
      <c r="AH84" s="15">
        <v>0</v>
      </c>
      <c r="AI84" s="15">
        <v>0</v>
      </c>
      <c r="AJ84" s="15">
        <v>0</v>
      </c>
      <c r="AK84" s="15">
        <v>0</v>
      </c>
      <c r="AL84" s="15">
        <v>0</v>
      </c>
      <c r="AM84" s="15">
        <v>0</v>
      </c>
      <c r="AN84" s="15">
        <v>0</v>
      </c>
      <c r="AO84" s="15">
        <v>0</v>
      </c>
      <c r="AP84" s="15">
        <v>0</v>
      </c>
      <c r="AQ84" s="15">
        <v>0</v>
      </c>
      <c r="AR84" s="15">
        <v>5</v>
      </c>
      <c r="AS84" s="15">
        <v>1</v>
      </c>
      <c r="AT84" s="15">
        <v>4</v>
      </c>
      <c r="AU84" s="15">
        <v>2</v>
      </c>
      <c r="AV84" s="15">
        <v>3</v>
      </c>
      <c r="AW84" s="15" t="s">
        <v>11665</v>
      </c>
      <c r="AX84" s="15">
        <v>3</v>
      </c>
      <c r="AY84" s="15">
        <v>4</v>
      </c>
      <c r="AZ84" s="15">
        <v>2</v>
      </c>
      <c r="BA84" s="15">
        <v>1</v>
      </c>
      <c r="BB84" s="15" t="s">
        <v>11666</v>
      </c>
      <c r="BC84" s="15"/>
      <c r="BD84" s="9">
        <v>1</v>
      </c>
    </row>
    <row r="85" spans="1:56" ht="12.75">
      <c r="A85" s="10"/>
      <c r="B85" s="11" t="s">
        <v>7603</v>
      </c>
      <c r="C85" s="10" t="s">
        <v>11660</v>
      </c>
      <c r="D85" s="12"/>
      <c r="E85" s="12"/>
      <c r="F85" s="12" t="s">
        <v>11937</v>
      </c>
      <c r="G85" s="12" t="s">
        <v>11938</v>
      </c>
      <c r="H85" s="17">
        <v>977978233</v>
      </c>
      <c r="I85" s="18">
        <v>45474</v>
      </c>
      <c r="J85" s="12"/>
      <c r="K85" s="12" t="s">
        <v>11663</v>
      </c>
      <c r="L85" s="12" t="s">
        <v>11664</v>
      </c>
      <c r="M85" s="12" t="s">
        <v>11664</v>
      </c>
      <c r="N85" s="12" t="s">
        <v>11664</v>
      </c>
      <c r="O85" s="12" t="s">
        <v>11663</v>
      </c>
      <c r="P85" s="12">
        <v>1</v>
      </c>
      <c r="Q85" s="12">
        <v>1</v>
      </c>
      <c r="R85" s="12">
        <v>0</v>
      </c>
      <c r="S85" s="12">
        <v>0</v>
      </c>
      <c r="T85" s="12">
        <v>1</v>
      </c>
      <c r="U85" s="14" t="s">
        <v>11663</v>
      </c>
      <c r="V85" s="15" t="s">
        <v>11664</v>
      </c>
      <c r="W85" s="14" t="s">
        <v>11664</v>
      </c>
      <c r="X85" s="14" t="s">
        <v>11663</v>
      </c>
      <c r="Y85" s="14" t="s">
        <v>11664</v>
      </c>
      <c r="Z85" s="14" t="s">
        <v>11663</v>
      </c>
      <c r="AA85" s="14" t="s">
        <v>11663</v>
      </c>
      <c r="AB85" s="14" t="s">
        <v>11664</v>
      </c>
      <c r="AC85" s="14" t="s">
        <v>11664</v>
      </c>
      <c r="AD85" s="14" t="s">
        <v>11664</v>
      </c>
      <c r="AE85" s="14" t="s">
        <v>11664</v>
      </c>
      <c r="AF85" s="15">
        <v>17</v>
      </c>
      <c r="AG85" s="15">
        <v>3</v>
      </c>
      <c r="AH85" s="15">
        <v>5</v>
      </c>
      <c r="AI85" s="15">
        <v>0</v>
      </c>
      <c r="AJ85" s="15">
        <v>0</v>
      </c>
      <c r="AK85" s="15">
        <v>0</v>
      </c>
      <c r="AL85" s="15">
        <v>0</v>
      </c>
      <c r="AM85" s="15">
        <v>0</v>
      </c>
      <c r="AN85" s="15">
        <v>0</v>
      </c>
      <c r="AO85" s="15">
        <v>0</v>
      </c>
      <c r="AP85" s="14">
        <v>2</v>
      </c>
      <c r="AQ85" s="14">
        <v>0</v>
      </c>
      <c r="AR85" s="15">
        <v>4</v>
      </c>
      <c r="AS85" s="15">
        <v>3</v>
      </c>
      <c r="AT85" s="15">
        <v>2</v>
      </c>
      <c r="AU85" s="15">
        <v>1</v>
      </c>
      <c r="AV85" s="15">
        <v>5</v>
      </c>
      <c r="AW85" s="15" t="s">
        <v>11665</v>
      </c>
      <c r="AX85" s="15">
        <v>3</v>
      </c>
      <c r="AY85" s="15">
        <v>1</v>
      </c>
      <c r="AZ85" s="15">
        <v>2</v>
      </c>
      <c r="BA85" s="15">
        <v>4</v>
      </c>
      <c r="BB85" s="15" t="s">
        <v>11666</v>
      </c>
      <c r="BC85" s="15" t="s">
        <v>11939</v>
      </c>
      <c r="BD85" s="9">
        <v>1</v>
      </c>
    </row>
    <row r="86" spans="1:56" ht="15">
      <c r="A86" s="10"/>
      <c r="B86" s="11" t="s">
        <v>7680</v>
      </c>
      <c r="C86" s="10" t="s">
        <v>11681</v>
      </c>
      <c r="D86" s="12"/>
      <c r="E86" s="12"/>
      <c r="F86" s="12" t="s">
        <v>11940</v>
      </c>
      <c r="G86" s="12" t="s">
        <v>11941</v>
      </c>
      <c r="H86" s="22">
        <v>984302888</v>
      </c>
      <c r="I86" s="18">
        <v>45505</v>
      </c>
      <c r="J86" s="21" t="s">
        <v>11942</v>
      </c>
      <c r="K86" s="12" t="s">
        <v>11663</v>
      </c>
      <c r="L86" s="12" t="s">
        <v>11663</v>
      </c>
      <c r="M86" s="12" t="s">
        <v>11663</v>
      </c>
      <c r="N86" s="12" t="s">
        <v>11664</v>
      </c>
      <c r="O86" s="12" t="s">
        <v>11663</v>
      </c>
      <c r="P86" s="12">
        <v>0</v>
      </c>
      <c r="Q86" s="12">
        <v>3</v>
      </c>
      <c r="R86" s="12">
        <v>0</v>
      </c>
      <c r="S86" s="12">
        <v>2</v>
      </c>
      <c r="T86" s="12">
        <v>1</v>
      </c>
      <c r="U86" s="14" t="s">
        <v>11663</v>
      </c>
      <c r="V86" s="15" t="s">
        <v>11664</v>
      </c>
      <c r="W86" s="14" t="s">
        <v>11663</v>
      </c>
      <c r="X86" s="14" t="s">
        <v>11663</v>
      </c>
      <c r="Y86" s="14" t="s">
        <v>11663</v>
      </c>
      <c r="Z86" s="14" t="s">
        <v>11663</v>
      </c>
      <c r="AA86" s="14" t="s">
        <v>11663</v>
      </c>
      <c r="AB86" s="14" t="s">
        <v>11663</v>
      </c>
      <c r="AC86" s="14" t="s">
        <v>11663</v>
      </c>
      <c r="AD86" s="14" t="s">
        <v>11663</v>
      </c>
      <c r="AE86" s="14" t="s">
        <v>11663</v>
      </c>
      <c r="AF86" s="15">
        <v>208</v>
      </c>
      <c r="AG86" s="15">
        <v>208</v>
      </c>
      <c r="AH86" s="15">
        <v>32</v>
      </c>
      <c r="AI86" s="15">
        <v>2</v>
      </c>
      <c r="AJ86" s="15">
        <v>1</v>
      </c>
      <c r="AK86" s="15">
        <v>0</v>
      </c>
      <c r="AL86" s="15">
        <v>2</v>
      </c>
      <c r="AM86" s="15">
        <v>2</v>
      </c>
      <c r="AN86" s="15">
        <v>2</v>
      </c>
      <c r="AO86" s="15">
        <v>18</v>
      </c>
      <c r="AP86" s="14">
        <v>1</v>
      </c>
      <c r="AQ86" s="14">
        <v>2</v>
      </c>
      <c r="AR86" s="15">
        <v>1</v>
      </c>
      <c r="AS86" s="15">
        <v>5</v>
      </c>
      <c r="AT86" s="15">
        <v>4</v>
      </c>
      <c r="AU86" s="15">
        <v>2</v>
      </c>
      <c r="AV86" s="15">
        <v>3</v>
      </c>
      <c r="AW86" s="15" t="s">
        <v>11700</v>
      </c>
      <c r="AX86" s="15">
        <v>3</v>
      </c>
      <c r="AY86" s="15">
        <v>4</v>
      </c>
      <c r="AZ86" s="15">
        <v>1</v>
      </c>
      <c r="BA86" s="15">
        <v>2</v>
      </c>
      <c r="BB86" s="15" t="s">
        <v>11666</v>
      </c>
      <c r="BC86" s="15" t="s">
        <v>11847</v>
      </c>
      <c r="BD86" s="9">
        <v>1</v>
      </c>
    </row>
    <row r="87" spans="1:56" ht="12.75">
      <c r="A87" s="10"/>
      <c r="B87" s="11" t="s">
        <v>7896</v>
      </c>
      <c r="C87" s="10" t="s">
        <v>11660</v>
      </c>
      <c r="D87" s="12"/>
      <c r="E87" s="12"/>
      <c r="F87" s="12" t="s">
        <v>11943</v>
      </c>
      <c r="G87" s="12" t="s">
        <v>11944</v>
      </c>
      <c r="H87" s="17">
        <v>958210245</v>
      </c>
      <c r="I87" s="18">
        <v>40756</v>
      </c>
      <c r="J87" s="12"/>
      <c r="K87" s="12" t="s">
        <v>11664</v>
      </c>
      <c r="L87" s="12" t="s">
        <v>11663</v>
      </c>
      <c r="M87" s="12" t="s">
        <v>11664</v>
      </c>
      <c r="N87" s="12" t="s">
        <v>11664</v>
      </c>
      <c r="O87" s="12" t="s">
        <v>11664</v>
      </c>
      <c r="P87" s="12">
        <v>0</v>
      </c>
      <c r="Q87" s="12">
        <v>0</v>
      </c>
      <c r="R87" s="12">
        <v>0</v>
      </c>
      <c r="S87" s="12">
        <v>0</v>
      </c>
      <c r="T87" s="12">
        <v>0</v>
      </c>
      <c r="U87" s="14" t="s">
        <v>11663</v>
      </c>
      <c r="V87" s="15" t="s">
        <v>11663</v>
      </c>
      <c r="W87" s="14" t="s">
        <v>11663</v>
      </c>
      <c r="X87" s="14" t="s">
        <v>11663</v>
      </c>
      <c r="Y87" s="14" t="s">
        <v>11663</v>
      </c>
      <c r="Z87" s="14" t="s">
        <v>11663</v>
      </c>
      <c r="AA87" s="14" t="s">
        <v>11664</v>
      </c>
      <c r="AB87" s="14" t="s">
        <v>11663</v>
      </c>
      <c r="AC87" s="14" t="s">
        <v>11663</v>
      </c>
      <c r="AD87" s="14" t="s">
        <v>11663</v>
      </c>
      <c r="AE87" s="14" t="s">
        <v>11664</v>
      </c>
      <c r="AF87" s="15">
        <v>190</v>
      </c>
      <c r="AG87" s="15">
        <v>120</v>
      </c>
      <c r="AH87" s="15">
        <v>5</v>
      </c>
      <c r="AI87" s="15">
        <v>0</v>
      </c>
      <c r="AJ87" s="15">
        <v>0</v>
      </c>
      <c r="AK87" s="15">
        <v>0</v>
      </c>
      <c r="AL87" s="15">
        <v>0</v>
      </c>
      <c r="AM87" s="15">
        <v>0</v>
      </c>
      <c r="AN87" s="15">
        <v>0</v>
      </c>
      <c r="AO87" s="15">
        <v>0</v>
      </c>
      <c r="AP87" s="14">
        <v>0</v>
      </c>
      <c r="AQ87" s="42">
        <v>1</v>
      </c>
      <c r="AR87" s="15">
        <v>5</v>
      </c>
      <c r="AS87" s="15">
        <v>4</v>
      </c>
      <c r="AT87" s="15">
        <v>3</v>
      </c>
      <c r="AU87" s="15">
        <v>2</v>
      </c>
      <c r="AV87" s="15">
        <v>1</v>
      </c>
      <c r="AW87" s="15" t="s">
        <v>11671</v>
      </c>
      <c r="AX87" s="15">
        <v>3</v>
      </c>
      <c r="AY87" s="15">
        <v>1</v>
      </c>
      <c r="AZ87" s="15">
        <v>2</v>
      </c>
      <c r="BA87" s="15">
        <v>4</v>
      </c>
      <c r="BB87" s="15" t="s">
        <v>11666</v>
      </c>
      <c r="BC87" s="15"/>
      <c r="BD87" s="9">
        <v>0</v>
      </c>
    </row>
    <row r="88" spans="1:56" ht="12.75">
      <c r="A88" s="10"/>
      <c r="B88" s="41" t="s">
        <v>11945</v>
      </c>
      <c r="C88" s="10" t="s">
        <v>11813</v>
      </c>
      <c r="D88" s="12"/>
      <c r="E88" s="12"/>
      <c r="F88" s="12" t="s">
        <v>11946</v>
      </c>
      <c r="G88" s="12" t="s">
        <v>11947</v>
      </c>
      <c r="H88" s="17">
        <v>991533984</v>
      </c>
      <c r="I88" s="18">
        <v>44743</v>
      </c>
      <c r="J88" s="12"/>
      <c r="K88" s="12" t="s">
        <v>11663</v>
      </c>
      <c r="L88" s="12" t="s">
        <v>11663</v>
      </c>
      <c r="M88" s="12" t="s">
        <v>11664</v>
      </c>
      <c r="N88" s="12" t="s">
        <v>11663</v>
      </c>
      <c r="O88" s="12" t="s">
        <v>11664</v>
      </c>
      <c r="P88" s="12">
        <v>0</v>
      </c>
      <c r="Q88" s="12">
        <v>0</v>
      </c>
      <c r="R88" s="12">
        <v>1</v>
      </c>
      <c r="S88" s="12">
        <v>1</v>
      </c>
      <c r="T88" s="12">
        <v>1</v>
      </c>
      <c r="U88" s="14" t="s">
        <v>11663</v>
      </c>
      <c r="V88" s="15" t="s">
        <v>11664</v>
      </c>
      <c r="W88" s="14" t="s">
        <v>11663</v>
      </c>
      <c r="X88" s="14" t="s">
        <v>11663</v>
      </c>
      <c r="Y88" s="14" t="s">
        <v>11663</v>
      </c>
      <c r="Z88" s="14" t="s">
        <v>11663</v>
      </c>
      <c r="AA88" s="14" t="s">
        <v>11664</v>
      </c>
      <c r="AB88" s="14" t="s">
        <v>11664</v>
      </c>
      <c r="AC88" s="14" t="s">
        <v>11664</v>
      </c>
      <c r="AD88" s="14" t="s">
        <v>11663</v>
      </c>
      <c r="AE88" s="14" t="s">
        <v>11664</v>
      </c>
      <c r="AF88" s="15">
        <v>298</v>
      </c>
      <c r="AG88" s="15">
        <v>0</v>
      </c>
      <c r="AH88" s="15">
        <v>0</v>
      </c>
      <c r="AI88" s="15">
        <v>0</v>
      </c>
      <c r="AJ88" s="15">
        <v>0</v>
      </c>
      <c r="AK88" s="15">
        <v>0</v>
      </c>
      <c r="AL88" s="15">
        <v>0</v>
      </c>
      <c r="AM88" s="15">
        <v>0</v>
      </c>
      <c r="AN88" s="15">
        <v>0</v>
      </c>
      <c r="AO88" s="15">
        <v>0</v>
      </c>
      <c r="AP88" s="15">
        <v>0</v>
      </c>
      <c r="AQ88" s="15">
        <v>0</v>
      </c>
      <c r="AR88" s="15">
        <v>1</v>
      </c>
      <c r="AS88" s="15">
        <v>4</v>
      </c>
      <c r="AT88" s="15">
        <v>3</v>
      </c>
      <c r="AU88" s="15">
        <v>2</v>
      </c>
      <c r="AV88" s="15">
        <v>5</v>
      </c>
      <c r="AW88" s="15" t="s">
        <v>11665</v>
      </c>
      <c r="AX88" s="15">
        <v>1</v>
      </c>
      <c r="AY88" s="15">
        <v>3</v>
      </c>
      <c r="AZ88" s="15">
        <v>2</v>
      </c>
      <c r="BA88" s="15">
        <v>4</v>
      </c>
      <c r="BB88" s="15" t="s">
        <v>11666</v>
      </c>
      <c r="BC88" s="15"/>
      <c r="BD88" s="9">
        <v>1</v>
      </c>
    </row>
    <row r="89" spans="1:56" ht="18" customHeight="1">
      <c r="A89" s="10"/>
      <c r="B89" s="43" t="s">
        <v>11948</v>
      </c>
      <c r="C89" s="31" t="s">
        <v>11785</v>
      </c>
      <c r="D89" s="12"/>
      <c r="E89" s="12"/>
      <c r="F89" s="12" t="s">
        <v>11949</v>
      </c>
      <c r="G89" s="12" t="s">
        <v>11950</v>
      </c>
      <c r="H89" s="17">
        <v>969094148</v>
      </c>
      <c r="I89" s="18">
        <v>45292</v>
      </c>
      <c r="J89" s="12"/>
      <c r="K89" s="12" t="s">
        <v>11663</v>
      </c>
      <c r="L89" s="12" t="s">
        <v>11663</v>
      </c>
      <c r="M89" s="12" t="s">
        <v>11663</v>
      </c>
      <c r="N89" s="12" t="s">
        <v>11664</v>
      </c>
      <c r="O89" s="12" t="s">
        <v>11663</v>
      </c>
      <c r="P89" s="12">
        <v>3</v>
      </c>
      <c r="Q89" s="12">
        <v>3</v>
      </c>
      <c r="R89" s="12">
        <v>0</v>
      </c>
      <c r="S89" s="12">
        <v>0</v>
      </c>
      <c r="T89" s="12">
        <v>0</v>
      </c>
      <c r="U89" s="14" t="s">
        <v>11664</v>
      </c>
      <c r="V89" s="15" t="s">
        <v>11664</v>
      </c>
      <c r="W89" s="14" t="s">
        <v>11664</v>
      </c>
      <c r="X89" s="14" t="s">
        <v>11663</v>
      </c>
      <c r="Y89" s="14" t="s">
        <v>11664</v>
      </c>
      <c r="Z89" s="14" t="s">
        <v>11663</v>
      </c>
      <c r="AA89" s="14" t="s">
        <v>11663</v>
      </c>
      <c r="AB89" s="14" t="s">
        <v>11663</v>
      </c>
      <c r="AC89" s="14" t="s">
        <v>11664</v>
      </c>
      <c r="AD89" s="14" t="s">
        <v>11664</v>
      </c>
      <c r="AE89" s="14" t="s">
        <v>11664</v>
      </c>
      <c r="AF89" s="15">
        <v>50</v>
      </c>
      <c r="AG89" s="15">
        <v>35</v>
      </c>
      <c r="AH89" s="15">
        <v>40</v>
      </c>
      <c r="AI89" s="15">
        <v>0</v>
      </c>
      <c r="AJ89" s="15">
        <v>6</v>
      </c>
      <c r="AK89" s="15">
        <v>0</v>
      </c>
      <c r="AL89" s="15">
        <v>0</v>
      </c>
      <c r="AM89" s="15">
        <v>2</v>
      </c>
      <c r="AN89" s="15">
        <v>1</v>
      </c>
      <c r="AO89" s="15">
        <v>0</v>
      </c>
      <c r="AP89" s="20">
        <v>0</v>
      </c>
      <c r="AQ89" s="20">
        <v>0</v>
      </c>
      <c r="AR89" s="15">
        <v>4</v>
      </c>
      <c r="AS89" s="15">
        <v>1</v>
      </c>
      <c r="AT89" s="15">
        <v>3</v>
      </c>
      <c r="AU89" s="15">
        <v>2</v>
      </c>
      <c r="AV89" s="15">
        <v>5</v>
      </c>
      <c r="AW89" s="15" t="s">
        <v>11665</v>
      </c>
      <c r="AX89" s="15">
        <v>1</v>
      </c>
      <c r="AY89" s="15">
        <v>2</v>
      </c>
      <c r="AZ89" s="15">
        <v>3</v>
      </c>
      <c r="BA89" s="15">
        <v>4</v>
      </c>
      <c r="BB89" s="15" t="s">
        <v>11680</v>
      </c>
      <c r="BC89" s="15"/>
      <c r="BD89" s="9">
        <v>0</v>
      </c>
    </row>
    <row r="90" spans="1:56" ht="12.75">
      <c r="A90" s="10"/>
      <c r="B90" s="11" t="s">
        <v>7961</v>
      </c>
      <c r="C90" s="10" t="s">
        <v>11756</v>
      </c>
      <c r="D90" s="12"/>
      <c r="E90" s="12"/>
      <c r="F90" s="12" t="s">
        <v>11951</v>
      </c>
      <c r="G90" s="12" t="s">
        <v>11952</v>
      </c>
      <c r="H90" s="17">
        <v>223120066</v>
      </c>
      <c r="I90" s="12" t="s">
        <v>58</v>
      </c>
      <c r="J90" s="12" t="s">
        <v>11953</v>
      </c>
      <c r="K90" s="12" t="s">
        <v>11663</v>
      </c>
      <c r="L90" s="12" t="s">
        <v>11663</v>
      </c>
      <c r="M90" s="12" t="s">
        <v>11663</v>
      </c>
      <c r="N90" s="12" t="s">
        <v>11663</v>
      </c>
      <c r="O90" s="12" t="s">
        <v>11664</v>
      </c>
      <c r="P90" s="12">
        <v>0</v>
      </c>
      <c r="Q90" s="12">
        <v>0</v>
      </c>
      <c r="R90" s="12">
        <v>0</v>
      </c>
      <c r="S90" s="12">
        <v>1</v>
      </c>
      <c r="T90" s="12">
        <v>3</v>
      </c>
      <c r="U90" s="14" t="s">
        <v>11663</v>
      </c>
      <c r="V90" s="15" t="s">
        <v>11664</v>
      </c>
      <c r="W90" s="14" t="s">
        <v>11663</v>
      </c>
      <c r="X90" s="14" t="s">
        <v>11664</v>
      </c>
      <c r="Y90" s="14" t="s">
        <v>11664</v>
      </c>
      <c r="Z90" s="14" t="s">
        <v>11663</v>
      </c>
      <c r="AA90" s="14" t="s">
        <v>11663</v>
      </c>
      <c r="AB90" s="14" t="s">
        <v>11664</v>
      </c>
      <c r="AC90" s="14" t="s">
        <v>11664</v>
      </c>
      <c r="AD90" s="14" t="s">
        <v>11663</v>
      </c>
      <c r="AE90" s="14" t="s">
        <v>11664</v>
      </c>
      <c r="AF90" s="15">
        <v>314</v>
      </c>
      <c r="AG90" s="15">
        <v>122</v>
      </c>
      <c r="AH90" s="15">
        <v>54</v>
      </c>
      <c r="AI90" s="15">
        <v>2</v>
      </c>
      <c r="AJ90" s="15">
        <v>0</v>
      </c>
      <c r="AK90" s="15">
        <v>0</v>
      </c>
      <c r="AL90" s="15">
        <v>0</v>
      </c>
      <c r="AM90" s="15">
        <v>0</v>
      </c>
      <c r="AN90" s="15">
        <v>0</v>
      </c>
      <c r="AO90" s="15">
        <v>6</v>
      </c>
      <c r="AP90" s="14">
        <v>2</v>
      </c>
      <c r="AQ90" s="14">
        <v>8</v>
      </c>
      <c r="AR90" s="15">
        <v>3</v>
      </c>
      <c r="AS90" s="15">
        <v>2</v>
      </c>
      <c r="AT90" s="15">
        <v>1</v>
      </c>
      <c r="AU90" s="15">
        <v>4</v>
      </c>
      <c r="AV90" s="15">
        <v>5</v>
      </c>
      <c r="AW90" s="15" t="s">
        <v>11665</v>
      </c>
      <c r="AX90" s="15">
        <v>4</v>
      </c>
      <c r="AY90" s="15">
        <v>1</v>
      </c>
      <c r="AZ90" s="15">
        <v>2</v>
      </c>
      <c r="BA90" s="15">
        <v>3</v>
      </c>
      <c r="BB90" s="15" t="s">
        <v>11680</v>
      </c>
      <c r="BC90" s="15" t="s">
        <v>11954</v>
      </c>
      <c r="BD90" s="9">
        <v>1</v>
      </c>
    </row>
    <row r="91" spans="1:56" ht="15">
      <c r="A91" s="10"/>
      <c r="B91" s="11" t="s">
        <v>7998</v>
      </c>
      <c r="C91" s="10" t="s">
        <v>11705</v>
      </c>
      <c r="D91" s="12"/>
      <c r="E91" s="12"/>
      <c r="F91" s="12" t="s">
        <v>11955</v>
      </c>
      <c r="G91" s="12" t="s">
        <v>11956</v>
      </c>
      <c r="H91" s="21">
        <v>967442698</v>
      </c>
      <c r="I91" s="18">
        <v>44440</v>
      </c>
      <c r="J91" s="12"/>
      <c r="K91" s="12" t="s">
        <v>11663</v>
      </c>
      <c r="L91" s="12" t="s">
        <v>11663</v>
      </c>
      <c r="M91" s="12" t="s">
        <v>11664</v>
      </c>
      <c r="N91" s="12" t="s">
        <v>11663</v>
      </c>
      <c r="O91" s="12" t="s">
        <v>11663</v>
      </c>
      <c r="P91" s="12">
        <v>3</v>
      </c>
      <c r="Q91" s="12">
        <v>13</v>
      </c>
      <c r="R91" s="12">
        <v>0</v>
      </c>
      <c r="S91" s="12">
        <v>0</v>
      </c>
      <c r="T91" s="12">
        <v>0</v>
      </c>
      <c r="U91" s="14" t="s">
        <v>11663</v>
      </c>
      <c r="V91" s="15" t="s">
        <v>11664</v>
      </c>
      <c r="W91" s="14" t="s">
        <v>11664</v>
      </c>
      <c r="X91" s="14" t="s">
        <v>11663</v>
      </c>
      <c r="Y91" s="14" t="s">
        <v>11664</v>
      </c>
      <c r="Z91" s="14" t="s">
        <v>11663</v>
      </c>
      <c r="AA91" s="14" t="s">
        <v>11663</v>
      </c>
      <c r="AB91" s="14" t="s">
        <v>11663</v>
      </c>
      <c r="AC91" s="14" t="s">
        <v>11663</v>
      </c>
      <c r="AD91" s="14" t="s">
        <v>11663</v>
      </c>
      <c r="AE91" s="14" t="s">
        <v>11663</v>
      </c>
      <c r="AF91" s="15">
        <v>40</v>
      </c>
      <c r="AG91" s="15">
        <v>10</v>
      </c>
      <c r="AH91" s="15">
        <v>60</v>
      </c>
      <c r="AI91" s="15">
        <v>0</v>
      </c>
      <c r="AJ91" s="15">
        <v>0</v>
      </c>
      <c r="AK91" s="15">
        <v>0</v>
      </c>
      <c r="AL91" s="15">
        <v>0</v>
      </c>
      <c r="AM91" s="15">
        <v>0</v>
      </c>
      <c r="AN91" s="15">
        <v>2</v>
      </c>
      <c r="AO91" s="15">
        <v>11</v>
      </c>
      <c r="AP91" s="14">
        <v>0</v>
      </c>
      <c r="AQ91" s="14">
        <v>0</v>
      </c>
      <c r="AR91" s="15">
        <v>4</v>
      </c>
      <c r="AS91" s="15">
        <v>1</v>
      </c>
      <c r="AT91" s="15">
        <v>5</v>
      </c>
      <c r="AU91" s="15">
        <v>3</v>
      </c>
      <c r="AV91" s="15">
        <v>2</v>
      </c>
      <c r="AW91" s="15" t="s">
        <v>11665</v>
      </c>
      <c r="AX91" s="15">
        <v>4</v>
      </c>
      <c r="AY91" s="15" t="s">
        <v>58</v>
      </c>
      <c r="AZ91" s="15">
        <v>1</v>
      </c>
      <c r="BA91" s="15" t="s">
        <v>58</v>
      </c>
      <c r="BB91" s="15" t="s">
        <v>11680</v>
      </c>
      <c r="BC91" s="15"/>
      <c r="BD91" s="9">
        <v>0</v>
      </c>
    </row>
    <row r="92" spans="1:56" ht="12.75">
      <c r="A92" s="10"/>
      <c r="B92" s="11" t="s">
        <v>8048</v>
      </c>
      <c r="C92" s="10" t="s">
        <v>11681</v>
      </c>
      <c r="D92" s="12"/>
      <c r="E92" s="12"/>
      <c r="F92" s="12" t="s">
        <v>11957</v>
      </c>
      <c r="G92" s="12" t="s">
        <v>10272</v>
      </c>
      <c r="H92" s="17">
        <v>969170290</v>
      </c>
      <c r="I92" s="18">
        <v>42948</v>
      </c>
      <c r="J92" s="12"/>
      <c r="K92" s="12" t="s">
        <v>11664</v>
      </c>
      <c r="L92" s="12" t="s">
        <v>11664</v>
      </c>
      <c r="M92" s="12" t="s">
        <v>11664</v>
      </c>
      <c r="N92" s="12" t="s">
        <v>11664</v>
      </c>
      <c r="O92" s="12" t="s">
        <v>11663</v>
      </c>
      <c r="P92" s="12">
        <v>10</v>
      </c>
      <c r="Q92" s="12">
        <v>13</v>
      </c>
      <c r="R92" s="12">
        <v>0</v>
      </c>
      <c r="S92" s="12">
        <v>0</v>
      </c>
      <c r="T92" s="12">
        <v>0</v>
      </c>
      <c r="U92" s="14" t="s">
        <v>11663</v>
      </c>
      <c r="V92" s="15" t="s">
        <v>11664</v>
      </c>
      <c r="W92" s="14" t="s">
        <v>11664</v>
      </c>
      <c r="X92" s="14" t="s">
        <v>11663</v>
      </c>
      <c r="Y92" s="14" t="s">
        <v>11664</v>
      </c>
      <c r="Z92" s="14" t="s">
        <v>11663</v>
      </c>
      <c r="AA92" s="14" t="s">
        <v>11663</v>
      </c>
      <c r="AB92" s="14" t="s">
        <v>11663</v>
      </c>
      <c r="AC92" s="14" t="s">
        <v>11664</v>
      </c>
      <c r="AD92" s="14" t="s">
        <v>11664</v>
      </c>
      <c r="AE92" s="14" t="s">
        <v>11664</v>
      </c>
      <c r="AF92" s="15">
        <v>20</v>
      </c>
      <c r="AG92" s="15">
        <v>34</v>
      </c>
      <c r="AH92" s="15">
        <v>30</v>
      </c>
      <c r="AI92" s="15">
        <v>0</v>
      </c>
      <c r="AJ92" s="15">
        <v>0</v>
      </c>
      <c r="AK92" s="15">
        <v>0</v>
      </c>
      <c r="AL92" s="15">
        <v>0</v>
      </c>
      <c r="AM92" s="15">
        <v>0</v>
      </c>
      <c r="AN92" s="15">
        <v>0</v>
      </c>
      <c r="AO92" s="15">
        <v>3</v>
      </c>
      <c r="AP92" s="14">
        <v>0</v>
      </c>
      <c r="AQ92" s="14">
        <v>0</v>
      </c>
      <c r="AR92" s="15">
        <v>4</v>
      </c>
      <c r="AS92" s="15">
        <v>1</v>
      </c>
      <c r="AT92" s="15">
        <v>3</v>
      </c>
      <c r="AU92" s="15">
        <v>2</v>
      </c>
      <c r="AV92" s="15">
        <v>5</v>
      </c>
      <c r="AW92" s="15" t="s">
        <v>11665</v>
      </c>
      <c r="AX92" s="15">
        <v>4</v>
      </c>
      <c r="AY92" s="15">
        <v>2</v>
      </c>
      <c r="AZ92" s="15">
        <v>1</v>
      </c>
      <c r="BA92" s="15">
        <v>3</v>
      </c>
      <c r="BB92" s="15" t="s">
        <v>11680</v>
      </c>
      <c r="BC92" s="15"/>
      <c r="BD92" s="9">
        <v>1</v>
      </c>
    </row>
    <row r="93" spans="1:56" ht="15">
      <c r="A93" s="10"/>
      <c r="B93" s="11" t="s">
        <v>11958</v>
      </c>
      <c r="C93" s="10" t="s">
        <v>11756</v>
      </c>
      <c r="D93" s="12"/>
      <c r="E93" s="12"/>
      <c r="F93" s="12" t="s">
        <v>11959</v>
      </c>
      <c r="G93" s="12" t="s">
        <v>11960</v>
      </c>
      <c r="H93" s="22">
        <v>964670670</v>
      </c>
      <c r="I93" s="18">
        <v>45200</v>
      </c>
      <c r="J93" s="12" t="s">
        <v>11961</v>
      </c>
      <c r="K93" s="12" t="s">
        <v>11663</v>
      </c>
      <c r="L93" s="12" t="s">
        <v>11663</v>
      </c>
      <c r="M93" s="12" t="s">
        <v>11663</v>
      </c>
      <c r="N93" s="12" t="s">
        <v>11663</v>
      </c>
      <c r="O93" s="12" t="s">
        <v>11663</v>
      </c>
      <c r="P93" s="12">
        <v>4</v>
      </c>
      <c r="Q93" s="12">
        <v>2</v>
      </c>
      <c r="R93" s="12">
        <v>2</v>
      </c>
      <c r="S93" s="12">
        <v>1</v>
      </c>
      <c r="T93" s="12">
        <v>1</v>
      </c>
      <c r="U93" s="14" t="s">
        <v>11664</v>
      </c>
      <c r="V93" s="15" t="s">
        <v>11664</v>
      </c>
      <c r="W93" s="14" t="s">
        <v>11663</v>
      </c>
      <c r="X93" s="14" t="s">
        <v>11663</v>
      </c>
      <c r="Y93" s="15" t="s">
        <v>11664</v>
      </c>
      <c r="Z93" s="14" t="s">
        <v>11663</v>
      </c>
      <c r="AA93" s="15" t="s">
        <v>11664</v>
      </c>
      <c r="AB93" s="14" t="s">
        <v>11663</v>
      </c>
      <c r="AC93" s="14" t="s">
        <v>11663</v>
      </c>
      <c r="AD93" s="14" t="s">
        <v>11664</v>
      </c>
      <c r="AE93" s="14" t="s">
        <v>11664</v>
      </c>
      <c r="AF93" s="15">
        <v>300</v>
      </c>
      <c r="AG93" s="15">
        <v>300</v>
      </c>
      <c r="AH93" s="15">
        <v>270</v>
      </c>
      <c r="AI93" s="15">
        <v>0</v>
      </c>
      <c r="AJ93" s="15">
        <v>0</v>
      </c>
      <c r="AK93" s="15">
        <v>0</v>
      </c>
      <c r="AL93" s="15">
        <v>0</v>
      </c>
      <c r="AM93" s="15">
        <v>0</v>
      </c>
      <c r="AN93" s="15">
        <v>1</v>
      </c>
      <c r="AO93" s="15">
        <v>210</v>
      </c>
      <c r="AP93" s="14">
        <v>5</v>
      </c>
      <c r="AQ93" s="14">
        <v>0</v>
      </c>
      <c r="AR93" s="15">
        <v>5</v>
      </c>
      <c r="AS93" s="15">
        <v>3</v>
      </c>
      <c r="AT93" s="15">
        <v>2</v>
      </c>
      <c r="AU93" s="15">
        <v>1</v>
      </c>
      <c r="AV93" s="15">
        <v>4</v>
      </c>
      <c r="AW93" s="15" t="s">
        <v>11700</v>
      </c>
      <c r="AX93" s="15">
        <v>3</v>
      </c>
      <c r="AY93" s="15">
        <v>2</v>
      </c>
      <c r="AZ93" s="15">
        <v>1</v>
      </c>
      <c r="BA93" s="15">
        <v>5</v>
      </c>
      <c r="BB93" s="15" t="s">
        <v>11675</v>
      </c>
      <c r="BC93" s="15" t="s">
        <v>11962</v>
      </c>
      <c r="BD93" s="9">
        <v>1</v>
      </c>
    </row>
    <row r="94" spans="1:56" ht="12.75">
      <c r="A94" s="10"/>
      <c r="B94" s="11" t="s">
        <v>8254</v>
      </c>
      <c r="C94" s="10" t="s">
        <v>260</v>
      </c>
      <c r="D94" s="12"/>
      <c r="E94" s="12"/>
      <c r="F94" s="12" t="s">
        <v>11963</v>
      </c>
      <c r="G94" s="12" t="s">
        <v>11964</v>
      </c>
      <c r="H94" s="17">
        <v>967961903</v>
      </c>
      <c r="I94" s="18">
        <v>44835</v>
      </c>
      <c r="J94" s="12"/>
      <c r="K94" s="12" t="s">
        <v>11663</v>
      </c>
      <c r="L94" s="12" t="s">
        <v>11663</v>
      </c>
      <c r="M94" s="12" t="s">
        <v>11664</v>
      </c>
      <c r="N94" s="12" t="s">
        <v>11663</v>
      </c>
      <c r="O94" s="12" t="s">
        <v>11664</v>
      </c>
      <c r="P94" s="12">
        <v>0</v>
      </c>
      <c r="Q94" s="12">
        <v>0</v>
      </c>
      <c r="R94" s="12">
        <v>0</v>
      </c>
      <c r="S94" s="12">
        <v>1</v>
      </c>
      <c r="T94" s="12">
        <v>0</v>
      </c>
      <c r="U94" s="14" t="s">
        <v>11664</v>
      </c>
      <c r="V94" s="15" t="s">
        <v>11664</v>
      </c>
      <c r="W94" s="14" t="s">
        <v>11663</v>
      </c>
      <c r="X94" s="14" t="s">
        <v>11663</v>
      </c>
      <c r="Y94" s="14" t="s">
        <v>11664</v>
      </c>
      <c r="Z94" s="14" t="s">
        <v>11663</v>
      </c>
      <c r="AA94" s="14" t="s">
        <v>11664</v>
      </c>
      <c r="AB94" s="14" t="s">
        <v>11663</v>
      </c>
      <c r="AC94" s="14" t="s">
        <v>11664</v>
      </c>
      <c r="AD94" s="14" t="s">
        <v>11663</v>
      </c>
      <c r="AE94" s="14" t="s">
        <v>11663</v>
      </c>
      <c r="AF94" s="15">
        <v>0</v>
      </c>
      <c r="AG94" s="15">
        <v>0</v>
      </c>
      <c r="AH94" s="15">
        <v>0</v>
      </c>
      <c r="AI94" s="15">
        <v>1</v>
      </c>
      <c r="AJ94" s="15">
        <v>1</v>
      </c>
      <c r="AK94" s="15">
        <v>1</v>
      </c>
      <c r="AL94" s="15">
        <v>12</v>
      </c>
      <c r="AM94" s="15">
        <v>12</v>
      </c>
      <c r="AN94" s="15">
        <v>1</v>
      </c>
      <c r="AO94" s="15">
        <v>0</v>
      </c>
      <c r="AP94" s="14">
        <v>0</v>
      </c>
      <c r="AQ94" s="14">
        <v>0</v>
      </c>
      <c r="AR94" s="15">
        <v>3</v>
      </c>
      <c r="AS94" s="15">
        <v>2</v>
      </c>
      <c r="AT94" s="15">
        <v>4</v>
      </c>
      <c r="AU94" s="15">
        <v>1</v>
      </c>
      <c r="AV94" s="15">
        <v>5</v>
      </c>
      <c r="AW94" s="15" t="s">
        <v>11665</v>
      </c>
      <c r="AX94" s="15">
        <v>2</v>
      </c>
      <c r="AY94" s="15">
        <v>4</v>
      </c>
      <c r="AZ94" s="15">
        <v>1</v>
      </c>
      <c r="BA94" s="15">
        <v>3</v>
      </c>
      <c r="BB94" s="15" t="s">
        <v>1151</v>
      </c>
      <c r="BC94" s="15" t="s">
        <v>11965</v>
      </c>
      <c r="BD94" s="9">
        <v>1</v>
      </c>
    </row>
    <row r="95" spans="1:56" ht="12.75">
      <c r="A95" s="10"/>
      <c r="B95" s="11" t="s">
        <v>8287</v>
      </c>
      <c r="C95" s="10" t="s">
        <v>11667</v>
      </c>
      <c r="D95" s="12"/>
      <c r="E95" s="12"/>
      <c r="F95" s="12" t="s">
        <v>11966</v>
      </c>
      <c r="G95" s="12" t="s">
        <v>11967</v>
      </c>
      <c r="H95" s="17">
        <v>975593650</v>
      </c>
      <c r="I95" s="18">
        <v>45170</v>
      </c>
      <c r="J95" s="12" t="s">
        <v>11968</v>
      </c>
      <c r="K95" s="12" t="s">
        <v>11663</v>
      </c>
      <c r="L95" s="12" t="s">
        <v>11663</v>
      </c>
      <c r="M95" s="12" t="s">
        <v>11663</v>
      </c>
      <c r="N95" s="12" t="s">
        <v>11664</v>
      </c>
      <c r="O95" s="12" t="s">
        <v>11663</v>
      </c>
      <c r="P95" s="12">
        <v>1</v>
      </c>
      <c r="Q95" s="12">
        <v>4</v>
      </c>
      <c r="R95" s="12">
        <v>2</v>
      </c>
      <c r="S95" s="12">
        <v>2</v>
      </c>
      <c r="T95" s="12">
        <v>1</v>
      </c>
      <c r="U95" s="14" t="s">
        <v>11664</v>
      </c>
      <c r="V95" s="15" t="s">
        <v>11664</v>
      </c>
      <c r="W95" s="14" t="s">
        <v>11664</v>
      </c>
      <c r="X95" s="14" t="s">
        <v>11664</v>
      </c>
      <c r="Y95" s="14" t="s">
        <v>11663</v>
      </c>
      <c r="Z95" s="14" t="s">
        <v>11664</v>
      </c>
      <c r="AA95" s="14" t="s">
        <v>11663</v>
      </c>
      <c r="AB95" s="14" t="s">
        <v>11664</v>
      </c>
      <c r="AC95" s="14" t="s">
        <v>11664</v>
      </c>
      <c r="AD95" s="14" t="s">
        <v>11664</v>
      </c>
      <c r="AE95" s="14" t="s">
        <v>11664</v>
      </c>
      <c r="AF95" s="15">
        <v>0</v>
      </c>
      <c r="AG95" s="15">
        <v>1440</v>
      </c>
      <c r="AH95" s="15">
        <v>0</v>
      </c>
      <c r="AI95" s="15">
        <v>1</v>
      </c>
      <c r="AJ95" s="15">
        <v>0</v>
      </c>
      <c r="AK95" s="15">
        <v>2</v>
      </c>
      <c r="AL95" s="15">
        <v>0</v>
      </c>
      <c r="AM95" s="15">
        <v>0</v>
      </c>
      <c r="AN95" s="15">
        <v>0</v>
      </c>
      <c r="AO95" s="15">
        <v>15</v>
      </c>
      <c r="AP95" s="14">
        <v>1</v>
      </c>
      <c r="AQ95" s="14">
        <v>0</v>
      </c>
      <c r="AR95" s="15">
        <v>4</v>
      </c>
      <c r="AS95" s="15">
        <v>3</v>
      </c>
      <c r="AT95" s="15">
        <v>2</v>
      </c>
      <c r="AU95" s="15">
        <v>1</v>
      </c>
      <c r="AV95" s="15">
        <v>5</v>
      </c>
      <c r="AW95" s="15" t="s">
        <v>11665</v>
      </c>
      <c r="AX95" s="15">
        <v>1</v>
      </c>
      <c r="AY95" s="15">
        <v>3</v>
      </c>
      <c r="AZ95" s="15">
        <v>2</v>
      </c>
      <c r="BA95" s="15">
        <v>4</v>
      </c>
      <c r="BB95" s="15" t="s">
        <v>11666</v>
      </c>
      <c r="BC95" s="15"/>
      <c r="BD95" s="9">
        <v>1</v>
      </c>
    </row>
    <row r="96" spans="1:56" ht="12.75">
      <c r="A96" s="10"/>
      <c r="B96" s="11" t="s">
        <v>8369</v>
      </c>
      <c r="C96" s="10" t="s">
        <v>11688</v>
      </c>
      <c r="D96" s="12"/>
      <c r="E96" s="12"/>
      <c r="F96" s="12" t="s">
        <v>11969</v>
      </c>
      <c r="G96" s="12" t="s">
        <v>11970</v>
      </c>
      <c r="H96" s="17" t="s">
        <v>11971</v>
      </c>
      <c r="I96" s="18">
        <v>45292</v>
      </c>
      <c r="J96" s="12"/>
      <c r="K96" s="12" t="s">
        <v>11663</v>
      </c>
      <c r="L96" s="12" t="s">
        <v>11663</v>
      </c>
      <c r="M96" s="12" t="s">
        <v>11663</v>
      </c>
      <c r="N96" s="12" t="s">
        <v>11663</v>
      </c>
      <c r="O96" s="12" t="s">
        <v>11664</v>
      </c>
      <c r="P96" s="12">
        <v>0</v>
      </c>
      <c r="Q96" s="12">
        <v>0</v>
      </c>
      <c r="R96" s="12">
        <v>2</v>
      </c>
      <c r="S96" s="12">
        <v>1</v>
      </c>
      <c r="T96" s="12">
        <v>1</v>
      </c>
      <c r="U96" s="14" t="s">
        <v>11664</v>
      </c>
      <c r="V96" s="15" t="s">
        <v>11664</v>
      </c>
      <c r="W96" s="14" t="s">
        <v>11664</v>
      </c>
      <c r="X96" s="14" t="s">
        <v>11664</v>
      </c>
      <c r="Y96" s="14" t="s">
        <v>11663</v>
      </c>
      <c r="Z96" s="14" t="s">
        <v>11663</v>
      </c>
      <c r="AA96" s="14" t="s">
        <v>11663</v>
      </c>
      <c r="AB96" s="14" t="s">
        <v>11663</v>
      </c>
      <c r="AC96" s="14" t="s">
        <v>11663</v>
      </c>
      <c r="AD96" s="14" t="s">
        <v>11663</v>
      </c>
      <c r="AE96" s="14" t="s">
        <v>11663</v>
      </c>
      <c r="AF96" s="15">
        <v>0</v>
      </c>
      <c r="AG96" s="15">
        <v>0</v>
      </c>
      <c r="AH96" s="15">
        <v>20</v>
      </c>
      <c r="AI96" s="15">
        <v>2</v>
      </c>
      <c r="AJ96" s="15">
        <v>0</v>
      </c>
      <c r="AK96" s="15">
        <v>1</v>
      </c>
      <c r="AL96" s="15">
        <v>3</v>
      </c>
      <c r="AM96" s="15">
        <v>0</v>
      </c>
      <c r="AN96" s="15">
        <v>1</v>
      </c>
      <c r="AO96" s="15">
        <v>0</v>
      </c>
      <c r="AP96" s="14">
        <v>1</v>
      </c>
      <c r="AQ96" s="14">
        <v>0</v>
      </c>
      <c r="AR96" s="15">
        <v>5</v>
      </c>
      <c r="AS96" s="15">
        <v>2</v>
      </c>
      <c r="AT96" s="15">
        <v>1</v>
      </c>
      <c r="AU96" s="15">
        <v>3</v>
      </c>
      <c r="AV96" s="15">
        <v>4</v>
      </c>
      <c r="AW96" s="15" t="s">
        <v>11665</v>
      </c>
      <c r="AX96" s="15">
        <v>1</v>
      </c>
      <c r="AY96" s="15">
        <v>2</v>
      </c>
      <c r="AZ96" s="15">
        <v>3</v>
      </c>
      <c r="BA96" s="15">
        <v>4</v>
      </c>
      <c r="BB96" s="15" t="s">
        <v>11666</v>
      </c>
      <c r="BC96" s="15"/>
      <c r="BD96" s="9">
        <v>1</v>
      </c>
    </row>
    <row r="97" spans="1:56" ht="12.75">
      <c r="A97" s="10"/>
      <c r="B97" s="11" t="s">
        <v>11972</v>
      </c>
      <c r="C97" s="10" t="s">
        <v>11813</v>
      </c>
      <c r="D97" s="12"/>
      <c r="E97" s="12"/>
      <c r="F97" s="12" t="s">
        <v>11973</v>
      </c>
      <c r="G97" s="12" t="s">
        <v>11974</v>
      </c>
      <c r="H97" s="17">
        <v>722240204</v>
      </c>
      <c r="I97" s="18">
        <v>45017</v>
      </c>
      <c r="J97" s="12"/>
      <c r="K97" s="12" t="s">
        <v>11663</v>
      </c>
      <c r="L97" s="12" t="s">
        <v>11663</v>
      </c>
      <c r="M97" s="12" t="s">
        <v>11664</v>
      </c>
      <c r="N97" s="12" t="s">
        <v>11664</v>
      </c>
      <c r="O97" s="12" t="s">
        <v>11664</v>
      </c>
      <c r="P97" s="12">
        <v>0</v>
      </c>
      <c r="Q97" s="12">
        <v>0</v>
      </c>
      <c r="R97" s="12">
        <v>0</v>
      </c>
      <c r="S97" s="12">
        <v>3</v>
      </c>
      <c r="T97" s="12">
        <v>2</v>
      </c>
      <c r="U97" s="14" t="s">
        <v>11664</v>
      </c>
      <c r="V97" s="15" t="s">
        <v>11664</v>
      </c>
      <c r="W97" s="14" t="s">
        <v>11664</v>
      </c>
      <c r="X97" s="14" t="s">
        <v>11664</v>
      </c>
      <c r="Y97" s="14" t="s">
        <v>11663</v>
      </c>
      <c r="Z97" s="14" t="s">
        <v>11663</v>
      </c>
      <c r="AA97" s="14" t="s">
        <v>11663</v>
      </c>
      <c r="AB97" s="14" t="s">
        <v>11663</v>
      </c>
      <c r="AC97" s="14" t="s">
        <v>11664</v>
      </c>
      <c r="AD97" s="14" t="s">
        <v>11664</v>
      </c>
      <c r="AE97" s="14" t="s">
        <v>11664</v>
      </c>
      <c r="AF97" s="15">
        <v>98</v>
      </c>
      <c r="AG97" s="15">
        <v>98</v>
      </c>
      <c r="AH97" s="15">
        <v>0</v>
      </c>
      <c r="AI97" s="15">
        <v>0</v>
      </c>
      <c r="AJ97" s="15">
        <v>0</v>
      </c>
      <c r="AK97" s="15">
        <v>0</v>
      </c>
      <c r="AL97" s="15">
        <v>2</v>
      </c>
      <c r="AM97" s="15">
        <v>0</v>
      </c>
      <c r="AN97" s="15">
        <v>1</v>
      </c>
      <c r="AO97" s="15">
        <v>0</v>
      </c>
      <c r="AP97" s="14">
        <v>1</v>
      </c>
      <c r="AQ97" s="14">
        <v>1</v>
      </c>
      <c r="AR97" s="15">
        <v>2</v>
      </c>
      <c r="AS97" s="15">
        <v>1</v>
      </c>
      <c r="AT97" s="15">
        <v>3</v>
      </c>
      <c r="AU97" s="15">
        <v>4</v>
      </c>
      <c r="AV97" s="15">
        <v>5</v>
      </c>
      <c r="AW97" s="15" t="s">
        <v>11665</v>
      </c>
      <c r="AX97" s="15">
        <v>1</v>
      </c>
      <c r="AY97" s="15">
        <v>3</v>
      </c>
      <c r="AZ97" s="15">
        <v>4</v>
      </c>
      <c r="BA97" s="15">
        <v>2</v>
      </c>
      <c r="BB97" s="15" t="s">
        <v>11666</v>
      </c>
      <c r="BC97" s="15" t="s">
        <v>11975</v>
      </c>
      <c r="BD97" s="9">
        <v>1</v>
      </c>
    </row>
    <row r="98" spans="1:56" ht="15">
      <c r="A98" s="10"/>
      <c r="B98" s="11" t="s">
        <v>8406</v>
      </c>
      <c r="C98" s="10" t="s">
        <v>11681</v>
      </c>
      <c r="D98" s="12"/>
      <c r="E98" s="12"/>
      <c r="F98" s="12" t="s">
        <v>11746</v>
      </c>
      <c r="G98" s="25" t="s">
        <v>11976</v>
      </c>
      <c r="H98" s="1" t="s">
        <v>10272</v>
      </c>
      <c r="I98" s="18">
        <v>44470</v>
      </c>
      <c r="J98" s="27"/>
      <c r="K98" s="12" t="s">
        <v>11664</v>
      </c>
      <c r="L98" s="12" t="s">
        <v>11663</v>
      </c>
      <c r="M98" s="12" t="s">
        <v>11663</v>
      </c>
      <c r="N98" s="12" t="s">
        <v>11663</v>
      </c>
      <c r="O98" s="12"/>
      <c r="P98" s="12"/>
      <c r="Q98" s="12"/>
      <c r="R98" s="12">
        <v>1</v>
      </c>
      <c r="S98" s="12">
        <v>3</v>
      </c>
      <c r="T98" s="12">
        <v>1</v>
      </c>
      <c r="U98" s="14" t="s">
        <v>11664</v>
      </c>
      <c r="V98" s="15" t="s">
        <v>11664</v>
      </c>
      <c r="W98" s="14" t="s">
        <v>11664</v>
      </c>
      <c r="X98" s="14" t="s">
        <v>11664</v>
      </c>
      <c r="Y98" s="14" t="s">
        <v>11663</v>
      </c>
      <c r="Z98" s="14" t="s">
        <v>11663</v>
      </c>
      <c r="AA98" s="14" t="s">
        <v>11663</v>
      </c>
      <c r="AB98" s="14" t="s">
        <v>11663</v>
      </c>
      <c r="AC98" s="14" t="s">
        <v>11663</v>
      </c>
      <c r="AD98" s="14" t="s">
        <v>11663</v>
      </c>
      <c r="AE98" s="14" t="s">
        <v>11663</v>
      </c>
      <c r="AF98" s="15">
        <v>465</v>
      </c>
      <c r="AG98" s="15">
        <v>220</v>
      </c>
      <c r="AH98" s="15">
        <v>250</v>
      </c>
      <c r="AI98" s="15">
        <v>0</v>
      </c>
      <c r="AJ98" s="15">
        <v>0</v>
      </c>
      <c r="AK98" s="15">
        <v>0</v>
      </c>
      <c r="AL98" s="15">
        <v>0</v>
      </c>
      <c r="AM98" s="15">
        <v>0</v>
      </c>
      <c r="AN98" s="9">
        <v>0</v>
      </c>
      <c r="AO98" s="15">
        <v>0</v>
      </c>
      <c r="AP98" s="15">
        <v>0</v>
      </c>
      <c r="AQ98" s="15">
        <v>0</v>
      </c>
      <c r="AR98" s="15" t="s">
        <v>58</v>
      </c>
      <c r="AS98" s="15" t="s">
        <v>58</v>
      </c>
      <c r="AT98" s="15" t="s">
        <v>58</v>
      </c>
      <c r="AU98" s="15" t="s">
        <v>58</v>
      </c>
      <c r="AV98" s="15" t="s">
        <v>58</v>
      </c>
      <c r="AW98" s="15" t="s">
        <v>11665</v>
      </c>
      <c r="AX98" s="15">
        <v>1</v>
      </c>
      <c r="AY98" s="15">
        <v>2</v>
      </c>
      <c r="AZ98" s="15">
        <v>3</v>
      </c>
      <c r="BA98" s="15">
        <v>4</v>
      </c>
      <c r="BB98" s="15" t="s">
        <v>11666</v>
      </c>
      <c r="BC98" s="15"/>
      <c r="BD98" s="9">
        <v>0</v>
      </c>
    </row>
    <row r="99" spans="1:56" ht="12.75">
      <c r="A99" s="10"/>
      <c r="B99" s="11" t="s">
        <v>11977</v>
      </c>
      <c r="C99" s="10" t="s">
        <v>11705</v>
      </c>
      <c r="D99" s="12"/>
      <c r="E99" s="12"/>
      <c r="F99" s="12" t="s">
        <v>11978</v>
      </c>
      <c r="G99" s="12" t="s">
        <v>11979</v>
      </c>
      <c r="H99" s="1">
        <v>652275827</v>
      </c>
      <c r="I99" s="18">
        <v>44470</v>
      </c>
      <c r="J99" s="12"/>
      <c r="K99" s="12" t="s">
        <v>11664</v>
      </c>
      <c r="L99" s="12" t="s">
        <v>11664</v>
      </c>
      <c r="M99" s="12" t="s">
        <v>11663</v>
      </c>
      <c r="N99" s="12" t="s">
        <v>11664</v>
      </c>
      <c r="O99" s="12" t="s">
        <v>11664</v>
      </c>
      <c r="P99" s="12">
        <v>0</v>
      </c>
      <c r="Q99" s="12">
        <v>0</v>
      </c>
      <c r="R99" s="12">
        <v>0</v>
      </c>
      <c r="S99" s="12">
        <v>1</v>
      </c>
      <c r="T99" s="12">
        <v>0</v>
      </c>
      <c r="U99" s="14"/>
      <c r="V99" s="15"/>
      <c r="W99" s="14"/>
      <c r="X99" s="14"/>
      <c r="Y99" s="14"/>
      <c r="Z99" s="14"/>
      <c r="AA99" s="14"/>
      <c r="AB99" s="14"/>
      <c r="AC99" s="14"/>
      <c r="AD99" s="14"/>
      <c r="AE99" s="14"/>
      <c r="AF99" s="15">
        <v>30</v>
      </c>
      <c r="AG99" s="15">
        <v>113</v>
      </c>
      <c r="AH99" s="15">
        <v>0</v>
      </c>
      <c r="AI99" s="15">
        <v>0</v>
      </c>
      <c r="AJ99" s="15">
        <v>0</v>
      </c>
      <c r="AK99" s="15">
        <v>0</v>
      </c>
      <c r="AL99" s="15">
        <v>0</v>
      </c>
      <c r="AM99" s="15">
        <v>0</v>
      </c>
      <c r="AN99" s="15">
        <v>0</v>
      </c>
      <c r="AO99" s="15">
        <v>0</v>
      </c>
      <c r="AP99" s="15">
        <v>1</v>
      </c>
      <c r="AQ99" s="15">
        <v>0</v>
      </c>
      <c r="AR99" s="15">
        <v>1</v>
      </c>
      <c r="AS99" s="15" t="s">
        <v>58</v>
      </c>
      <c r="AT99" s="15" t="s">
        <v>58</v>
      </c>
      <c r="AU99" s="15">
        <v>2</v>
      </c>
      <c r="AV99" s="15" t="s">
        <v>58</v>
      </c>
      <c r="AW99" s="15" t="s">
        <v>11665</v>
      </c>
      <c r="AX99" s="15" t="s">
        <v>58</v>
      </c>
      <c r="AY99" s="15" t="s">
        <v>58</v>
      </c>
      <c r="AZ99" s="15" t="s">
        <v>58</v>
      </c>
      <c r="BA99" s="15" t="s">
        <v>58</v>
      </c>
      <c r="BB99" s="15"/>
      <c r="BC99" s="15"/>
      <c r="BD99" s="9">
        <v>0</v>
      </c>
    </row>
    <row r="100" spans="1:56" ht="12.75">
      <c r="A100" s="10"/>
      <c r="B100" s="11" t="s">
        <v>11980</v>
      </c>
      <c r="C100" s="10" t="s">
        <v>11785</v>
      </c>
      <c r="D100" s="12"/>
      <c r="E100" s="12"/>
      <c r="F100" s="12" t="s">
        <v>11981</v>
      </c>
      <c r="G100" s="12" t="s">
        <v>11982</v>
      </c>
      <c r="H100" s="17">
        <v>994663451</v>
      </c>
      <c r="I100" s="18">
        <v>44866</v>
      </c>
      <c r="J100" s="12" t="s">
        <v>11983</v>
      </c>
      <c r="K100" s="12" t="s">
        <v>11663</v>
      </c>
      <c r="L100" s="12" t="s">
        <v>11663</v>
      </c>
      <c r="M100" s="12" t="s">
        <v>11664</v>
      </c>
      <c r="N100" s="12" t="s">
        <v>11664</v>
      </c>
      <c r="O100" s="12" t="s">
        <v>11664</v>
      </c>
      <c r="P100" s="12">
        <v>0</v>
      </c>
      <c r="Q100" s="12">
        <v>0</v>
      </c>
      <c r="R100" s="12">
        <v>1</v>
      </c>
      <c r="S100" s="12">
        <v>1</v>
      </c>
      <c r="T100" s="12">
        <v>0</v>
      </c>
      <c r="U100" s="14" t="s">
        <v>11664</v>
      </c>
      <c r="V100" s="15" t="s">
        <v>11664</v>
      </c>
      <c r="W100" s="14" t="s">
        <v>11664</v>
      </c>
      <c r="X100" s="14" t="s">
        <v>11663</v>
      </c>
      <c r="Y100" s="14" t="s">
        <v>11663</v>
      </c>
      <c r="Z100" s="14" t="s">
        <v>11663</v>
      </c>
      <c r="AA100" s="14" t="s">
        <v>11663</v>
      </c>
      <c r="AB100" s="14" t="s">
        <v>11663</v>
      </c>
      <c r="AC100" s="14" t="s">
        <v>11664</v>
      </c>
      <c r="AD100" s="14" t="s">
        <v>11663</v>
      </c>
      <c r="AE100" s="14" t="s">
        <v>11664</v>
      </c>
      <c r="AF100" s="15">
        <v>2</v>
      </c>
      <c r="AG100" s="15">
        <v>2</v>
      </c>
      <c r="AH100" s="15">
        <v>1</v>
      </c>
      <c r="AI100" s="15">
        <v>0</v>
      </c>
      <c r="AJ100" s="15">
        <v>0</v>
      </c>
      <c r="AK100" s="15">
        <v>0</v>
      </c>
      <c r="AL100" s="15">
        <v>0</v>
      </c>
      <c r="AM100" s="15">
        <v>1</v>
      </c>
      <c r="AN100" s="15">
        <v>0</v>
      </c>
      <c r="AO100" s="15">
        <v>1</v>
      </c>
      <c r="AP100" s="20">
        <v>0</v>
      </c>
      <c r="AQ100" s="20">
        <v>0</v>
      </c>
      <c r="AR100" s="15">
        <v>1</v>
      </c>
      <c r="AS100" s="15">
        <v>2</v>
      </c>
      <c r="AT100" s="15">
        <v>3</v>
      </c>
      <c r="AU100" s="15">
        <v>4</v>
      </c>
      <c r="AV100" s="15">
        <v>5</v>
      </c>
      <c r="AW100" s="15" t="s">
        <v>11665</v>
      </c>
      <c r="AX100" s="15">
        <v>2</v>
      </c>
      <c r="AY100" s="15">
        <v>1</v>
      </c>
      <c r="AZ100" s="15">
        <v>3</v>
      </c>
      <c r="BA100" s="15">
        <v>4</v>
      </c>
      <c r="BB100" s="15" t="s">
        <v>11666</v>
      </c>
      <c r="BC100" s="15" t="s">
        <v>11984</v>
      </c>
      <c r="BD100" s="9">
        <v>1</v>
      </c>
    </row>
    <row r="101" spans="1:56" ht="12.75">
      <c r="A101" s="10"/>
      <c r="B101" s="11" t="s">
        <v>8524</v>
      </c>
      <c r="C101" s="10" t="s">
        <v>11660</v>
      </c>
      <c r="D101" s="12"/>
      <c r="E101" s="12"/>
      <c r="F101" s="12" t="s">
        <v>11738</v>
      </c>
      <c r="G101" s="12" t="s">
        <v>11985</v>
      </c>
      <c r="H101" s="17">
        <v>999987499</v>
      </c>
      <c r="I101" s="12" t="s">
        <v>58</v>
      </c>
      <c r="J101" s="12" t="s">
        <v>11986</v>
      </c>
      <c r="K101" s="12" t="s">
        <v>11663</v>
      </c>
      <c r="L101" s="12" t="s">
        <v>11663</v>
      </c>
      <c r="M101" s="12" t="s">
        <v>11663</v>
      </c>
      <c r="N101" s="12" t="s">
        <v>11664</v>
      </c>
      <c r="O101" s="12" t="s">
        <v>11664</v>
      </c>
      <c r="P101" s="12">
        <v>0</v>
      </c>
      <c r="Q101" s="12">
        <v>0</v>
      </c>
      <c r="R101" s="12">
        <v>3</v>
      </c>
      <c r="S101" s="12">
        <v>15</v>
      </c>
      <c r="T101" s="12">
        <v>0</v>
      </c>
      <c r="U101" s="14" t="s">
        <v>11664</v>
      </c>
      <c r="V101" s="15" t="s">
        <v>11664</v>
      </c>
      <c r="W101" s="14" t="s">
        <v>11663</v>
      </c>
      <c r="X101" s="14" t="s">
        <v>11664</v>
      </c>
      <c r="Y101" s="14" t="s">
        <v>11663</v>
      </c>
      <c r="Z101" s="14" t="s">
        <v>11663</v>
      </c>
      <c r="AA101" s="14" t="s">
        <v>11663</v>
      </c>
      <c r="AB101" s="14" t="s">
        <v>11664</v>
      </c>
      <c r="AC101" s="14" t="s">
        <v>11663</v>
      </c>
      <c r="AD101" s="14" t="s">
        <v>11663</v>
      </c>
      <c r="AE101" s="14" t="s">
        <v>11664</v>
      </c>
      <c r="AF101" s="15">
        <v>4500</v>
      </c>
      <c r="AG101" s="15">
        <v>4500</v>
      </c>
      <c r="AH101" s="15">
        <v>500</v>
      </c>
      <c r="AI101" s="15">
        <v>16</v>
      </c>
      <c r="AJ101" s="15">
        <v>0</v>
      </c>
      <c r="AK101" s="15">
        <v>47</v>
      </c>
      <c r="AL101" s="15">
        <v>11</v>
      </c>
      <c r="AM101" s="15">
        <v>0</v>
      </c>
      <c r="AN101" s="15">
        <v>0</v>
      </c>
      <c r="AO101" s="15">
        <v>501</v>
      </c>
      <c r="AP101" s="14">
        <v>0</v>
      </c>
      <c r="AQ101" s="14">
        <v>0</v>
      </c>
      <c r="AR101" s="15">
        <v>5</v>
      </c>
      <c r="AS101" s="15">
        <v>3</v>
      </c>
      <c r="AT101" s="15">
        <v>2</v>
      </c>
      <c r="AU101" s="15">
        <v>1</v>
      </c>
      <c r="AV101" s="15">
        <v>4</v>
      </c>
      <c r="AW101" s="15" t="s">
        <v>11665</v>
      </c>
      <c r="AX101" s="15">
        <v>1</v>
      </c>
      <c r="AY101" s="15">
        <v>2</v>
      </c>
      <c r="AZ101" s="15">
        <v>3</v>
      </c>
      <c r="BA101" s="15">
        <v>4</v>
      </c>
      <c r="BB101" s="15" t="s">
        <v>11675</v>
      </c>
      <c r="BC101" s="15" t="s">
        <v>11987</v>
      </c>
      <c r="BD101" s="9">
        <v>0</v>
      </c>
    </row>
    <row r="102" spans="1:56" ht="12.75">
      <c r="A102" s="10"/>
      <c r="B102" s="11" t="s">
        <v>8630</v>
      </c>
      <c r="C102" s="10" t="s">
        <v>260</v>
      </c>
      <c r="D102" s="12"/>
      <c r="E102" s="12"/>
      <c r="F102" s="12" t="s">
        <v>11988</v>
      </c>
      <c r="G102" s="12" t="s">
        <v>11989</v>
      </c>
      <c r="H102" s="17">
        <v>942129088</v>
      </c>
      <c r="I102" s="18">
        <v>45078</v>
      </c>
      <c r="J102" s="12" t="s">
        <v>11990</v>
      </c>
      <c r="K102" s="12" t="s">
        <v>11663</v>
      </c>
      <c r="L102" s="12" t="s">
        <v>11663</v>
      </c>
      <c r="M102" s="12" t="s">
        <v>11664</v>
      </c>
      <c r="N102" s="12" t="s">
        <v>11664</v>
      </c>
      <c r="O102" s="12" t="s">
        <v>11663</v>
      </c>
      <c r="P102" s="12">
        <v>13</v>
      </c>
      <c r="Q102" s="12">
        <v>13</v>
      </c>
      <c r="R102" s="12">
        <v>0</v>
      </c>
      <c r="S102" s="12">
        <v>0</v>
      </c>
      <c r="T102" s="12">
        <v>0</v>
      </c>
      <c r="U102" s="14" t="s">
        <v>11664</v>
      </c>
      <c r="V102" s="15" t="s">
        <v>11664</v>
      </c>
      <c r="W102" s="14" t="s">
        <v>11663</v>
      </c>
      <c r="X102" s="14" t="s">
        <v>11663</v>
      </c>
      <c r="Y102" s="14" t="s">
        <v>11664</v>
      </c>
      <c r="Z102" s="14" t="s">
        <v>11663</v>
      </c>
      <c r="AA102" s="14" t="s">
        <v>11664</v>
      </c>
      <c r="AB102" s="14" t="s">
        <v>11664</v>
      </c>
      <c r="AC102" s="14" t="s">
        <v>11664</v>
      </c>
      <c r="AD102" s="14" t="s">
        <v>11663</v>
      </c>
      <c r="AE102" s="14" t="s">
        <v>11664</v>
      </c>
      <c r="AF102" s="15">
        <v>0</v>
      </c>
      <c r="AG102" s="15">
        <v>0</v>
      </c>
      <c r="AH102" s="15">
        <v>0</v>
      </c>
      <c r="AI102" s="15">
        <v>0</v>
      </c>
      <c r="AJ102" s="15">
        <v>0</v>
      </c>
      <c r="AK102" s="15">
        <v>0</v>
      </c>
      <c r="AL102" s="15">
        <v>2</v>
      </c>
      <c r="AM102" s="15">
        <v>0</v>
      </c>
      <c r="AN102" s="15">
        <v>0</v>
      </c>
      <c r="AO102" s="15">
        <v>0</v>
      </c>
      <c r="AP102" s="14">
        <v>0</v>
      </c>
      <c r="AQ102" s="14">
        <v>0</v>
      </c>
      <c r="AR102" s="15">
        <v>1</v>
      </c>
      <c r="AS102" s="15">
        <v>2</v>
      </c>
      <c r="AT102" s="15">
        <v>3</v>
      </c>
      <c r="AU102" s="15">
        <v>4</v>
      </c>
      <c r="AV102" s="15">
        <v>5</v>
      </c>
      <c r="AW102" s="15" t="s">
        <v>11671</v>
      </c>
      <c r="AX102" s="15">
        <v>1</v>
      </c>
      <c r="AY102" s="15">
        <v>2</v>
      </c>
      <c r="AZ102" s="15">
        <v>3</v>
      </c>
      <c r="BA102" s="15">
        <v>4</v>
      </c>
      <c r="BB102" s="15" t="s">
        <v>11680</v>
      </c>
      <c r="BC102" s="15"/>
      <c r="BD102" s="9">
        <v>0</v>
      </c>
    </row>
    <row r="103" spans="1:56" ht="12.75">
      <c r="A103" s="10"/>
      <c r="B103" s="11" t="s">
        <v>8714</v>
      </c>
      <c r="C103" s="10" t="s">
        <v>11681</v>
      </c>
      <c r="D103" s="12"/>
      <c r="E103" s="12"/>
      <c r="F103" s="12" t="s">
        <v>11991</v>
      </c>
      <c r="G103" s="12" t="s">
        <v>11992</v>
      </c>
      <c r="H103" s="39">
        <v>98959063</v>
      </c>
      <c r="I103" s="12" t="s">
        <v>58</v>
      </c>
      <c r="J103" s="12" t="s">
        <v>11993</v>
      </c>
      <c r="K103" s="12" t="s">
        <v>11663</v>
      </c>
      <c r="L103" s="12" t="s">
        <v>11663</v>
      </c>
      <c r="M103" s="12" t="s">
        <v>11664</v>
      </c>
      <c r="N103" s="12" t="s">
        <v>11663</v>
      </c>
      <c r="O103" s="12" t="s">
        <v>11663</v>
      </c>
      <c r="P103" s="12">
        <v>2</v>
      </c>
      <c r="Q103" s="12">
        <v>6</v>
      </c>
      <c r="R103" s="12">
        <v>0</v>
      </c>
      <c r="S103" s="12">
        <v>2</v>
      </c>
      <c r="T103" s="12">
        <v>1</v>
      </c>
      <c r="U103" s="14" t="s">
        <v>11664</v>
      </c>
      <c r="V103" s="15" t="s">
        <v>11664</v>
      </c>
      <c r="W103" s="14" t="s">
        <v>11664</v>
      </c>
      <c r="X103" s="14" t="s">
        <v>11663</v>
      </c>
      <c r="Y103" s="14" t="s">
        <v>11663</v>
      </c>
      <c r="Z103" s="14" t="s">
        <v>11663</v>
      </c>
      <c r="AA103" s="14" t="s">
        <v>11663</v>
      </c>
      <c r="AB103" s="14" t="s">
        <v>11664</v>
      </c>
      <c r="AC103" s="14" t="s">
        <v>11664</v>
      </c>
      <c r="AD103" s="14" t="s">
        <v>11663</v>
      </c>
      <c r="AE103" s="14" t="s">
        <v>11664</v>
      </c>
      <c r="AF103" s="15">
        <v>362</v>
      </c>
      <c r="AG103" s="15">
        <v>0</v>
      </c>
      <c r="AH103" s="15">
        <v>194</v>
      </c>
      <c r="AI103" s="15">
        <v>0</v>
      </c>
      <c r="AJ103" s="15">
        <v>0</v>
      </c>
      <c r="AK103" s="15">
        <v>0</v>
      </c>
      <c r="AL103" s="15">
        <v>0</v>
      </c>
      <c r="AM103" s="15">
        <v>0</v>
      </c>
      <c r="AN103" s="15">
        <v>0</v>
      </c>
      <c r="AO103" s="15">
        <v>0</v>
      </c>
      <c r="AP103" s="14">
        <v>0</v>
      </c>
      <c r="AQ103" s="14">
        <v>0</v>
      </c>
      <c r="AR103" s="15">
        <v>4</v>
      </c>
      <c r="AS103" s="15">
        <v>5</v>
      </c>
      <c r="AT103" s="15">
        <v>2</v>
      </c>
      <c r="AU103" s="15">
        <v>1</v>
      </c>
      <c r="AV103" s="15">
        <v>3</v>
      </c>
      <c r="AW103" s="15" t="s">
        <v>11665</v>
      </c>
      <c r="AX103" s="15">
        <v>3</v>
      </c>
      <c r="AY103" s="15">
        <v>1</v>
      </c>
      <c r="AZ103" s="15">
        <v>2</v>
      </c>
      <c r="BA103" s="15">
        <v>4</v>
      </c>
      <c r="BB103" s="15" t="s">
        <v>11680</v>
      </c>
      <c r="BC103" s="15"/>
      <c r="BD103" s="9">
        <v>1</v>
      </c>
    </row>
    <row r="104" spans="1:56" ht="12.75">
      <c r="A104" s="10"/>
      <c r="B104" s="11" t="s">
        <v>8852</v>
      </c>
      <c r="C104" s="10" t="s">
        <v>10526</v>
      </c>
      <c r="D104" s="12"/>
      <c r="E104" s="12"/>
      <c r="F104" s="12" t="s">
        <v>11838</v>
      </c>
      <c r="G104" s="12" t="s">
        <v>11994</v>
      </c>
      <c r="H104" s="17">
        <v>989063704</v>
      </c>
      <c r="I104" s="12" t="s">
        <v>58</v>
      </c>
      <c r="J104" s="12"/>
      <c r="K104" s="12" t="s">
        <v>11664</v>
      </c>
      <c r="L104" s="12" t="s">
        <v>11664</v>
      </c>
      <c r="M104" s="12" t="s">
        <v>11664</v>
      </c>
      <c r="N104" s="12" t="s">
        <v>11664</v>
      </c>
      <c r="O104" s="12" t="s">
        <v>11663</v>
      </c>
      <c r="P104" s="12">
        <v>10</v>
      </c>
      <c r="Q104" s="12">
        <v>10</v>
      </c>
      <c r="R104" s="12">
        <v>2</v>
      </c>
      <c r="S104" s="12">
        <v>0</v>
      </c>
      <c r="T104" s="12">
        <v>0</v>
      </c>
      <c r="U104" s="14" t="s">
        <v>11663</v>
      </c>
      <c r="V104" s="15" t="s">
        <v>11664</v>
      </c>
      <c r="W104" s="14" t="s">
        <v>11664</v>
      </c>
      <c r="X104" s="14" t="s">
        <v>11664</v>
      </c>
      <c r="Y104" s="14" t="s">
        <v>11664</v>
      </c>
      <c r="Z104" s="14" t="s">
        <v>11663</v>
      </c>
      <c r="AA104" s="14" t="s">
        <v>11664</v>
      </c>
      <c r="AB104" s="14" t="s">
        <v>11664</v>
      </c>
      <c r="AC104" s="14" t="s">
        <v>11664</v>
      </c>
      <c r="AD104" s="14" t="s">
        <v>11663</v>
      </c>
      <c r="AE104" s="14" t="s">
        <v>11664</v>
      </c>
      <c r="AF104" s="15">
        <v>0</v>
      </c>
      <c r="AG104" s="15">
        <v>0</v>
      </c>
      <c r="AH104" s="15">
        <v>0</v>
      </c>
      <c r="AI104" s="15">
        <v>0</v>
      </c>
      <c r="AJ104" s="15">
        <v>0</v>
      </c>
      <c r="AK104" s="15">
        <v>0</v>
      </c>
      <c r="AL104" s="15">
        <v>0</v>
      </c>
      <c r="AM104" s="15">
        <v>0</v>
      </c>
      <c r="AN104" s="15">
        <v>1</v>
      </c>
      <c r="AO104" s="15">
        <v>12</v>
      </c>
      <c r="AP104" s="14">
        <v>0</v>
      </c>
      <c r="AQ104" s="14">
        <v>0</v>
      </c>
      <c r="AR104" s="15">
        <v>1</v>
      </c>
      <c r="AS104" s="15">
        <v>2</v>
      </c>
      <c r="AT104" s="15">
        <v>3</v>
      </c>
      <c r="AU104" s="15">
        <v>4</v>
      </c>
      <c r="AV104" s="15">
        <v>5</v>
      </c>
      <c r="AW104" s="15" t="s">
        <v>11671</v>
      </c>
      <c r="AX104" s="15">
        <v>2</v>
      </c>
      <c r="AY104" s="15">
        <v>3</v>
      </c>
      <c r="AZ104" s="15">
        <v>1</v>
      </c>
      <c r="BA104" s="15">
        <v>4</v>
      </c>
      <c r="BB104" s="15" t="s">
        <v>11666</v>
      </c>
      <c r="BC104" s="15"/>
      <c r="BD104" s="9">
        <v>1</v>
      </c>
    </row>
    <row r="105" spans="1:56" ht="12.75">
      <c r="A105" s="10"/>
      <c r="B105" s="11" t="s">
        <v>11995</v>
      </c>
      <c r="C105" s="10" t="s">
        <v>11667</v>
      </c>
      <c r="D105" s="12"/>
      <c r="E105" s="12"/>
      <c r="F105" s="12" t="s">
        <v>11996</v>
      </c>
      <c r="G105" s="12" t="s">
        <v>11997</v>
      </c>
      <c r="H105" s="39">
        <v>955857665</v>
      </c>
      <c r="I105" s="18">
        <v>45597</v>
      </c>
      <c r="J105" s="12"/>
      <c r="K105" s="12" t="s">
        <v>11663</v>
      </c>
      <c r="L105" s="12" t="s">
        <v>11663</v>
      </c>
      <c r="M105" s="12" t="s">
        <v>11664</v>
      </c>
      <c r="N105" s="12" t="s">
        <v>11664</v>
      </c>
      <c r="O105" s="12" t="s">
        <v>11663</v>
      </c>
      <c r="P105" s="12">
        <v>13</v>
      </c>
      <c r="Q105" s="12">
        <v>20</v>
      </c>
      <c r="R105" s="12">
        <v>0</v>
      </c>
      <c r="S105" s="12">
        <v>0</v>
      </c>
      <c r="T105" s="12">
        <v>0</v>
      </c>
      <c r="U105" s="14" t="s">
        <v>11664</v>
      </c>
      <c r="V105" s="15" t="s">
        <v>11664</v>
      </c>
      <c r="W105" s="14" t="s">
        <v>11664</v>
      </c>
      <c r="X105" s="14" t="s">
        <v>11664</v>
      </c>
      <c r="Y105" s="14" t="s">
        <v>11664</v>
      </c>
      <c r="Z105" s="14" t="s">
        <v>11663</v>
      </c>
      <c r="AA105" s="14" t="s">
        <v>11664</v>
      </c>
      <c r="AB105" s="14" t="s">
        <v>11663</v>
      </c>
      <c r="AC105" s="14" t="s">
        <v>11663</v>
      </c>
      <c r="AD105" s="14" t="s">
        <v>11663</v>
      </c>
      <c r="AE105" s="14" t="s">
        <v>11663</v>
      </c>
      <c r="AF105" s="15">
        <v>60</v>
      </c>
      <c r="AG105" s="15">
        <v>250</v>
      </c>
      <c r="AH105" s="15">
        <v>340</v>
      </c>
      <c r="AI105" s="15">
        <v>2</v>
      </c>
      <c r="AJ105" s="15">
        <v>0</v>
      </c>
      <c r="AK105" s="15">
        <v>0</v>
      </c>
      <c r="AL105" s="15">
        <v>0</v>
      </c>
      <c r="AM105" s="15">
        <v>1</v>
      </c>
      <c r="AN105" s="15">
        <v>1</v>
      </c>
      <c r="AO105" s="15">
        <v>13</v>
      </c>
      <c r="AP105" s="14">
        <v>1</v>
      </c>
      <c r="AQ105" s="14">
        <v>0</v>
      </c>
      <c r="AR105" s="15">
        <v>1</v>
      </c>
      <c r="AS105" s="15">
        <v>2</v>
      </c>
      <c r="AT105" s="15">
        <v>3</v>
      </c>
      <c r="AU105" s="15">
        <v>4</v>
      </c>
      <c r="AV105" s="15">
        <v>5</v>
      </c>
      <c r="AW105" s="15" t="s">
        <v>11665</v>
      </c>
      <c r="AX105" s="15">
        <v>3</v>
      </c>
      <c r="AY105" s="15">
        <v>1</v>
      </c>
      <c r="AZ105" s="15">
        <v>2</v>
      </c>
      <c r="BA105" s="15">
        <v>4</v>
      </c>
      <c r="BB105" s="15" t="s">
        <v>11666</v>
      </c>
      <c r="BC105" s="15"/>
      <c r="BD105" s="9">
        <v>0</v>
      </c>
    </row>
    <row r="106" spans="1:56" ht="15">
      <c r="A106" s="10"/>
      <c r="B106" s="11" t="s">
        <v>8990</v>
      </c>
      <c r="C106" s="10" t="s">
        <v>11681</v>
      </c>
      <c r="D106" s="12"/>
      <c r="E106" s="12"/>
      <c r="F106" s="12" t="s">
        <v>11998</v>
      </c>
      <c r="G106" s="12" t="s">
        <v>11999</v>
      </c>
      <c r="H106" s="21">
        <v>442160746</v>
      </c>
      <c r="I106" s="18">
        <v>44805</v>
      </c>
      <c r="J106" s="12" t="s">
        <v>12000</v>
      </c>
      <c r="K106" s="12" t="s">
        <v>11663</v>
      </c>
      <c r="L106" s="12" t="s">
        <v>11663</v>
      </c>
      <c r="M106" s="12" t="s">
        <v>11663</v>
      </c>
      <c r="N106" s="12" t="s">
        <v>11663</v>
      </c>
      <c r="O106" s="12" t="s">
        <v>11663</v>
      </c>
      <c r="P106" s="12">
        <v>2</v>
      </c>
      <c r="Q106" s="12">
        <v>2</v>
      </c>
      <c r="R106" s="12">
        <v>4</v>
      </c>
      <c r="S106" s="12">
        <v>0</v>
      </c>
      <c r="T106" s="12">
        <v>4</v>
      </c>
      <c r="U106" s="14" t="s">
        <v>11663</v>
      </c>
      <c r="V106" s="14" t="s">
        <v>11663</v>
      </c>
      <c r="W106" s="14" t="s">
        <v>11664</v>
      </c>
      <c r="X106" s="14" t="s">
        <v>11663</v>
      </c>
      <c r="Y106" s="14" t="s">
        <v>11663</v>
      </c>
      <c r="Z106" s="14" t="s">
        <v>11663</v>
      </c>
      <c r="AA106" s="14" t="s">
        <v>11664</v>
      </c>
      <c r="AB106" s="14" t="s">
        <v>11663</v>
      </c>
      <c r="AC106" s="14" t="s">
        <v>11664</v>
      </c>
      <c r="AD106" s="14" t="s">
        <v>11664</v>
      </c>
      <c r="AE106" s="14" t="s">
        <v>11664</v>
      </c>
      <c r="AF106" s="14">
        <v>50</v>
      </c>
      <c r="AG106" s="15">
        <v>10</v>
      </c>
      <c r="AH106" s="15">
        <v>0</v>
      </c>
      <c r="AI106" s="15">
        <v>0</v>
      </c>
      <c r="AJ106" s="15">
        <v>0</v>
      </c>
      <c r="AK106" s="15">
        <v>0</v>
      </c>
      <c r="AL106" s="15">
        <v>0</v>
      </c>
      <c r="AM106" s="15">
        <v>0</v>
      </c>
      <c r="AN106" s="15">
        <v>0</v>
      </c>
      <c r="AO106" s="15">
        <v>0</v>
      </c>
      <c r="AP106" s="15">
        <v>0</v>
      </c>
      <c r="AQ106" s="15">
        <v>0</v>
      </c>
      <c r="AR106" s="15">
        <v>3</v>
      </c>
      <c r="AS106" s="15">
        <v>4</v>
      </c>
      <c r="AT106" s="15">
        <v>2</v>
      </c>
      <c r="AU106" s="15">
        <v>1</v>
      </c>
      <c r="AV106" s="15">
        <v>5</v>
      </c>
      <c r="AW106" s="15" t="s">
        <v>11665</v>
      </c>
      <c r="AX106" s="15">
        <v>1</v>
      </c>
      <c r="AY106" s="15">
        <v>2</v>
      </c>
      <c r="AZ106" s="15">
        <v>4</v>
      </c>
      <c r="BA106" s="15">
        <v>3</v>
      </c>
      <c r="BB106" s="15" t="s">
        <v>11737</v>
      </c>
      <c r="BC106" s="15" t="s">
        <v>12001</v>
      </c>
      <c r="BD106" s="9">
        <v>1</v>
      </c>
    </row>
    <row r="107" spans="1:56" ht="12.75">
      <c r="A107" s="10"/>
      <c r="B107" s="11" t="s">
        <v>12002</v>
      </c>
      <c r="C107" s="10" t="s">
        <v>11667</v>
      </c>
      <c r="D107" s="12"/>
      <c r="E107" s="12"/>
      <c r="F107" s="12" t="s">
        <v>12003</v>
      </c>
      <c r="G107" s="12" t="s">
        <v>12004</v>
      </c>
      <c r="H107" s="39">
        <v>995776657</v>
      </c>
      <c r="I107" s="18">
        <v>43586</v>
      </c>
      <c r="J107" s="12" t="s">
        <v>12005</v>
      </c>
      <c r="K107" s="12" t="s">
        <v>11663</v>
      </c>
      <c r="L107" s="12" t="s">
        <v>11663</v>
      </c>
      <c r="M107" s="12" t="s">
        <v>11664</v>
      </c>
      <c r="N107" s="12" t="s">
        <v>11664</v>
      </c>
      <c r="O107" s="12" t="s">
        <v>11663</v>
      </c>
      <c r="P107" s="12">
        <v>4</v>
      </c>
      <c r="Q107" s="12">
        <v>7</v>
      </c>
      <c r="R107" s="12">
        <v>4</v>
      </c>
      <c r="S107" s="12">
        <v>1</v>
      </c>
      <c r="T107" s="12">
        <v>1</v>
      </c>
      <c r="U107" s="14" t="s">
        <v>11663</v>
      </c>
      <c r="V107" s="15" t="s">
        <v>11664</v>
      </c>
      <c r="W107" s="14" t="s">
        <v>11664</v>
      </c>
      <c r="X107" s="14" t="s">
        <v>11664</v>
      </c>
      <c r="Y107" s="14" t="s">
        <v>11664</v>
      </c>
      <c r="Z107" s="14" t="s">
        <v>11663</v>
      </c>
      <c r="AA107" s="14" t="s">
        <v>11663</v>
      </c>
      <c r="AB107" s="14" t="s">
        <v>11663</v>
      </c>
      <c r="AC107" s="14" t="s">
        <v>11663</v>
      </c>
      <c r="AD107" s="14" t="s">
        <v>11663</v>
      </c>
      <c r="AE107" s="14" t="s">
        <v>11663</v>
      </c>
      <c r="AF107" s="15">
        <v>65</v>
      </c>
      <c r="AG107" s="15">
        <v>41</v>
      </c>
      <c r="AH107" s="15">
        <v>56</v>
      </c>
      <c r="AI107" s="15">
        <v>1</v>
      </c>
      <c r="AJ107" s="15">
        <v>0</v>
      </c>
      <c r="AK107" s="15">
        <v>0</v>
      </c>
      <c r="AL107" s="15">
        <v>0</v>
      </c>
      <c r="AM107" s="15">
        <v>1</v>
      </c>
      <c r="AN107" s="15">
        <v>1</v>
      </c>
      <c r="AO107" s="15">
        <v>1</v>
      </c>
      <c r="AP107" s="14">
        <v>1</v>
      </c>
      <c r="AQ107" s="14">
        <v>1</v>
      </c>
      <c r="AR107" s="15">
        <v>1</v>
      </c>
      <c r="AS107" s="15">
        <v>2</v>
      </c>
      <c r="AT107" s="15">
        <v>3</v>
      </c>
      <c r="AU107" s="15">
        <v>4</v>
      </c>
      <c r="AV107" s="15">
        <v>5</v>
      </c>
      <c r="AW107" s="15" t="s">
        <v>11665</v>
      </c>
      <c r="AX107" s="15">
        <v>3</v>
      </c>
      <c r="AY107" s="15">
        <v>2</v>
      </c>
      <c r="AZ107" s="15">
        <v>1</v>
      </c>
      <c r="BA107" s="15">
        <v>4</v>
      </c>
      <c r="BB107" s="15" t="s">
        <v>11666</v>
      </c>
      <c r="BC107" s="15" t="s">
        <v>11763</v>
      </c>
      <c r="BD107" s="9">
        <v>1</v>
      </c>
    </row>
    <row r="108" spans="1:56" ht="12.75">
      <c r="A108" s="10"/>
      <c r="B108" s="11" t="s">
        <v>9239</v>
      </c>
      <c r="C108" s="10" t="s">
        <v>11785</v>
      </c>
      <c r="D108" s="12"/>
      <c r="E108" s="12"/>
      <c r="F108" s="12" t="s">
        <v>12006</v>
      </c>
      <c r="G108" s="12" t="s">
        <v>12007</v>
      </c>
      <c r="H108" s="17">
        <v>982943269</v>
      </c>
      <c r="I108" s="12" t="s">
        <v>12008</v>
      </c>
      <c r="J108" s="12" t="s">
        <v>12009</v>
      </c>
      <c r="K108" s="12" t="s">
        <v>11663</v>
      </c>
      <c r="L108" s="12" t="s">
        <v>11663</v>
      </c>
      <c r="M108" s="12" t="s">
        <v>11664</v>
      </c>
      <c r="N108" s="12" t="s">
        <v>11664</v>
      </c>
      <c r="O108" s="12" t="s">
        <v>11663</v>
      </c>
      <c r="P108" s="12">
        <v>10</v>
      </c>
      <c r="Q108" s="12">
        <v>10</v>
      </c>
      <c r="R108" s="12">
        <v>0</v>
      </c>
      <c r="S108" s="12">
        <v>0</v>
      </c>
      <c r="T108" s="12">
        <v>0</v>
      </c>
      <c r="U108" s="14" t="s">
        <v>11663</v>
      </c>
      <c r="V108" s="15" t="s">
        <v>11664</v>
      </c>
      <c r="W108" s="14" t="s">
        <v>11664</v>
      </c>
      <c r="X108" s="14" t="s">
        <v>11664</v>
      </c>
      <c r="Y108" s="14" t="s">
        <v>11664</v>
      </c>
      <c r="Z108" s="14" t="s">
        <v>11663</v>
      </c>
      <c r="AA108" s="14" t="s">
        <v>11663</v>
      </c>
      <c r="AB108" s="14" t="s">
        <v>11663</v>
      </c>
      <c r="AC108" s="14" t="s">
        <v>11663</v>
      </c>
      <c r="AD108" s="14" t="s">
        <v>11663</v>
      </c>
      <c r="AE108" s="14" t="s">
        <v>11663</v>
      </c>
      <c r="AF108" s="15">
        <v>302</v>
      </c>
      <c r="AG108" s="15">
        <v>1004</v>
      </c>
      <c r="AH108" s="15">
        <v>77</v>
      </c>
      <c r="AI108" s="15">
        <v>0</v>
      </c>
      <c r="AJ108" s="15">
        <v>0</v>
      </c>
      <c r="AK108" s="15">
        <v>0</v>
      </c>
      <c r="AL108" s="15">
        <v>0</v>
      </c>
      <c r="AM108" s="15">
        <v>0</v>
      </c>
      <c r="AN108" s="15">
        <v>0</v>
      </c>
      <c r="AO108" s="15">
        <v>38</v>
      </c>
      <c r="AP108" s="20">
        <v>0</v>
      </c>
      <c r="AQ108" s="20">
        <v>0</v>
      </c>
      <c r="AR108" s="15">
        <v>4</v>
      </c>
      <c r="AS108" s="15">
        <v>2</v>
      </c>
      <c r="AT108" s="15">
        <v>3</v>
      </c>
      <c r="AU108" s="15">
        <v>1</v>
      </c>
      <c r="AV108" s="15">
        <v>5</v>
      </c>
      <c r="AW108" s="15" t="s">
        <v>11665</v>
      </c>
      <c r="AX108" s="15">
        <v>4</v>
      </c>
      <c r="AY108" s="15">
        <v>3</v>
      </c>
      <c r="AZ108" s="15">
        <v>1</v>
      </c>
      <c r="BA108" s="15">
        <v>2</v>
      </c>
      <c r="BB108" s="15" t="s">
        <v>11666</v>
      </c>
      <c r="BC108" s="15"/>
      <c r="BD108" s="9">
        <v>1</v>
      </c>
    </row>
    <row r="109" spans="1:56" ht="12.75">
      <c r="A109" s="10"/>
      <c r="B109" s="11" t="s">
        <v>1309</v>
      </c>
      <c r="C109" s="10" t="s">
        <v>11667</v>
      </c>
      <c r="D109" s="12"/>
      <c r="E109" s="12"/>
      <c r="F109" s="12" t="s">
        <v>12010</v>
      </c>
      <c r="G109" s="44" t="s">
        <v>12011</v>
      </c>
      <c r="H109" s="17">
        <v>994982201</v>
      </c>
      <c r="I109" s="12" t="s">
        <v>58</v>
      </c>
      <c r="J109" s="12" t="s">
        <v>12012</v>
      </c>
      <c r="K109" s="12" t="s">
        <v>11663</v>
      </c>
      <c r="L109" s="12" t="s">
        <v>11663</v>
      </c>
      <c r="M109" s="12" t="s">
        <v>11663</v>
      </c>
      <c r="N109" s="12" t="s">
        <v>11664</v>
      </c>
      <c r="O109" s="12" t="s">
        <v>11663</v>
      </c>
      <c r="P109" s="12">
        <v>3</v>
      </c>
      <c r="Q109" s="12">
        <v>3</v>
      </c>
      <c r="R109" s="12">
        <v>0</v>
      </c>
      <c r="S109" s="12">
        <v>0</v>
      </c>
      <c r="T109" s="12">
        <v>0</v>
      </c>
      <c r="U109" s="14" t="s">
        <v>11664</v>
      </c>
      <c r="V109" s="15" t="s">
        <v>11664</v>
      </c>
      <c r="W109" s="14" t="s">
        <v>11664</v>
      </c>
      <c r="X109" s="14" t="s">
        <v>11664</v>
      </c>
      <c r="Y109" s="14" t="s">
        <v>11664</v>
      </c>
      <c r="Z109" s="14" t="s">
        <v>11663</v>
      </c>
      <c r="AA109" s="14" t="s">
        <v>11664</v>
      </c>
      <c r="AB109" s="14" t="s">
        <v>11664</v>
      </c>
      <c r="AC109" s="14" t="s">
        <v>11663</v>
      </c>
      <c r="AD109" s="14" t="s">
        <v>11663</v>
      </c>
      <c r="AE109" s="14" t="s">
        <v>11664</v>
      </c>
      <c r="AF109" s="15">
        <v>5</v>
      </c>
      <c r="AG109" s="15">
        <v>4</v>
      </c>
      <c r="AH109" s="15">
        <v>20</v>
      </c>
      <c r="AI109" s="15">
        <v>0</v>
      </c>
      <c r="AJ109" s="15">
        <v>0</v>
      </c>
      <c r="AK109" s="15">
        <v>0</v>
      </c>
      <c r="AL109" s="15">
        <v>0</v>
      </c>
      <c r="AM109" s="15">
        <v>0</v>
      </c>
      <c r="AN109" s="15">
        <v>1</v>
      </c>
      <c r="AO109" s="15">
        <v>0</v>
      </c>
      <c r="AP109" s="14">
        <v>0</v>
      </c>
      <c r="AQ109" s="14">
        <v>0</v>
      </c>
      <c r="AR109" s="15">
        <v>1</v>
      </c>
      <c r="AS109" s="15">
        <v>2</v>
      </c>
      <c r="AT109" s="15">
        <v>3</v>
      </c>
      <c r="AU109" s="15">
        <v>4</v>
      </c>
      <c r="AV109" s="15">
        <v>5</v>
      </c>
      <c r="AW109" s="15" t="s">
        <v>11700</v>
      </c>
      <c r="AX109" s="15">
        <v>3</v>
      </c>
      <c r="AY109" s="15">
        <v>1</v>
      </c>
      <c r="AZ109" s="15">
        <v>2</v>
      </c>
      <c r="BA109" s="15">
        <v>4</v>
      </c>
      <c r="BB109" s="15" t="s">
        <v>1151</v>
      </c>
      <c r="BC109" s="15" t="s">
        <v>12013</v>
      </c>
      <c r="BD109" s="9">
        <v>0</v>
      </c>
    </row>
    <row r="110" spans="1:56" ht="12.75">
      <c r="A110" s="10"/>
      <c r="B110" s="11" t="s">
        <v>9369</v>
      </c>
      <c r="C110" s="10" t="s">
        <v>11660</v>
      </c>
      <c r="D110" s="12"/>
      <c r="E110" s="12"/>
      <c r="F110" s="12" t="s">
        <v>12014</v>
      </c>
      <c r="G110" s="12" t="s">
        <v>12015</v>
      </c>
      <c r="H110" s="17">
        <v>323192403</v>
      </c>
      <c r="I110" s="18">
        <v>45444</v>
      </c>
      <c r="J110" s="12"/>
      <c r="K110" s="12" t="s">
        <v>11663</v>
      </c>
      <c r="L110" s="12" t="s">
        <v>11663</v>
      </c>
      <c r="M110" s="12" t="s">
        <v>11664</v>
      </c>
      <c r="N110" s="12" t="s">
        <v>11664</v>
      </c>
      <c r="O110" s="12" t="s">
        <v>11664</v>
      </c>
      <c r="P110" s="12">
        <v>0</v>
      </c>
      <c r="Q110" s="12">
        <v>0</v>
      </c>
      <c r="R110" s="12">
        <v>3</v>
      </c>
      <c r="S110" s="12">
        <v>3</v>
      </c>
      <c r="T110" s="12">
        <v>3</v>
      </c>
      <c r="U110" s="14" t="s">
        <v>11663</v>
      </c>
      <c r="V110" s="14" t="s">
        <v>11663</v>
      </c>
      <c r="W110" s="14" t="s">
        <v>11663</v>
      </c>
      <c r="X110" s="14" t="s">
        <v>11663</v>
      </c>
      <c r="Y110" s="14" t="s">
        <v>11663</v>
      </c>
      <c r="Z110" s="14" t="s">
        <v>11663</v>
      </c>
      <c r="AA110" s="14" t="s">
        <v>11664</v>
      </c>
      <c r="AB110" s="14" t="s">
        <v>11663</v>
      </c>
      <c r="AC110" s="14" t="s">
        <v>11663</v>
      </c>
      <c r="AD110" s="14" t="s">
        <v>11663</v>
      </c>
      <c r="AE110" s="14" t="s">
        <v>11663</v>
      </c>
      <c r="AF110" s="15">
        <v>0</v>
      </c>
      <c r="AG110" s="15">
        <v>0</v>
      </c>
      <c r="AH110" s="15">
        <v>0</v>
      </c>
      <c r="AI110" s="15">
        <v>2</v>
      </c>
      <c r="AJ110" s="15">
        <v>0</v>
      </c>
      <c r="AK110" s="15">
        <v>0</v>
      </c>
      <c r="AL110" s="15">
        <v>2</v>
      </c>
      <c r="AM110" s="15">
        <v>1</v>
      </c>
      <c r="AN110" s="15">
        <v>0</v>
      </c>
      <c r="AO110" s="15">
        <v>1995</v>
      </c>
      <c r="AP110" s="14">
        <v>0</v>
      </c>
      <c r="AQ110" s="14">
        <v>0</v>
      </c>
      <c r="AR110" s="15">
        <v>1</v>
      </c>
      <c r="AS110" s="15">
        <v>2</v>
      </c>
      <c r="AT110" s="15">
        <v>3</v>
      </c>
      <c r="AU110" s="15">
        <v>5</v>
      </c>
      <c r="AV110" s="15">
        <v>4</v>
      </c>
      <c r="AW110" s="15" t="s">
        <v>11700</v>
      </c>
      <c r="AX110" s="15">
        <v>1</v>
      </c>
      <c r="AY110" s="15">
        <v>2</v>
      </c>
      <c r="AZ110" s="15">
        <v>3</v>
      </c>
      <c r="BA110" s="15">
        <v>4</v>
      </c>
      <c r="BB110" s="15" t="s">
        <v>11737</v>
      </c>
      <c r="BC110" s="15" t="s">
        <v>12016</v>
      </c>
      <c r="BD110" s="9">
        <v>0</v>
      </c>
    </row>
    <row r="111" spans="1:56" ht="12.75">
      <c r="A111" s="10"/>
      <c r="B111" s="11" t="s">
        <v>9441</v>
      </c>
      <c r="C111" s="10" t="s">
        <v>11667</v>
      </c>
      <c r="D111" s="12"/>
      <c r="E111" s="12"/>
      <c r="F111" s="12" t="s">
        <v>12017</v>
      </c>
      <c r="G111" s="12" t="s">
        <v>12018</v>
      </c>
      <c r="H111" s="17">
        <v>985808259</v>
      </c>
      <c r="I111" s="18">
        <v>42583</v>
      </c>
      <c r="J111" s="12" t="s">
        <v>12019</v>
      </c>
      <c r="K111" s="12" t="s">
        <v>11663</v>
      </c>
      <c r="L111" s="12" t="s">
        <v>11663</v>
      </c>
      <c r="M111" s="12" t="s">
        <v>11663</v>
      </c>
      <c r="N111" s="12" t="s">
        <v>11663</v>
      </c>
      <c r="O111" s="12" t="s">
        <v>11664</v>
      </c>
      <c r="P111" s="12">
        <v>0</v>
      </c>
      <c r="Q111" s="12">
        <v>0</v>
      </c>
      <c r="R111" s="12">
        <v>3</v>
      </c>
      <c r="S111" s="12">
        <v>1</v>
      </c>
      <c r="T111" s="12">
        <v>2</v>
      </c>
      <c r="U111" s="14" t="s">
        <v>11664</v>
      </c>
      <c r="V111" s="15" t="s">
        <v>11664</v>
      </c>
      <c r="W111" s="14" t="s">
        <v>11664</v>
      </c>
      <c r="X111" s="14" t="s">
        <v>11664</v>
      </c>
      <c r="Y111" s="14" t="s">
        <v>11663</v>
      </c>
      <c r="Z111" s="14" t="s">
        <v>11663</v>
      </c>
      <c r="AA111" s="14" t="s">
        <v>11663</v>
      </c>
      <c r="AB111" s="14" t="s">
        <v>11663</v>
      </c>
      <c r="AC111" s="14" t="s">
        <v>11663</v>
      </c>
      <c r="AD111" s="14" t="s">
        <v>11663</v>
      </c>
      <c r="AE111" s="14" t="s">
        <v>11663</v>
      </c>
      <c r="AF111" s="15">
        <v>15</v>
      </c>
      <c r="AG111" s="15">
        <v>8</v>
      </c>
      <c r="AH111" s="15">
        <v>0</v>
      </c>
      <c r="AI111" s="15">
        <v>0</v>
      </c>
      <c r="AJ111" s="15">
        <v>0</v>
      </c>
      <c r="AK111" s="15">
        <v>0</v>
      </c>
      <c r="AL111" s="15">
        <v>1</v>
      </c>
      <c r="AM111" s="15">
        <v>0</v>
      </c>
      <c r="AN111" s="15">
        <v>0</v>
      </c>
      <c r="AO111" s="15">
        <v>0</v>
      </c>
      <c r="AP111" s="14">
        <v>0</v>
      </c>
      <c r="AQ111" s="14">
        <v>0</v>
      </c>
      <c r="AR111" s="15">
        <v>5</v>
      </c>
      <c r="AS111" s="15">
        <v>4</v>
      </c>
      <c r="AT111" s="15">
        <v>1</v>
      </c>
      <c r="AU111" s="15">
        <v>2</v>
      </c>
      <c r="AV111" s="15">
        <v>3</v>
      </c>
      <c r="AW111" s="15" t="s">
        <v>11671</v>
      </c>
      <c r="AX111" s="15">
        <v>2</v>
      </c>
      <c r="AY111" s="15">
        <v>3</v>
      </c>
      <c r="AZ111" s="15">
        <v>1</v>
      </c>
      <c r="BA111" s="15">
        <v>4</v>
      </c>
      <c r="BB111" s="15" t="s">
        <v>11675</v>
      </c>
      <c r="BC111" s="15"/>
      <c r="BD111" s="9">
        <v>1</v>
      </c>
    </row>
    <row r="112" spans="1:56" ht="12.75">
      <c r="A112" s="10"/>
      <c r="B112" s="11" t="s">
        <v>12020</v>
      </c>
      <c r="C112" s="10" t="s">
        <v>11660</v>
      </c>
      <c r="D112" s="12"/>
      <c r="E112" s="12"/>
      <c r="F112" s="12" t="s">
        <v>12021</v>
      </c>
      <c r="G112" s="12" t="s">
        <v>12022</v>
      </c>
      <c r="H112" s="17">
        <v>93305455</v>
      </c>
      <c r="I112" s="12" t="s">
        <v>58</v>
      </c>
      <c r="J112" s="12" t="s">
        <v>12023</v>
      </c>
      <c r="K112" s="12" t="s">
        <v>11663</v>
      </c>
      <c r="L112" s="12" t="s">
        <v>11663</v>
      </c>
      <c r="M112" s="12" t="s">
        <v>11664</v>
      </c>
      <c r="N112" s="12" t="s">
        <v>11663</v>
      </c>
      <c r="O112" s="12" t="s">
        <v>11663</v>
      </c>
      <c r="P112" s="12">
        <v>0</v>
      </c>
      <c r="Q112" s="12">
        <v>2</v>
      </c>
      <c r="R112" s="12">
        <v>2</v>
      </c>
      <c r="S112" s="12">
        <v>1</v>
      </c>
      <c r="T112" s="12">
        <v>1</v>
      </c>
      <c r="U112" s="14" t="s">
        <v>11663</v>
      </c>
      <c r="V112" s="15" t="s">
        <v>11663</v>
      </c>
      <c r="W112" s="14" t="s">
        <v>11664</v>
      </c>
      <c r="X112" s="14" t="s">
        <v>11663</v>
      </c>
      <c r="Y112" s="14" t="s">
        <v>11663</v>
      </c>
      <c r="Z112" s="14" t="s">
        <v>11663</v>
      </c>
      <c r="AA112" s="14" t="s">
        <v>11663</v>
      </c>
      <c r="AB112" s="14" t="s">
        <v>11664</v>
      </c>
      <c r="AC112" s="14" t="s">
        <v>11664</v>
      </c>
      <c r="AD112" s="14" t="s">
        <v>11663</v>
      </c>
      <c r="AE112" s="14" t="s">
        <v>11664</v>
      </c>
      <c r="AF112" s="15">
        <v>1000</v>
      </c>
      <c r="AG112" s="15">
        <v>200</v>
      </c>
      <c r="AH112" s="15">
        <v>100</v>
      </c>
      <c r="AI112" s="15">
        <v>0</v>
      </c>
      <c r="AJ112" s="15">
        <v>0</v>
      </c>
      <c r="AK112" s="15">
        <v>0</v>
      </c>
      <c r="AL112" s="15">
        <v>0</v>
      </c>
      <c r="AM112" s="15">
        <v>0</v>
      </c>
      <c r="AN112" s="15">
        <v>0</v>
      </c>
      <c r="AO112" s="15">
        <v>0</v>
      </c>
      <c r="AP112" s="14">
        <v>0</v>
      </c>
      <c r="AQ112" s="14">
        <v>0</v>
      </c>
      <c r="AR112" s="15">
        <v>1</v>
      </c>
      <c r="AS112" s="15">
        <v>4</v>
      </c>
      <c r="AT112" s="15">
        <v>2</v>
      </c>
      <c r="AU112" s="15">
        <v>3</v>
      </c>
      <c r="AV112" s="15">
        <v>5</v>
      </c>
      <c r="AW112" s="15" t="s">
        <v>11665</v>
      </c>
      <c r="AX112" s="15" t="s">
        <v>58</v>
      </c>
      <c r="AY112" s="15" t="s">
        <v>58</v>
      </c>
      <c r="AZ112" s="15" t="s">
        <v>58</v>
      </c>
      <c r="BA112" s="15" t="s">
        <v>58</v>
      </c>
      <c r="BB112" s="15" t="s">
        <v>11675</v>
      </c>
      <c r="BC112" s="15" t="s">
        <v>12024</v>
      </c>
      <c r="BD112" s="9">
        <v>0</v>
      </c>
    </row>
    <row r="113" spans="1:56" ht="12.75">
      <c r="A113" s="10"/>
      <c r="B113" s="11" t="s">
        <v>9632</v>
      </c>
      <c r="C113" s="10" t="s">
        <v>11660</v>
      </c>
      <c r="D113" s="12"/>
      <c r="E113" s="12"/>
      <c r="F113" s="12" t="s">
        <v>12025</v>
      </c>
      <c r="G113" s="12" t="s">
        <v>12026</v>
      </c>
      <c r="H113" s="1">
        <v>982512065</v>
      </c>
      <c r="I113" s="18">
        <v>44470</v>
      </c>
      <c r="J113" s="45" t="s">
        <v>12027</v>
      </c>
      <c r="K113" s="12" t="s">
        <v>11663</v>
      </c>
      <c r="L113" s="12" t="s">
        <v>11663</v>
      </c>
      <c r="M113" s="12" t="s">
        <v>11663</v>
      </c>
      <c r="N113" s="12" t="s">
        <v>11664</v>
      </c>
      <c r="O113" s="12" t="s">
        <v>11664</v>
      </c>
      <c r="P113" s="12">
        <v>0</v>
      </c>
      <c r="Q113" s="12">
        <v>0</v>
      </c>
      <c r="R113" s="12">
        <v>2</v>
      </c>
      <c r="S113" s="12">
        <v>0</v>
      </c>
      <c r="T113" s="12">
        <v>1</v>
      </c>
      <c r="U113" s="14" t="s">
        <v>11663</v>
      </c>
      <c r="V113" s="15" t="s">
        <v>11664</v>
      </c>
      <c r="W113" s="14" t="s">
        <v>11664</v>
      </c>
      <c r="X113" s="14" t="s">
        <v>11663</v>
      </c>
      <c r="Y113" s="14" t="s">
        <v>11664</v>
      </c>
      <c r="Z113" s="14" t="s">
        <v>11663</v>
      </c>
      <c r="AA113" s="14" t="s">
        <v>11663</v>
      </c>
      <c r="AB113" s="14" t="s">
        <v>11664</v>
      </c>
      <c r="AC113" s="14" t="s">
        <v>11664</v>
      </c>
      <c r="AD113" s="14" t="s">
        <v>11663</v>
      </c>
      <c r="AE113" s="14" t="s">
        <v>11664</v>
      </c>
      <c r="AF113" s="15">
        <v>0</v>
      </c>
      <c r="AG113" s="15">
        <v>0</v>
      </c>
      <c r="AH113" s="15">
        <v>0</v>
      </c>
      <c r="AI113" s="15">
        <v>0</v>
      </c>
      <c r="AJ113" s="15">
        <v>0</v>
      </c>
      <c r="AK113" s="15">
        <v>0</v>
      </c>
      <c r="AL113" s="15">
        <v>1</v>
      </c>
      <c r="AM113" s="15">
        <v>0</v>
      </c>
      <c r="AN113" s="15">
        <v>0</v>
      </c>
      <c r="AO113" s="15">
        <v>0</v>
      </c>
      <c r="AP113" s="15">
        <v>0</v>
      </c>
      <c r="AQ113" s="15">
        <v>0</v>
      </c>
      <c r="AR113" s="15">
        <v>3</v>
      </c>
      <c r="AS113" s="15">
        <v>2</v>
      </c>
      <c r="AT113" s="15">
        <v>4</v>
      </c>
      <c r="AU113" s="15">
        <v>1</v>
      </c>
      <c r="AV113" s="15">
        <v>5</v>
      </c>
      <c r="AW113" s="15" t="s">
        <v>11671</v>
      </c>
      <c r="AX113" s="15">
        <v>4</v>
      </c>
      <c r="AY113" s="15">
        <v>2</v>
      </c>
      <c r="AZ113" s="15">
        <v>1</v>
      </c>
      <c r="BA113" s="15">
        <v>3</v>
      </c>
      <c r="BB113" s="15" t="s">
        <v>11666</v>
      </c>
      <c r="BC113" s="15"/>
      <c r="BD113" s="9">
        <v>0</v>
      </c>
    </row>
    <row r="114" spans="1:56" ht="12.75">
      <c r="A114" s="10"/>
      <c r="B114" s="11" t="s">
        <v>9659</v>
      </c>
      <c r="C114" s="10" t="s">
        <v>11756</v>
      </c>
      <c r="D114" s="12"/>
      <c r="E114" s="12"/>
      <c r="F114" s="12" t="s">
        <v>12028</v>
      </c>
      <c r="G114" s="12" t="s">
        <v>12029</v>
      </c>
      <c r="H114" s="17">
        <v>984897227</v>
      </c>
      <c r="I114" s="12">
        <v>2020</v>
      </c>
      <c r="J114" s="12" t="s">
        <v>12030</v>
      </c>
      <c r="K114" s="12" t="s">
        <v>11663</v>
      </c>
      <c r="L114" s="12" t="s">
        <v>11663</v>
      </c>
      <c r="M114" s="12" t="s">
        <v>11663</v>
      </c>
      <c r="N114" s="12" t="s">
        <v>11663</v>
      </c>
      <c r="O114" s="12" t="s">
        <v>11664</v>
      </c>
      <c r="P114" s="12">
        <v>0</v>
      </c>
      <c r="Q114" s="12">
        <v>0</v>
      </c>
      <c r="R114" s="12">
        <v>2</v>
      </c>
      <c r="S114" s="12">
        <v>1</v>
      </c>
      <c r="T114" s="12">
        <v>1</v>
      </c>
      <c r="U114" s="14" t="s">
        <v>11664</v>
      </c>
      <c r="V114" s="15" t="s">
        <v>11664</v>
      </c>
      <c r="W114" s="14" t="s">
        <v>11664</v>
      </c>
      <c r="X114" s="14" t="s">
        <v>11663</v>
      </c>
      <c r="Y114" s="14" t="s">
        <v>11664</v>
      </c>
      <c r="Z114" s="14" t="s">
        <v>11663</v>
      </c>
      <c r="AA114" s="14" t="s">
        <v>11663</v>
      </c>
      <c r="AB114" s="14" t="s">
        <v>11663</v>
      </c>
      <c r="AC114" s="14" t="s">
        <v>11664</v>
      </c>
      <c r="AD114" s="14" t="s">
        <v>11664</v>
      </c>
      <c r="AE114" s="14" t="s">
        <v>11664</v>
      </c>
      <c r="AF114" s="15">
        <v>312</v>
      </c>
      <c r="AG114" s="15">
        <v>246</v>
      </c>
      <c r="AH114" s="15">
        <v>170</v>
      </c>
      <c r="AI114" s="15">
        <v>0</v>
      </c>
      <c r="AJ114" s="15">
        <v>1</v>
      </c>
      <c r="AK114" s="15">
        <v>0</v>
      </c>
      <c r="AL114" s="15">
        <v>0</v>
      </c>
      <c r="AM114" s="15">
        <v>1</v>
      </c>
      <c r="AN114" s="15">
        <v>1</v>
      </c>
      <c r="AO114" s="15">
        <v>80</v>
      </c>
      <c r="AP114" s="14">
        <v>0</v>
      </c>
      <c r="AQ114" s="14">
        <v>0</v>
      </c>
      <c r="AR114" s="15">
        <v>5</v>
      </c>
      <c r="AS114" s="15">
        <v>3</v>
      </c>
      <c r="AT114" s="15">
        <v>1</v>
      </c>
      <c r="AU114" s="15">
        <v>2</v>
      </c>
      <c r="AV114" s="15">
        <v>4</v>
      </c>
      <c r="AW114" s="15" t="s">
        <v>11700</v>
      </c>
      <c r="AX114" s="15">
        <v>1</v>
      </c>
      <c r="AY114" s="15">
        <v>2</v>
      </c>
      <c r="AZ114" s="15">
        <v>3</v>
      </c>
      <c r="BA114" s="15">
        <v>4</v>
      </c>
      <c r="BB114" s="15" t="s">
        <v>11680</v>
      </c>
      <c r="BC114" s="15"/>
    </row>
    <row r="115" spans="1:56" ht="15">
      <c r="A115" s="10"/>
      <c r="B115" s="11" t="s">
        <v>9779</v>
      </c>
      <c r="C115" s="10" t="s">
        <v>10526</v>
      </c>
      <c r="D115" s="12"/>
      <c r="E115" s="12"/>
      <c r="F115" s="12" t="s">
        <v>12031</v>
      </c>
      <c r="G115" s="12" t="s">
        <v>12032</v>
      </c>
      <c r="H115" s="17">
        <v>962412657</v>
      </c>
      <c r="I115" s="46">
        <v>43177</v>
      </c>
      <c r="J115" s="47" t="s">
        <v>12033</v>
      </c>
      <c r="K115" s="12" t="s">
        <v>11663</v>
      </c>
      <c r="L115" s="12" t="s">
        <v>11663</v>
      </c>
      <c r="M115" s="12" t="s">
        <v>11663</v>
      </c>
      <c r="N115" s="12" t="s">
        <v>11663</v>
      </c>
      <c r="O115" s="12"/>
      <c r="P115" s="12"/>
      <c r="Q115" s="12"/>
      <c r="R115" s="12"/>
      <c r="S115" s="12"/>
      <c r="T115" s="12"/>
      <c r="U115" s="14" t="s">
        <v>11664</v>
      </c>
      <c r="V115" s="15" t="s">
        <v>11664</v>
      </c>
      <c r="W115" s="14" t="s">
        <v>11664</v>
      </c>
      <c r="X115" s="14" t="s">
        <v>11663</v>
      </c>
      <c r="Y115" s="14" t="s">
        <v>11663</v>
      </c>
      <c r="Z115" s="14" t="s">
        <v>11663</v>
      </c>
      <c r="AA115" s="14" t="s">
        <v>11664</v>
      </c>
      <c r="AB115" s="14" t="s">
        <v>11664</v>
      </c>
      <c r="AC115" s="14" t="s">
        <v>11663</v>
      </c>
      <c r="AD115" s="14" t="s">
        <v>11663</v>
      </c>
      <c r="AE115" s="14" t="s">
        <v>11664</v>
      </c>
      <c r="AF115" s="15">
        <v>36</v>
      </c>
      <c r="AG115" s="15">
        <v>36</v>
      </c>
      <c r="AH115" s="15">
        <v>78</v>
      </c>
      <c r="AI115" s="15">
        <v>3</v>
      </c>
      <c r="AJ115" s="15">
        <v>2</v>
      </c>
      <c r="AK115" s="15">
        <v>0</v>
      </c>
      <c r="AL115" s="15">
        <v>2</v>
      </c>
      <c r="AM115" s="15">
        <v>1</v>
      </c>
      <c r="AN115" s="15">
        <v>1</v>
      </c>
      <c r="AO115" s="15">
        <v>0</v>
      </c>
      <c r="AP115" s="14">
        <v>2</v>
      </c>
      <c r="AQ115" s="14">
        <v>0</v>
      </c>
      <c r="AR115" s="15">
        <v>2</v>
      </c>
      <c r="AS115" s="15">
        <v>1</v>
      </c>
      <c r="AT115" s="15">
        <v>3</v>
      </c>
      <c r="AU115" s="15">
        <v>5</v>
      </c>
      <c r="AV115" s="15">
        <v>4</v>
      </c>
      <c r="AW115" s="15" t="s">
        <v>11700</v>
      </c>
      <c r="AX115" s="15">
        <v>1</v>
      </c>
      <c r="AY115" s="15">
        <v>3</v>
      </c>
      <c r="AZ115" s="15">
        <v>2</v>
      </c>
      <c r="BA115" s="15">
        <v>4</v>
      </c>
      <c r="BB115" s="15" t="s">
        <v>11666</v>
      </c>
      <c r="BC115" s="15"/>
    </row>
    <row r="116" spans="1:56" ht="12.75">
      <c r="A116" s="10"/>
      <c r="B116" s="11" t="s">
        <v>9861</v>
      </c>
      <c r="C116" s="10" t="s">
        <v>11756</v>
      </c>
      <c r="D116" s="48"/>
      <c r="E116" s="48"/>
      <c r="F116" s="48" t="s">
        <v>12034</v>
      </c>
      <c r="G116" s="12" t="s">
        <v>12035</v>
      </c>
      <c r="H116" s="17">
        <v>927129279</v>
      </c>
      <c r="I116" s="18">
        <v>45231</v>
      </c>
      <c r="J116" s="12" t="s">
        <v>12036</v>
      </c>
      <c r="K116" s="12" t="s">
        <v>11663</v>
      </c>
      <c r="L116" s="12" t="s">
        <v>11663</v>
      </c>
      <c r="M116" s="12" t="s">
        <v>11663</v>
      </c>
      <c r="N116" s="12" t="s">
        <v>11663</v>
      </c>
      <c r="O116" s="12"/>
      <c r="P116" s="12"/>
      <c r="Q116" s="12"/>
      <c r="R116" s="12"/>
      <c r="S116" s="12"/>
      <c r="T116" s="12"/>
      <c r="U116" s="14"/>
      <c r="V116" s="15"/>
      <c r="W116" s="14"/>
      <c r="X116" s="14"/>
      <c r="Y116" s="14"/>
      <c r="Z116" s="14"/>
      <c r="AA116" s="14"/>
      <c r="AB116" s="14"/>
      <c r="AC116" s="14"/>
      <c r="AD116" s="14"/>
      <c r="AE116" s="14"/>
      <c r="AF116" s="15"/>
      <c r="AG116" s="15"/>
      <c r="AH116" s="15"/>
      <c r="AI116" s="15"/>
      <c r="AJ116" s="15"/>
      <c r="AK116" s="15"/>
      <c r="AL116" s="15"/>
      <c r="AM116" s="15"/>
      <c r="AN116" s="15"/>
      <c r="AO116" s="15"/>
      <c r="AP116" s="14"/>
      <c r="AQ116" s="14"/>
      <c r="AR116" s="15"/>
      <c r="AS116" s="15"/>
      <c r="AT116" s="15"/>
      <c r="AU116" s="15"/>
      <c r="AV116" s="15"/>
      <c r="AW116" s="15"/>
      <c r="AX116" s="15"/>
      <c r="AY116" s="15"/>
      <c r="AZ116" s="15"/>
      <c r="BA116" s="15"/>
      <c r="BB116" s="15"/>
      <c r="BC116" s="15"/>
    </row>
    <row r="117" spans="1:56" ht="12.75">
      <c r="A117" s="10"/>
      <c r="B117" s="11" t="s">
        <v>10029</v>
      </c>
      <c r="C117" s="10" t="s">
        <v>11688</v>
      </c>
      <c r="D117" s="12"/>
      <c r="E117" s="12"/>
      <c r="F117" s="12" t="s">
        <v>12037</v>
      </c>
      <c r="G117" s="12" t="s">
        <v>12038</v>
      </c>
      <c r="H117" s="17">
        <v>953135920</v>
      </c>
      <c r="I117" s="46">
        <v>45542</v>
      </c>
      <c r="J117" s="12"/>
      <c r="K117" s="12" t="s">
        <v>11664</v>
      </c>
      <c r="L117" s="12" t="s">
        <v>11664</v>
      </c>
      <c r="M117" s="12" t="s">
        <v>11663</v>
      </c>
      <c r="N117" s="12" t="s">
        <v>11664</v>
      </c>
      <c r="O117" s="12"/>
      <c r="P117" s="12"/>
      <c r="Q117" s="12"/>
      <c r="R117" s="12"/>
      <c r="S117" s="12"/>
      <c r="T117" s="12"/>
      <c r="U117" s="14" t="s">
        <v>11663</v>
      </c>
      <c r="V117" s="15" t="s">
        <v>11664</v>
      </c>
      <c r="W117" s="14" t="s">
        <v>11664</v>
      </c>
      <c r="X117" s="14" t="s">
        <v>11663</v>
      </c>
      <c r="Y117" s="14" t="s">
        <v>11664</v>
      </c>
      <c r="Z117" s="14" t="s">
        <v>11663</v>
      </c>
      <c r="AA117" s="14" t="s">
        <v>11664</v>
      </c>
      <c r="AB117" s="14" t="s">
        <v>11664</v>
      </c>
      <c r="AC117" s="14" t="s">
        <v>11664</v>
      </c>
      <c r="AD117" s="14" t="s">
        <v>11664</v>
      </c>
      <c r="AE117" s="14" t="s">
        <v>11664</v>
      </c>
      <c r="AF117" s="15">
        <v>0</v>
      </c>
      <c r="AG117" s="15">
        <v>0</v>
      </c>
      <c r="AH117" s="15">
        <v>0</v>
      </c>
      <c r="AI117" s="15">
        <v>0</v>
      </c>
      <c r="AJ117" s="15">
        <v>0</v>
      </c>
      <c r="AK117" s="15">
        <v>0</v>
      </c>
      <c r="AL117" s="15">
        <v>0</v>
      </c>
      <c r="AM117" s="15">
        <v>0</v>
      </c>
      <c r="AN117" s="15">
        <v>0</v>
      </c>
      <c r="AO117" s="15">
        <v>0</v>
      </c>
      <c r="AP117" s="14">
        <v>0</v>
      </c>
      <c r="AQ117" s="14">
        <v>0</v>
      </c>
      <c r="AR117" s="15">
        <v>5</v>
      </c>
      <c r="AS117" s="15">
        <v>4</v>
      </c>
      <c r="AT117" s="15">
        <v>1</v>
      </c>
      <c r="AU117" s="15">
        <v>2</v>
      </c>
      <c r="AV117" s="15">
        <v>3</v>
      </c>
      <c r="AW117" s="15" t="s">
        <v>11665</v>
      </c>
      <c r="AX117" s="15">
        <v>4</v>
      </c>
      <c r="AY117" s="15">
        <v>3</v>
      </c>
      <c r="AZ117" s="15">
        <v>1</v>
      </c>
      <c r="BA117" s="15">
        <v>2</v>
      </c>
      <c r="BB117" s="15" t="s">
        <v>11680</v>
      </c>
      <c r="BC117" s="15"/>
    </row>
    <row r="118" spans="1:56" ht="12.75">
      <c r="A118" s="10"/>
      <c r="B118" s="11" t="s">
        <v>10061</v>
      </c>
      <c r="C118" s="10" t="s">
        <v>11897</v>
      </c>
      <c r="D118" s="12"/>
      <c r="E118" s="12"/>
      <c r="F118" s="12" t="s">
        <v>12039</v>
      </c>
      <c r="G118" s="12" t="s">
        <v>12040</v>
      </c>
      <c r="H118" s="17">
        <v>999647147</v>
      </c>
      <c r="I118" s="46">
        <v>44680</v>
      </c>
      <c r="J118" s="12"/>
      <c r="K118" s="12" t="s">
        <v>11664</v>
      </c>
      <c r="L118" s="12" t="s">
        <v>11664</v>
      </c>
      <c r="M118" s="12" t="s">
        <v>11663</v>
      </c>
      <c r="N118" s="12" t="s">
        <v>11664</v>
      </c>
      <c r="O118" s="12" t="s">
        <v>11663</v>
      </c>
      <c r="P118" s="12">
        <v>3</v>
      </c>
      <c r="Q118" s="12">
        <v>3</v>
      </c>
      <c r="R118" s="12">
        <v>0</v>
      </c>
      <c r="S118" s="12">
        <v>0</v>
      </c>
      <c r="T118" s="12">
        <v>0</v>
      </c>
      <c r="U118" s="14" t="s">
        <v>11664</v>
      </c>
      <c r="V118" s="15" t="s">
        <v>11663</v>
      </c>
      <c r="W118" s="14" t="s">
        <v>11663</v>
      </c>
      <c r="X118" s="14" t="s">
        <v>11663</v>
      </c>
      <c r="Y118" s="14" t="s">
        <v>11664</v>
      </c>
      <c r="Z118" s="14" t="s">
        <v>11663</v>
      </c>
      <c r="AA118" s="14" t="s">
        <v>11663</v>
      </c>
      <c r="AB118" s="14" t="s">
        <v>11664</v>
      </c>
      <c r="AC118" s="14" t="s">
        <v>11664</v>
      </c>
      <c r="AD118" s="14" t="s">
        <v>11664</v>
      </c>
      <c r="AE118" s="14" t="s">
        <v>11664</v>
      </c>
      <c r="AF118" s="15">
        <v>167</v>
      </c>
      <c r="AG118" s="15">
        <v>167</v>
      </c>
      <c r="AH118" s="15">
        <v>449</v>
      </c>
      <c r="AI118" s="15">
        <v>0</v>
      </c>
      <c r="AJ118" s="15">
        <v>0</v>
      </c>
      <c r="AK118" s="15">
        <v>0</v>
      </c>
      <c r="AL118" s="15">
        <v>0</v>
      </c>
      <c r="AM118" s="15">
        <v>0</v>
      </c>
      <c r="AN118" s="15">
        <v>0</v>
      </c>
      <c r="AO118" s="15">
        <v>0</v>
      </c>
      <c r="AP118" s="14">
        <v>0</v>
      </c>
      <c r="AQ118" s="14">
        <v>0</v>
      </c>
      <c r="AR118" s="15">
        <v>4</v>
      </c>
      <c r="AS118" s="15">
        <v>3</v>
      </c>
      <c r="AT118" s="15">
        <v>1</v>
      </c>
      <c r="AU118" s="15">
        <v>2</v>
      </c>
      <c r="AV118" s="15">
        <v>5</v>
      </c>
      <c r="AW118" s="15" t="s">
        <v>11700</v>
      </c>
      <c r="AX118" s="15">
        <v>3</v>
      </c>
      <c r="AY118" s="15">
        <v>1</v>
      </c>
      <c r="AZ118" s="15">
        <v>2</v>
      </c>
      <c r="BA118" s="15">
        <v>4</v>
      </c>
      <c r="BB118" s="15" t="s">
        <v>11666</v>
      </c>
      <c r="BC118" s="15"/>
    </row>
    <row r="119" spans="1:56" ht="12.75">
      <c r="A119" s="10"/>
      <c r="B119" s="11" t="s">
        <v>10137</v>
      </c>
      <c r="C119" s="10" t="s">
        <v>11660</v>
      </c>
      <c r="D119" s="12"/>
      <c r="E119" s="12"/>
      <c r="F119" s="12" t="s">
        <v>12041</v>
      </c>
      <c r="G119" s="12" t="s">
        <v>12042</v>
      </c>
      <c r="H119" s="17">
        <v>987201034</v>
      </c>
      <c r="I119" s="18">
        <v>44743</v>
      </c>
      <c r="J119" s="12"/>
      <c r="K119" s="12" t="s">
        <v>11663</v>
      </c>
      <c r="L119" s="12" t="s">
        <v>11664</v>
      </c>
      <c r="M119" s="12" t="s">
        <v>11663</v>
      </c>
      <c r="N119" s="12" t="s">
        <v>11664</v>
      </c>
      <c r="O119" s="12" t="s">
        <v>11663</v>
      </c>
      <c r="P119" s="12">
        <v>3</v>
      </c>
      <c r="Q119" s="12">
        <v>3</v>
      </c>
      <c r="R119" s="12">
        <v>0</v>
      </c>
      <c r="S119" s="12">
        <v>2</v>
      </c>
      <c r="T119" s="12">
        <v>0</v>
      </c>
      <c r="U119" s="14" t="s">
        <v>11663</v>
      </c>
      <c r="V119" s="15" t="s">
        <v>11664</v>
      </c>
      <c r="W119" s="14" t="s">
        <v>11664</v>
      </c>
      <c r="X119" s="14" t="s">
        <v>11664</v>
      </c>
      <c r="Y119" s="14" t="s">
        <v>11664</v>
      </c>
      <c r="Z119" s="14" t="s">
        <v>11663</v>
      </c>
      <c r="AA119" s="14" t="s">
        <v>11664</v>
      </c>
      <c r="AB119" s="14" t="s">
        <v>11663</v>
      </c>
      <c r="AC119" s="14" t="s">
        <v>11664</v>
      </c>
      <c r="AD119" s="14" t="s">
        <v>11664</v>
      </c>
      <c r="AE119" s="14" t="s">
        <v>11664</v>
      </c>
      <c r="AF119" s="15">
        <v>0</v>
      </c>
      <c r="AG119" s="15">
        <v>0</v>
      </c>
      <c r="AH119" s="15">
        <v>0</v>
      </c>
      <c r="AI119" s="15">
        <v>0</v>
      </c>
      <c r="AJ119" s="15">
        <v>0</v>
      </c>
      <c r="AK119" s="15">
        <v>0</v>
      </c>
      <c r="AL119" s="15">
        <v>0</v>
      </c>
      <c r="AM119" s="15">
        <v>0</v>
      </c>
      <c r="AN119" s="15">
        <v>0</v>
      </c>
      <c r="AO119" s="15">
        <v>0</v>
      </c>
      <c r="AP119" s="14">
        <v>0</v>
      </c>
      <c r="AQ119" s="14">
        <v>0</v>
      </c>
      <c r="AR119" s="15">
        <v>5</v>
      </c>
      <c r="AS119" s="15">
        <v>1</v>
      </c>
      <c r="AT119" s="15">
        <v>4</v>
      </c>
      <c r="AU119" s="15">
        <v>2</v>
      </c>
      <c r="AV119" s="15">
        <v>3</v>
      </c>
      <c r="AW119" s="15" t="s">
        <v>11671</v>
      </c>
      <c r="AX119" s="15">
        <v>2</v>
      </c>
      <c r="AY119" s="15">
        <v>3</v>
      </c>
      <c r="AZ119" s="15">
        <v>1</v>
      </c>
      <c r="BA119" s="15">
        <v>4</v>
      </c>
      <c r="BB119" s="15" t="s">
        <v>11680</v>
      </c>
      <c r="BC119" s="15"/>
    </row>
    <row r="120" spans="1:56" ht="12.75">
      <c r="A120" s="10"/>
      <c r="B120" s="11" t="s">
        <v>10232</v>
      </c>
      <c r="C120" s="10" t="s">
        <v>11756</v>
      </c>
      <c r="D120" s="12"/>
      <c r="E120" s="12"/>
      <c r="F120" s="12" t="s">
        <v>12043</v>
      </c>
      <c r="G120" s="12" t="s">
        <v>12044</v>
      </c>
      <c r="H120" s="17">
        <v>228152284</v>
      </c>
      <c r="I120" s="49">
        <v>45251</v>
      </c>
      <c r="J120" s="12" t="s">
        <v>12036</v>
      </c>
      <c r="K120" s="12" t="s">
        <v>11663</v>
      </c>
      <c r="L120" s="12" t="s">
        <v>11664</v>
      </c>
      <c r="M120" s="12" t="s">
        <v>11663</v>
      </c>
      <c r="N120" s="12" t="s">
        <v>11663</v>
      </c>
      <c r="O120" s="12" t="s">
        <v>11663</v>
      </c>
      <c r="P120" s="12">
        <v>4</v>
      </c>
      <c r="Q120" s="12">
        <v>9</v>
      </c>
      <c r="R120" s="12">
        <v>0</v>
      </c>
      <c r="S120" s="12">
        <v>0</v>
      </c>
      <c r="T120" s="12">
        <v>0</v>
      </c>
      <c r="U120" s="14" t="s">
        <v>11664</v>
      </c>
      <c r="V120" s="15" t="s">
        <v>11664</v>
      </c>
      <c r="W120" s="14" t="s">
        <v>11664</v>
      </c>
      <c r="X120" s="14" t="s">
        <v>11663</v>
      </c>
      <c r="Y120" s="14" t="s">
        <v>11664</v>
      </c>
      <c r="Z120" s="14" t="s">
        <v>11663</v>
      </c>
      <c r="AA120" s="14" t="s">
        <v>11663</v>
      </c>
      <c r="AB120" s="14" t="s">
        <v>11664</v>
      </c>
      <c r="AC120" s="14" t="s">
        <v>11664</v>
      </c>
      <c r="AD120" s="14" t="s">
        <v>11664</v>
      </c>
      <c r="AE120" s="14" t="s">
        <v>11664</v>
      </c>
      <c r="AF120" s="15">
        <v>226</v>
      </c>
      <c r="AG120" s="15">
        <v>63</v>
      </c>
      <c r="AH120" s="15">
        <v>42</v>
      </c>
      <c r="AI120" s="15">
        <v>0</v>
      </c>
      <c r="AJ120" s="15">
        <v>0</v>
      </c>
      <c r="AK120" s="15">
        <v>0</v>
      </c>
      <c r="AL120" s="15">
        <v>0</v>
      </c>
      <c r="AM120" s="15">
        <v>2</v>
      </c>
      <c r="AN120" s="15">
        <v>0</v>
      </c>
      <c r="AO120" s="15">
        <v>0</v>
      </c>
      <c r="AP120" s="14">
        <v>0</v>
      </c>
      <c r="AQ120" s="14">
        <v>0</v>
      </c>
      <c r="AR120" s="15">
        <v>1</v>
      </c>
      <c r="AS120" s="15">
        <v>4</v>
      </c>
      <c r="AT120" s="15">
        <v>3</v>
      </c>
      <c r="AU120" s="15">
        <v>2</v>
      </c>
      <c r="AV120" s="15">
        <v>5</v>
      </c>
      <c r="AW120" s="15" t="s">
        <v>11671</v>
      </c>
      <c r="AX120" s="15">
        <v>2</v>
      </c>
      <c r="AY120" s="15">
        <v>3</v>
      </c>
      <c r="AZ120" s="15">
        <v>1</v>
      </c>
      <c r="BA120" s="15">
        <v>4</v>
      </c>
      <c r="BB120" s="15" t="s">
        <v>11666</v>
      </c>
      <c r="BC120" s="15"/>
    </row>
    <row r="121" spans="1:56" ht="12.75">
      <c r="A121" s="10"/>
      <c r="B121" s="11" t="s">
        <v>10264</v>
      </c>
      <c r="C121" s="10" t="s">
        <v>11813</v>
      </c>
      <c r="D121" s="12"/>
      <c r="E121" s="12"/>
      <c r="F121" s="12" t="s">
        <v>12045</v>
      </c>
      <c r="G121" s="12" t="s">
        <v>12046</v>
      </c>
      <c r="H121" s="17">
        <v>56974142233</v>
      </c>
      <c r="I121" s="50">
        <v>45252</v>
      </c>
      <c r="J121" s="12"/>
      <c r="K121" s="12" t="s">
        <v>11664</v>
      </c>
      <c r="L121" s="12" t="s">
        <v>11664</v>
      </c>
      <c r="M121" s="12" t="s">
        <v>11664</v>
      </c>
      <c r="N121" s="12" t="s">
        <v>11664</v>
      </c>
      <c r="O121" s="12" t="s">
        <v>11663</v>
      </c>
      <c r="P121" s="12">
        <v>5</v>
      </c>
      <c r="Q121" s="12">
        <v>5</v>
      </c>
      <c r="R121" s="12">
        <v>0</v>
      </c>
      <c r="S121" s="12">
        <v>0</v>
      </c>
      <c r="T121" s="12">
        <v>0</v>
      </c>
      <c r="U121" s="14" t="s">
        <v>11663</v>
      </c>
      <c r="V121" s="15" t="s">
        <v>11664</v>
      </c>
      <c r="W121" s="14" t="s">
        <v>11664</v>
      </c>
      <c r="X121" s="14" t="s">
        <v>11664</v>
      </c>
      <c r="Y121" s="14" t="s">
        <v>11663</v>
      </c>
      <c r="Z121" s="14" t="s">
        <v>11664</v>
      </c>
      <c r="AA121" s="14" t="s">
        <v>11664</v>
      </c>
      <c r="AB121" s="14" t="s">
        <v>11664</v>
      </c>
      <c r="AC121" s="14" t="s">
        <v>11664</v>
      </c>
      <c r="AD121" s="14" t="s">
        <v>11664</v>
      </c>
      <c r="AE121" s="14" t="s">
        <v>11664</v>
      </c>
      <c r="AF121" s="15">
        <v>10</v>
      </c>
      <c r="AG121" s="15">
        <v>19</v>
      </c>
      <c r="AH121" s="15">
        <v>0</v>
      </c>
      <c r="AI121" s="15">
        <v>0</v>
      </c>
      <c r="AJ121" s="15">
        <v>0</v>
      </c>
      <c r="AK121" s="15">
        <v>0</v>
      </c>
      <c r="AL121" s="15">
        <v>0</v>
      </c>
      <c r="AM121" s="15">
        <v>0</v>
      </c>
      <c r="AN121" s="15">
        <v>0</v>
      </c>
      <c r="AO121" s="15">
        <v>0</v>
      </c>
      <c r="AP121" s="14">
        <v>0</v>
      </c>
      <c r="AQ121" s="14">
        <v>0</v>
      </c>
      <c r="AR121" s="15">
        <v>4</v>
      </c>
      <c r="AS121" s="15">
        <v>3</v>
      </c>
      <c r="AT121" s="15">
        <v>2</v>
      </c>
      <c r="AU121" s="15">
        <v>1</v>
      </c>
      <c r="AV121" s="15">
        <v>5</v>
      </c>
      <c r="AW121" s="15" t="s">
        <v>11665</v>
      </c>
      <c r="AX121" s="15">
        <v>3</v>
      </c>
      <c r="AY121" s="15">
        <v>2</v>
      </c>
      <c r="AZ121" s="15">
        <v>4</v>
      </c>
      <c r="BA121" s="15">
        <v>1</v>
      </c>
      <c r="BB121" s="15" t="s">
        <v>11666</v>
      </c>
      <c r="BC121" s="15"/>
    </row>
    <row r="122" spans="1:56" ht="12.75">
      <c r="A122" s="10"/>
      <c r="B122" s="11" t="s">
        <v>10314</v>
      </c>
      <c r="C122" s="10" t="s">
        <v>11813</v>
      </c>
      <c r="D122" s="12"/>
      <c r="E122" s="12"/>
      <c r="F122" s="12" t="s">
        <v>12047</v>
      </c>
      <c r="G122" s="12" t="s">
        <v>12048</v>
      </c>
      <c r="H122" s="17">
        <v>937372013</v>
      </c>
      <c r="I122" s="46">
        <v>44621</v>
      </c>
      <c r="J122" s="12" t="s">
        <v>12036</v>
      </c>
      <c r="K122" s="12" t="s">
        <v>11663</v>
      </c>
      <c r="L122" s="12" t="s">
        <v>11663</v>
      </c>
      <c r="M122" s="12" t="s">
        <v>11663</v>
      </c>
      <c r="N122" s="12" t="s">
        <v>11663</v>
      </c>
      <c r="O122" s="12" t="s">
        <v>11663</v>
      </c>
      <c r="P122" s="12">
        <v>3</v>
      </c>
      <c r="Q122" s="12">
        <v>3</v>
      </c>
      <c r="R122" s="12"/>
      <c r="S122" s="12"/>
      <c r="T122" s="12"/>
      <c r="U122" s="14" t="s">
        <v>11664</v>
      </c>
      <c r="V122" s="15" t="s">
        <v>11664</v>
      </c>
      <c r="W122" s="14" t="s">
        <v>11663</v>
      </c>
      <c r="X122" s="14" t="s">
        <v>11664</v>
      </c>
      <c r="Y122" s="14" t="s">
        <v>11663</v>
      </c>
      <c r="Z122" s="14" t="s">
        <v>11663</v>
      </c>
      <c r="AA122" s="14" t="s">
        <v>11664</v>
      </c>
      <c r="AB122" s="14" t="s">
        <v>11663</v>
      </c>
      <c r="AC122" s="14" t="s">
        <v>11663</v>
      </c>
      <c r="AD122" s="14" t="s">
        <v>11664</v>
      </c>
      <c r="AE122" s="14" t="s">
        <v>11664</v>
      </c>
      <c r="AF122" s="15">
        <v>45</v>
      </c>
      <c r="AG122" s="15">
        <v>45</v>
      </c>
      <c r="AH122" s="15">
        <v>25</v>
      </c>
      <c r="AI122" s="15">
        <v>1</v>
      </c>
      <c r="AJ122" s="15">
        <v>3</v>
      </c>
      <c r="AK122" s="15">
        <v>0</v>
      </c>
      <c r="AL122" s="15">
        <v>10</v>
      </c>
      <c r="AM122" s="15">
        <v>0</v>
      </c>
      <c r="AN122" s="15">
        <v>0</v>
      </c>
      <c r="AO122" s="15">
        <v>47</v>
      </c>
      <c r="AP122" s="14">
        <v>0</v>
      </c>
      <c r="AQ122" s="14">
        <v>0</v>
      </c>
      <c r="AR122" s="15">
        <v>3</v>
      </c>
      <c r="AS122" s="15">
        <v>4</v>
      </c>
      <c r="AT122" s="15">
        <v>5</v>
      </c>
      <c r="AU122" s="15">
        <v>1</v>
      </c>
      <c r="AV122" s="15">
        <v>2</v>
      </c>
      <c r="AW122" s="15" t="s">
        <v>11665</v>
      </c>
      <c r="AX122" s="15">
        <v>1</v>
      </c>
      <c r="AY122" s="15">
        <v>2</v>
      </c>
      <c r="AZ122" s="15">
        <v>3</v>
      </c>
      <c r="BA122" s="15">
        <v>4</v>
      </c>
      <c r="BB122" s="15" t="s">
        <v>11666</v>
      </c>
      <c r="BC122" s="15"/>
    </row>
    <row r="123" spans="1:56" ht="12.75">
      <c r="A123" s="10"/>
      <c r="B123" s="11" t="s">
        <v>12049</v>
      </c>
      <c r="C123" s="10" t="s">
        <v>11897</v>
      </c>
      <c r="D123" s="12"/>
      <c r="E123" s="12"/>
      <c r="F123" s="12" t="s">
        <v>12050</v>
      </c>
      <c r="G123" s="12" t="s">
        <v>12051</v>
      </c>
      <c r="H123" s="17">
        <v>988678879</v>
      </c>
      <c r="I123" s="12">
        <v>2020</v>
      </c>
      <c r="J123" s="12"/>
      <c r="K123" s="12" t="s">
        <v>11664</v>
      </c>
      <c r="L123" s="12" t="s">
        <v>11664</v>
      </c>
      <c r="M123" s="12" t="s">
        <v>11663</v>
      </c>
      <c r="N123" s="12" t="s">
        <v>11663</v>
      </c>
      <c r="O123" s="12" t="s">
        <v>11663</v>
      </c>
      <c r="P123" s="12">
        <v>3</v>
      </c>
      <c r="Q123" s="12">
        <v>3</v>
      </c>
      <c r="R123" s="12">
        <v>0</v>
      </c>
      <c r="S123" s="12">
        <v>0</v>
      </c>
      <c r="T123" s="12">
        <v>0</v>
      </c>
      <c r="U123" s="14" t="s">
        <v>11664</v>
      </c>
      <c r="V123" s="15" t="s">
        <v>11664</v>
      </c>
      <c r="W123" s="14" t="s">
        <v>11664</v>
      </c>
      <c r="X123" s="14" t="s">
        <v>11664</v>
      </c>
      <c r="Y123" s="14" t="s">
        <v>11664</v>
      </c>
      <c r="Z123" s="14" t="s">
        <v>11663</v>
      </c>
      <c r="AA123" s="14" t="s">
        <v>11663</v>
      </c>
      <c r="AB123" s="14" t="s">
        <v>11664</v>
      </c>
      <c r="AC123" s="14" t="s">
        <v>11664</v>
      </c>
      <c r="AD123" s="14" t="s">
        <v>11664</v>
      </c>
      <c r="AE123" s="14" t="s">
        <v>11664</v>
      </c>
      <c r="AF123" s="15">
        <v>0</v>
      </c>
      <c r="AG123" s="15">
        <v>0</v>
      </c>
      <c r="AH123" s="15">
        <v>0</v>
      </c>
      <c r="AI123" s="15">
        <v>0</v>
      </c>
      <c r="AJ123" s="15">
        <v>0</v>
      </c>
      <c r="AK123" s="15">
        <v>0</v>
      </c>
      <c r="AL123" s="15">
        <v>0</v>
      </c>
      <c r="AM123" s="15">
        <v>0</v>
      </c>
      <c r="AN123" s="15">
        <v>0</v>
      </c>
      <c r="AO123" s="15">
        <v>0</v>
      </c>
      <c r="AP123" s="14">
        <v>0</v>
      </c>
      <c r="AQ123" s="14">
        <v>0</v>
      </c>
      <c r="AR123" s="15">
        <v>1</v>
      </c>
      <c r="AS123" s="15">
        <v>3</v>
      </c>
      <c r="AT123" s="15">
        <v>2</v>
      </c>
      <c r="AU123" s="15">
        <v>4</v>
      </c>
      <c r="AV123" s="15">
        <v>5</v>
      </c>
      <c r="AW123" s="15" t="s">
        <v>11700</v>
      </c>
      <c r="AX123" s="15">
        <v>2</v>
      </c>
      <c r="AY123" s="15">
        <v>1</v>
      </c>
      <c r="AZ123" s="15">
        <v>4</v>
      </c>
      <c r="BA123" s="15">
        <v>3</v>
      </c>
      <c r="BB123" s="15" t="s">
        <v>11666</v>
      </c>
      <c r="BC123" s="15"/>
    </row>
    <row r="124" spans="1:56" ht="12.75">
      <c r="A124" s="10"/>
      <c r="B124" s="11" t="s">
        <v>10391</v>
      </c>
      <c r="C124" s="10" t="s">
        <v>11705</v>
      </c>
      <c r="D124" s="12"/>
      <c r="E124" s="12"/>
      <c r="F124" s="12" t="s">
        <v>12052</v>
      </c>
      <c r="G124" s="12" t="s">
        <v>12053</v>
      </c>
      <c r="H124" s="17">
        <v>976412108</v>
      </c>
      <c r="I124" s="46">
        <v>44841</v>
      </c>
      <c r="J124" s="12"/>
      <c r="K124" s="12" t="s">
        <v>11664</v>
      </c>
      <c r="L124" s="12" t="s">
        <v>11664</v>
      </c>
      <c r="M124" s="12" t="s">
        <v>11664</v>
      </c>
      <c r="N124" s="12" t="s">
        <v>11663</v>
      </c>
      <c r="O124" s="12" t="s">
        <v>11664</v>
      </c>
      <c r="P124" s="12">
        <v>0</v>
      </c>
      <c r="Q124" s="12">
        <v>0</v>
      </c>
      <c r="R124" s="12">
        <v>0</v>
      </c>
      <c r="S124" s="12">
        <v>0</v>
      </c>
      <c r="T124" s="12">
        <v>0</v>
      </c>
      <c r="U124" s="14" t="s">
        <v>11664</v>
      </c>
      <c r="V124" s="15" t="s">
        <v>11664</v>
      </c>
      <c r="W124" s="14" t="s">
        <v>11664</v>
      </c>
      <c r="X124" s="14" t="s">
        <v>11664</v>
      </c>
      <c r="Y124" s="14" t="s">
        <v>11664</v>
      </c>
      <c r="Z124" s="14" t="s">
        <v>11663</v>
      </c>
      <c r="AA124" s="14" t="s">
        <v>11663</v>
      </c>
      <c r="AB124" s="14" t="s">
        <v>11663</v>
      </c>
      <c r="AC124" s="14" t="s">
        <v>11663</v>
      </c>
      <c r="AD124" s="14" t="s">
        <v>11664</v>
      </c>
      <c r="AE124" s="14" t="s">
        <v>11664</v>
      </c>
      <c r="AF124" s="15">
        <v>0</v>
      </c>
      <c r="AG124" s="15">
        <v>0</v>
      </c>
      <c r="AH124" s="15">
        <v>0</v>
      </c>
      <c r="AI124" s="15">
        <v>0</v>
      </c>
      <c r="AJ124" s="15">
        <v>0</v>
      </c>
      <c r="AK124" s="15">
        <v>0</v>
      </c>
      <c r="AL124" s="15">
        <v>0</v>
      </c>
      <c r="AM124" s="15">
        <v>0</v>
      </c>
      <c r="AN124" s="15">
        <v>0</v>
      </c>
      <c r="AO124" s="15">
        <v>0</v>
      </c>
      <c r="AP124" s="14">
        <v>0</v>
      </c>
      <c r="AQ124" s="14">
        <v>0</v>
      </c>
      <c r="AR124" s="15">
        <v>4</v>
      </c>
      <c r="AS124" s="15">
        <v>3</v>
      </c>
      <c r="AT124" s="15">
        <v>1</v>
      </c>
      <c r="AU124" s="15">
        <v>2</v>
      </c>
      <c r="AV124" s="15">
        <v>5</v>
      </c>
      <c r="AW124" s="15" t="s">
        <v>11665</v>
      </c>
      <c r="AX124" s="15">
        <v>3</v>
      </c>
      <c r="AY124" s="15">
        <v>2</v>
      </c>
      <c r="AZ124" s="15">
        <v>4</v>
      </c>
      <c r="BA124" s="15">
        <v>1</v>
      </c>
      <c r="BB124" s="15" t="s">
        <v>11680</v>
      </c>
      <c r="BC124" s="15"/>
    </row>
    <row r="125" spans="1:56" ht="12.75">
      <c r="A125" s="10"/>
      <c r="B125" s="11" t="s">
        <v>10436</v>
      </c>
      <c r="C125" s="10" t="s">
        <v>10526</v>
      </c>
      <c r="D125" s="12"/>
      <c r="E125" s="12"/>
      <c r="F125" s="12" t="s">
        <v>12054</v>
      </c>
      <c r="G125" s="12" t="s">
        <v>12055</v>
      </c>
      <c r="H125" s="17">
        <v>993060674</v>
      </c>
      <c r="I125" s="12"/>
      <c r="J125" s="12" t="s">
        <v>12036</v>
      </c>
      <c r="K125" s="12" t="s">
        <v>11663</v>
      </c>
      <c r="L125" s="12" t="s">
        <v>11663</v>
      </c>
      <c r="M125" s="12" t="s">
        <v>11664</v>
      </c>
      <c r="N125" s="12" t="s">
        <v>11664</v>
      </c>
      <c r="O125" s="12" t="s">
        <v>11663</v>
      </c>
      <c r="P125" s="12">
        <v>20</v>
      </c>
      <c r="Q125" s="12">
        <v>23</v>
      </c>
      <c r="R125" s="12">
        <v>0</v>
      </c>
      <c r="S125" s="12">
        <v>2</v>
      </c>
      <c r="T125" s="12">
        <v>0</v>
      </c>
      <c r="U125" s="14" t="s">
        <v>11664</v>
      </c>
      <c r="V125" s="15" t="s">
        <v>11664</v>
      </c>
      <c r="W125" s="14" t="s">
        <v>11663</v>
      </c>
      <c r="X125" s="14" t="s">
        <v>11663</v>
      </c>
      <c r="Y125" s="14" t="s">
        <v>11663</v>
      </c>
      <c r="Z125" s="14" t="s">
        <v>11663</v>
      </c>
      <c r="AA125" s="14" t="s">
        <v>11664</v>
      </c>
      <c r="AB125" s="14" t="s">
        <v>11664</v>
      </c>
      <c r="AC125" s="14" t="s">
        <v>11664</v>
      </c>
      <c r="AD125" s="14" t="s">
        <v>11664</v>
      </c>
      <c r="AE125" s="14" t="s">
        <v>11664</v>
      </c>
      <c r="AF125" s="15">
        <v>55</v>
      </c>
      <c r="AG125" s="15">
        <v>10</v>
      </c>
      <c r="AH125" s="15">
        <v>25</v>
      </c>
      <c r="AI125" s="15">
        <v>0</v>
      </c>
      <c r="AJ125" s="15">
        <v>2</v>
      </c>
      <c r="AK125" s="15">
        <v>0</v>
      </c>
      <c r="AL125" s="15">
        <v>0</v>
      </c>
      <c r="AM125" s="15">
        <v>20</v>
      </c>
      <c r="AN125" s="15">
        <v>0</v>
      </c>
      <c r="AO125" s="15">
        <v>0</v>
      </c>
      <c r="AP125" s="14">
        <v>0</v>
      </c>
      <c r="AQ125" s="14">
        <v>0</v>
      </c>
      <c r="AR125" s="15">
        <v>4</v>
      </c>
      <c r="AS125" s="15">
        <v>5</v>
      </c>
      <c r="AT125" s="15">
        <v>1</v>
      </c>
      <c r="AU125" s="15">
        <v>3</v>
      </c>
      <c r="AV125" s="15">
        <v>2</v>
      </c>
      <c r="AW125" s="15" t="s">
        <v>11665</v>
      </c>
      <c r="AX125" s="15">
        <v>2</v>
      </c>
      <c r="AY125" s="15">
        <v>4</v>
      </c>
      <c r="AZ125" s="15">
        <v>1</v>
      </c>
      <c r="BA125" s="15">
        <v>3</v>
      </c>
      <c r="BB125" s="15" t="s">
        <v>11666</v>
      </c>
      <c r="BC125" s="15"/>
    </row>
    <row r="126" spans="1:56" ht="12.75">
      <c r="A126" s="10"/>
      <c r="B126" s="11" t="s">
        <v>10521</v>
      </c>
      <c r="C126" s="10" t="s">
        <v>11681</v>
      </c>
      <c r="D126" s="12"/>
      <c r="E126" s="12"/>
      <c r="F126" s="12" t="s">
        <v>12056</v>
      </c>
      <c r="G126" s="12" t="s">
        <v>12057</v>
      </c>
      <c r="H126" s="17">
        <v>982985833</v>
      </c>
      <c r="I126" s="32">
        <v>45047</v>
      </c>
      <c r="J126" s="12"/>
      <c r="K126" s="12" t="s">
        <v>11664</v>
      </c>
      <c r="L126" s="12" t="s">
        <v>11663</v>
      </c>
      <c r="M126" s="12" t="s">
        <v>11664</v>
      </c>
      <c r="N126" s="12" t="s">
        <v>11664</v>
      </c>
      <c r="O126" s="12" t="s">
        <v>11663</v>
      </c>
      <c r="P126" s="12">
        <v>5</v>
      </c>
      <c r="Q126" s="12">
        <v>4</v>
      </c>
      <c r="R126" s="12">
        <v>0</v>
      </c>
      <c r="S126" s="12">
        <v>0</v>
      </c>
      <c r="T126" s="12">
        <v>0</v>
      </c>
      <c r="U126" s="14" t="s">
        <v>11664</v>
      </c>
      <c r="V126" s="15" t="s">
        <v>11664</v>
      </c>
      <c r="W126" s="14" t="s">
        <v>11664</v>
      </c>
      <c r="X126" s="14" t="s">
        <v>11664</v>
      </c>
      <c r="Y126" s="14" t="s">
        <v>11663</v>
      </c>
      <c r="Z126" s="14" t="s">
        <v>11663</v>
      </c>
      <c r="AA126" s="14" t="s">
        <v>11663</v>
      </c>
      <c r="AB126" s="14" t="s">
        <v>11664</v>
      </c>
      <c r="AC126" s="14" t="s">
        <v>11664</v>
      </c>
      <c r="AD126" s="14" t="s">
        <v>11664</v>
      </c>
      <c r="AE126" s="14" t="s">
        <v>11664</v>
      </c>
      <c r="AF126" s="15">
        <v>4</v>
      </c>
      <c r="AG126" s="15">
        <v>30</v>
      </c>
      <c r="AH126" s="15">
        <v>3</v>
      </c>
      <c r="AI126" s="15">
        <v>0</v>
      </c>
      <c r="AJ126" s="15">
        <v>0</v>
      </c>
      <c r="AK126" s="15">
        <v>0</v>
      </c>
      <c r="AL126" s="15">
        <v>0</v>
      </c>
      <c r="AM126" s="15">
        <v>0</v>
      </c>
      <c r="AN126" s="15">
        <v>0</v>
      </c>
      <c r="AO126" s="15">
        <v>0</v>
      </c>
      <c r="AP126" s="14">
        <v>0</v>
      </c>
      <c r="AQ126" s="14">
        <v>0</v>
      </c>
      <c r="AR126" s="15">
        <v>2</v>
      </c>
      <c r="AS126" s="15">
        <v>1</v>
      </c>
      <c r="AT126" s="15">
        <v>4</v>
      </c>
      <c r="AU126" s="15">
        <v>3</v>
      </c>
      <c r="AV126" s="15">
        <v>5</v>
      </c>
      <c r="AW126" s="15" t="s">
        <v>11665</v>
      </c>
      <c r="AX126" s="15">
        <v>3</v>
      </c>
      <c r="AY126" s="15">
        <v>2</v>
      </c>
      <c r="AZ126" s="15">
        <v>1</v>
      </c>
      <c r="BA126" s="15">
        <v>4</v>
      </c>
      <c r="BB126" s="15"/>
      <c r="BC126" s="15"/>
    </row>
    <row r="127" spans="1:56" ht="12.75">
      <c r="A127" s="10"/>
      <c r="B127" s="11" t="s">
        <v>10562</v>
      </c>
      <c r="C127" s="10" t="s">
        <v>11813</v>
      </c>
      <c r="D127" s="12"/>
      <c r="E127" s="12"/>
      <c r="F127" s="12" t="s">
        <v>12058</v>
      </c>
      <c r="G127" s="12" t="s">
        <v>12059</v>
      </c>
      <c r="H127" s="17">
        <v>987986880</v>
      </c>
      <c r="I127" s="46">
        <v>45406</v>
      </c>
      <c r="J127" s="12"/>
      <c r="K127" s="12" t="s">
        <v>11664</v>
      </c>
      <c r="L127" s="12" t="s">
        <v>11664</v>
      </c>
      <c r="M127" s="12" t="s">
        <v>11664</v>
      </c>
      <c r="N127" s="12" t="s">
        <v>11664</v>
      </c>
      <c r="O127" s="12" t="s">
        <v>11664</v>
      </c>
      <c r="P127" s="12">
        <v>0</v>
      </c>
      <c r="Q127" s="12">
        <v>0</v>
      </c>
      <c r="R127" s="12">
        <v>0</v>
      </c>
      <c r="S127" s="12">
        <v>0</v>
      </c>
      <c r="T127" s="12">
        <v>0</v>
      </c>
      <c r="U127" s="14" t="s">
        <v>11663</v>
      </c>
      <c r="V127" s="15" t="s">
        <v>11663</v>
      </c>
      <c r="W127" s="14" t="s">
        <v>11664</v>
      </c>
      <c r="X127" s="14" t="s">
        <v>11663</v>
      </c>
      <c r="Y127" s="14" t="s">
        <v>11663</v>
      </c>
      <c r="Z127" s="14" t="s">
        <v>11663</v>
      </c>
      <c r="AA127" s="14" t="s">
        <v>11664</v>
      </c>
      <c r="AB127" s="14" t="s">
        <v>11663</v>
      </c>
      <c r="AC127" s="14" t="s">
        <v>11663</v>
      </c>
      <c r="AD127" s="14" t="s">
        <v>11663</v>
      </c>
      <c r="AE127" s="14" t="s">
        <v>11663</v>
      </c>
      <c r="AF127" s="15">
        <v>60</v>
      </c>
      <c r="AG127" s="15">
        <v>60</v>
      </c>
      <c r="AH127" s="15">
        <v>70</v>
      </c>
      <c r="AI127" s="15">
        <v>0</v>
      </c>
      <c r="AJ127" s="15">
        <v>0</v>
      </c>
      <c r="AK127" s="15">
        <v>0</v>
      </c>
      <c r="AL127" s="15">
        <v>0</v>
      </c>
      <c r="AM127" s="15">
        <v>0</v>
      </c>
      <c r="AN127" s="15">
        <v>2</v>
      </c>
      <c r="AO127" s="15">
        <v>0</v>
      </c>
      <c r="AP127" s="14">
        <v>0</v>
      </c>
      <c r="AQ127" s="14">
        <v>0</v>
      </c>
      <c r="AR127" s="15">
        <v>3</v>
      </c>
      <c r="AS127" s="15">
        <v>2</v>
      </c>
      <c r="AT127" s="15">
        <v>1</v>
      </c>
      <c r="AU127" s="15">
        <v>4</v>
      </c>
      <c r="AV127" s="15">
        <v>5</v>
      </c>
      <c r="AW127" s="15" t="s">
        <v>11665</v>
      </c>
      <c r="AX127" s="15">
        <v>4</v>
      </c>
      <c r="AY127" s="15">
        <v>1</v>
      </c>
      <c r="AZ127" s="15">
        <v>2</v>
      </c>
      <c r="BA127" s="15">
        <v>3</v>
      </c>
      <c r="BB127" s="15" t="s">
        <v>11680</v>
      </c>
      <c r="BC127" s="15"/>
    </row>
    <row r="128" spans="1:56" ht="12.75">
      <c r="A128" s="10"/>
      <c r="B128" s="11" t="s">
        <v>10618</v>
      </c>
      <c r="C128" s="10" t="s">
        <v>11688</v>
      </c>
      <c r="D128" s="12" t="s">
        <v>12060</v>
      </c>
      <c r="E128" s="12"/>
      <c r="F128" s="12" t="s">
        <v>12061</v>
      </c>
      <c r="G128" s="12" t="s">
        <v>12062</v>
      </c>
      <c r="H128" s="17">
        <v>984462484</v>
      </c>
      <c r="I128" s="46">
        <v>45301</v>
      </c>
      <c r="J128" s="12"/>
      <c r="K128" s="12" t="s">
        <v>11664</v>
      </c>
      <c r="L128" s="12" t="s">
        <v>11664</v>
      </c>
      <c r="M128" s="12" t="s">
        <v>11664</v>
      </c>
      <c r="N128" s="12" t="s">
        <v>11664</v>
      </c>
      <c r="O128" s="12" t="s">
        <v>11664</v>
      </c>
      <c r="P128" s="12">
        <v>0</v>
      </c>
      <c r="Q128" s="12">
        <v>0</v>
      </c>
      <c r="R128" s="12">
        <v>0</v>
      </c>
      <c r="S128" s="12">
        <v>0</v>
      </c>
      <c r="T128" s="12">
        <v>0</v>
      </c>
      <c r="U128" s="14" t="s">
        <v>11664</v>
      </c>
      <c r="V128" s="15" t="s">
        <v>11664</v>
      </c>
      <c r="W128" s="14" t="s">
        <v>11664</v>
      </c>
      <c r="X128" s="14" t="s">
        <v>11664</v>
      </c>
      <c r="Y128" s="14" t="s">
        <v>11664</v>
      </c>
      <c r="Z128" s="14" t="s">
        <v>11664</v>
      </c>
      <c r="AA128" s="14" t="s">
        <v>11664</v>
      </c>
      <c r="AB128" s="14" t="s">
        <v>11664</v>
      </c>
      <c r="AC128" s="14" t="s">
        <v>11664</v>
      </c>
      <c r="AD128" s="14" t="s">
        <v>11664</v>
      </c>
      <c r="AE128" s="14" t="s">
        <v>11664</v>
      </c>
      <c r="AF128" s="15">
        <v>0</v>
      </c>
      <c r="AG128" s="15">
        <v>0</v>
      </c>
      <c r="AH128" s="15">
        <v>0</v>
      </c>
      <c r="AI128" s="15">
        <v>0</v>
      </c>
      <c r="AJ128" s="15">
        <v>0</v>
      </c>
      <c r="AK128" s="15">
        <v>0</v>
      </c>
      <c r="AL128" s="15">
        <v>0</v>
      </c>
      <c r="AM128" s="15">
        <v>0</v>
      </c>
      <c r="AN128" s="15">
        <v>0</v>
      </c>
      <c r="AO128" s="15">
        <v>0</v>
      </c>
      <c r="AP128" s="14">
        <v>0</v>
      </c>
      <c r="AQ128" s="14">
        <v>0</v>
      </c>
      <c r="AR128" s="15">
        <v>1</v>
      </c>
      <c r="AS128" s="15">
        <v>2</v>
      </c>
      <c r="AT128" s="15">
        <v>3</v>
      </c>
      <c r="AU128" s="15">
        <v>4</v>
      </c>
      <c r="AV128" s="15">
        <v>5</v>
      </c>
      <c r="AW128" s="15" t="s">
        <v>11665</v>
      </c>
      <c r="AX128" s="15">
        <v>3</v>
      </c>
      <c r="AY128" s="15">
        <v>2</v>
      </c>
      <c r="AZ128" s="15">
        <v>1</v>
      </c>
      <c r="BA128" s="15">
        <v>4</v>
      </c>
      <c r="BB128" s="15" t="s">
        <v>11666</v>
      </c>
      <c r="BC128" s="15"/>
    </row>
    <row r="129" spans="1:55" ht="12.75">
      <c r="A129" s="10"/>
      <c r="B129" s="11" t="s">
        <v>10632</v>
      </c>
      <c r="C129" s="10" t="s">
        <v>11897</v>
      </c>
      <c r="D129" s="12"/>
      <c r="E129" s="12"/>
      <c r="F129" s="12" t="s">
        <v>12063</v>
      </c>
      <c r="G129" s="12" t="s">
        <v>12064</v>
      </c>
      <c r="H129" s="17">
        <v>981224602</v>
      </c>
      <c r="I129" s="18">
        <v>44986</v>
      </c>
      <c r="J129" s="12"/>
      <c r="K129" s="12" t="s">
        <v>11664</v>
      </c>
      <c r="L129" s="12" t="s">
        <v>11664</v>
      </c>
      <c r="M129" s="12" t="s">
        <v>11663</v>
      </c>
      <c r="N129" s="12" t="s">
        <v>11664</v>
      </c>
      <c r="O129" s="12" t="s">
        <v>11663</v>
      </c>
      <c r="P129" s="12">
        <v>11</v>
      </c>
      <c r="Q129" s="12">
        <v>10</v>
      </c>
      <c r="R129" s="12">
        <v>0</v>
      </c>
      <c r="S129" s="12">
        <v>0</v>
      </c>
      <c r="T129" s="12">
        <v>0</v>
      </c>
      <c r="U129" s="14" t="s">
        <v>11663</v>
      </c>
      <c r="V129" s="15" t="s">
        <v>11664</v>
      </c>
      <c r="W129" s="14" t="s">
        <v>11663</v>
      </c>
      <c r="X129" s="14" t="s">
        <v>11663</v>
      </c>
      <c r="Y129" s="14" t="s">
        <v>11664</v>
      </c>
      <c r="Z129" s="14" t="s">
        <v>11664</v>
      </c>
      <c r="AA129" s="14" t="s">
        <v>11664</v>
      </c>
      <c r="AB129" s="14" t="s">
        <v>11664</v>
      </c>
      <c r="AC129" s="14" t="s">
        <v>11664</v>
      </c>
      <c r="AD129" s="14" t="s">
        <v>11663</v>
      </c>
      <c r="AE129" s="14" t="s">
        <v>11664</v>
      </c>
      <c r="AF129" s="15">
        <v>235</v>
      </c>
      <c r="AG129" s="15">
        <v>350</v>
      </c>
      <c r="AH129" s="15">
        <v>0</v>
      </c>
      <c r="AI129" s="15">
        <v>0</v>
      </c>
      <c r="AJ129" s="15">
        <v>0</v>
      </c>
      <c r="AK129" s="15">
        <v>0</v>
      </c>
      <c r="AL129" s="15">
        <v>0</v>
      </c>
      <c r="AM129" s="15">
        <v>0</v>
      </c>
      <c r="AN129" s="15">
        <v>2</v>
      </c>
      <c r="AO129" s="15">
        <v>1</v>
      </c>
      <c r="AP129" s="14">
        <v>0</v>
      </c>
      <c r="AQ129" s="14">
        <v>0</v>
      </c>
      <c r="AR129" s="15">
        <v>2</v>
      </c>
      <c r="AS129" s="15">
        <v>1</v>
      </c>
      <c r="AT129" s="15">
        <v>3</v>
      </c>
      <c r="AU129" s="15">
        <v>4</v>
      </c>
      <c r="AV129" s="15">
        <v>5</v>
      </c>
      <c r="AW129" s="15" t="s">
        <v>11665</v>
      </c>
      <c r="AX129" s="15">
        <v>4</v>
      </c>
      <c r="AY129" s="15">
        <v>1</v>
      </c>
      <c r="AZ129" s="15">
        <v>2</v>
      </c>
      <c r="BA129" s="15">
        <v>3</v>
      </c>
      <c r="BB129" s="15" t="s">
        <v>11666</v>
      </c>
      <c r="BC129" s="15"/>
    </row>
    <row r="130" spans="1:55" ht="12.75">
      <c r="A130" s="10"/>
      <c r="B130" s="11" t="s">
        <v>10687</v>
      </c>
      <c r="C130" s="10" t="s">
        <v>11705</v>
      </c>
      <c r="D130" s="12"/>
      <c r="E130" s="12"/>
      <c r="F130" s="12" t="s">
        <v>12065</v>
      </c>
      <c r="G130" s="12" t="s">
        <v>12066</v>
      </c>
      <c r="H130" s="17">
        <v>988076304</v>
      </c>
      <c r="I130" s="12">
        <v>2023</v>
      </c>
      <c r="J130" s="12"/>
      <c r="K130" s="12" t="s">
        <v>11664</v>
      </c>
      <c r="L130" s="12" t="s">
        <v>11664</v>
      </c>
      <c r="M130" s="12" t="s">
        <v>11664</v>
      </c>
      <c r="N130" s="12" t="s">
        <v>11664</v>
      </c>
      <c r="O130" s="12" t="s">
        <v>11663</v>
      </c>
      <c r="P130" s="12">
        <v>0</v>
      </c>
      <c r="Q130" s="12">
        <v>2</v>
      </c>
      <c r="R130" s="12">
        <v>0</v>
      </c>
      <c r="S130" s="12">
        <v>0</v>
      </c>
      <c r="T130" s="12">
        <v>0</v>
      </c>
      <c r="U130" s="14" t="s">
        <v>11663</v>
      </c>
      <c r="V130" s="15" t="s">
        <v>11664</v>
      </c>
      <c r="W130" s="14" t="s">
        <v>11664</v>
      </c>
      <c r="X130" s="14" t="s">
        <v>11664</v>
      </c>
      <c r="Y130" s="14" t="s">
        <v>11664</v>
      </c>
      <c r="Z130" s="14" t="s">
        <v>11663</v>
      </c>
      <c r="AA130" s="14" t="s">
        <v>11663</v>
      </c>
      <c r="AB130" s="14" t="s">
        <v>11663</v>
      </c>
      <c r="AC130" s="14" t="s">
        <v>11664</v>
      </c>
      <c r="AD130" s="14" t="s">
        <v>11663</v>
      </c>
      <c r="AE130" s="14" t="s">
        <v>11664</v>
      </c>
      <c r="AF130" s="15">
        <v>12</v>
      </c>
      <c r="AG130" s="15">
        <v>0</v>
      </c>
      <c r="AH130" s="15">
        <v>25</v>
      </c>
      <c r="AI130" s="15">
        <v>0</v>
      </c>
      <c r="AJ130" s="15">
        <v>0</v>
      </c>
      <c r="AK130" s="15">
        <v>0</v>
      </c>
      <c r="AL130" s="15">
        <v>0</v>
      </c>
      <c r="AM130" s="15">
        <v>0</v>
      </c>
      <c r="AN130" s="15">
        <v>0</v>
      </c>
      <c r="AO130" s="15">
        <v>5</v>
      </c>
      <c r="AP130" s="14">
        <v>0</v>
      </c>
      <c r="AQ130" s="14">
        <v>0</v>
      </c>
      <c r="AR130" s="15">
        <v>2</v>
      </c>
      <c r="AS130" s="15">
        <v>1</v>
      </c>
      <c r="AT130" s="15">
        <v>3</v>
      </c>
      <c r="AU130" s="15">
        <v>4</v>
      </c>
      <c r="AV130" s="15">
        <v>5</v>
      </c>
      <c r="AW130" s="15" t="s">
        <v>11665</v>
      </c>
      <c r="AX130" s="15">
        <v>4</v>
      </c>
      <c r="AY130" s="15">
        <v>3</v>
      </c>
      <c r="AZ130" s="15">
        <v>1</v>
      </c>
      <c r="BA130" s="15">
        <v>2</v>
      </c>
      <c r="BB130" s="15" t="s">
        <v>11680</v>
      </c>
      <c r="BC130" s="15"/>
    </row>
    <row r="131" spans="1:55" ht="12.75">
      <c r="A131" s="10"/>
      <c r="B131" s="11" t="s">
        <v>10722</v>
      </c>
      <c r="C131" s="10" t="s">
        <v>11813</v>
      </c>
      <c r="D131" s="12"/>
      <c r="E131" s="12"/>
      <c r="F131" s="12" t="s">
        <v>12067</v>
      </c>
      <c r="G131" s="12" t="s">
        <v>12068</v>
      </c>
      <c r="H131" s="17">
        <v>968428601</v>
      </c>
      <c r="I131" s="51">
        <v>45155</v>
      </c>
      <c r="J131" s="12" t="s">
        <v>12036</v>
      </c>
      <c r="K131" s="12" t="s">
        <v>11663</v>
      </c>
      <c r="L131" s="12" t="s">
        <v>11663</v>
      </c>
      <c r="M131" s="12" t="s">
        <v>11664</v>
      </c>
      <c r="N131" s="12" t="s">
        <v>11664</v>
      </c>
      <c r="O131" s="12" t="s">
        <v>11664</v>
      </c>
      <c r="P131" s="12">
        <v>0</v>
      </c>
      <c r="Q131" s="12">
        <v>0</v>
      </c>
      <c r="R131" s="12">
        <v>0</v>
      </c>
      <c r="S131" s="12">
        <v>0</v>
      </c>
      <c r="T131" s="12">
        <v>0</v>
      </c>
      <c r="U131" s="14" t="s">
        <v>11663</v>
      </c>
      <c r="V131" s="15" t="s">
        <v>11664</v>
      </c>
      <c r="W131" s="14" t="s">
        <v>11664</v>
      </c>
      <c r="X131" s="14" t="s">
        <v>11663</v>
      </c>
      <c r="Y131" s="14" t="s">
        <v>11664</v>
      </c>
      <c r="Z131" s="14" t="s">
        <v>11663</v>
      </c>
      <c r="AA131" s="14" t="s">
        <v>11663</v>
      </c>
      <c r="AB131" s="14" t="s">
        <v>11663</v>
      </c>
      <c r="AC131" s="14" t="s">
        <v>11663</v>
      </c>
      <c r="AD131" s="14" t="s">
        <v>11663</v>
      </c>
      <c r="AE131" s="14" t="s">
        <v>11664</v>
      </c>
      <c r="AF131" s="15">
        <v>40</v>
      </c>
      <c r="AG131" s="15">
        <v>70</v>
      </c>
      <c r="AH131" s="15">
        <v>40</v>
      </c>
      <c r="AI131" s="15">
        <v>0</v>
      </c>
      <c r="AJ131" s="15">
        <v>0</v>
      </c>
      <c r="AK131" s="15">
        <v>0</v>
      </c>
      <c r="AL131" s="15">
        <v>0</v>
      </c>
      <c r="AM131" s="15">
        <v>12</v>
      </c>
      <c r="AN131" s="15">
        <v>0</v>
      </c>
      <c r="AO131" s="15">
        <v>0</v>
      </c>
      <c r="AP131" s="14">
        <v>0</v>
      </c>
      <c r="AQ131" s="14">
        <v>2</v>
      </c>
      <c r="AR131" s="15">
        <v>2</v>
      </c>
      <c r="AS131" s="15">
        <v>1</v>
      </c>
      <c r="AT131" s="15">
        <v>3</v>
      </c>
      <c r="AU131" s="15">
        <v>4</v>
      </c>
      <c r="AV131" s="15">
        <v>5</v>
      </c>
      <c r="AW131" s="15" t="s">
        <v>11700</v>
      </c>
      <c r="AX131" s="15">
        <v>3</v>
      </c>
      <c r="AY131" s="15">
        <v>2</v>
      </c>
      <c r="AZ131" s="15">
        <v>4</v>
      </c>
      <c r="BA131" s="15">
        <v>1</v>
      </c>
      <c r="BB131" s="15" t="s">
        <v>11666</v>
      </c>
      <c r="BC131" s="15"/>
    </row>
    <row r="132" spans="1:55" ht="12.75">
      <c r="A132" s="10"/>
      <c r="B132" s="11" t="s">
        <v>10823</v>
      </c>
      <c r="C132" s="10" t="s">
        <v>11813</v>
      </c>
      <c r="D132" s="12"/>
      <c r="E132" s="12"/>
      <c r="F132" s="12" t="s">
        <v>12069</v>
      </c>
      <c r="G132" s="44" t="s">
        <v>12070</v>
      </c>
      <c r="H132" s="17">
        <v>963332084</v>
      </c>
      <c r="I132" s="44">
        <v>44832</v>
      </c>
      <c r="J132" s="12"/>
      <c r="K132" s="12" t="s">
        <v>11664</v>
      </c>
      <c r="L132" s="12" t="s">
        <v>11664</v>
      </c>
      <c r="M132" s="12" t="s">
        <v>11663</v>
      </c>
      <c r="N132" s="12" t="s">
        <v>11663</v>
      </c>
      <c r="O132" s="12" t="s">
        <v>11664</v>
      </c>
      <c r="P132" s="12">
        <v>0</v>
      </c>
      <c r="Q132" s="12">
        <v>0</v>
      </c>
      <c r="R132" s="12">
        <v>0</v>
      </c>
      <c r="S132" s="12">
        <v>0</v>
      </c>
      <c r="T132" s="12">
        <v>0</v>
      </c>
      <c r="U132" s="14" t="s">
        <v>11664</v>
      </c>
      <c r="V132" s="15" t="s">
        <v>11664</v>
      </c>
      <c r="W132" s="14" t="s">
        <v>11664</v>
      </c>
      <c r="X132" s="14" t="s">
        <v>11663</v>
      </c>
      <c r="Y132" s="14" t="s">
        <v>11664</v>
      </c>
      <c r="Z132" s="14" t="s">
        <v>11663</v>
      </c>
      <c r="AA132" s="14" t="s">
        <v>11663</v>
      </c>
      <c r="AB132" s="14" t="s">
        <v>11664</v>
      </c>
      <c r="AC132" s="14" t="s">
        <v>11664</v>
      </c>
      <c r="AD132" s="14" t="s">
        <v>11663</v>
      </c>
      <c r="AE132" s="14" t="s">
        <v>11664</v>
      </c>
      <c r="AF132" s="15">
        <v>80</v>
      </c>
      <c r="AG132" s="15">
        <v>120</v>
      </c>
      <c r="AH132" s="15">
        <v>220</v>
      </c>
      <c r="AI132" s="15">
        <v>0</v>
      </c>
      <c r="AJ132" s="15">
        <v>0</v>
      </c>
      <c r="AK132" s="15">
        <v>0</v>
      </c>
      <c r="AL132" s="15">
        <v>12</v>
      </c>
      <c r="AM132" s="15">
        <v>0</v>
      </c>
      <c r="AN132" s="15">
        <v>0</v>
      </c>
      <c r="AO132" s="15">
        <v>0</v>
      </c>
      <c r="AP132" s="14">
        <v>0</v>
      </c>
      <c r="AQ132" s="14">
        <v>0</v>
      </c>
      <c r="AR132" s="15">
        <v>5</v>
      </c>
      <c r="AS132" s="15">
        <v>1</v>
      </c>
      <c r="AT132" s="15">
        <v>2</v>
      </c>
      <c r="AU132" s="15">
        <v>3</v>
      </c>
      <c r="AV132" s="15">
        <v>4</v>
      </c>
      <c r="AW132" s="15" t="s">
        <v>11671</v>
      </c>
      <c r="AX132" s="15">
        <v>4</v>
      </c>
      <c r="AY132" s="15">
        <v>3</v>
      </c>
      <c r="AZ132" s="15">
        <v>2</v>
      </c>
      <c r="BA132" s="15">
        <v>1</v>
      </c>
      <c r="BB132" s="15" t="s">
        <v>11680</v>
      </c>
      <c r="BC132" s="15"/>
    </row>
    <row r="133" spans="1:55" ht="12.75">
      <c r="A133" s="10"/>
      <c r="B133" s="11" t="s">
        <v>10854</v>
      </c>
      <c r="C133" s="10" t="s">
        <v>11813</v>
      </c>
      <c r="D133" s="12"/>
      <c r="E133" s="12"/>
      <c r="F133" s="12" t="s">
        <v>12071</v>
      </c>
      <c r="G133" s="12" t="s">
        <v>12072</v>
      </c>
      <c r="H133" s="17">
        <v>990186092</v>
      </c>
      <c r="I133" s="12"/>
      <c r="J133" s="12" t="s">
        <v>12073</v>
      </c>
      <c r="K133" s="12" t="s">
        <v>11663</v>
      </c>
      <c r="L133" s="12" t="s">
        <v>11663</v>
      </c>
      <c r="M133" s="12" t="s">
        <v>11664</v>
      </c>
      <c r="N133" s="12" t="s">
        <v>11664</v>
      </c>
      <c r="O133" s="12" t="s">
        <v>11663</v>
      </c>
      <c r="P133" s="12">
        <v>2</v>
      </c>
      <c r="Q133" s="12">
        <v>2</v>
      </c>
      <c r="R133" s="12">
        <v>0</v>
      </c>
      <c r="S133" s="12">
        <v>0</v>
      </c>
      <c r="T133" s="12">
        <v>0</v>
      </c>
      <c r="U133" s="14" t="s">
        <v>11664</v>
      </c>
      <c r="V133" s="15" t="s">
        <v>11664</v>
      </c>
      <c r="W133" s="14" t="s">
        <v>11663</v>
      </c>
      <c r="X133" s="14" t="s">
        <v>11663</v>
      </c>
      <c r="Y133" s="14" t="s">
        <v>11664</v>
      </c>
      <c r="Z133" s="14" t="s">
        <v>11663</v>
      </c>
      <c r="AA133" s="14" t="s">
        <v>11663</v>
      </c>
      <c r="AB133" s="14" t="s">
        <v>11663</v>
      </c>
      <c r="AC133" s="14" t="s">
        <v>11664</v>
      </c>
      <c r="AD133" s="14" t="s">
        <v>11663</v>
      </c>
      <c r="AE133" s="14" t="s">
        <v>11664</v>
      </c>
      <c r="AF133" s="15">
        <v>62</v>
      </c>
      <c r="AG133" s="15">
        <v>192</v>
      </c>
      <c r="AH133" s="15">
        <v>46</v>
      </c>
      <c r="AI133" s="15">
        <v>0</v>
      </c>
      <c r="AJ133" s="15">
        <v>1</v>
      </c>
      <c r="AK133" s="15">
        <v>0</v>
      </c>
      <c r="AL133" s="15">
        <v>2</v>
      </c>
      <c r="AM133" s="15">
        <v>0</v>
      </c>
      <c r="AN133" s="15">
        <v>0</v>
      </c>
      <c r="AO133" s="15">
        <v>0</v>
      </c>
      <c r="AP133" s="14">
        <v>0</v>
      </c>
      <c r="AQ133" s="14">
        <v>0</v>
      </c>
      <c r="AR133" s="15">
        <v>1</v>
      </c>
      <c r="AS133" s="15">
        <v>2</v>
      </c>
      <c r="AT133" s="15">
        <v>3</v>
      </c>
      <c r="AU133" s="15">
        <v>4</v>
      </c>
      <c r="AV133" s="15">
        <v>5</v>
      </c>
      <c r="AW133" s="15" t="s">
        <v>11665</v>
      </c>
      <c r="AX133" s="15">
        <v>1</v>
      </c>
      <c r="AY133" s="15">
        <v>2</v>
      </c>
      <c r="AZ133" s="15">
        <v>3</v>
      </c>
      <c r="BA133" s="15">
        <v>4</v>
      </c>
      <c r="BB133" s="15" t="s">
        <v>11680</v>
      </c>
      <c r="BC133" s="15"/>
    </row>
    <row r="134" spans="1:55" ht="12.75">
      <c r="A134" s="10"/>
      <c r="B134" s="11" t="s">
        <v>10888</v>
      </c>
      <c r="C134" s="10" t="s">
        <v>11813</v>
      </c>
      <c r="D134" s="12"/>
      <c r="E134" s="12"/>
      <c r="F134" s="12" t="s">
        <v>12074</v>
      </c>
      <c r="G134" s="12" t="s">
        <v>12075</v>
      </c>
      <c r="H134" s="17">
        <v>962265863</v>
      </c>
      <c r="I134" s="49">
        <v>45217</v>
      </c>
      <c r="J134" s="12" t="s">
        <v>11614</v>
      </c>
      <c r="K134" s="12" t="s">
        <v>11663</v>
      </c>
      <c r="L134" s="12" t="s">
        <v>11663</v>
      </c>
      <c r="M134" s="12" t="s">
        <v>11663</v>
      </c>
      <c r="N134" s="12" t="s">
        <v>11664</v>
      </c>
      <c r="O134" s="12" t="s">
        <v>11663</v>
      </c>
      <c r="P134" s="12">
        <v>1</v>
      </c>
      <c r="Q134" s="12">
        <v>1</v>
      </c>
      <c r="R134" s="12">
        <v>0</v>
      </c>
      <c r="S134" s="12">
        <v>1</v>
      </c>
      <c r="T134" s="12">
        <v>0</v>
      </c>
      <c r="U134" s="14" t="s">
        <v>11663</v>
      </c>
      <c r="V134" s="15" t="s">
        <v>11664</v>
      </c>
      <c r="W134" s="14" t="s">
        <v>11663</v>
      </c>
      <c r="X134" s="14" t="s">
        <v>11663</v>
      </c>
      <c r="Y134" s="14" t="s">
        <v>11663</v>
      </c>
      <c r="Z134" s="14" t="s">
        <v>11663</v>
      </c>
      <c r="AA134" s="14" t="s">
        <v>11663</v>
      </c>
      <c r="AB134" s="14" t="s">
        <v>11663</v>
      </c>
      <c r="AC134" s="14" t="s">
        <v>11664</v>
      </c>
      <c r="AD134" s="14" t="s">
        <v>11663</v>
      </c>
      <c r="AE134" s="14" t="s">
        <v>11664</v>
      </c>
      <c r="AF134" s="15">
        <v>101</v>
      </c>
      <c r="AG134" s="15">
        <v>50</v>
      </c>
      <c r="AH134" s="15">
        <v>373</v>
      </c>
      <c r="AI134" s="15">
        <v>0</v>
      </c>
      <c r="AJ134" s="15">
        <v>1</v>
      </c>
      <c r="AK134" s="15">
        <v>0</v>
      </c>
      <c r="AL134" s="15">
        <v>0</v>
      </c>
      <c r="AM134" s="15">
        <v>6</v>
      </c>
      <c r="AN134" s="15">
        <v>2</v>
      </c>
      <c r="AO134" s="15">
        <v>4</v>
      </c>
      <c r="AP134" s="14">
        <v>1</v>
      </c>
      <c r="AQ134" s="14">
        <v>1</v>
      </c>
      <c r="AR134" s="15">
        <v>1</v>
      </c>
      <c r="AS134" s="15">
        <v>2</v>
      </c>
      <c r="AT134" s="15">
        <v>3</v>
      </c>
      <c r="AU134" s="15">
        <v>4</v>
      </c>
      <c r="AV134" s="15">
        <v>5</v>
      </c>
      <c r="AW134" s="15" t="s">
        <v>11700</v>
      </c>
      <c r="AX134" s="15">
        <v>4</v>
      </c>
      <c r="AY134" s="15">
        <v>2</v>
      </c>
      <c r="AZ134" s="15">
        <v>3</v>
      </c>
      <c r="BA134" s="15">
        <v>1</v>
      </c>
      <c r="BB134" s="15" t="s">
        <v>11666</v>
      </c>
      <c r="BC134" s="15"/>
    </row>
    <row r="135" spans="1:55" ht="12.75">
      <c r="A135" s="10"/>
      <c r="B135" s="11" t="s">
        <v>10940</v>
      </c>
      <c r="C135" s="10" t="s">
        <v>11813</v>
      </c>
      <c r="D135" s="12"/>
      <c r="E135" s="12"/>
      <c r="F135" s="12" t="s">
        <v>12076</v>
      </c>
      <c r="G135" s="12" t="s">
        <v>12077</v>
      </c>
      <c r="H135" s="17">
        <v>989414330</v>
      </c>
      <c r="I135" s="46">
        <v>44820</v>
      </c>
      <c r="J135" s="12" t="s">
        <v>12078</v>
      </c>
      <c r="K135" s="12" t="s">
        <v>11663</v>
      </c>
      <c r="L135" s="12" t="s">
        <v>11663</v>
      </c>
      <c r="M135" s="12" t="s">
        <v>11664</v>
      </c>
      <c r="N135" s="12" t="s">
        <v>11664</v>
      </c>
      <c r="O135" s="12" t="s">
        <v>11664</v>
      </c>
      <c r="P135" s="12">
        <v>0</v>
      </c>
      <c r="Q135" s="12">
        <v>0</v>
      </c>
      <c r="R135" s="12">
        <v>1</v>
      </c>
      <c r="S135" s="12">
        <v>1</v>
      </c>
      <c r="T135" s="12">
        <v>1</v>
      </c>
      <c r="U135" s="14" t="s">
        <v>11664</v>
      </c>
      <c r="V135" s="15" t="s">
        <v>11664</v>
      </c>
      <c r="W135" s="14" t="s">
        <v>11664</v>
      </c>
      <c r="X135" s="14" t="s">
        <v>11664</v>
      </c>
      <c r="Y135" s="14" t="s">
        <v>11663</v>
      </c>
      <c r="Z135" s="14" t="s">
        <v>11663</v>
      </c>
      <c r="AA135" s="14" t="s">
        <v>11664</v>
      </c>
      <c r="AB135" s="14" t="s">
        <v>11663</v>
      </c>
      <c r="AC135" s="14" t="s">
        <v>11664</v>
      </c>
      <c r="AD135" s="14" t="s">
        <v>11663</v>
      </c>
      <c r="AE135" s="14" t="s">
        <v>11664</v>
      </c>
      <c r="AF135" s="15">
        <v>30</v>
      </c>
      <c r="AG135" s="15">
        <v>17</v>
      </c>
      <c r="AH135" s="15">
        <v>0</v>
      </c>
      <c r="AI135" s="15">
        <v>0</v>
      </c>
      <c r="AJ135" s="15">
        <v>0</v>
      </c>
      <c r="AK135" s="15">
        <v>1</v>
      </c>
      <c r="AL135" s="15">
        <v>1</v>
      </c>
      <c r="AM135" s="15">
        <v>1</v>
      </c>
      <c r="AN135" s="15">
        <v>0</v>
      </c>
      <c r="AO135" s="15">
        <v>0</v>
      </c>
      <c r="AP135" s="14">
        <v>0</v>
      </c>
      <c r="AQ135" s="14">
        <v>0</v>
      </c>
      <c r="AR135" s="15">
        <v>2</v>
      </c>
      <c r="AS135" s="15">
        <v>1</v>
      </c>
      <c r="AT135" s="15">
        <v>3</v>
      </c>
      <c r="AU135" s="15">
        <v>4</v>
      </c>
      <c r="AV135" s="15">
        <v>5</v>
      </c>
      <c r="AW135" s="15" t="s">
        <v>11700</v>
      </c>
      <c r="AX135" s="15">
        <v>3</v>
      </c>
      <c r="AY135" s="15">
        <v>2</v>
      </c>
      <c r="AZ135" s="15">
        <v>1</v>
      </c>
      <c r="BA135" s="15">
        <v>4</v>
      </c>
      <c r="BB135" s="15" t="s">
        <v>11666</v>
      </c>
      <c r="BC135" s="15"/>
    </row>
    <row r="136" spans="1:55" ht="12.75">
      <c r="A136" s="10"/>
      <c r="B136" s="11" t="s">
        <v>10957</v>
      </c>
      <c r="C136" s="10" t="s">
        <v>11813</v>
      </c>
      <c r="D136" s="12"/>
      <c r="E136" s="12"/>
      <c r="F136" s="12"/>
      <c r="G136" s="12" t="s">
        <v>12079</v>
      </c>
      <c r="H136" s="17">
        <v>988770010</v>
      </c>
      <c r="I136" s="52">
        <v>45134</v>
      </c>
      <c r="J136" s="12"/>
      <c r="K136" s="12" t="s">
        <v>11664</v>
      </c>
      <c r="L136" s="12" t="s">
        <v>11664</v>
      </c>
      <c r="M136" s="12" t="s">
        <v>11663</v>
      </c>
      <c r="N136" s="12" t="s">
        <v>11663</v>
      </c>
      <c r="O136" s="12" t="s">
        <v>11664</v>
      </c>
      <c r="P136" s="12">
        <v>0</v>
      </c>
      <c r="Q136" s="12">
        <v>0</v>
      </c>
      <c r="R136" s="12">
        <v>0</v>
      </c>
      <c r="S136" s="12">
        <v>0</v>
      </c>
      <c r="T136" s="12">
        <v>0</v>
      </c>
      <c r="U136" s="14" t="s">
        <v>11664</v>
      </c>
      <c r="V136" s="15" t="s">
        <v>11664</v>
      </c>
      <c r="W136" s="14" t="s">
        <v>11663</v>
      </c>
      <c r="X136" s="14" t="s">
        <v>11664</v>
      </c>
      <c r="Y136" s="14" t="s">
        <v>11664</v>
      </c>
      <c r="Z136" s="14" t="s">
        <v>11663</v>
      </c>
      <c r="AA136" s="14" t="s">
        <v>11663</v>
      </c>
      <c r="AB136" s="14" t="s">
        <v>11663</v>
      </c>
      <c r="AC136" s="14" t="s">
        <v>11663</v>
      </c>
      <c r="AD136" s="14" t="s">
        <v>11663</v>
      </c>
      <c r="AE136" s="14" t="s">
        <v>11663</v>
      </c>
      <c r="AF136" s="15">
        <v>31</v>
      </c>
      <c r="AG136" s="15">
        <v>18</v>
      </c>
      <c r="AH136" s="15">
        <v>0</v>
      </c>
      <c r="AI136" s="15">
        <v>0</v>
      </c>
      <c r="AJ136" s="15">
        <v>0</v>
      </c>
      <c r="AK136" s="15">
        <v>0</v>
      </c>
      <c r="AL136" s="15">
        <v>0</v>
      </c>
      <c r="AM136" s="15">
        <v>0</v>
      </c>
      <c r="AN136" s="15">
        <v>0</v>
      </c>
      <c r="AO136" s="15">
        <v>0</v>
      </c>
      <c r="AP136" s="14">
        <v>0</v>
      </c>
      <c r="AQ136" s="14">
        <v>0</v>
      </c>
      <c r="AR136" s="15">
        <v>2</v>
      </c>
      <c r="AS136" s="15">
        <v>1</v>
      </c>
      <c r="AT136" s="15">
        <v>3</v>
      </c>
      <c r="AU136" s="15">
        <v>4</v>
      </c>
      <c r="AV136" s="15">
        <v>5</v>
      </c>
      <c r="AW136" s="15" t="s">
        <v>11700</v>
      </c>
      <c r="AX136" s="15">
        <v>3</v>
      </c>
      <c r="AY136" s="15">
        <v>2</v>
      </c>
      <c r="AZ136" s="15">
        <v>4</v>
      </c>
      <c r="BA136" s="15">
        <v>1</v>
      </c>
      <c r="BB136" s="15" t="s">
        <v>11680</v>
      </c>
      <c r="BC136" s="15"/>
    </row>
    <row r="137" spans="1:55" ht="12.75">
      <c r="A137" s="10"/>
      <c r="B137" s="11" t="s">
        <v>10981</v>
      </c>
      <c r="C137" s="10" t="s">
        <v>11813</v>
      </c>
      <c r="D137" s="12"/>
      <c r="E137" s="12"/>
      <c r="F137" s="12" t="s">
        <v>12080</v>
      </c>
      <c r="G137" s="12" t="s">
        <v>12081</v>
      </c>
      <c r="H137" s="17">
        <v>932189089</v>
      </c>
      <c r="I137" s="53">
        <v>44795</v>
      </c>
      <c r="J137" s="12" t="s">
        <v>12036</v>
      </c>
      <c r="K137" s="12" t="s">
        <v>11663</v>
      </c>
      <c r="L137" s="12" t="s">
        <v>11663</v>
      </c>
      <c r="M137" s="12" t="s">
        <v>11664</v>
      </c>
      <c r="N137" s="12" t="s">
        <v>11663</v>
      </c>
      <c r="O137" s="12" t="s">
        <v>11663</v>
      </c>
      <c r="P137" s="12">
        <v>5</v>
      </c>
      <c r="Q137" s="12">
        <v>5</v>
      </c>
      <c r="R137" s="12">
        <v>1</v>
      </c>
      <c r="S137" s="12">
        <v>1</v>
      </c>
      <c r="T137" s="12">
        <v>0</v>
      </c>
      <c r="U137" s="14" t="s">
        <v>11664</v>
      </c>
      <c r="V137" s="15" t="s">
        <v>11664</v>
      </c>
      <c r="W137" s="14" t="s">
        <v>11663</v>
      </c>
      <c r="X137" s="14" t="s">
        <v>11663</v>
      </c>
      <c r="Y137" s="14" t="s">
        <v>11663</v>
      </c>
      <c r="Z137" s="14" t="s">
        <v>11663</v>
      </c>
      <c r="AA137" s="14" t="s">
        <v>11663</v>
      </c>
      <c r="AB137" s="14" t="s">
        <v>11664</v>
      </c>
      <c r="AC137" s="14" t="s">
        <v>11664</v>
      </c>
      <c r="AD137" s="14" t="s">
        <v>11664</v>
      </c>
      <c r="AE137" s="14" t="s">
        <v>11663</v>
      </c>
      <c r="AF137" s="15">
        <v>28</v>
      </c>
      <c r="AG137" s="15">
        <v>28</v>
      </c>
      <c r="AH137" s="15">
        <v>10</v>
      </c>
      <c r="AI137" s="15">
        <v>1</v>
      </c>
      <c r="AJ137" s="15">
        <v>1</v>
      </c>
      <c r="AK137" s="15">
        <v>1</v>
      </c>
      <c r="AL137" s="15">
        <v>9</v>
      </c>
      <c r="AM137" s="15">
        <v>0</v>
      </c>
      <c r="AN137" s="15">
        <v>3</v>
      </c>
      <c r="AO137" s="15">
        <v>17</v>
      </c>
      <c r="AP137" s="14">
        <v>0</v>
      </c>
      <c r="AQ137" s="14">
        <v>2</v>
      </c>
      <c r="AR137" s="15">
        <v>3</v>
      </c>
      <c r="AS137" s="15">
        <v>4</v>
      </c>
      <c r="AT137" s="15">
        <v>2</v>
      </c>
      <c r="AU137" s="15">
        <v>1</v>
      </c>
      <c r="AV137" s="15">
        <v>5</v>
      </c>
      <c r="AW137" s="15" t="s">
        <v>11665</v>
      </c>
      <c r="AX137" s="15">
        <v>3</v>
      </c>
      <c r="AY137" s="15">
        <v>1</v>
      </c>
      <c r="AZ137" s="15">
        <v>2</v>
      </c>
      <c r="BA137" s="15">
        <v>4</v>
      </c>
      <c r="BB137" s="15" t="s">
        <v>1151</v>
      </c>
      <c r="BC137" s="15" t="s">
        <v>12082</v>
      </c>
    </row>
    <row r="138" spans="1:55" ht="12.75">
      <c r="A138" s="10"/>
      <c r="B138" s="11" t="s">
        <v>11085</v>
      </c>
      <c r="C138" s="10" t="s">
        <v>11813</v>
      </c>
      <c r="D138" s="12"/>
      <c r="E138" s="12"/>
      <c r="F138" s="12" t="s">
        <v>12083</v>
      </c>
      <c r="G138" s="12" t="s">
        <v>12084</v>
      </c>
      <c r="H138" s="17">
        <v>997433475</v>
      </c>
      <c r="I138" s="52">
        <v>45310</v>
      </c>
      <c r="J138" s="12" t="s">
        <v>11754</v>
      </c>
      <c r="K138" s="12" t="s">
        <v>11663</v>
      </c>
      <c r="L138" s="12" t="s">
        <v>11664</v>
      </c>
      <c r="M138" s="12" t="s">
        <v>11663</v>
      </c>
      <c r="N138" s="12" t="s">
        <v>11664</v>
      </c>
      <c r="O138" s="12" t="s">
        <v>11663</v>
      </c>
      <c r="P138" s="12">
        <v>2</v>
      </c>
      <c r="Q138" s="12">
        <v>0</v>
      </c>
      <c r="R138" s="12">
        <v>0</v>
      </c>
      <c r="S138" s="12">
        <v>0</v>
      </c>
      <c r="T138" s="12">
        <v>0</v>
      </c>
      <c r="U138" s="14" t="s">
        <v>11664</v>
      </c>
      <c r="V138" s="15" t="s">
        <v>11664</v>
      </c>
      <c r="W138" s="14" t="s">
        <v>11664</v>
      </c>
      <c r="X138" s="14" t="s">
        <v>11664</v>
      </c>
      <c r="Y138" s="14" t="s">
        <v>11663</v>
      </c>
      <c r="Z138" s="14" t="s">
        <v>11663</v>
      </c>
      <c r="AA138" s="14" t="s">
        <v>11663</v>
      </c>
      <c r="AB138" s="14" t="s">
        <v>11664</v>
      </c>
      <c r="AC138" s="14" t="s">
        <v>11664</v>
      </c>
      <c r="AD138" s="14" t="s">
        <v>11664</v>
      </c>
      <c r="AE138" s="14" t="s">
        <v>11664</v>
      </c>
      <c r="AF138" s="15">
        <v>12</v>
      </c>
      <c r="AG138" s="15">
        <v>12</v>
      </c>
      <c r="AH138" s="15">
        <v>10</v>
      </c>
      <c r="AI138" s="15">
        <v>0</v>
      </c>
      <c r="AJ138" s="15">
        <v>0</v>
      </c>
      <c r="AK138" s="15">
        <v>0</v>
      </c>
      <c r="AL138" s="15">
        <v>9</v>
      </c>
      <c r="AM138" s="15">
        <v>0</v>
      </c>
      <c r="AN138" s="15">
        <v>2</v>
      </c>
      <c r="AO138" s="15">
        <v>7</v>
      </c>
      <c r="AP138" s="14">
        <v>0</v>
      </c>
      <c r="AQ138" s="14">
        <v>0</v>
      </c>
      <c r="AR138" s="15">
        <v>1</v>
      </c>
      <c r="AS138" s="15">
        <v>2</v>
      </c>
      <c r="AT138" s="15">
        <v>3</v>
      </c>
      <c r="AU138" s="15">
        <v>4</v>
      </c>
      <c r="AV138" s="15">
        <v>5</v>
      </c>
      <c r="AW138" s="15" t="s">
        <v>11700</v>
      </c>
      <c r="AX138" s="15">
        <v>3</v>
      </c>
      <c r="AY138" s="15">
        <v>2</v>
      </c>
      <c r="AZ138" s="15">
        <v>1</v>
      </c>
      <c r="BA138" s="15">
        <v>4</v>
      </c>
      <c r="BB138" s="15" t="s">
        <v>11680</v>
      </c>
      <c r="BC138" s="15"/>
    </row>
    <row r="139" spans="1:55" ht="12.75">
      <c r="A139" s="10"/>
      <c r="B139" s="11" t="s">
        <v>11116</v>
      </c>
      <c r="C139" s="10" t="s">
        <v>11813</v>
      </c>
      <c r="D139" s="12"/>
      <c r="E139" s="12"/>
      <c r="F139" s="12" t="s">
        <v>12085</v>
      </c>
      <c r="G139" s="12" t="s">
        <v>12086</v>
      </c>
      <c r="H139" s="17">
        <v>990852707</v>
      </c>
      <c r="I139" s="54">
        <v>44670</v>
      </c>
      <c r="J139" s="12"/>
      <c r="K139" s="12" t="s">
        <v>11664</v>
      </c>
      <c r="L139" s="12" t="s">
        <v>11664</v>
      </c>
      <c r="M139" s="12" t="s">
        <v>11664</v>
      </c>
      <c r="N139" s="12" t="s">
        <v>11663</v>
      </c>
      <c r="O139" s="12" t="s">
        <v>11663</v>
      </c>
      <c r="P139" s="12">
        <v>1</v>
      </c>
      <c r="Q139" s="12">
        <v>1</v>
      </c>
      <c r="R139" s="12">
        <v>0</v>
      </c>
      <c r="S139" s="12">
        <v>0</v>
      </c>
      <c r="T139" s="12">
        <v>0</v>
      </c>
      <c r="U139" s="14" t="s">
        <v>11664</v>
      </c>
      <c r="V139" s="15" t="s">
        <v>11664</v>
      </c>
      <c r="W139" s="14" t="s">
        <v>11664</v>
      </c>
      <c r="X139" s="14" t="s">
        <v>11663</v>
      </c>
      <c r="Y139" s="14" t="s">
        <v>11664</v>
      </c>
      <c r="Z139" s="14" t="s">
        <v>11663</v>
      </c>
      <c r="AA139" s="14" t="s">
        <v>11663</v>
      </c>
      <c r="AB139" s="14" t="s">
        <v>11663</v>
      </c>
      <c r="AC139" s="14" t="s">
        <v>11664</v>
      </c>
      <c r="AD139" s="14" t="s">
        <v>11663</v>
      </c>
      <c r="AE139" s="14" t="s">
        <v>11664</v>
      </c>
      <c r="AF139" s="15">
        <v>16</v>
      </c>
      <c r="AG139" s="15">
        <v>8</v>
      </c>
      <c r="AH139" s="15">
        <v>0</v>
      </c>
      <c r="AI139" s="15">
        <v>0</v>
      </c>
      <c r="AJ139" s="15">
        <v>0</v>
      </c>
      <c r="AK139" s="15">
        <v>2</v>
      </c>
      <c r="AL139" s="15">
        <v>1</v>
      </c>
      <c r="AM139" s="15">
        <v>0</v>
      </c>
      <c r="AN139" s="15">
        <v>0</v>
      </c>
      <c r="AO139" s="15">
        <v>50</v>
      </c>
      <c r="AP139" s="14">
        <v>0</v>
      </c>
      <c r="AQ139" s="14">
        <v>1</v>
      </c>
      <c r="AR139" s="15">
        <v>3</v>
      </c>
      <c r="AS139" s="15">
        <v>1</v>
      </c>
      <c r="AT139" s="15">
        <v>5</v>
      </c>
      <c r="AU139" s="15">
        <v>2</v>
      </c>
      <c r="AV139" s="15">
        <v>4</v>
      </c>
      <c r="AW139" s="15" t="s">
        <v>11665</v>
      </c>
      <c r="AX139" s="15">
        <v>4</v>
      </c>
      <c r="AY139" s="15">
        <v>1</v>
      </c>
      <c r="AZ139" s="15">
        <v>2</v>
      </c>
      <c r="BA139" s="15">
        <v>3</v>
      </c>
      <c r="BB139" s="15"/>
      <c r="BC139" s="15"/>
    </row>
    <row r="140" spans="1:55" ht="12.75">
      <c r="A140" s="10"/>
      <c r="B140" s="11" t="s">
        <v>11170</v>
      </c>
      <c r="C140" s="10" t="s">
        <v>10526</v>
      </c>
      <c r="D140" s="12"/>
      <c r="E140" s="12"/>
      <c r="F140" s="12" t="s">
        <v>12087</v>
      </c>
      <c r="G140" s="12" t="s">
        <v>12088</v>
      </c>
      <c r="H140" s="17">
        <v>993150929</v>
      </c>
      <c r="I140" s="18">
        <v>44927</v>
      </c>
      <c r="J140" s="12" t="s">
        <v>12089</v>
      </c>
      <c r="K140" s="12" t="s">
        <v>11663</v>
      </c>
      <c r="L140" s="12" t="s">
        <v>11663</v>
      </c>
      <c r="M140" s="12" t="s">
        <v>11664</v>
      </c>
      <c r="N140" s="12" t="s">
        <v>11664</v>
      </c>
      <c r="O140" s="12" t="s">
        <v>11663</v>
      </c>
      <c r="P140" s="12">
        <v>6</v>
      </c>
      <c r="Q140" s="12">
        <v>8</v>
      </c>
      <c r="R140" s="12">
        <v>0</v>
      </c>
      <c r="S140" s="12">
        <v>0</v>
      </c>
      <c r="T140" s="12">
        <v>0</v>
      </c>
      <c r="U140" s="14" t="s">
        <v>11664</v>
      </c>
      <c r="V140" s="15" t="s">
        <v>11664</v>
      </c>
      <c r="W140" s="14" t="s">
        <v>11663</v>
      </c>
      <c r="X140" s="14" t="s">
        <v>11664</v>
      </c>
      <c r="Y140" s="14" t="s">
        <v>11663</v>
      </c>
      <c r="Z140" s="14" t="s">
        <v>11663</v>
      </c>
      <c r="AA140" s="14" t="s">
        <v>11663</v>
      </c>
      <c r="AB140" s="14" t="s">
        <v>11663</v>
      </c>
      <c r="AC140" s="14" t="s">
        <v>11663</v>
      </c>
      <c r="AD140" s="14" t="s">
        <v>11663</v>
      </c>
      <c r="AE140" s="14" t="s">
        <v>11663</v>
      </c>
      <c r="AF140" s="15">
        <v>0</v>
      </c>
      <c r="AG140" s="15">
        <v>0</v>
      </c>
      <c r="AH140" s="15">
        <v>44</v>
      </c>
      <c r="AI140" s="15">
        <v>4</v>
      </c>
      <c r="AJ140" s="15">
        <v>0</v>
      </c>
      <c r="AK140" s="15">
        <v>0</v>
      </c>
      <c r="AL140" s="15">
        <v>0</v>
      </c>
      <c r="AM140" s="15">
        <v>10</v>
      </c>
      <c r="AN140" s="15">
        <v>3</v>
      </c>
      <c r="AO140" s="15">
        <v>21</v>
      </c>
      <c r="AP140" s="14">
        <v>0</v>
      </c>
      <c r="AQ140" s="14">
        <v>0</v>
      </c>
      <c r="AR140" s="15">
        <v>1</v>
      </c>
      <c r="AS140" s="15">
        <v>2</v>
      </c>
      <c r="AT140" s="15">
        <v>5</v>
      </c>
      <c r="AU140" s="15">
        <v>3</v>
      </c>
      <c r="AV140" s="15">
        <v>4</v>
      </c>
      <c r="AW140" s="15" t="s">
        <v>11671</v>
      </c>
      <c r="AX140" s="15">
        <v>3</v>
      </c>
      <c r="AY140" s="15">
        <v>2</v>
      </c>
      <c r="AZ140" s="15">
        <v>1</v>
      </c>
      <c r="BA140" s="15">
        <v>4</v>
      </c>
      <c r="BB140" s="15" t="s">
        <v>11680</v>
      </c>
      <c r="BC140" s="15"/>
    </row>
    <row r="141" spans="1:55" ht="15">
      <c r="A141" s="10"/>
      <c r="B141" s="11" t="s">
        <v>12090</v>
      </c>
      <c r="C141" s="10" t="s">
        <v>11676</v>
      </c>
      <c r="D141" s="12"/>
      <c r="E141" s="12"/>
      <c r="F141" s="12"/>
      <c r="G141" s="12" t="s">
        <v>12091</v>
      </c>
      <c r="H141" s="55">
        <v>988895009</v>
      </c>
      <c r="I141" s="12"/>
      <c r="J141" s="12" t="s">
        <v>12036</v>
      </c>
      <c r="K141" s="12" t="s">
        <v>11663</v>
      </c>
      <c r="L141" s="12" t="s">
        <v>11663</v>
      </c>
      <c r="M141" s="12" t="s">
        <v>11664</v>
      </c>
      <c r="N141" s="12" t="s">
        <v>11663</v>
      </c>
      <c r="O141" s="12" t="s">
        <v>11663</v>
      </c>
      <c r="P141" s="12">
        <v>0</v>
      </c>
      <c r="Q141" s="12">
        <v>3</v>
      </c>
      <c r="R141" s="12">
        <v>0</v>
      </c>
      <c r="S141" s="12">
        <v>0</v>
      </c>
      <c r="T141" s="12">
        <v>1</v>
      </c>
      <c r="U141" s="14" t="s">
        <v>11664</v>
      </c>
      <c r="V141" s="15" t="s">
        <v>11664</v>
      </c>
      <c r="W141" s="14" t="s">
        <v>11664</v>
      </c>
      <c r="X141" s="14" t="s">
        <v>11664</v>
      </c>
      <c r="Y141" s="14" t="s">
        <v>11664</v>
      </c>
      <c r="Z141" s="14" t="s">
        <v>11663</v>
      </c>
      <c r="AA141" s="14" t="s">
        <v>11664</v>
      </c>
      <c r="AB141" s="14" t="s">
        <v>11664</v>
      </c>
      <c r="AC141" s="14" t="s">
        <v>11664</v>
      </c>
      <c r="AD141" s="14" t="s">
        <v>11664</v>
      </c>
      <c r="AE141" s="14" t="s">
        <v>11664</v>
      </c>
      <c r="AF141" s="15">
        <v>0</v>
      </c>
      <c r="AG141" s="15">
        <v>0</v>
      </c>
      <c r="AH141" s="15">
        <v>0</v>
      </c>
      <c r="AI141" s="15">
        <v>0</v>
      </c>
      <c r="AJ141" s="15">
        <v>0</v>
      </c>
      <c r="AK141" s="15">
        <v>0</v>
      </c>
      <c r="AL141" s="15">
        <v>0</v>
      </c>
      <c r="AM141" s="15">
        <v>0</v>
      </c>
      <c r="AN141" s="15">
        <v>0</v>
      </c>
      <c r="AO141" s="15">
        <v>0</v>
      </c>
      <c r="AP141" s="14">
        <v>0</v>
      </c>
      <c r="AQ141" s="14">
        <v>0</v>
      </c>
      <c r="AR141" s="15">
        <v>1</v>
      </c>
      <c r="AS141" s="15">
        <v>2</v>
      </c>
      <c r="AT141" s="15">
        <v>4</v>
      </c>
      <c r="AU141" s="15">
        <v>3</v>
      </c>
      <c r="AV141" s="15">
        <v>5</v>
      </c>
      <c r="AW141" s="15" t="s">
        <v>11700</v>
      </c>
      <c r="AX141" s="15">
        <v>3</v>
      </c>
      <c r="AY141" s="15">
        <v>1</v>
      </c>
      <c r="AZ141" s="15">
        <v>2</v>
      </c>
      <c r="BA141" s="15">
        <v>4</v>
      </c>
      <c r="BB141" s="15"/>
      <c r="BC141" s="15"/>
    </row>
    <row r="142" spans="1:55" ht="12.75">
      <c r="A142" s="10"/>
      <c r="B142" s="11" t="s">
        <v>11240</v>
      </c>
      <c r="C142" s="10" t="s">
        <v>11676</v>
      </c>
      <c r="D142" s="12"/>
      <c r="E142" s="12"/>
      <c r="F142" s="12" t="s">
        <v>12092</v>
      </c>
      <c r="G142" s="12" t="s">
        <v>12093</v>
      </c>
      <c r="H142" s="17">
        <v>991770543</v>
      </c>
      <c r="I142" s="12"/>
      <c r="J142" s="12" t="s">
        <v>12094</v>
      </c>
      <c r="K142" s="12" t="s">
        <v>11663</v>
      </c>
      <c r="L142" s="12" t="s">
        <v>11663</v>
      </c>
      <c r="M142" s="12" t="s">
        <v>11664</v>
      </c>
      <c r="N142" s="12" t="s">
        <v>11663</v>
      </c>
      <c r="O142" s="12" t="s">
        <v>11663</v>
      </c>
      <c r="P142" s="12">
        <v>12</v>
      </c>
      <c r="Q142" s="12">
        <v>13</v>
      </c>
      <c r="R142" s="12">
        <v>0</v>
      </c>
      <c r="S142" s="12">
        <v>0</v>
      </c>
      <c r="T142" s="12">
        <v>0</v>
      </c>
      <c r="U142" s="14" t="s">
        <v>11664</v>
      </c>
      <c r="V142" s="15" t="s">
        <v>11664</v>
      </c>
      <c r="W142" s="14" t="s">
        <v>11663</v>
      </c>
      <c r="X142" s="14" t="s">
        <v>11663</v>
      </c>
      <c r="Y142" s="14" t="s">
        <v>11663</v>
      </c>
      <c r="Z142" s="14" t="s">
        <v>11663</v>
      </c>
      <c r="AA142" s="14" t="s">
        <v>11664</v>
      </c>
      <c r="AB142" s="14" t="s">
        <v>11663</v>
      </c>
      <c r="AC142" s="14" t="s">
        <v>11663</v>
      </c>
      <c r="AD142" s="14" t="s">
        <v>11664</v>
      </c>
      <c r="AE142" s="14" t="s">
        <v>11664</v>
      </c>
      <c r="AF142" s="15">
        <v>0</v>
      </c>
      <c r="AG142" s="15">
        <v>0</v>
      </c>
      <c r="AH142" s="15">
        <v>0</v>
      </c>
      <c r="AI142" s="15">
        <v>0</v>
      </c>
      <c r="AJ142" s="15">
        <v>0</v>
      </c>
      <c r="AK142" s="15">
        <v>0</v>
      </c>
      <c r="AL142" s="15">
        <v>0</v>
      </c>
      <c r="AM142" s="15">
        <v>0</v>
      </c>
      <c r="AN142" s="15">
        <v>0</v>
      </c>
      <c r="AO142" s="15">
        <v>0</v>
      </c>
      <c r="AP142" s="14">
        <v>0</v>
      </c>
      <c r="AQ142" s="14">
        <v>0</v>
      </c>
      <c r="AR142" s="15">
        <v>1</v>
      </c>
      <c r="AS142" s="15">
        <v>2</v>
      </c>
      <c r="AT142" s="15">
        <v>5</v>
      </c>
      <c r="AU142" s="15">
        <v>3</v>
      </c>
      <c r="AV142" s="15">
        <v>4</v>
      </c>
      <c r="AW142" s="15" t="s">
        <v>11671</v>
      </c>
      <c r="AX142" s="15">
        <v>1</v>
      </c>
      <c r="AY142" s="15">
        <v>2</v>
      </c>
      <c r="AZ142" s="15">
        <v>4</v>
      </c>
      <c r="BA142" s="15">
        <v>3</v>
      </c>
      <c r="BB142" s="15" t="s">
        <v>11666</v>
      </c>
      <c r="BC142" s="15"/>
    </row>
    <row r="143" spans="1:55" ht="12.75">
      <c r="A143" s="10"/>
      <c r="B143" s="11" t="s">
        <v>11273</v>
      </c>
      <c r="C143" s="10" t="s">
        <v>11756</v>
      </c>
      <c r="D143" s="12"/>
      <c r="E143" s="12"/>
      <c r="F143" s="12" t="s">
        <v>12095</v>
      </c>
      <c r="G143" s="44" t="s">
        <v>12096</v>
      </c>
      <c r="H143" s="17">
        <v>228500395</v>
      </c>
      <c r="I143" s="52">
        <v>45310</v>
      </c>
      <c r="J143" s="12" t="s">
        <v>12097</v>
      </c>
      <c r="K143" s="12" t="s">
        <v>11663</v>
      </c>
      <c r="L143" s="12" t="s">
        <v>11664</v>
      </c>
      <c r="M143" s="12" t="s">
        <v>11664</v>
      </c>
      <c r="N143" s="12" t="s">
        <v>11663</v>
      </c>
      <c r="O143" s="12" t="s">
        <v>11663</v>
      </c>
      <c r="P143" s="12">
        <v>8</v>
      </c>
      <c r="Q143" s="12">
        <v>8</v>
      </c>
      <c r="R143" s="12">
        <v>0</v>
      </c>
      <c r="S143" s="12">
        <v>2</v>
      </c>
      <c r="T143" s="12">
        <v>0</v>
      </c>
      <c r="U143" s="14" t="s">
        <v>11664</v>
      </c>
      <c r="V143" s="15" t="s">
        <v>11664</v>
      </c>
      <c r="W143" s="14" t="s">
        <v>11663</v>
      </c>
      <c r="X143" s="14" t="s">
        <v>11663</v>
      </c>
      <c r="Y143" s="14" t="s">
        <v>11664</v>
      </c>
      <c r="Z143" s="14" t="s">
        <v>11663</v>
      </c>
      <c r="AA143" s="14" t="s">
        <v>11663</v>
      </c>
      <c r="AB143" s="14" t="s">
        <v>11663</v>
      </c>
      <c r="AC143" s="14" t="s">
        <v>11663</v>
      </c>
      <c r="AD143" s="14" t="s">
        <v>11663</v>
      </c>
      <c r="AE143" s="14" t="s">
        <v>11663</v>
      </c>
      <c r="AF143" s="15">
        <v>2041</v>
      </c>
      <c r="AG143" s="15">
        <v>226</v>
      </c>
      <c r="AH143" s="15">
        <v>2290</v>
      </c>
      <c r="AI143" s="15">
        <v>3</v>
      </c>
      <c r="AJ143" s="15">
        <v>11</v>
      </c>
      <c r="AK143" s="15">
        <v>0</v>
      </c>
      <c r="AL143" s="15">
        <v>0</v>
      </c>
      <c r="AM143" s="15">
        <v>0</v>
      </c>
      <c r="AN143" s="15">
        <v>0</v>
      </c>
      <c r="AO143" s="15">
        <v>0</v>
      </c>
      <c r="AP143" s="14">
        <v>2</v>
      </c>
      <c r="AQ143" s="14">
        <v>0</v>
      </c>
      <c r="AR143" s="15">
        <v>2</v>
      </c>
      <c r="AS143" s="15">
        <v>1</v>
      </c>
      <c r="AT143" s="15">
        <v>4</v>
      </c>
      <c r="AU143" s="15">
        <v>3</v>
      </c>
      <c r="AV143" s="15">
        <v>5</v>
      </c>
      <c r="AW143" s="15" t="s">
        <v>11665</v>
      </c>
      <c r="AX143" s="15">
        <v>3</v>
      </c>
      <c r="AY143" s="15">
        <v>2</v>
      </c>
      <c r="AZ143" s="15">
        <v>1</v>
      </c>
      <c r="BA143" s="15">
        <v>4</v>
      </c>
      <c r="BB143" s="15" t="s">
        <v>11680</v>
      </c>
      <c r="BC143" s="15"/>
    </row>
    <row r="144" spans="1:55" ht="12.75">
      <c r="A144" s="10"/>
      <c r="B144" s="11" t="s">
        <v>11444</v>
      </c>
      <c r="C144" s="10" t="s">
        <v>260</v>
      </c>
      <c r="D144" s="12"/>
      <c r="E144" s="12"/>
      <c r="F144" s="12" t="s">
        <v>12098</v>
      </c>
      <c r="G144" s="12" t="s">
        <v>12099</v>
      </c>
      <c r="H144" s="17">
        <v>986955073</v>
      </c>
      <c r="I144" s="18">
        <v>45108</v>
      </c>
      <c r="J144" s="12"/>
      <c r="K144" s="12" t="s">
        <v>11664</v>
      </c>
      <c r="L144" s="12" t="s">
        <v>11664</v>
      </c>
      <c r="M144" s="12" t="s">
        <v>11664</v>
      </c>
      <c r="N144" s="12" t="s">
        <v>11663</v>
      </c>
      <c r="O144" s="12" t="s">
        <v>11663</v>
      </c>
      <c r="P144" s="12">
        <v>8</v>
      </c>
      <c r="Q144" s="12">
        <v>9</v>
      </c>
      <c r="R144" s="12">
        <v>0</v>
      </c>
      <c r="S144" s="12">
        <v>1</v>
      </c>
      <c r="T144" s="12">
        <v>0</v>
      </c>
      <c r="U144" s="14" t="s">
        <v>11663</v>
      </c>
      <c r="V144" s="15" t="s">
        <v>11663</v>
      </c>
      <c r="W144" s="14" t="s">
        <v>11663</v>
      </c>
      <c r="X144" s="14" t="s">
        <v>11664</v>
      </c>
      <c r="Y144" s="14" t="s">
        <v>11664</v>
      </c>
      <c r="Z144" s="14" t="s">
        <v>11663</v>
      </c>
      <c r="AA144" s="14" t="s">
        <v>11664</v>
      </c>
      <c r="AB144" s="14" t="s">
        <v>11663</v>
      </c>
      <c r="AC144" s="14" t="s">
        <v>11664</v>
      </c>
      <c r="AD144" s="14" t="s">
        <v>11663</v>
      </c>
      <c r="AE144" s="14" t="s">
        <v>11664</v>
      </c>
      <c r="AF144" s="15">
        <v>1000</v>
      </c>
      <c r="AG144" s="15">
        <v>2500</v>
      </c>
      <c r="AH144" s="15">
        <v>1500</v>
      </c>
      <c r="AI144" s="15">
        <v>0</v>
      </c>
      <c r="AJ144" s="15">
        <v>0</v>
      </c>
      <c r="AK144" s="15">
        <v>0</v>
      </c>
      <c r="AL144" s="15">
        <v>2</v>
      </c>
      <c r="AM144" s="15">
        <v>4</v>
      </c>
      <c r="AN144" s="15">
        <v>2</v>
      </c>
      <c r="AO144" s="15">
        <v>10</v>
      </c>
      <c r="AP144" s="14">
        <v>0</v>
      </c>
      <c r="AQ144" s="14">
        <v>0</v>
      </c>
      <c r="AR144" s="15">
        <v>2</v>
      </c>
      <c r="AS144" s="15">
        <v>1</v>
      </c>
      <c r="AT144" s="15">
        <v>3</v>
      </c>
      <c r="AU144" s="15">
        <v>4</v>
      </c>
      <c r="AV144" s="15">
        <v>5</v>
      </c>
      <c r="AW144" s="15" t="s">
        <v>11665</v>
      </c>
      <c r="AX144" s="15">
        <v>2</v>
      </c>
      <c r="AY144" s="15">
        <v>1</v>
      </c>
      <c r="AZ144" s="15">
        <v>4</v>
      </c>
      <c r="BA144" s="15">
        <v>4</v>
      </c>
      <c r="BB144" s="15" t="s">
        <v>11737</v>
      </c>
      <c r="BC144" s="15"/>
    </row>
    <row r="145" spans="1:55" ht="12.75">
      <c r="A145" s="10"/>
      <c r="B145" s="11" t="s">
        <v>11482</v>
      </c>
      <c r="C145" s="10" t="s">
        <v>11756</v>
      </c>
      <c r="D145" s="12"/>
      <c r="E145" s="12"/>
      <c r="F145" s="12" t="s">
        <v>12100</v>
      </c>
      <c r="G145" s="12" t="s">
        <v>12101</v>
      </c>
      <c r="H145" s="17">
        <v>992684292</v>
      </c>
      <c r="I145" s="50">
        <v>44566</v>
      </c>
      <c r="J145" s="12" t="s">
        <v>12097</v>
      </c>
      <c r="K145" s="12" t="s">
        <v>11663</v>
      </c>
      <c r="L145" s="12" t="s">
        <v>11663</v>
      </c>
      <c r="M145" s="12" t="s">
        <v>11664</v>
      </c>
      <c r="N145" s="12" t="s">
        <v>11663</v>
      </c>
      <c r="O145" s="12" t="s">
        <v>11663</v>
      </c>
      <c r="P145" s="12">
        <v>5</v>
      </c>
      <c r="Q145" s="12">
        <v>0</v>
      </c>
      <c r="R145" s="12">
        <v>3</v>
      </c>
      <c r="S145" s="12">
        <v>2</v>
      </c>
      <c r="T145" s="12">
        <v>1</v>
      </c>
      <c r="U145" s="14" t="s">
        <v>11664</v>
      </c>
      <c r="V145" s="15" t="s">
        <v>11664</v>
      </c>
      <c r="W145" s="14" t="s">
        <v>11664</v>
      </c>
      <c r="X145" s="14" t="s">
        <v>11663</v>
      </c>
      <c r="Y145" s="14" t="s">
        <v>11663</v>
      </c>
      <c r="Z145" s="14" t="s">
        <v>11663</v>
      </c>
      <c r="AA145" s="14" t="s">
        <v>11664</v>
      </c>
      <c r="AB145" s="14" t="s">
        <v>11664</v>
      </c>
      <c r="AC145" s="14" t="s">
        <v>11664</v>
      </c>
      <c r="AD145" s="14" t="s">
        <v>11664</v>
      </c>
      <c r="AE145" s="14" t="s">
        <v>11664</v>
      </c>
      <c r="AF145" s="15">
        <v>150</v>
      </c>
      <c r="AG145" s="15">
        <v>150</v>
      </c>
      <c r="AH145" s="15">
        <v>70</v>
      </c>
      <c r="AI145" s="15">
        <v>0</v>
      </c>
      <c r="AJ145" s="15">
        <v>0</v>
      </c>
      <c r="AK145" s="15">
        <v>0</v>
      </c>
      <c r="AL145" s="15">
        <v>0</v>
      </c>
      <c r="AM145" s="15">
        <v>0</v>
      </c>
      <c r="AN145" s="15">
        <v>0</v>
      </c>
      <c r="AO145" s="15">
        <v>0</v>
      </c>
      <c r="AP145" s="14">
        <v>1</v>
      </c>
      <c r="AQ145" s="14">
        <v>0</v>
      </c>
      <c r="AR145" s="15">
        <v>3</v>
      </c>
      <c r="AS145" s="15">
        <v>2</v>
      </c>
      <c r="AT145" s="15">
        <v>1</v>
      </c>
      <c r="AU145" s="15">
        <v>4</v>
      </c>
      <c r="AV145" s="15">
        <v>5</v>
      </c>
      <c r="AW145" s="15" t="s">
        <v>11665</v>
      </c>
      <c r="AX145" s="15">
        <v>1</v>
      </c>
      <c r="AY145" s="15">
        <v>2</v>
      </c>
      <c r="AZ145" s="15">
        <v>3</v>
      </c>
      <c r="BA145" s="15">
        <v>4</v>
      </c>
      <c r="BB145" s="15" t="s">
        <v>1151</v>
      </c>
      <c r="BC145" s="15" t="s">
        <v>12102</v>
      </c>
    </row>
    <row r="146" spans="1:55" ht="12.75">
      <c r="A146" s="10"/>
      <c r="B146" s="11" t="s">
        <v>11558</v>
      </c>
      <c r="C146" s="10" t="s">
        <v>11756</v>
      </c>
      <c r="D146" s="12"/>
      <c r="E146" s="12"/>
      <c r="F146" s="12" t="s">
        <v>12103</v>
      </c>
      <c r="G146" s="12" t="s">
        <v>12104</v>
      </c>
      <c r="H146" s="17" t="s">
        <v>12105</v>
      </c>
      <c r="I146" s="50">
        <v>45251</v>
      </c>
      <c r="J146" s="12" t="s">
        <v>12097</v>
      </c>
      <c r="K146" s="12" t="s">
        <v>11663</v>
      </c>
      <c r="L146" s="12" t="s">
        <v>11663</v>
      </c>
      <c r="M146" s="12" t="s">
        <v>11663</v>
      </c>
      <c r="N146" s="12" t="s">
        <v>11663</v>
      </c>
      <c r="O146" s="12" t="s">
        <v>11663</v>
      </c>
      <c r="P146" s="12">
        <v>1</v>
      </c>
      <c r="Q146" s="12">
        <v>8</v>
      </c>
      <c r="R146" s="12">
        <v>0</v>
      </c>
      <c r="S146" s="12">
        <v>0</v>
      </c>
      <c r="T146" s="12">
        <v>0</v>
      </c>
      <c r="U146" s="14" t="s">
        <v>11664</v>
      </c>
      <c r="V146" s="15" t="s">
        <v>11664</v>
      </c>
      <c r="W146" s="14" t="s">
        <v>11664</v>
      </c>
      <c r="X146" s="14" t="s">
        <v>11663</v>
      </c>
      <c r="Y146" s="14" t="s">
        <v>11664</v>
      </c>
      <c r="Z146" s="14" t="s">
        <v>11663</v>
      </c>
      <c r="AA146" s="14" t="s">
        <v>11663</v>
      </c>
      <c r="AB146" s="14" t="s">
        <v>11663</v>
      </c>
      <c r="AC146" s="14" t="s">
        <v>11664</v>
      </c>
      <c r="AD146" s="14" t="s">
        <v>11664</v>
      </c>
      <c r="AE146" s="14" t="s">
        <v>11664</v>
      </c>
      <c r="AF146" s="15">
        <v>0</v>
      </c>
      <c r="AG146" s="15">
        <v>110</v>
      </c>
      <c r="AH146" s="15">
        <v>0</v>
      </c>
      <c r="AI146" s="15">
        <v>0</v>
      </c>
      <c r="AJ146" s="15">
        <v>0</v>
      </c>
      <c r="AK146" s="15">
        <v>0</v>
      </c>
      <c r="AL146" s="15">
        <v>0</v>
      </c>
      <c r="AM146" s="15">
        <v>6</v>
      </c>
      <c r="AN146" s="15">
        <v>1</v>
      </c>
      <c r="AO146" s="15">
        <v>8</v>
      </c>
      <c r="AP146" s="14">
        <v>0</v>
      </c>
      <c r="AQ146" s="14">
        <v>0</v>
      </c>
      <c r="AR146" s="15">
        <v>5</v>
      </c>
      <c r="AS146" s="15">
        <v>4</v>
      </c>
      <c r="AT146" s="15">
        <v>3</v>
      </c>
      <c r="AU146" s="15">
        <v>2</v>
      </c>
      <c r="AV146" s="15">
        <v>1</v>
      </c>
      <c r="AW146" s="15" t="s">
        <v>11665</v>
      </c>
      <c r="AX146" s="15">
        <v>3</v>
      </c>
      <c r="AY146" s="15">
        <v>2</v>
      </c>
      <c r="AZ146" s="15">
        <v>1</v>
      </c>
      <c r="BA146" s="15">
        <v>4</v>
      </c>
      <c r="BB146" s="15" t="s">
        <v>11737</v>
      </c>
      <c r="BC146" s="15"/>
    </row>
    <row r="147" spans="1:55" ht="12.75">
      <c r="A147" s="10"/>
      <c r="B147" s="11"/>
      <c r="C147" s="10"/>
      <c r="D147" s="12"/>
      <c r="E147" s="12"/>
      <c r="F147" s="12"/>
      <c r="G147" s="12"/>
      <c r="H147" s="17"/>
      <c r="I147" s="12"/>
      <c r="J147" s="12"/>
      <c r="K147" s="12"/>
      <c r="L147" s="12"/>
      <c r="M147" s="12"/>
      <c r="N147" s="12"/>
      <c r="O147" s="12"/>
      <c r="P147" s="12"/>
      <c r="Q147" s="12"/>
      <c r="R147" s="12"/>
      <c r="S147" s="12"/>
      <c r="T147" s="12"/>
      <c r="U147" s="14"/>
      <c r="V147" s="15"/>
      <c r="W147" s="14"/>
      <c r="X147" s="14"/>
      <c r="Y147" s="14"/>
      <c r="Z147" s="14"/>
      <c r="AA147" s="14"/>
      <c r="AB147" s="14"/>
      <c r="AC147" s="14"/>
      <c r="AD147" s="14"/>
      <c r="AE147" s="14"/>
      <c r="AF147" s="15"/>
      <c r="AG147" s="15"/>
      <c r="AH147" s="15"/>
      <c r="AI147" s="15"/>
      <c r="AJ147" s="15"/>
      <c r="AK147" s="15"/>
      <c r="AL147" s="15"/>
      <c r="AM147" s="15"/>
      <c r="AN147" s="15"/>
      <c r="AO147" s="15"/>
      <c r="AP147" s="14"/>
      <c r="AQ147" s="14"/>
      <c r="AR147" s="15"/>
      <c r="AS147" s="15"/>
      <c r="AT147" s="15"/>
      <c r="AU147" s="15"/>
      <c r="AV147" s="15"/>
      <c r="AW147" s="15"/>
      <c r="AX147" s="15"/>
      <c r="AY147" s="15"/>
      <c r="AZ147" s="15"/>
      <c r="BA147" s="15"/>
      <c r="BB147" s="15"/>
      <c r="BC147" s="15"/>
    </row>
    <row r="148" spans="1:55" ht="12.75">
      <c r="A148" s="10"/>
      <c r="B148" s="11"/>
      <c r="C148" s="10"/>
      <c r="D148" s="12"/>
      <c r="E148" s="12"/>
      <c r="F148" s="12"/>
      <c r="G148" s="12"/>
      <c r="H148" s="17"/>
      <c r="I148" s="12"/>
      <c r="J148" s="12"/>
      <c r="K148" s="12"/>
      <c r="L148" s="12"/>
      <c r="M148" s="12"/>
      <c r="N148" s="12"/>
      <c r="O148" s="12"/>
      <c r="P148" s="12"/>
      <c r="Q148" s="12"/>
      <c r="R148" s="12"/>
      <c r="S148" s="12"/>
      <c r="T148" s="12"/>
      <c r="U148" s="14"/>
      <c r="V148" s="15"/>
      <c r="W148" s="14"/>
      <c r="X148" s="14"/>
      <c r="Y148" s="14"/>
      <c r="Z148" s="14"/>
      <c r="AA148" s="14"/>
      <c r="AB148" s="14"/>
      <c r="AC148" s="14"/>
      <c r="AD148" s="14"/>
      <c r="AE148" s="14"/>
      <c r="AF148" s="15"/>
      <c r="AG148" s="15"/>
      <c r="AH148" s="15"/>
      <c r="AI148" s="15"/>
      <c r="AJ148" s="15"/>
      <c r="AK148" s="15"/>
      <c r="AL148" s="15"/>
      <c r="AM148" s="15"/>
      <c r="AN148" s="15"/>
      <c r="AO148" s="15"/>
      <c r="AP148" s="14"/>
      <c r="AQ148" s="14"/>
      <c r="AR148" s="15"/>
      <c r="AS148" s="15"/>
      <c r="AT148" s="15"/>
      <c r="AU148" s="15"/>
      <c r="AV148" s="15"/>
      <c r="AW148" s="15"/>
      <c r="AX148" s="15"/>
      <c r="AY148" s="15"/>
      <c r="AZ148" s="15"/>
      <c r="BA148" s="15"/>
      <c r="BB148" s="15"/>
      <c r="BC148" s="15"/>
    </row>
    <row r="149" spans="1:55" ht="12.75">
      <c r="AR149" s="27"/>
      <c r="AS149" s="27"/>
      <c r="AT149" s="27"/>
      <c r="AU149" s="27"/>
      <c r="AV149" s="56"/>
      <c r="AX149" s="27"/>
      <c r="AY149" s="27"/>
      <c r="AZ149" s="27"/>
      <c r="BA149" s="27"/>
      <c r="BB149" s="27"/>
    </row>
    <row r="150" spans="1:55" ht="12.75">
      <c r="AR150" s="27"/>
      <c r="AS150" s="27"/>
      <c r="AT150" s="27"/>
      <c r="AU150" s="27"/>
      <c r="AV150" s="27"/>
      <c r="AX150" s="27"/>
      <c r="AY150" s="27"/>
      <c r="AZ150" s="27"/>
      <c r="BA150" s="27"/>
      <c r="BB150" s="27"/>
    </row>
  </sheetData>
  <autoFilter ref="A1:BD146" xr:uid="{00000000-0009-0000-0000-000001000000}"/>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ErrorMessage="1" xr:uid="{00000000-0002-0000-0100-000000000000}">
          <x14:formula1>
            <xm:f>'Campos desplegables'!$F$4:$F$5</xm:f>
          </x14:formula1>
          <xm:sqref>K2:O148 U2:AE148</xm:sqref>
        </x14:dataValidation>
        <x14:dataValidation type="list" allowBlank="1" showErrorMessage="1" xr:uid="{00000000-0002-0000-0100-000001000000}">
          <x14:formula1>
            <xm:f>'Validación formularios'!$C$3:$C$14</xm:f>
          </x14:formula1>
          <xm:sqref>C2:C148</xm:sqref>
        </x14:dataValidation>
        <x14:dataValidation type="list" allowBlank="1" showErrorMessage="1" xr:uid="{00000000-0002-0000-0100-000002000000}">
          <x14:formula1>
            <xm:f>'Campos desplegables'!$E$4:$E$6</xm:f>
          </x14:formula1>
          <xm:sqref>AW2:AW148</xm:sqref>
        </x14:dataValidation>
        <x14:dataValidation type="list" allowBlank="1" showErrorMessage="1" xr:uid="{00000000-0002-0000-0100-000003000000}">
          <x14:formula1>
            <xm:f>'Campos desplegables'!$D$3:$D$8</xm:f>
          </x14:formula1>
          <xm:sqref>BB2:BB148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2"/>
  <sheetViews>
    <sheetView topLeftCell="B1" workbookViewId="0">
      <selection activeCell="B1" sqref="B1"/>
    </sheetView>
  </sheetViews>
  <sheetFormatPr baseColWidth="10" defaultColWidth="12.5703125" defaultRowHeight="15.75" customHeight="1"/>
  <cols>
    <col min="1" max="1" width="25.28515625" customWidth="1"/>
    <col min="2" max="2" width="240.140625" customWidth="1"/>
  </cols>
  <sheetData>
    <row r="1" spans="1:2" ht="12.75">
      <c r="A1" s="57" t="s">
        <v>1</v>
      </c>
      <c r="B1" s="58" t="s">
        <v>12709</v>
      </c>
    </row>
    <row r="2" spans="1:2" ht="12.75">
      <c r="A2" s="59" t="s">
        <v>35</v>
      </c>
      <c r="B2" s="60" t="s">
        <v>58</v>
      </c>
    </row>
    <row r="3" spans="1:2" ht="12.75">
      <c r="A3" s="59" t="s">
        <v>77</v>
      </c>
      <c r="B3" s="60" t="s">
        <v>58</v>
      </c>
    </row>
    <row r="4" spans="1:2" ht="51">
      <c r="A4" s="59" t="s">
        <v>260</v>
      </c>
      <c r="B4" s="60" t="s">
        <v>12106</v>
      </c>
    </row>
    <row r="5" spans="1:2" ht="12.75">
      <c r="A5" s="59" t="s">
        <v>371</v>
      </c>
      <c r="B5" s="60" t="s">
        <v>58</v>
      </c>
    </row>
    <row r="6" spans="1:2" ht="105">
      <c r="A6" s="59" t="s">
        <v>538</v>
      </c>
      <c r="B6" s="61" t="s">
        <v>12107</v>
      </c>
    </row>
    <row r="7" spans="1:2" ht="45">
      <c r="A7" s="59" t="s">
        <v>580</v>
      </c>
      <c r="B7" s="61" t="s">
        <v>12108</v>
      </c>
    </row>
    <row r="8" spans="1:2" ht="12.75">
      <c r="A8" s="59" t="s">
        <v>637</v>
      </c>
      <c r="B8" s="60" t="s">
        <v>58</v>
      </c>
    </row>
    <row r="9" spans="1:2" ht="12.75">
      <c r="A9" s="59" t="s">
        <v>738</v>
      </c>
      <c r="B9" s="60" t="s">
        <v>58</v>
      </c>
    </row>
    <row r="10" spans="1:2" ht="102">
      <c r="A10" s="59" t="s">
        <v>879</v>
      </c>
      <c r="B10" s="60" t="s">
        <v>12109</v>
      </c>
    </row>
    <row r="11" spans="1:2" ht="51">
      <c r="A11" s="59" t="s">
        <v>973</v>
      </c>
      <c r="B11" s="60" t="s">
        <v>12110</v>
      </c>
    </row>
    <row r="12" spans="1:2" ht="12.75">
      <c r="A12" s="59" t="s">
        <v>1053</v>
      </c>
      <c r="B12" s="60" t="s">
        <v>12111</v>
      </c>
    </row>
    <row r="13" spans="1:2" ht="25.5">
      <c r="A13" s="59" t="s">
        <v>1113</v>
      </c>
      <c r="B13" s="60" t="s">
        <v>12112</v>
      </c>
    </row>
    <row r="14" spans="1:2" ht="12.75">
      <c r="A14" s="59" t="s">
        <v>1174</v>
      </c>
      <c r="B14" s="60" t="s">
        <v>58</v>
      </c>
    </row>
    <row r="15" spans="1:2" ht="12.75">
      <c r="A15" s="59" t="s">
        <v>1245</v>
      </c>
      <c r="B15" s="60" t="s">
        <v>12113</v>
      </c>
    </row>
    <row r="16" spans="1:2" ht="38.25">
      <c r="A16" s="59" t="s">
        <v>1477</v>
      </c>
      <c r="B16" s="60" t="s">
        <v>12114</v>
      </c>
    </row>
    <row r="17" spans="1:2" ht="178.5">
      <c r="A17" s="59" t="s">
        <v>1659</v>
      </c>
      <c r="B17" s="60" t="s">
        <v>12115</v>
      </c>
    </row>
    <row r="18" spans="1:2" ht="76.5">
      <c r="A18" s="59" t="s">
        <v>1698</v>
      </c>
      <c r="B18" s="60" t="s">
        <v>12116</v>
      </c>
    </row>
    <row r="19" spans="1:2" ht="12.75">
      <c r="A19" s="59" t="s">
        <v>1811</v>
      </c>
      <c r="B19" s="60" t="s">
        <v>12117</v>
      </c>
    </row>
    <row r="20" spans="1:2" ht="12.75">
      <c r="A20" s="59" t="s">
        <v>2235</v>
      </c>
      <c r="B20" s="60" t="s">
        <v>58</v>
      </c>
    </row>
    <row r="21" spans="1:2" ht="102">
      <c r="A21" s="59" t="s">
        <v>2320</v>
      </c>
      <c r="B21" s="60" t="s">
        <v>12118</v>
      </c>
    </row>
    <row r="22" spans="1:2" ht="12.75">
      <c r="A22" s="59" t="s">
        <v>2419</v>
      </c>
      <c r="B22" s="60" t="s">
        <v>12119</v>
      </c>
    </row>
    <row r="23" spans="1:2" ht="12.75">
      <c r="A23" s="59" t="s">
        <v>2513</v>
      </c>
      <c r="B23" s="60" t="s">
        <v>12120</v>
      </c>
    </row>
    <row r="24" spans="1:2" ht="63.75">
      <c r="A24" s="59" t="s">
        <v>2626</v>
      </c>
      <c r="B24" s="60" t="s">
        <v>12121</v>
      </c>
    </row>
    <row r="25" spans="1:2" ht="89.25">
      <c r="A25" s="59" t="s">
        <v>2663</v>
      </c>
      <c r="B25" s="60" t="s">
        <v>12122</v>
      </c>
    </row>
    <row r="26" spans="1:2" ht="76.5">
      <c r="A26" s="59" t="s">
        <v>11748</v>
      </c>
      <c r="B26" s="60" t="s">
        <v>12123</v>
      </c>
    </row>
    <row r="27" spans="1:2" ht="12.75">
      <c r="A27" s="59" t="s">
        <v>2848</v>
      </c>
      <c r="B27" s="60" t="s">
        <v>58</v>
      </c>
    </row>
    <row r="28" spans="1:2" ht="12.75">
      <c r="A28" s="59" t="s">
        <v>12124</v>
      </c>
      <c r="B28" s="60" t="s">
        <v>58</v>
      </c>
    </row>
    <row r="29" spans="1:2" ht="12.75">
      <c r="A29" s="59" t="s">
        <v>3169</v>
      </c>
      <c r="B29" s="60" t="s">
        <v>58</v>
      </c>
    </row>
    <row r="30" spans="1:2" ht="12.75">
      <c r="A30" s="59" t="s">
        <v>3211</v>
      </c>
      <c r="B30" s="60" t="s">
        <v>12125</v>
      </c>
    </row>
    <row r="31" spans="1:2" ht="12.75">
      <c r="A31" s="59" t="s">
        <v>3261</v>
      </c>
      <c r="B31" s="60" t="s">
        <v>12126</v>
      </c>
    </row>
    <row r="32" spans="1:2" ht="405">
      <c r="A32" s="59" t="s">
        <v>3319</v>
      </c>
      <c r="B32" s="61" t="s">
        <v>12127</v>
      </c>
    </row>
    <row r="33" spans="1:2" ht="12.75">
      <c r="A33" s="59" t="s">
        <v>3374</v>
      </c>
      <c r="B33" s="60" t="s">
        <v>58</v>
      </c>
    </row>
    <row r="34" spans="1:2" ht="63.75">
      <c r="A34" s="59" t="s">
        <v>3557</v>
      </c>
      <c r="B34" s="60" t="s">
        <v>12128</v>
      </c>
    </row>
    <row r="35" spans="1:2" ht="15">
      <c r="A35" s="59" t="s">
        <v>3610</v>
      </c>
      <c r="B35" s="21" t="s">
        <v>12129</v>
      </c>
    </row>
    <row r="36" spans="1:2" ht="25.5">
      <c r="A36" s="59" t="s">
        <v>11784</v>
      </c>
      <c r="B36" s="60" t="s">
        <v>12130</v>
      </c>
    </row>
    <row r="37" spans="1:2" ht="51">
      <c r="A37" s="59" t="s">
        <v>3796</v>
      </c>
      <c r="B37" s="60" t="s">
        <v>12131</v>
      </c>
    </row>
    <row r="38" spans="1:2" ht="30">
      <c r="A38" s="59" t="s">
        <v>3849</v>
      </c>
      <c r="B38" s="61" t="s">
        <v>12132</v>
      </c>
    </row>
    <row r="39" spans="1:2" ht="12.75">
      <c r="A39" s="59" t="s">
        <v>3885</v>
      </c>
      <c r="B39" s="60" t="s">
        <v>12133</v>
      </c>
    </row>
    <row r="40" spans="1:2" ht="25.5">
      <c r="A40" s="59" t="s">
        <v>3935</v>
      </c>
      <c r="B40" s="60" t="s">
        <v>12134</v>
      </c>
    </row>
    <row r="41" spans="1:2" ht="12.75">
      <c r="A41" s="59" t="s">
        <v>3992</v>
      </c>
      <c r="B41" s="60" t="s">
        <v>12135</v>
      </c>
    </row>
    <row r="42" spans="1:2" ht="12.75">
      <c r="A42" s="59" t="s">
        <v>4104</v>
      </c>
      <c r="B42" s="60" t="s">
        <v>58</v>
      </c>
    </row>
    <row r="43" spans="1:2" ht="25.5">
      <c r="A43" s="59" t="s">
        <v>4214</v>
      </c>
      <c r="B43" s="60" t="s">
        <v>12136</v>
      </c>
    </row>
    <row r="44" spans="1:2" ht="12.75">
      <c r="A44" s="59" t="s">
        <v>4303</v>
      </c>
      <c r="B44" s="60" t="s">
        <v>58</v>
      </c>
    </row>
    <row r="45" spans="1:2" ht="12.75">
      <c r="A45" s="62" t="s">
        <v>4326</v>
      </c>
      <c r="B45" s="60" t="s">
        <v>12137</v>
      </c>
    </row>
    <row r="46" spans="1:2" ht="12.75">
      <c r="A46" s="59" t="s">
        <v>4367</v>
      </c>
      <c r="B46" s="60" t="s">
        <v>58</v>
      </c>
    </row>
    <row r="47" spans="1:2" ht="38.25">
      <c r="A47" s="59" t="s">
        <v>4396</v>
      </c>
      <c r="B47" s="60" t="s">
        <v>12138</v>
      </c>
    </row>
    <row r="48" spans="1:2" ht="25.5">
      <c r="A48" s="59" t="s">
        <v>4457</v>
      </c>
      <c r="B48" s="60" t="s">
        <v>12139</v>
      </c>
    </row>
    <row r="49" spans="1:2" ht="12.75">
      <c r="A49" s="59" t="s">
        <v>4579</v>
      </c>
      <c r="B49" s="63" t="s">
        <v>12140</v>
      </c>
    </row>
    <row r="50" spans="1:2" ht="12.75">
      <c r="A50" s="59" t="s">
        <v>4618</v>
      </c>
      <c r="B50" s="60" t="s">
        <v>58</v>
      </c>
    </row>
    <row r="51" spans="1:2" ht="12.75">
      <c r="A51" s="59" t="s">
        <v>4648</v>
      </c>
      <c r="B51" s="60" t="s">
        <v>58</v>
      </c>
    </row>
    <row r="52" spans="1:2" ht="51">
      <c r="A52" s="59" t="s">
        <v>4702</v>
      </c>
      <c r="B52" s="60" t="s">
        <v>12141</v>
      </c>
    </row>
    <row r="53" spans="1:2" ht="76.5">
      <c r="A53" s="59" t="s">
        <v>4783</v>
      </c>
      <c r="B53" s="60" t="s">
        <v>12142</v>
      </c>
    </row>
    <row r="54" spans="1:2" ht="51">
      <c r="A54" s="59" t="s">
        <v>4896</v>
      </c>
      <c r="B54" s="60" t="s">
        <v>12143</v>
      </c>
    </row>
    <row r="55" spans="1:2" ht="38.25">
      <c r="A55" s="59" t="s">
        <v>5023</v>
      </c>
      <c r="B55" s="60" t="s">
        <v>12144</v>
      </c>
    </row>
    <row r="56" spans="1:2" ht="12.75">
      <c r="A56" s="59" t="s">
        <v>5143</v>
      </c>
      <c r="B56" s="60" t="s">
        <v>12145</v>
      </c>
    </row>
    <row r="57" spans="1:2" ht="38.25">
      <c r="A57" s="59" t="s">
        <v>5243</v>
      </c>
      <c r="B57" s="60" t="s">
        <v>12146</v>
      </c>
    </row>
    <row r="58" spans="1:2" ht="38.25">
      <c r="A58" s="59" t="s">
        <v>5291</v>
      </c>
      <c r="B58" s="60" t="s">
        <v>12147</v>
      </c>
    </row>
    <row r="59" spans="1:2" ht="12.75">
      <c r="A59" s="59" t="s">
        <v>5365</v>
      </c>
      <c r="B59" s="60" t="s">
        <v>12148</v>
      </c>
    </row>
    <row r="60" spans="1:2" ht="12.75">
      <c r="A60" s="59" t="s">
        <v>5484</v>
      </c>
      <c r="B60" s="60" t="s">
        <v>12149</v>
      </c>
    </row>
    <row r="61" spans="1:2" ht="25.5">
      <c r="A61" s="59" t="s">
        <v>5713</v>
      </c>
      <c r="B61" s="60" t="s">
        <v>12150</v>
      </c>
    </row>
    <row r="62" spans="1:2" ht="25.5">
      <c r="A62" s="59" t="s">
        <v>5788</v>
      </c>
      <c r="B62" s="60" t="s">
        <v>12151</v>
      </c>
    </row>
    <row r="63" spans="1:2" ht="12.75">
      <c r="A63" s="59" t="s">
        <v>5824</v>
      </c>
      <c r="B63" s="60" t="s">
        <v>58</v>
      </c>
    </row>
    <row r="64" spans="1:2" ht="12.75">
      <c r="A64" s="59" t="s">
        <v>5846</v>
      </c>
      <c r="B64" s="60" t="s">
        <v>58</v>
      </c>
    </row>
    <row r="65" spans="1:2" ht="12.75">
      <c r="A65" s="59" t="s">
        <v>5912</v>
      </c>
      <c r="B65" s="60" t="s">
        <v>58</v>
      </c>
    </row>
    <row r="66" spans="1:2" ht="12.75">
      <c r="A66" s="59" t="s">
        <v>6041</v>
      </c>
      <c r="B66" s="60" t="s">
        <v>58</v>
      </c>
    </row>
    <row r="67" spans="1:2" ht="12.75">
      <c r="A67" s="59" t="s">
        <v>11873</v>
      </c>
      <c r="B67" s="60" t="s">
        <v>12152</v>
      </c>
    </row>
    <row r="68" spans="1:2" ht="12.75">
      <c r="A68" s="59" t="s">
        <v>6146</v>
      </c>
      <c r="B68" s="60" t="s">
        <v>58</v>
      </c>
    </row>
    <row r="69" spans="1:2" ht="12.75">
      <c r="A69" s="59" t="s">
        <v>11879</v>
      </c>
      <c r="B69" s="60" t="s">
        <v>58</v>
      </c>
    </row>
    <row r="70" spans="1:2" ht="12.75">
      <c r="A70" s="59" t="s">
        <v>11884</v>
      </c>
      <c r="B70" s="60" t="s">
        <v>58</v>
      </c>
    </row>
    <row r="71" spans="1:2" ht="51">
      <c r="A71" s="59" t="s">
        <v>6657</v>
      </c>
      <c r="B71" s="60" t="s">
        <v>12153</v>
      </c>
    </row>
    <row r="72" spans="1:2" ht="12.75">
      <c r="A72" s="59" t="s">
        <v>6787</v>
      </c>
      <c r="B72" s="60" t="s">
        <v>58</v>
      </c>
    </row>
    <row r="73" spans="1:2" ht="12.75">
      <c r="A73" s="59" t="s">
        <v>11896</v>
      </c>
      <c r="B73" s="60" t="s">
        <v>58</v>
      </c>
    </row>
    <row r="74" spans="1:2" ht="25.5">
      <c r="A74" s="59" t="s">
        <v>6838</v>
      </c>
      <c r="B74" s="60" t="s">
        <v>12154</v>
      </c>
    </row>
    <row r="75" spans="1:2" ht="12.75">
      <c r="A75" s="59" t="s">
        <v>6891</v>
      </c>
      <c r="B75" s="60" t="s">
        <v>58</v>
      </c>
    </row>
    <row r="76" spans="1:2" ht="38.25">
      <c r="A76" s="59" t="s">
        <v>6967</v>
      </c>
      <c r="B76" s="60" t="s">
        <v>12155</v>
      </c>
    </row>
    <row r="77" spans="1:2" ht="38.25">
      <c r="A77" s="59" t="s">
        <v>7024</v>
      </c>
      <c r="B77" s="60" t="s">
        <v>12156</v>
      </c>
    </row>
    <row r="78" spans="1:2" ht="12.75">
      <c r="A78" s="59" t="s">
        <v>7126</v>
      </c>
      <c r="B78" s="60" t="s">
        <v>12157</v>
      </c>
    </row>
    <row r="79" spans="1:2" ht="89.25">
      <c r="A79" s="59" t="s">
        <v>7270</v>
      </c>
      <c r="B79" s="60" t="s">
        <v>12158</v>
      </c>
    </row>
    <row r="80" spans="1:2" ht="102">
      <c r="A80" s="59" t="s">
        <v>7360</v>
      </c>
      <c r="B80" s="60" t="s">
        <v>12159</v>
      </c>
    </row>
    <row r="81" spans="1:2" ht="51">
      <c r="A81" s="59" t="s">
        <v>7434</v>
      </c>
      <c r="B81" s="60" t="s">
        <v>12160</v>
      </c>
    </row>
    <row r="82" spans="1:2" ht="51">
      <c r="A82" s="59" t="s">
        <v>11928</v>
      </c>
      <c r="B82" s="60" t="s">
        <v>12161</v>
      </c>
    </row>
    <row r="83" spans="1:2" ht="25.5">
      <c r="A83" s="59" t="s">
        <v>7520</v>
      </c>
      <c r="B83" s="60" t="s">
        <v>12162</v>
      </c>
    </row>
    <row r="84" spans="1:2" ht="15">
      <c r="A84" s="59" t="s">
        <v>7542</v>
      </c>
      <c r="B84" s="21" t="s">
        <v>12163</v>
      </c>
    </row>
    <row r="85" spans="1:2" ht="15">
      <c r="A85" s="59" t="s">
        <v>7603</v>
      </c>
      <c r="B85" s="21" t="s">
        <v>12164</v>
      </c>
    </row>
    <row r="86" spans="1:2" ht="267.75">
      <c r="A86" s="59" t="s">
        <v>7680</v>
      </c>
      <c r="B86" s="60" t="s">
        <v>12165</v>
      </c>
    </row>
    <row r="87" spans="1:2" ht="12.75">
      <c r="A87" s="59" t="s">
        <v>7896</v>
      </c>
      <c r="B87" s="60" t="s">
        <v>58</v>
      </c>
    </row>
    <row r="88" spans="1:2" ht="140.25">
      <c r="A88" s="59" t="s">
        <v>11945</v>
      </c>
      <c r="B88" s="60" t="s">
        <v>12166</v>
      </c>
    </row>
    <row r="89" spans="1:2" ht="12.75">
      <c r="A89" s="59" t="s">
        <v>12167</v>
      </c>
      <c r="B89" s="60" t="s">
        <v>12168</v>
      </c>
    </row>
    <row r="90" spans="1:2" ht="25.5">
      <c r="A90" s="59" t="s">
        <v>7961</v>
      </c>
      <c r="B90" s="60" t="s">
        <v>12169</v>
      </c>
    </row>
    <row r="91" spans="1:2" ht="12.75">
      <c r="A91" s="59" t="s">
        <v>7998</v>
      </c>
      <c r="B91" s="60" t="s">
        <v>12170</v>
      </c>
    </row>
    <row r="92" spans="1:2" ht="12.75">
      <c r="A92" s="59" t="s">
        <v>8048</v>
      </c>
      <c r="B92" s="60" t="s">
        <v>58</v>
      </c>
    </row>
    <row r="93" spans="1:2" ht="165.75">
      <c r="A93" s="59" t="s">
        <v>12171</v>
      </c>
      <c r="B93" s="60" t="s">
        <v>12172</v>
      </c>
    </row>
    <row r="94" spans="1:2" ht="12.75">
      <c r="A94" s="59" t="s">
        <v>8254</v>
      </c>
      <c r="B94" s="60" t="s">
        <v>12173</v>
      </c>
    </row>
    <row r="95" spans="1:2" ht="12.75">
      <c r="A95" s="59" t="s">
        <v>8287</v>
      </c>
      <c r="B95" s="60" t="s">
        <v>58</v>
      </c>
    </row>
    <row r="96" spans="1:2" ht="15">
      <c r="A96" s="59" t="s">
        <v>8369</v>
      </c>
      <c r="B96" s="21" t="s">
        <v>12174</v>
      </c>
    </row>
    <row r="97" spans="1:2" ht="12.75">
      <c r="A97" s="59" t="s">
        <v>8406</v>
      </c>
      <c r="B97" s="60" t="s">
        <v>58</v>
      </c>
    </row>
    <row r="98" spans="1:2" ht="12.75">
      <c r="A98" s="64" t="s">
        <v>11977</v>
      </c>
      <c r="B98" s="60" t="s">
        <v>58</v>
      </c>
    </row>
    <row r="99" spans="1:2" ht="76.5">
      <c r="A99" s="59" t="s">
        <v>8452</v>
      </c>
      <c r="B99" s="60" t="s">
        <v>12175</v>
      </c>
    </row>
    <row r="100" spans="1:2" ht="15">
      <c r="A100" s="59" t="s">
        <v>8494</v>
      </c>
      <c r="B100" s="21" t="s">
        <v>12176</v>
      </c>
    </row>
    <row r="101" spans="1:2" ht="114.75">
      <c r="A101" s="59" t="s">
        <v>8524</v>
      </c>
      <c r="B101" s="60" t="s">
        <v>12177</v>
      </c>
    </row>
    <row r="102" spans="1:2" ht="77.25" customHeight="1">
      <c r="A102" s="59" t="s">
        <v>8630</v>
      </c>
      <c r="B102" s="60" t="s">
        <v>58</v>
      </c>
    </row>
    <row r="103" spans="1:2" ht="102">
      <c r="A103" s="59" t="s">
        <v>8714</v>
      </c>
      <c r="B103" s="60" t="s">
        <v>12178</v>
      </c>
    </row>
    <row r="104" spans="1:2" ht="12.75">
      <c r="A104" s="59" t="s">
        <v>8852</v>
      </c>
      <c r="B104" s="60" t="s">
        <v>12179</v>
      </c>
    </row>
    <row r="105" spans="1:2" ht="63.75">
      <c r="A105" s="59" t="s">
        <v>11995</v>
      </c>
      <c r="B105" s="60" t="s">
        <v>12180</v>
      </c>
    </row>
    <row r="106" spans="1:2" ht="12.75">
      <c r="A106" s="59" t="s">
        <v>8990</v>
      </c>
      <c r="B106" s="60" t="s">
        <v>58</v>
      </c>
    </row>
    <row r="107" spans="1:2" ht="38.25">
      <c r="A107" s="59" t="s">
        <v>12002</v>
      </c>
      <c r="B107" s="60" t="s">
        <v>12181</v>
      </c>
    </row>
    <row r="108" spans="1:2" ht="12.75">
      <c r="A108" s="59" t="s">
        <v>9239</v>
      </c>
      <c r="B108" s="60" t="s">
        <v>12182</v>
      </c>
    </row>
    <row r="109" spans="1:2" ht="25.5">
      <c r="A109" s="59" t="s">
        <v>1309</v>
      </c>
      <c r="B109" s="60" t="s">
        <v>12183</v>
      </c>
    </row>
    <row r="110" spans="1:2" ht="12.75">
      <c r="A110" s="59" t="s">
        <v>9369</v>
      </c>
      <c r="B110" s="60" t="s">
        <v>12184</v>
      </c>
    </row>
    <row r="111" spans="1:2" ht="12.75">
      <c r="A111" s="59" t="s">
        <v>9441</v>
      </c>
      <c r="B111" s="60" t="s">
        <v>12185</v>
      </c>
    </row>
    <row r="112" spans="1:2" ht="25.5">
      <c r="A112" s="59" t="s">
        <v>9558</v>
      </c>
      <c r="B112" s="60" t="s">
        <v>12186</v>
      </c>
    </row>
    <row r="113" spans="1:2" ht="12.75">
      <c r="A113" s="59" t="s">
        <v>9632</v>
      </c>
      <c r="B113" s="60" t="s">
        <v>12187</v>
      </c>
    </row>
    <row r="114" spans="1:2" ht="12.75">
      <c r="A114" s="59"/>
      <c r="B114" s="60"/>
    </row>
    <row r="115" spans="1:2" ht="12.75">
      <c r="A115" s="59"/>
      <c r="B115" s="60"/>
    </row>
    <row r="116" spans="1:2" ht="12.75">
      <c r="A116" s="59"/>
      <c r="B116" s="60"/>
    </row>
    <row r="117" spans="1:2" ht="12.75">
      <c r="A117" s="64"/>
      <c r="B117" s="65"/>
    </row>
    <row r="118" spans="1:2" ht="12.75">
      <c r="A118" s="64"/>
      <c r="B118" s="65"/>
    </row>
    <row r="119" spans="1:2" ht="12.75">
      <c r="A119" s="64"/>
      <c r="B119" s="65"/>
    </row>
    <row r="120" spans="1:2" ht="12.75">
      <c r="A120" s="64"/>
      <c r="B120" s="65"/>
    </row>
    <row r="121" spans="1:2" ht="12.75">
      <c r="A121" s="64"/>
      <c r="B121" s="65"/>
    </row>
    <row r="122" spans="1:2" ht="12.75">
      <c r="A122" s="64"/>
      <c r="B122" s="65"/>
    </row>
    <row r="123" spans="1:2" ht="12.75">
      <c r="A123" s="64"/>
      <c r="B123" s="65"/>
    </row>
    <row r="124" spans="1:2" ht="12.75">
      <c r="A124" s="64"/>
      <c r="B124" s="65"/>
    </row>
    <row r="125" spans="1:2" ht="12.75">
      <c r="A125" s="64"/>
      <c r="B125" s="65"/>
    </row>
    <row r="126" spans="1:2" ht="12.75">
      <c r="A126" s="64"/>
      <c r="B126" s="65"/>
    </row>
    <row r="127" spans="1:2" ht="12.75">
      <c r="A127" s="64"/>
      <c r="B127" s="65"/>
    </row>
    <row r="128" spans="1:2" ht="12.75">
      <c r="A128" s="64"/>
      <c r="B128" s="65"/>
    </row>
    <row r="129" spans="1:2" ht="12.75">
      <c r="A129" s="64"/>
      <c r="B129" s="65"/>
    </row>
    <row r="130" spans="1:2" ht="12.75">
      <c r="A130" s="64"/>
      <c r="B130" s="65"/>
    </row>
    <row r="131" spans="1:2" ht="12.75">
      <c r="A131" s="64"/>
      <c r="B131" s="65"/>
    </row>
    <row r="132" spans="1:2" ht="12.75">
      <c r="A132" s="64"/>
      <c r="B132" s="65"/>
    </row>
    <row r="133" spans="1:2" ht="12.75">
      <c r="A133" s="64"/>
      <c r="B133" s="65"/>
    </row>
    <row r="134" spans="1:2" ht="12.75">
      <c r="A134" s="64"/>
      <c r="B134" s="65"/>
    </row>
    <row r="135" spans="1:2" ht="12.75">
      <c r="A135" s="64"/>
      <c r="B135" s="65"/>
    </row>
    <row r="136" spans="1:2" ht="12.75">
      <c r="A136" s="64"/>
      <c r="B136" s="65"/>
    </row>
    <row r="137" spans="1:2" ht="12.75">
      <c r="A137" s="64"/>
      <c r="B137" s="65"/>
    </row>
    <row r="138" spans="1:2" ht="12.75">
      <c r="A138" s="64"/>
      <c r="B138" s="65"/>
    </row>
    <row r="139" spans="1:2" ht="12.75">
      <c r="A139" s="64"/>
      <c r="B139" s="65"/>
    </row>
    <row r="140" spans="1:2" ht="12.75">
      <c r="A140" s="64"/>
      <c r="B140" s="65"/>
    </row>
    <row r="141" spans="1:2" ht="12.75">
      <c r="A141" s="64"/>
      <c r="B141" s="65"/>
    </row>
    <row r="142" spans="1:2" ht="12.75">
      <c r="A142" s="64"/>
      <c r="B142" s="65"/>
    </row>
    <row r="143" spans="1:2" ht="12.75">
      <c r="A143" s="64"/>
      <c r="B143" s="65"/>
    </row>
    <row r="144" spans="1:2" ht="12.75">
      <c r="A144" s="64"/>
      <c r="B144" s="65"/>
    </row>
    <row r="145" spans="1:2" ht="12.75">
      <c r="A145" s="64"/>
      <c r="B145" s="65"/>
    </row>
    <row r="146" spans="1:2" ht="12.75">
      <c r="A146" s="64"/>
      <c r="B146" s="65"/>
    </row>
    <row r="147" spans="1:2" ht="12.75">
      <c r="A147" s="64"/>
      <c r="B147" s="65"/>
    </row>
    <row r="148" spans="1:2" ht="12.75">
      <c r="A148" s="64"/>
      <c r="B148" s="65"/>
    </row>
    <row r="149" spans="1:2" ht="12.75">
      <c r="A149" s="64"/>
      <c r="B149" s="65"/>
    </row>
    <row r="150" spans="1:2" ht="12.75">
      <c r="A150" s="64"/>
      <c r="B150" s="65"/>
    </row>
    <row r="151" spans="1:2" ht="12.75">
      <c r="A151" s="64"/>
      <c r="B151" s="65"/>
    </row>
    <row r="152" spans="1:2" ht="12.75">
      <c r="A152" s="64"/>
      <c r="B152" s="65"/>
    </row>
    <row r="153" spans="1:2" ht="12.75">
      <c r="A153" s="64"/>
      <c r="B153" s="65"/>
    </row>
    <row r="154" spans="1:2" ht="12.75">
      <c r="A154" s="64"/>
      <c r="B154" s="65"/>
    </row>
    <row r="155" spans="1:2" ht="12.75">
      <c r="A155" s="64"/>
      <c r="B155" s="65"/>
    </row>
    <row r="156" spans="1:2" ht="12.75">
      <c r="A156" s="64"/>
      <c r="B156" s="65"/>
    </row>
    <row r="157" spans="1:2" ht="12.75">
      <c r="A157" s="64"/>
      <c r="B157" s="65"/>
    </row>
    <row r="158" spans="1:2" ht="12.75">
      <c r="A158" s="64"/>
      <c r="B158" s="65"/>
    </row>
    <row r="159" spans="1:2" ht="12.75">
      <c r="A159" s="64"/>
      <c r="B159" s="65"/>
    </row>
    <row r="160" spans="1:2" ht="12.75">
      <c r="A160" s="64"/>
      <c r="B160" s="65"/>
    </row>
    <row r="161" spans="1:2" ht="12.75">
      <c r="A161" s="64"/>
      <c r="B161" s="65"/>
    </row>
    <row r="162" spans="1:2" ht="12.75">
      <c r="A162" s="64"/>
      <c r="B162" s="65"/>
    </row>
    <row r="163" spans="1:2" ht="12.75">
      <c r="A163" s="64"/>
      <c r="B163" s="65"/>
    </row>
    <row r="164" spans="1:2" ht="12.75">
      <c r="A164" s="64"/>
      <c r="B164" s="65"/>
    </row>
    <row r="165" spans="1:2" ht="12.75">
      <c r="A165" s="64"/>
      <c r="B165" s="65"/>
    </row>
    <row r="166" spans="1:2" ht="12.75">
      <c r="A166" s="64"/>
      <c r="B166" s="65"/>
    </row>
    <row r="167" spans="1:2" ht="12.75">
      <c r="A167" s="64"/>
      <c r="B167" s="65"/>
    </row>
    <row r="168" spans="1:2" ht="12.75">
      <c r="A168" s="64"/>
      <c r="B168" s="65"/>
    </row>
    <row r="169" spans="1:2" ht="12.75">
      <c r="A169" s="64"/>
      <c r="B169" s="65"/>
    </row>
    <row r="170" spans="1:2" ht="12.75">
      <c r="A170" s="64"/>
      <c r="B170" s="65"/>
    </row>
    <row r="171" spans="1:2" ht="12.75">
      <c r="A171" s="64"/>
      <c r="B171" s="65"/>
    </row>
    <row r="172" spans="1:2" ht="12.75">
      <c r="A172" s="64"/>
      <c r="B172" s="65"/>
    </row>
    <row r="173" spans="1:2" ht="12.75">
      <c r="A173" s="64"/>
      <c r="B173" s="65"/>
    </row>
    <row r="174" spans="1:2" ht="12.75">
      <c r="A174" s="64"/>
      <c r="B174" s="65"/>
    </row>
    <row r="175" spans="1:2" ht="12.75">
      <c r="A175" s="64"/>
      <c r="B175" s="65"/>
    </row>
    <row r="176" spans="1:2" ht="12.75">
      <c r="A176" s="64"/>
      <c r="B176" s="65"/>
    </row>
    <row r="177" spans="1:2" ht="12.75">
      <c r="A177" s="64"/>
      <c r="B177" s="65"/>
    </row>
    <row r="178" spans="1:2" ht="12.75">
      <c r="A178" s="64"/>
      <c r="B178" s="65"/>
    </row>
    <row r="179" spans="1:2" ht="12.75">
      <c r="A179" s="64"/>
      <c r="B179" s="65"/>
    </row>
    <row r="180" spans="1:2" ht="12.75">
      <c r="A180" s="64"/>
      <c r="B180" s="65"/>
    </row>
    <row r="181" spans="1:2" ht="12.75">
      <c r="A181" s="64"/>
      <c r="B181" s="65"/>
    </row>
    <row r="182" spans="1:2" ht="12.75">
      <c r="A182" s="64"/>
      <c r="B182" s="65"/>
    </row>
    <row r="183" spans="1:2" ht="12.75">
      <c r="A183" s="64"/>
      <c r="B183" s="65"/>
    </row>
    <row r="184" spans="1:2" ht="12.75">
      <c r="A184" s="64"/>
      <c r="B184" s="65"/>
    </row>
    <row r="185" spans="1:2" ht="12.75">
      <c r="A185" s="64"/>
      <c r="B185" s="65"/>
    </row>
    <row r="186" spans="1:2" ht="12.75">
      <c r="A186" s="64"/>
      <c r="B186" s="65"/>
    </row>
    <row r="187" spans="1:2" ht="12.75">
      <c r="A187" s="64"/>
      <c r="B187" s="65"/>
    </row>
    <row r="188" spans="1:2" ht="12.75">
      <c r="A188" s="64"/>
      <c r="B188" s="65"/>
    </row>
    <row r="189" spans="1:2" ht="12.75">
      <c r="A189" s="64"/>
      <c r="B189" s="65"/>
    </row>
    <row r="190" spans="1:2" ht="12.75">
      <c r="A190" s="64"/>
      <c r="B190" s="65"/>
    </row>
    <row r="191" spans="1:2" ht="12.75">
      <c r="A191" s="64"/>
      <c r="B191" s="65"/>
    </row>
    <row r="192" spans="1:2" ht="12.75">
      <c r="A192" s="64"/>
      <c r="B192" s="65"/>
    </row>
    <row r="193" spans="1:2" ht="12.75">
      <c r="A193" s="64"/>
      <c r="B193" s="65"/>
    </row>
    <row r="194" spans="1:2" ht="12.75">
      <c r="A194" s="64"/>
      <c r="B194" s="65"/>
    </row>
    <row r="195" spans="1:2" ht="12.75">
      <c r="A195" s="64"/>
      <c r="B195" s="65"/>
    </row>
    <row r="196" spans="1:2" ht="12.75">
      <c r="A196" s="64"/>
      <c r="B196" s="65"/>
    </row>
    <row r="197" spans="1:2" ht="12.75">
      <c r="A197" s="64"/>
      <c r="B197" s="65"/>
    </row>
    <row r="198" spans="1:2" ht="12.75">
      <c r="A198" s="64"/>
      <c r="B198" s="65"/>
    </row>
    <row r="199" spans="1:2" ht="12.75">
      <c r="A199" s="64"/>
      <c r="B199" s="65"/>
    </row>
    <row r="200" spans="1:2" ht="12.75">
      <c r="A200" s="64"/>
      <c r="B200" s="65"/>
    </row>
    <row r="201" spans="1:2" ht="12.75">
      <c r="A201" s="64"/>
      <c r="B201" s="65"/>
    </row>
    <row r="202" spans="1:2" ht="12.75">
      <c r="A202" s="64"/>
      <c r="B202" s="65"/>
    </row>
    <row r="203" spans="1:2" ht="12.75">
      <c r="A203" s="64"/>
      <c r="B203" s="65"/>
    </row>
    <row r="204" spans="1:2" ht="12.75">
      <c r="A204" s="64"/>
      <c r="B204" s="65"/>
    </row>
    <row r="205" spans="1:2" ht="12.75">
      <c r="A205" s="64"/>
      <c r="B205" s="65"/>
    </row>
    <row r="206" spans="1:2" ht="12.75">
      <c r="A206" s="64"/>
      <c r="B206" s="65"/>
    </row>
    <row r="207" spans="1:2" ht="12.75">
      <c r="A207" s="64"/>
      <c r="B207" s="65"/>
    </row>
    <row r="208" spans="1:2" ht="12.75">
      <c r="A208" s="64"/>
      <c r="B208" s="65"/>
    </row>
    <row r="209" spans="1:2" ht="12.75">
      <c r="A209" s="64"/>
      <c r="B209" s="65"/>
    </row>
    <row r="210" spans="1:2" ht="12.75">
      <c r="A210" s="64"/>
      <c r="B210" s="65"/>
    </row>
    <row r="211" spans="1:2" ht="12.75">
      <c r="A211" s="64"/>
      <c r="B211" s="65"/>
    </row>
    <row r="212" spans="1:2" ht="12.75">
      <c r="A212" s="64"/>
      <c r="B212" s="65"/>
    </row>
    <row r="213" spans="1:2" ht="12.75">
      <c r="A213" s="64"/>
      <c r="B213" s="65"/>
    </row>
    <row r="214" spans="1:2" ht="12.75">
      <c r="A214" s="64"/>
      <c r="B214" s="65"/>
    </row>
    <row r="215" spans="1:2" ht="12.75">
      <c r="A215" s="64"/>
      <c r="B215" s="65"/>
    </row>
    <row r="216" spans="1:2" ht="12.75">
      <c r="A216" s="64"/>
      <c r="B216" s="65"/>
    </row>
    <row r="217" spans="1:2" ht="12.75">
      <c r="A217" s="64"/>
      <c r="B217" s="65"/>
    </row>
    <row r="218" spans="1:2" ht="12.75">
      <c r="A218" s="64"/>
      <c r="B218" s="65"/>
    </row>
    <row r="219" spans="1:2" ht="12.75">
      <c r="A219" s="64"/>
      <c r="B219" s="65"/>
    </row>
    <row r="220" spans="1:2" ht="12.75">
      <c r="A220" s="64"/>
      <c r="B220" s="65"/>
    </row>
    <row r="221" spans="1:2" ht="12.75">
      <c r="A221" s="64"/>
      <c r="B221" s="65"/>
    </row>
    <row r="222" spans="1:2" ht="12.75">
      <c r="A222" s="64"/>
      <c r="B222" s="65"/>
    </row>
    <row r="223" spans="1:2" ht="12.75">
      <c r="A223" s="64"/>
      <c r="B223" s="65"/>
    </row>
    <row r="224" spans="1:2" ht="12.75">
      <c r="A224" s="64"/>
      <c r="B224" s="65"/>
    </row>
    <row r="225" spans="1:2" ht="12.75">
      <c r="A225" s="64"/>
      <c r="B225" s="65"/>
    </row>
    <row r="226" spans="1:2" ht="12.75">
      <c r="A226" s="64"/>
      <c r="B226" s="65"/>
    </row>
    <row r="227" spans="1:2" ht="12.75">
      <c r="A227" s="64"/>
      <c r="B227" s="65"/>
    </row>
    <row r="228" spans="1:2" ht="12.75">
      <c r="A228" s="64"/>
      <c r="B228" s="65"/>
    </row>
    <row r="229" spans="1:2" ht="12.75">
      <c r="A229" s="64"/>
      <c r="B229" s="65"/>
    </row>
    <row r="230" spans="1:2" ht="12.75">
      <c r="A230" s="64"/>
      <c r="B230" s="65"/>
    </row>
    <row r="231" spans="1:2" ht="12.75">
      <c r="A231" s="64"/>
      <c r="B231" s="65"/>
    </row>
    <row r="232" spans="1:2" ht="12.75">
      <c r="A232" s="64"/>
      <c r="B232" s="65"/>
    </row>
    <row r="233" spans="1:2" ht="12.75">
      <c r="A233" s="64"/>
      <c r="B233" s="65"/>
    </row>
    <row r="234" spans="1:2" ht="12.75">
      <c r="A234" s="64"/>
      <c r="B234" s="65"/>
    </row>
    <row r="235" spans="1:2" ht="12.75">
      <c r="A235" s="64"/>
      <c r="B235" s="65"/>
    </row>
    <row r="236" spans="1:2" ht="12.75">
      <c r="A236" s="64"/>
      <c r="B236" s="65"/>
    </row>
    <row r="237" spans="1:2" ht="12.75">
      <c r="A237" s="64"/>
      <c r="B237" s="65"/>
    </row>
    <row r="238" spans="1:2" ht="12.75">
      <c r="A238" s="64"/>
      <c r="B238" s="65"/>
    </row>
    <row r="239" spans="1:2" ht="12.75">
      <c r="A239" s="64"/>
      <c r="B239" s="65"/>
    </row>
    <row r="240" spans="1:2" ht="12.75">
      <c r="A240" s="64"/>
      <c r="B240" s="65"/>
    </row>
    <row r="241" spans="1:2" ht="12.75">
      <c r="A241" s="64"/>
      <c r="B241" s="65"/>
    </row>
    <row r="242" spans="1:2" ht="12.75">
      <c r="A242" s="64"/>
      <c r="B242" s="65"/>
    </row>
    <row r="243" spans="1:2" ht="12.75">
      <c r="A243" s="64"/>
      <c r="B243" s="65"/>
    </row>
    <row r="244" spans="1:2" ht="12.75">
      <c r="A244" s="64"/>
      <c r="B244" s="65"/>
    </row>
    <row r="245" spans="1:2" ht="12.75">
      <c r="A245" s="64"/>
      <c r="B245" s="65"/>
    </row>
    <row r="246" spans="1:2" ht="12.75">
      <c r="A246" s="64"/>
      <c r="B246" s="65"/>
    </row>
    <row r="247" spans="1:2" ht="12.75">
      <c r="A247" s="64"/>
      <c r="B247" s="65"/>
    </row>
    <row r="248" spans="1:2" ht="12.75">
      <c r="A248" s="64"/>
      <c r="B248" s="65"/>
    </row>
    <row r="249" spans="1:2" ht="12.75">
      <c r="A249" s="64"/>
      <c r="B249" s="65"/>
    </row>
    <row r="250" spans="1:2" ht="12.75">
      <c r="A250" s="64"/>
      <c r="B250" s="65"/>
    </row>
    <row r="251" spans="1:2" ht="12.75">
      <c r="A251" s="64"/>
      <c r="B251" s="65"/>
    </row>
    <row r="252" spans="1:2" ht="12.75">
      <c r="A252" s="64"/>
      <c r="B252" s="65"/>
    </row>
    <row r="253" spans="1:2" ht="12.75">
      <c r="A253" s="64"/>
      <c r="B253" s="65"/>
    </row>
    <row r="254" spans="1:2" ht="12.75">
      <c r="A254" s="64"/>
      <c r="B254" s="65"/>
    </row>
    <row r="255" spans="1:2" ht="12.75">
      <c r="A255" s="64"/>
      <c r="B255" s="65"/>
    </row>
    <row r="256" spans="1:2" ht="12.75">
      <c r="A256" s="64"/>
      <c r="B256" s="65"/>
    </row>
    <row r="257" spans="1:2" ht="12.75">
      <c r="A257" s="64"/>
      <c r="B257" s="65"/>
    </row>
    <row r="258" spans="1:2" ht="12.75">
      <c r="A258" s="64"/>
      <c r="B258" s="65"/>
    </row>
    <row r="259" spans="1:2" ht="12.75">
      <c r="A259" s="64"/>
      <c r="B259" s="65"/>
    </row>
    <row r="260" spans="1:2" ht="12.75">
      <c r="A260" s="64"/>
      <c r="B260" s="65"/>
    </row>
    <row r="261" spans="1:2" ht="12.75">
      <c r="A261" s="64"/>
      <c r="B261" s="65"/>
    </row>
    <row r="262" spans="1:2" ht="12.75">
      <c r="A262" s="64"/>
      <c r="B262" s="65"/>
    </row>
    <row r="263" spans="1:2" ht="12.75">
      <c r="A263" s="64"/>
      <c r="B263" s="65"/>
    </row>
    <row r="264" spans="1:2" ht="12.75">
      <c r="A264" s="64"/>
      <c r="B264" s="65"/>
    </row>
    <row r="265" spans="1:2" ht="12.75">
      <c r="A265" s="64"/>
      <c r="B265" s="65"/>
    </row>
    <row r="266" spans="1:2" ht="12.75">
      <c r="A266" s="64"/>
      <c r="B266" s="65"/>
    </row>
    <row r="267" spans="1:2" ht="12.75">
      <c r="A267" s="64"/>
      <c r="B267" s="65"/>
    </row>
    <row r="268" spans="1:2" ht="12.75">
      <c r="A268" s="64"/>
      <c r="B268" s="65"/>
    </row>
    <row r="269" spans="1:2" ht="12.75">
      <c r="A269" s="64"/>
      <c r="B269" s="65"/>
    </row>
    <row r="270" spans="1:2" ht="12.75">
      <c r="A270" s="64"/>
      <c r="B270" s="65"/>
    </row>
    <row r="271" spans="1:2" ht="12.75">
      <c r="A271" s="64"/>
      <c r="B271" s="65"/>
    </row>
    <row r="272" spans="1:2" ht="12.75">
      <c r="A272" s="64"/>
      <c r="B272" s="65"/>
    </row>
    <row r="273" spans="1:2" ht="12.75">
      <c r="A273" s="64"/>
      <c r="B273" s="65"/>
    </row>
    <row r="274" spans="1:2" ht="12.75">
      <c r="A274" s="64"/>
      <c r="B274" s="65"/>
    </row>
    <row r="275" spans="1:2" ht="12.75">
      <c r="A275" s="64"/>
      <c r="B275" s="65"/>
    </row>
    <row r="276" spans="1:2" ht="12.75">
      <c r="A276" s="64"/>
      <c r="B276" s="65"/>
    </row>
    <row r="277" spans="1:2" ht="12.75">
      <c r="A277" s="64"/>
      <c r="B277" s="65"/>
    </row>
    <row r="278" spans="1:2" ht="12.75">
      <c r="A278" s="64"/>
      <c r="B278" s="65"/>
    </row>
    <row r="279" spans="1:2" ht="12.75">
      <c r="A279" s="64"/>
      <c r="B279" s="65"/>
    </row>
    <row r="280" spans="1:2" ht="12.75">
      <c r="A280" s="64"/>
      <c r="B280" s="65"/>
    </row>
    <row r="281" spans="1:2" ht="12.75">
      <c r="A281" s="64"/>
      <c r="B281" s="65"/>
    </row>
    <row r="282" spans="1:2" ht="12.75">
      <c r="A282" s="64"/>
      <c r="B282" s="65"/>
    </row>
    <row r="283" spans="1:2" ht="12.75">
      <c r="A283" s="64"/>
      <c r="B283" s="65"/>
    </row>
    <row r="284" spans="1:2" ht="12.75">
      <c r="A284" s="64"/>
      <c r="B284" s="65"/>
    </row>
    <row r="285" spans="1:2" ht="12.75">
      <c r="A285" s="64"/>
      <c r="B285" s="65"/>
    </row>
    <row r="286" spans="1:2" ht="12.75">
      <c r="A286" s="64"/>
      <c r="B286" s="65"/>
    </row>
    <row r="287" spans="1:2" ht="12.75">
      <c r="A287" s="64"/>
      <c r="B287" s="65"/>
    </row>
    <row r="288" spans="1:2" ht="12.75">
      <c r="A288" s="64"/>
      <c r="B288" s="65"/>
    </row>
    <row r="289" spans="1:2" ht="12.75">
      <c r="A289" s="64"/>
      <c r="B289" s="65"/>
    </row>
    <row r="290" spans="1:2" ht="12.75">
      <c r="A290" s="64"/>
      <c r="B290" s="65"/>
    </row>
    <row r="291" spans="1:2" ht="12.75">
      <c r="A291" s="64"/>
      <c r="B291" s="65"/>
    </row>
    <row r="292" spans="1:2" ht="12.75">
      <c r="A292" s="64"/>
      <c r="B292" s="65"/>
    </row>
    <row r="293" spans="1:2" ht="12.75">
      <c r="A293" s="64"/>
      <c r="B293" s="65"/>
    </row>
    <row r="294" spans="1:2" ht="12.75">
      <c r="A294" s="64"/>
      <c r="B294" s="65"/>
    </row>
    <row r="295" spans="1:2" ht="12.75">
      <c r="A295" s="64"/>
      <c r="B295" s="65"/>
    </row>
    <row r="296" spans="1:2" ht="12.75">
      <c r="A296" s="64"/>
      <c r="B296" s="65"/>
    </row>
    <row r="297" spans="1:2" ht="12.75">
      <c r="A297" s="64"/>
      <c r="B297" s="65"/>
    </row>
    <row r="298" spans="1:2" ht="12.75">
      <c r="A298" s="64"/>
      <c r="B298" s="65"/>
    </row>
    <row r="299" spans="1:2" ht="12.75">
      <c r="A299" s="64"/>
      <c r="B299" s="65"/>
    </row>
    <row r="300" spans="1:2" ht="12.75">
      <c r="A300" s="64"/>
      <c r="B300" s="65"/>
    </row>
    <row r="301" spans="1:2" ht="12.75">
      <c r="A301" s="64"/>
      <c r="B301" s="65"/>
    </row>
    <row r="302" spans="1:2" ht="12.75">
      <c r="A302" s="64"/>
      <c r="B302" s="65"/>
    </row>
    <row r="303" spans="1:2" ht="12.75">
      <c r="A303" s="64"/>
      <c r="B303" s="65"/>
    </row>
    <row r="304" spans="1:2" ht="12.75">
      <c r="A304" s="64"/>
      <c r="B304" s="65"/>
    </row>
    <row r="305" spans="1:2" ht="12.75">
      <c r="A305" s="64"/>
      <c r="B305" s="65"/>
    </row>
    <row r="306" spans="1:2" ht="12.75">
      <c r="A306" s="64"/>
      <c r="B306" s="65"/>
    </row>
    <row r="307" spans="1:2" ht="12.75">
      <c r="A307" s="64"/>
      <c r="B307" s="65"/>
    </row>
    <row r="308" spans="1:2" ht="12.75">
      <c r="A308" s="64"/>
      <c r="B308" s="65"/>
    </row>
    <row r="309" spans="1:2" ht="12.75">
      <c r="A309" s="64"/>
      <c r="B309" s="65"/>
    </row>
    <row r="310" spans="1:2" ht="12.75">
      <c r="A310" s="64"/>
      <c r="B310" s="65"/>
    </row>
    <row r="311" spans="1:2" ht="12.75">
      <c r="A311" s="64"/>
      <c r="B311" s="65"/>
    </row>
    <row r="312" spans="1:2" ht="12.75">
      <c r="A312" s="64"/>
      <c r="B312" s="65"/>
    </row>
    <row r="313" spans="1:2" ht="12.75">
      <c r="A313" s="64"/>
      <c r="B313" s="65"/>
    </row>
    <row r="314" spans="1:2" ht="12.75">
      <c r="A314" s="64"/>
      <c r="B314" s="65"/>
    </row>
    <row r="315" spans="1:2" ht="12.75">
      <c r="A315" s="64"/>
      <c r="B315" s="65"/>
    </row>
    <row r="316" spans="1:2" ht="12.75">
      <c r="A316" s="64"/>
      <c r="B316" s="65"/>
    </row>
    <row r="317" spans="1:2" ht="12.75">
      <c r="A317" s="64"/>
      <c r="B317" s="65"/>
    </row>
    <row r="318" spans="1:2" ht="12.75">
      <c r="A318" s="64"/>
      <c r="B318" s="65"/>
    </row>
    <row r="319" spans="1:2" ht="12.75">
      <c r="A319" s="64"/>
      <c r="B319" s="65"/>
    </row>
    <row r="320" spans="1:2" ht="12.75">
      <c r="A320" s="64"/>
      <c r="B320" s="65"/>
    </row>
    <row r="321" spans="1:2" ht="12.75">
      <c r="A321" s="64"/>
      <c r="B321" s="65"/>
    </row>
    <row r="322" spans="1:2" ht="12.75">
      <c r="A322" s="64"/>
      <c r="B322" s="65"/>
    </row>
    <row r="323" spans="1:2" ht="12.75">
      <c r="A323" s="64"/>
      <c r="B323" s="65"/>
    </row>
    <row r="324" spans="1:2" ht="12.75">
      <c r="A324" s="64"/>
      <c r="B324" s="65"/>
    </row>
    <row r="325" spans="1:2" ht="12.75">
      <c r="A325" s="64"/>
      <c r="B325" s="65"/>
    </row>
    <row r="326" spans="1:2" ht="12.75">
      <c r="A326" s="64"/>
      <c r="B326" s="65"/>
    </row>
    <row r="327" spans="1:2" ht="12.75">
      <c r="A327" s="64"/>
      <c r="B327" s="65"/>
    </row>
    <row r="328" spans="1:2" ht="12.75">
      <c r="A328" s="64"/>
      <c r="B328" s="65"/>
    </row>
    <row r="329" spans="1:2" ht="12.75">
      <c r="A329" s="64"/>
      <c r="B329" s="65"/>
    </row>
    <row r="330" spans="1:2" ht="12.75">
      <c r="A330" s="64"/>
      <c r="B330" s="65"/>
    </row>
    <row r="331" spans="1:2" ht="12.75">
      <c r="A331" s="64"/>
      <c r="B331" s="65"/>
    </row>
    <row r="332" spans="1:2" ht="12.75">
      <c r="A332" s="64"/>
      <c r="B332" s="65"/>
    </row>
    <row r="333" spans="1:2" ht="12.75">
      <c r="A333" s="64"/>
      <c r="B333" s="65"/>
    </row>
    <row r="334" spans="1:2" ht="12.75">
      <c r="A334" s="64"/>
      <c r="B334" s="65"/>
    </row>
    <row r="335" spans="1:2" ht="12.75">
      <c r="A335" s="64"/>
      <c r="B335" s="65"/>
    </row>
    <row r="336" spans="1:2" ht="12.75">
      <c r="A336" s="64"/>
      <c r="B336" s="65"/>
    </row>
    <row r="337" spans="1:2" ht="12.75">
      <c r="A337" s="64"/>
      <c r="B337" s="65"/>
    </row>
    <row r="338" spans="1:2" ht="12.75">
      <c r="A338" s="64"/>
      <c r="B338" s="65"/>
    </row>
    <row r="339" spans="1:2" ht="12.75">
      <c r="A339" s="64"/>
      <c r="B339" s="65"/>
    </row>
    <row r="340" spans="1:2" ht="12.75">
      <c r="A340" s="64"/>
      <c r="B340" s="65"/>
    </row>
    <row r="341" spans="1:2" ht="12.75">
      <c r="A341" s="64"/>
      <c r="B341" s="65"/>
    </row>
    <row r="342" spans="1:2" ht="12.75">
      <c r="A342" s="64"/>
      <c r="B342" s="65"/>
    </row>
    <row r="343" spans="1:2" ht="12.75">
      <c r="A343" s="64"/>
      <c r="B343" s="65"/>
    </row>
    <row r="344" spans="1:2" ht="12.75">
      <c r="A344" s="64"/>
      <c r="B344" s="65"/>
    </row>
    <row r="345" spans="1:2" ht="12.75">
      <c r="A345" s="64"/>
      <c r="B345" s="65"/>
    </row>
    <row r="346" spans="1:2" ht="12.75">
      <c r="A346" s="64"/>
      <c r="B346" s="65"/>
    </row>
    <row r="347" spans="1:2" ht="12.75">
      <c r="A347" s="64"/>
      <c r="B347" s="65"/>
    </row>
    <row r="348" spans="1:2" ht="12.75">
      <c r="A348" s="64"/>
      <c r="B348" s="65"/>
    </row>
    <row r="349" spans="1:2" ht="12.75">
      <c r="A349" s="64"/>
      <c r="B349" s="65"/>
    </row>
    <row r="350" spans="1:2" ht="12.75">
      <c r="A350" s="64"/>
      <c r="B350" s="65"/>
    </row>
    <row r="351" spans="1:2" ht="12.75">
      <c r="A351" s="64"/>
      <c r="B351" s="65"/>
    </row>
    <row r="352" spans="1:2" ht="12.75">
      <c r="A352" s="64"/>
      <c r="B352" s="65"/>
    </row>
    <row r="353" spans="1:2" ht="12.75">
      <c r="A353" s="64"/>
      <c r="B353" s="65"/>
    </row>
    <row r="354" spans="1:2" ht="12.75">
      <c r="A354" s="64"/>
      <c r="B354" s="65"/>
    </row>
    <row r="355" spans="1:2" ht="12.75">
      <c r="A355" s="64"/>
      <c r="B355" s="65"/>
    </row>
    <row r="356" spans="1:2" ht="12.75">
      <c r="A356" s="64"/>
      <c r="B356" s="65"/>
    </row>
    <row r="357" spans="1:2" ht="12.75">
      <c r="A357" s="64"/>
      <c r="B357" s="65"/>
    </row>
    <row r="358" spans="1:2" ht="12.75">
      <c r="A358" s="64"/>
      <c r="B358" s="65"/>
    </row>
    <row r="359" spans="1:2" ht="12.75">
      <c r="A359" s="64"/>
      <c r="B359" s="65"/>
    </row>
    <row r="360" spans="1:2" ht="12.75">
      <c r="A360" s="64"/>
      <c r="B360" s="65"/>
    </row>
    <row r="361" spans="1:2" ht="12.75">
      <c r="A361" s="64"/>
      <c r="B361" s="65"/>
    </row>
    <row r="362" spans="1:2" ht="12.75">
      <c r="A362" s="64"/>
      <c r="B362" s="65"/>
    </row>
    <row r="363" spans="1:2" ht="12.75">
      <c r="A363" s="64"/>
      <c r="B363" s="65"/>
    </row>
    <row r="364" spans="1:2" ht="12.75">
      <c r="A364" s="64"/>
      <c r="B364" s="65"/>
    </row>
    <row r="365" spans="1:2" ht="12.75">
      <c r="A365" s="64"/>
      <c r="B365" s="65"/>
    </row>
    <row r="366" spans="1:2" ht="12.75">
      <c r="A366" s="64"/>
      <c r="B366" s="65"/>
    </row>
    <row r="367" spans="1:2" ht="12.75">
      <c r="A367" s="64"/>
      <c r="B367" s="65"/>
    </row>
    <row r="368" spans="1:2" ht="12.75">
      <c r="A368" s="64"/>
      <c r="B368" s="65"/>
    </row>
    <row r="369" spans="1:2" ht="12.75">
      <c r="A369" s="64"/>
      <c r="B369" s="65"/>
    </row>
    <row r="370" spans="1:2" ht="12.75">
      <c r="A370" s="64"/>
      <c r="B370" s="65"/>
    </row>
    <row r="371" spans="1:2" ht="12.75">
      <c r="A371" s="64"/>
      <c r="B371" s="65"/>
    </row>
    <row r="372" spans="1:2" ht="12.75">
      <c r="A372" s="64"/>
      <c r="B372" s="65"/>
    </row>
    <row r="373" spans="1:2" ht="12.75">
      <c r="A373" s="64"/>
      <c r="B373" s="65"/>
    </row>
    <row r="374" spans="1:2" ht="12.75">
      <c r="A374" s="64"/>
      <c r="B374" s="65"/>
    </row>
    <row r="375" spans="1:2" ht="12.75">
      <c r="A375" s="64"/>
      <c r="B375" s="65"/>
    </row>
    <row r="376" spans="1:2" ht="12.75">
      <c r="A376" s="64"/>
      <c r="B376" s="65"/>
    </row>
    <row r="377" spans="1:2" ht="12.75">
      <c r="A377" s="64"/>
      <c r="B377" s="65"/>
    </row>
    <row r="378" spans="1:2" ht="12.75">
      <c r="A378" s="64"/>
      <c r="B378" s="65"/>
    </row>
    <row r="379" spans="1:2" ht="12.75">
      <c r="A379" s="64"/>
      <c r="B379" s="65"/>
    </row>
    <row r="380" spans="1:2" ht="12.75">
      <c r="A380" s="64"/>
      <c r="B380" s="65"/>
    </row>
    <row r="381" spans="1:2" ht="12.75">
      <c r="A381" s="64"/>
      <c r="B381" s="65"/>
    </row>
    <row r="382" spans="1:2" ht="12.75">
      <c r="A382" s="64"/>
      <c r="B382" s="65"/>
    </row>
    <row r="383" spans="1:2" ht="12.75">
      <c r="A383" s="64"/>
      <c r="B383" s="65"/>
    </row>
    <row r="384" spans="1:2" ht="12.75">
      <c r="A384" s="64"/>
      <c r="B384" s="65"/>
    </row>
    <row r="385" spans="1:2" ht="12.75">
      <c r="A385" s="64"/>
      <c r="B385" s="65"/>
    </row>
    <row r="386" spans="1:2" ht="12.75">
      <c r="A386" s="64"/>
      <c r="B386" s="65"/>
    </row>
    <row r="387" spans="1:2" ht="12.75">
      <c r="A387" s="64"/>
      <c r="B387" s="65"/>
    </row>
    <row r="388" spans="1:2" ht="12.75">
      <c r="A388" s="64"/>
      <c r="B388" s="65"/>
    </row>
    <row r="389" spans="1:2" ht="12.75">
      <c r="A389" s="64"/>
      <c r="B389" s="65"/>
    </row>
    <row r="390" spans="1:2" ht="12.75">
      <c r="A390" s="64"/>
      <c r="B390" s="65"/>
    </row>
    <row r="391" spans="1:2" ht="12.75">
      <c r="A391" s="64"/>
      <c r="B391" s="65"/>
    </row>
    <row r="392" spans="1:2" ht="12.75">
      <c r="A392" s="64"/>
      <c r="B392" s="65"/>
    </row>
    <row r="393" spans="1:2" ht="12.75">
      <c r="A393" s="64"/>
      <c r="B393" s="65"/>
    </row>
    <row r="394" spans="1:2" ht="12.75">
      <c r="A394" s="64"/>
      <c r="B394" s="65"/>
    </row>
    <row r="395" spans="1:2" ht="12.75">
      <c r="A395" s="64"/>
      <c r="B395" s="65"/>
    </row>
    <row r="396" spans="1:2" ht="12.75">
      <c r="A396" s="64"/>
      <c r="B396" s="65"/>
    </row>
    <row r="397" spans="1:2" ht="12.75">
      <c r="A397" s="64"/>
      <c r="B397" s="65"/>
    </row>
    <row r="398" spans="1:2" ht="12.75">
      <c r="A398" s="64"/>
      <c r="B398" s="65"/>
    </row>
    <row r="399" spans="1:2" ht="12.75">
      <c r="A399" s="64"/>
      <c r="B399" s="65"/>
    </row>
    <row r="400" spans="1:2" ht="12.75">
      <c r="A400" s="64"/>
      <c r="B400" s="65"/>
    </row>
    <row r="401" spans="1:2" ht="12.75">
      <c r="A401" s="64"/>
      <c r="B401" s="65"/>
    </row>
    <row r="402" spans="1:2" ht="12.75">
      <c r="A402" s="64"/>
      <c r="B402" s="65"/>
    </row>
    <row r="403" spans="1:2" ht="12.75">
      <c r="A403" s="64"/>
      <c r="B403" s="65"/>
    </row>
    <row r="404" spans="1:2" ht="12.75">
      <c r="A404" s="64"/>
      <c r="B404" s="65"/>
    </row>
    <row r="405" spans="1:2" ht="12.75">
      <c r="A405" s="64"/>
      <c r="B405" s="65"/>
    </row>
    <row r="406" spans="1:2" ht="12.75">
      <c r="A406" s="64"/>
      <c r="B406" s="65"/>
    </row>
    <row r="407" spans="1:2" ht="12.75">
      <c r="A407" s="64"/>
      <c r="B407" s="65"/>
    </row>
    <row r="408" spans="1:2" ht="12.75">
      <c r="A408" s="64"/>
      <c r="B408" s="65"/>
    </row>
    <row r="409" spans="1:2" ht="12.75">
      <c r="A409" s="64"/>
      <c r="B409" s="65"/>
    </row>
    <row r="410" spans="1:2" ht="12.75">
      <c r="A410" s="64"/>
      <c r="B410" s="65"/>
    </row>
    <row r="411" spans="1:2" ht="12.75">
      <c r="A411" s="64"/>
      <c r="B411" s="65"/>
    </row>
    <row r="412" spans="1:2" ht="12.75">
      <c r="A412" s="64"/>
      <c r="B412" s="65"/>
    </row>
    <row r="413" spans="1:2" ht="12.75">
      <c r="A413" s="64"/>
      <c r="B413" s="65"/>
    </row>
    <row r="414" spans="1:2" ht="12.75">
      <c r="A414" s="64"/>
      <c r="B414" s="65"/>
    </row>
    <row r="415" spans="1:2" ht="12.75">
      <c r="A415" s="64"/>
      <c r="B415" s="65"/>
    </row>
    <row r="416" spans="1:2" ht="12.75">
      <c r="A416" s="64"/>
      <c r="B416" s="65"/>
    </row>
    <row r="417" spans="1:2" ht="12.75">
      <c r="A417" s="64"/>
      <c r="B417" s="65"/>
    </row>
    <row r="418" spans="1:2" ht="12.75">
      <c r="A418" s="64"/>
      <c r="B418" s="65"/>
    </row>
    <row r="419" spans="1:2" ht="12.75">
      <c r="A419" s="64"/>
      <c r="B419" s="65"/>
    </row>
    <row r="420" spans="1:2" ht="12.75">
      <c r="A420" s="64"/>
      <c r="B420" s="65"/>
    </row>
    <row r="421" spans="1:2" ht="12.75">
      <c r="A421" s="64"/>
      <c r="B421" s="65"/>
    </row>
    <row r="422" spans="1:2" ht="12.75">
      <c r="A422" s="64"/>
      <c r="B422" s="65"/>
    </row>
    <row r="423" spans="1:2" ht="12.75">
      <c r="A423" s="64"/>
      <c r="B423" s="65"/>
    </row>
    <row r="424" spans="1:2" ht="12.75">
      <c r="A424" s="64"/>
      <c r="B424" s="65"/>
    </row>
    <row r="425" spans="1:2" ht="12.75">
      <c r="A425" s="64"/>
      <c r="B425" s="65"/>
    </row>
    <row r="426" spans="1:2" ht="12.75">
      <c r="A426" s="64"/>
      <c r="B426" s="65"/>
    </row>
    <row r="427" spans="1:2" ht="12.75">
      <c r="A427" s="64"/>
      <c r="B427" s="65"/>
    </row>
    <row r="428" spans="1:2" ht="12.75">
      <c r="A428" s="64"/>
      <c r="B428" s="65"/>
    </row>
    <row r="429" spans="1:2" ht="12.75">
      <c r="A429" s="64"/>
      <c r="B429" s="65"/>
    </row>
    <row r="430" spans="1:2" ht="12.75">
      <c r="A430" s="64"/>
      <c r="B430" s="65"/>
    </row>
    <row r="431" spans="1:2" ht="12.75">
      <c r="A431" s="64"/>
      <c r="B431" s="65"/>
    </row>
    <row r="432" spans="1:2" ht="12.75">
      <c r="A432" s="64"/>
      <c r="B432" s="65"/>
    </row>
    <row r="433" spans="1:2" ht="12.75">
      <c r="A433" s="64"/>
      <c r="B433" s="65"/>
    </row>
    <row r="434" spans="1:2" ht="12.75">
      <c r="A434" s="64"/>
      <c r="B434" s="65"/>
    </row>
    <row r="435" spans="1:2" ht="12.75">
      <c r="A435" s="64"/>
      <c r="B435" s="65"/>
    </row>
    <row r="436" spans="1:2" ht="12.75">
      <c r="A436" s="64"/>
      <c r="B436" s="65"/>
    </row>
    <row r="437" spans="1:2" ht="12.75">
      <c r="A437" s="64"/>
      <c r="B437" s="65"/>
    </row>
    <row r="438" spans="1:2" ht="12.75">
      <c r="A438" s="64"/>
      <c r="B438" s="65"/>
    </row>
    <row r="439" spans="1:2" ht="12.75">
      <c r="A439" s="64"/>
      <c r="B439" s="65"/>
    </row>
    <row r="440" spans="1:2" ht="12.75">
      <c r="A440" s="64"/>
      <c r="B440" s="65"/>
    </row>
    <row r="441" spans="1:2" ht="12.75">
      <c r="A441" s="64"/>
      <c r="B441" s="65"/>
    </row>
    <row r="442" spans="1:2" ht="12.75">
      <c r="A442" s="64"/>
      <c r="B442" s="65"/>
    </row>
    <row r="443" spans="1:2" ht="12.75">
      <c r="A443" s="64"/>
      <c r="B443" s="65"/>
    </row>
    <row r="444" spans="1:2" ht="12.75">
      <c r="A444" s="64"/>
      <c r="B444" s="65"/>
    </row>
    <row r="445" spans="1:2" ht="12.75">
      <c r="A445" s="64"/>
      <c r="B445" s="65"/>
    </row>
    <row r="446" spans="1:2" ht="12.75">
      <c r="A446" s="64"/>
      <c r="B446" s="65"/>
    </row>
    <row r="447" spans="1:2" ht="12.75">
      <c r="A447" s="64"/>
      <c r="B447" s="65"/>
    </row>
    <row r="448" spans="1:2" ht="12.75">
      <c r="A448" s="64"/>
      <c r="B448" s="65"/>
    </row>
    <row r="449" spans="1:2" ht="12.75">
      <c r="A449" s="64"/>
      <c r="B449" s="65"/>
    </row>
    <row r="450" spans="1:2" ht="12.75">
      <c r="A450" s="64"/>
      <c r="B450" s="65"/>
    </row>
    <row r="451" spans="1:2" ht="12.75">
      <c r="A451" s="64"/>
      <c r="B451" s="65"/>
    </row>
    <row r="452" spans="1:2" ht="12.75">
      <c r="A452" s="64"/>
      <c r="B452" s="65"/>
    </row>
    <row r="453" spans="1:2" ht="12.75">
      <c r="A453" s="64"/>
      <c r="B453" s="65"/>
    </row>
    <row r="454" spans="1:2" ht="12.75">
      <c r="A454" s="64"/>
      <c r="B454" s="65"/>
    </row>
    <row r="455" spans="1:2" ht="12.75">
      <c r="A455" s="64"/>
      <c r="B455" s="65"/>
    </row>
    <row r="456" spans="1:2" ht="12.75">
      <c r="A456" s="64"/>
      <c r="B456" s="65"/>
    </row>
    <row r="457" spans="1:2" ht="12.75">
      <c r="A457" s="64"/>
      <c r="B457" s="65"/>
    </row>
    <row r="458" spans="1:2" ht="12.75">
      <c r="A458" s="64"/>
      <c r="B458" s="65"/>
    </row>
    <row r="459" spans="1:2" ht="12.75">
      <c r="A459" s="64"/>
      <c r="B459" s="65"/>
    </row>
    <row r="460" spans="1:2" ht="12.75">
      <c r="A460" s="64"/>
      <c r="B460" s="65"/>
    </row>
    <row r="461" spans="1:2" ht="12.75">
      <c r="A461" s="64"/>
      <c r="B461" s="65"/>
    </row>
    <row r="462" spans="1:2" ht="12.75">
      <c r="A462" s="64"/>
      <c r="B462" s="65"/>
    </row>
    <row r="463" spans="1:2" ht="12.75">
      <c r="A463" s="64"/>
      <c r="B463" s="65"/>
    </row>
    <row r="464" spans="1:2" ht="12.75">
      <c r="A464" s="64"/>
      <c r="B464" s="65"/>
    </row>
    <row r="465" spans="1:2" ht="12.75">
      <c r="A465" s="64"/>
      <c r="B465" s="65"/>
    </row>
    <row r="466" spans="1:2" ht="12.75">
      <c r="A466" s="64"/>
      <c r="B466" s="65"/>
    </row>
    <row r="467" spans="1:2" ht="12.75">
      <c r="A467" s="64"/>
      <c r="B467" s="65"/>
    </row>
    <row r="468" spans="1:2" ht="12.75">
      <c r="A468" s="64"/>
      <c r="B468" s="65"/>
    </row>
    <row r="469" spans="1:2" ht="12.75">
      <c r="A469" s="64"/>
      <c r="B469" s="65"/>
    </row>
    <row r="470" spans="1:2" ht="12.75">
      <c r="A470" s="64"/>
      <c r="B470" s="65"/>
    </row>
    <row r="471" spans="1:2" ht="12.75">
      <c r="A471" s="64"/>
      <c r="B471" s="65"/>
    </row>
    <row r="472" spans="1:2" ht="12.75">
      <c r="A472" s="64"/>
      <c r="B472" s="65"/>
    </row>
    <row r="473" spans="1:2" ht="12.75">
      <c r="A473" s="64"/>
      <c r="B473" s="65"/>
    </row>
    <row r="474" spans="1:2" ht="12.75">
      <c r="A474" s="64"/>
      <c r="B474" s="65"/>
    </row>
    <row r="475" spans="1:2" ht="12.75">
      <c r="A475" s="64"/>
      <c r="B475" s="65"/>
    </row>
    <row r="476" spans="1:2" ht="12.75">
      <c r="A476" s="64"/>
      <c r="B476" s="65"/>
    </row>
    <row r="477" spans="1:2" ht="12.75">
      <c r="A477" s="64"/>
      <c r="B477" s="65"/>
    </row>
    <row r="478" spans="1:2" ht="12.75">
      <c r="A478" s="64"/>
      <c r="B478" s="65"/>
    </row>
    <row r="479" spans="1:2" ht="12.75">
      <c r="A479" s="64"/>
      <c r="B479" s="65"/>
    </row>
    <row r="480" spans="1:2" ht="12.75">
      <c r="A480" s="64"/>
      <c r="B480" s="65"/>
    </row>
    <row r="481" spans="1:2" ht="12.75">
      <c r="A481" s="64"/>
      <c r="B481" s="65"/>
    </row>
    <row r="482" spans="1:2" ht="12.75">
      <c r="A482" s="64"/>
      <c r="B482" s="65"/>
    </row>
    <row r="483" spans="1:2" ht="12.75">
      <c r="A483" s="64"/>
      <c r="B483" s="65"/>
    </row>
    <row r="484" spans="1:2" ht="12.75">
      <c r="A484" s="64"/>
      <c r="B484" s="65"/>
    </row>
    <row r="485" spans="1:2" ht="12.75">
      <c r="A485" s="64"/>
      <c r="B485" s="65"/>
    </row>
    <row r="486" spans="1:2" ht="12.75">
      <c r="A486" s="64"/>
      <c r="B486" s="65"/>
    </row>
    <row r="487" spans="1:2" ht="12.75">
      <c r="A487" s="64"/>
      <c r="B487" s="65"/>
    </row>
    <row r="488" spans="1:2" ht="12.75">
      <c r="A488" s="64"/>
      <c r="B488" s="65"/>
    </row>
    <row r="489" spans="1:2" ht="12.75">
      <c r="A489" s="64"/>
      <c r="B489" s="65"/>
    </row>
    <row r="490" spans="1:2" ht="12.75">
      <c r="A490" s="64"/>
      <c r="B490" s="65"/>
    </row>
    <row r="491" spans="1:2" ht="12.75">
      <c r="A491" s="64"/>
      <c r="B491" s="65"/>
    </row>
    <row r="492" spans="1:2" ht="12.75">
      <c r="A492" s="64"/>
      <c r="B492" s="65"/>
    </row>
    <row r="493" spans="1:2" ht="12.75">
      <c r="A493" s="64"/>
      <c r="B493" s="65"/>
    </row>
    <row r="494" spans="1:2" ht="12.75">
      <c r="A494" s="64"/>
      <c r="B494" s="65"/>
    </row>
    <row r="495" spans="1:2" ht="12.75">
      <c r="A495" s="64"/>
      <c r="B495" s="65"/>
    </row>
    <row r="496" spans="1:2" ht="12.75">
      <c r="A496" s="64"/>
      <c r="B496" s="65"/>
    </row>
    <row r="497" spans="1:2" ht="12.75">
      <c r="A497" s="64"/>
      <c r="B497" s="65"/>
    </row>
    <row r="498" spans="1:2" ht="12.75">
      <c r="A498" s="64"/>
      <c r="B498" s="65"/>
    </row>
    <row r="499" spans="1:2" ht="12.75">
      <c r="A499" s="64"/>
      <c r="B499" s="65"/>
    </row>
    <row r="500" spans="1:2" ht="12.75">
      <c r="A500" s="64"/>
      <c r="B500" s="65"/>
    </row>
    <row r="501" spans="1:2" ht="12.75">
      <c r="A501" s="64"/>
      <c r="B501" s="65"/>
    </row>
    <row r="502" spans="1:2" ht="12.75">
      <c r="A502" s="64"/>
      <c r="B502" s="65"/>
    </row>
    <row r="503" spans="1:2" ht="12.75">
      <c r="A503" s="64"/>
      <c r="B503" s="65"/>
    </row>
    <row r="504" spans="1:2" ht="12.75">
      <c r="A504" s="64"/>
      <c r="B504" s="65"/>
    </row>
    <row r="505" spans="1:2" ht="12.75">
      <c r="A505" s="64"/>
      <c r="B505" s="65"/>
    </row>
    <row r="506" spans="1:2" ht="12.75">
      <c r="A506" s="64"/>
      <c r="B506" s="65"/>
    </row>
    <row r="507" spans="1:2" ht="12.75">
      <c r="A507" s="64"/>
      <c r="B507" s="65"/>
    </row>
    <row r="508" spans="1:2" ht="12.75">
      <c r="A508" s="64"/>
      <c r="B508" s="65"/>
    </row>
    <row r="509" spans="1:2" ht="12.75">
      <c r="A509" s="64"/>
      <c r="B509" s="65"/>
    </row>
    <row r="510" spans="1:2" ht="12.75">
      <c r="A510" s="64"/>
      <c r="B510" s="65"/>
    </row>
    <row r="511" spans="1:2" ht="12.75">
      <c r="A511" s="64"/>
      <c r="B511" s="65"/>
    </row>
    <row r="512" spans="1:2" ht="12.75">
      <c r="A512" s="64"/>
      <c r="B512" s="65"/>
    </row>
    <row r="513" spans="1:2" ht="12.75">
      <c r="A513" s="64"/>
      <c r="B513" s="65"/>
    </row>
    <row r="514" spans="1:2" ht="12.75">
      <c r="A514" s="64"/>
      <c r="B514" s="65"/>
    </row>
    <row r="515" spans="1:2" ht="12.75">
      <c r="A515" s="64"/>
      <c r="B515" s="65"/>
    </row>
    <row r="516" spans="1:2" ht="12.75">
      <c r="A516" s="64"/>
      <c r="B516" s="65"/>
    </row>
    <row r="517" spans="1:2" ht="12.75">
      <c r="A517" s="64"/>
      <c r="B517" s="65"/>
    </row>
    <row r="518" spans="1:2" ht="12.75">
      <c r="A518" s="64"/>
      <c r="B518" s="65"/>
    </row>
    <row r="519" spans="1:2" ht="12.75">
      <c r="A519" s="64"/>
      <c r="B519" s="65"/>
    </row>
    <row r="520" spans="1:2" ht="12.75">
      <c r="A520" s="64"/>
      <c r="B520" s="65"/>
    </row>
    <row r="521" spans="1:2" ht="12.75">
      <c r="A521" s="64"/>
      <c r="B521" s="65"/>
    </row>
    <row r="522" spans="1:2" ht="12.75">
      <c r="A522" s="64"/>
      <c r="B522" s="65"/>
    </row>
    <row r="523" spans="1:2" ht="12.75">
      <c r="A523" s="64"/>
      <c r="B523" s="65"/>
    </row>
    <row r="524" spans="1:2" ht="12.75">
      <c r="A524" s="64"/>
      <c r="B524" s="65"/>
    </row>
    <row r="525" spans="1:2" ht="12.75">
      <c r="A525" s="64"/>
      <c r="B525" s="65"/>
    </row>
    <row r="526" spans="1:2" ht="12.75">
      <c r="A526" s="64"/>
      <c r="B526" s="65"/>
    </row>
    <row r="527" spans="1:2" ht="12.75">
      <c r="A527" s="64"/>
      <c r="B527" s="65"/>
    </row>
    <row r="528" spans="1:2" ht="12.75">
      <c r="A528" s="64"/>
      <c r="B528" s="65"/>
    </row>
    <row r="529" spans="1:2" ht="12.75">
      <c r="A529" s="64"/>
      <c r="B529" s="65"/>
    </row>
    <row r="530" spans="1:2" ht="12.75">
      <c r="A530" s="64"/>
      <c r="B530" s="65"/>
    </row>
    <row r="531" spans="1:2" ht="12.75">
      <c r="A531" s="64"/>
      <c r="B531" s="65"/>
    </row>
    <row r="532" spans="1:2" ht="12.75">
      <c r="A532" s="64"/>
      <c r="B532" s="65"/>
    </row>
    <row r="533" spans="1:2" ht="12.75">
      <c r="A533" s="64"/>
      <c r="B533" s="65"/>
    </row>
    <row r="534" spans="1:2" ht="12.75">
      <c r="A534" s="64"/>
      <c r="B534" s="65"/>
    </row>
    <row r="535" spans="1:2" ht="12.75">
      <c r="A535" s="64"/>
      <c r="B535" s="65"/>
    </row>
    <row r="536" spans="1:2" ht="12.75">
      <c r="A536" s="64"/>
      <c r="B536" s="65"/>
    </row>
    <row r="537" spans="1:2" ht="12.75">
      <c r="A537" s="64"/>
      <c r="B537" s="65"/>
    </row>
    <row r="538" spans="1:2" ht="12.75">
      <c r="A538" s="64"/>
      <c r="B538" s="65"/>
    </row>
    <row r="539" spans="1:2" ht="12.75">
      <c r="A539" s="64"/>
      <c r="B539" s="65"/>
    </row>
    <row r="540" spans="1:2" ht="12.75">
      <c r="A540" s="64"/>
      <c r="B540" s="65"/>
    </row>
    <row r="541" spans="1:2" ht="12.75">
      <c r="A541" s="64"/>
      <c r="B541" s="65"/>
    </row>
    <row r="542" spans="1:2" ht="12.75">
      <c r="A542" s="64"/>
      <c r="B542" s="65"/>
    </row>
    <row r="543" spans="1:2" ht="12.75">
      <c r="A543" s="64"/>
      <c r="B543" s="65"/>
    </row>
    <row r="544" spans="1:2" ht="12.75">
      <c r="A544" s="64"/>
      <c r="B544" s="65"/>
    </row>
    <row r="545" spans="1:2" ht="12.75">
      <c r="A545" s="64"/>
      <c r="B545" s="65"/>
    </row>
    <row r="546" spans="1:2" ht="12.75">
      <c r="A546" s="64"/>
      <c r="B546" s="65"/>
    </row>
    <row r="547" spans="1:2" ht="12.75">
      <c r="A547" s="64"/>
      <c r="B547" s="65"/>
    </row>
    <row r="548" spans="1:2" ht="12.75">
      <c r="A548" s="64"/>
      <c r="B548" s="65"/>
    </row>
    <row r="549" spans="1:2" ht="12.75">
      <c r="A549" s="64"/>
      <c r="B549" s="65"/>
    </row>
    <row r="550" spans="1:2" ht="12.75">
      <c r="A550" s="64"/>
      <c r="B550" s="65"/>
    </row>
    <row r="551" spans="1:2" ht="12.75">
      <c r="A551" s="64"/>
      <c r="B551" s="65"/>
    </row>
    <row r="552" spans="1:2" ht="12.75">
      <c r="A552" s="64"/>
      <c r="B552" s="65"/>
    </row>
    <row r="553" spans="1:2" ht="12.75">
      <c r="A553" s="64"/>
      <c r="B553" s="65"/>
    </row>
    <row r="554" spans="1:2" ht="12.75">
      <c r="A554" s="64"/>
      <c r="B554" s="65"/>
    </row>
    <row r="555" spans="1:2" ht="12.75">
      <c r="A555" s="64"/>
      <c r="B555" s="65"/>
    </row>
    <row r="556" spans="1:2" ht="12.75">
      <c r="A556" s="64"/>
      <c r="B556" s="65"/>
    </row>
    <row r="557" spans="1:2" ht="12.75">
      <c r="A557" s="64"/>
      <c r="B557" s="65"/>
    </row>
    <row r="558" spans="1:2" ht="12.75">
      <c r="A558" s="64"/>
      <c r="B558" s="65"/>
    </row>
    <row r="559" spans="1:2" ht="12.75">
      <c r="A559" s="64"/>
      <c r="B559" s="65"/>
    </row>
    <row r="560" spans="1:2" ht="12.75">
      <c r="A560" s="64"/>
      <c r="B560" s="65"/>
    </row>
    <row r="561" spans="1:2" ht="12.75">
      <c r="A561" s="64"/>
      <c r="B561" s="65"/>
    </row>
    <row r="562" spans="1:2" ht="12.75">
      <c r="A562" s="64"/>
      <c r="B562" s="65"/>
    </row>
    <row r="563" spans="1:2" ht="12.75">
      <c r="A563" s="64"/>
      <c r="B563" s="65"/>
    </row>
    <row r="564" spans="1:2" ht="12.75">
      <c r="A564" s="64"/>
      <c r="B564" s="65"/>
    </row>
    <row r="565" spans="1:2" ht="12.75">
      <c r="A565" s="64"/>
      <c r="B565" s="65"/>
    </row>
    <row r="566" spans="1:2" ht="12.75">
      <c r="A566" s="64"/>
      <c r="B566" s="65"/>
    </row>
    <row r="567" spans="1:2" ht="12.75">
      <c r="A567" s="64"/>
      <c r="B567" s="65"/>
    </row>
    <row r="568" spans="1:2" ht="12.75">
      <c r="A568" s="64"/>
      <c r="B568" s="65"/>
    </row>
    <row r="569" spans="1:2" ht="12.75">
      <c r="A569" s="64"/>
      <c r="B569" s="65"/>
    </row>
    <row r="570" spans="1:2" ht="12.75">
      <c r="A570" s="64"/>
      <c r="B570" s="65"/>
    </row>
    <row r="571" spans="1:2" ht="12.75">
      <c r="A571" s="64"/>
      <c r="B571" s="65"/>
    </row>
    <row r="572" spans="1:2" ht="12.75">
      <c r="A572" s="64"/>
      <c r="B572" s="65"/>
    </row>
    <row r="573" spans="1:2" ht="12.75">
      <c r="A573" s="64"/>
      <c r="B573" s="65"/>
    </row>
    <row r="574" spans="1:2" ht="12.75">
      <c r="A574" s="64"/>
      <c r="B574" s="65"/>
    </row>
    <row r="575" spans="1:2" ht="12.75">
      <c r="A575" s="64"/>
      <c r="B575" s="65"/>
    </row>
    <row r="576" spans="1:2" ht="12.75">
      <c r="A576" s="64"/>
      <c r="B576" s="65"/>
    </row>
    <row r="577" spans="1:2" ht="12.75">
      <c r="A577" s="64"/>
      <c r="B577" s="65"/>
    </row>
    <row r="578" spans="1:2" ht="12.75">
      <c r="A578" s="64"/>
      <c r="B578" s="65"/>
    </row>
    <row r="579" spans="1:2" ht="12.75">
      <c r="A579" s="64"/>
      <c r="B579" s="65"/>
    </row>
    <row r="580" spans="1:2" ht="12.75">
      <c r="A580" s="64"/>
      <c r="B580" s="65"/>
    </row>
    <row r="581" spans="1:2" ht="12.75">
      <c r="A581" s="64"/>
      <c r="B581" s="65"/>
    </row>
    <row r="582" spans="1:2" ht="12.75">
      <c r="A582" s="64"/>
      <c r="B582" s="65"/>
    </row>
    <row r="583" spans="1:2" ht="12.75">
      <c r="A583" s="64"/>
      <c r="B583" s="65"/>
    </row>
    <row r="584" spans="1:2" ht="12.75">
      <c r="A584" s="64"/>
      <c r="B584" s="65"/>
    </row>
    <row r="585" spans="1:2" ht="12.75">
      <c r="A585" s="64"/>
      <c r="B585" s="65"/>
    </row>
    <row r="586" spans="1:2" ht="12.75">
      <c r="A586" s="64"/>
      <c r="B586" s="65"/>
    </row>
    <row r="587" spans="1:2" ht="12.75">
      <c r="A587" s="64"/>
      <c r="B587" s="65"/>
    </row>
    <row r="588" spans="1:2" ht="12.75">
      <c r="A588" s="64"/>
      <c r="B588" s="65"/>
    </row>
    <row r="589" spans="1:2" ht="12.75">
      <c r="A589" s="64"/>
      <c r="B589" s="65"/>
    </row>
    <row r="590" spans="1:2" ht="12.75">
      <c r="A590" s="64"/>
      <c r="B590" s="65"/>
    </row>
    <row r="591" spans="1:2" ht="12.75">
      <c r="A591" s="64"/>
      <c r="B591" s="65"/>
    </row>
    <row r="592" spans="1:2" ht="12.75">
      <c r="A592" s="64"/>
      <c r="B592" s="65"/>
    </row>
    <row r="593" spans="1:2" ht="12.75">
      <c r="A593" s="64"/>
      <c r="B593" s="65"/>
    </row>
    <row r="594" spans="1:2" ht="12.75">
      <c r="A594" s="64"/>
      <c r="B594" s="65"/>
    </row>
    <row r="595" spans="1:2" ht="12.75">
      <c r="A595" s="64"/>
      <c r="B595" s="65"/>
    </row>
    <row r="596" spans="1:2" ht="12.75">
      <c r="A596" s="64"/>
      <c r="B596" s="65"/>
    </row>
    <row r="597" spans="1:2" ht="12.75">
      <c r="A597" s="64"/>
      <c r="B597" s="65"/>
    </row>
    <row r="598" spans="1:2" ht="12.75">
      <c r="A598" s="64"/>
      <c r="B598" s="65"/>
    </row>
    <row r="599" spans="1:2" ht="12.75">
      <c r="A599" s="64"/>
      <c r="B599" s="65"/>
    </row>
    <row r="600" spans="1:2" ht="12.75">
      <c r="A600" s="64"/>
      <c r="B600" s="65"/>
    </row>
    <row r="601" spans="1:2" ht="12.75">
      <c r="A601" s="64"/>
      <c r="B601" s="65"/>
    </row>
    <row r="602" spans="1:2" ht="12.75">
      <c r="A602" s="64"/>
      <c r="B602" s="65"/>
    </row>
    <row r="603" spans="1:2" ht="12.75">
      <c r="A603" s="64"/>
      <c r="B603" s="65"/>
    </row>
    <row r="604" spans="1:2" ht="12.75">
      <c r="A604" s="64"/>
      <c r="B604" s="65"/>
    </row>
    <row r="605" spans="1:2" ht="12.75">
      <c r="A605" s="64"/>
      <c r="B605" s="65"/>
    </row>
    <row r="606" spans="1:2" ht="12.75">
      <c r="A606" s="64"/>
      <c r="B606" s="65"/>
    </row>
    <row r="607" spans="1:2" ht="12.75">
      <c r="A607" s="64"/>
      <c r="B607" s="65"/>
    </row>
    <row r="608" spans="1:2" ht="12.75">
      <c r="A608" s="64"/>
      <c r="B608" s="65"/>
    </row>
    <row r="609" spans="1:2" ht="12.75">
      <c r="A609" s="64"/>
      <c r="B609" s="65"/>
    </row>
    <row r="610" spans="1:2" ht="12.75">
      <c r="A610" s="64"/>
      <c r="B610" s="65"/>
    </row>
    <row r="611" spans="1:2" ht="12.75">
      <c r="A611" s="64"/>
      <c r="B611" s="65"/>
    </row>
    <row r="612" spans="1:2" ht="12.75">
      <c r="A612" s="64"/>
      <c r="B612" s="65"/>
    </row>
    <row r="613" spans="1:2" ht="12.75">
      <c r="A613" s="64"/>
      <c r="B613" s="65"/>
    </row>
    <row r="614" spans="1:2" ht="12.75">
      <c r="A614" s="64"/>
      <c r="B614" s="65"/>
    </row>
    <row r="615" spans="1:2" ht="12.75">
      <c r="A615" s="64"/>
      <c r="B615" s="65"/>
    </row>
    <row r="616" spans="1:2" ht="12.75">
      <c r="A616" s="64"/>
      <c r="B616" s="65"/>
    </row>
    <row r="617" spans="1:2" ht="12.75">
      <c r="A617" s="64"/>
      <c r="B617" s="65"/>
    </row>
    <row r="618" spans="1:2" ht="12.75">
      <c r="A618" s="64"/>
      <c r="B618" s="65"/>
    </row>
    <row r="619" spans="1:2" ht="12.75">
      <c r="A619" s="64"/>
      <c r="B619" s="65"/>
    </row>
    <row r="620" spans="1:2" ht="12.75">
      <c r="A620" s="64"/>
      <c r="B620" s="65"/>
    </row>
    <row r="621" spans="1:2" ht="12.75">
      <c r="A621" s="64"/>
      <c r="B621" s="65"/>
    </row>
    <row r="622" spans="1:2" ht="12.75">
      <c r="A622" s="64"/>
      <c r="B622" s="65"/>
    </row>
    <row r="623" spans="1:2" ht="12.75">
      <c r="A623" s="64"/>
      <c r="B623" s="65"/>
    </row>
    <row r="624" spans="1:2" ht="12.75">
      <c r="A624" s="64"/>
      <c r="B624" s="65"/>
    </row>
    <row r="625" spans="1:2" ht="12.75">
      <c r="A625" s="64"/>
      <c r="B625" s="65"/>
    </row>
    <row r="626" spans="1:2" ht="12.75">
      <c r="A626" s="64"/>
      <c r="B626" s="65"/>
    </row>
    <row r="627" spans="1:2" ht="12.75">
      <c r="A627" s="64"/>
      <c r="B627" s="65"/>
    </row>
    <row r="628" spans="1:2" ht="12.75">
      <c r="A628" s="64"/>
      <c r="B628" s="65"/>
    </row>
    <row r="629" spans="1:2" ht="12.75">
      <c r="A629" s="64"/>
      <c r="B629" s="65"/>
    </row>
    <row r="630" spans="1:2" ht="12.75">
      <c r="A630" s="64"/>
      <c r="B630" s="65"/>
    </row>
    <row r="631" spans="1:2" ht="12.75">
      <c r="A631" s="64"/>
      <c r="B631" s="65"/>
    </row>
    <row r="632" spans="1:2" ht="12.75">
      <c r="A632" s="64"/>
      <c r="B632" s="65"/>
    </row>
    <row r="633" spans="1:2" ht="12.75">
      <c r="A633" s="64"/>
      <c r="B633" s="65"/>
    </row>
    <row r="634" spans="1:2" ht="12.75">
      <c r="A634" s="64"/>
      <c r="B634" s="65"/>
    </row>
    <row r="635" spans="1:2" ht="12.75">
      <c r="A635" s="64"/>
      <c r="B635" s="65"/>
    </row>
    <row r="636" spans="1:2" ht="12.75">
      <c r="A636" s="64"/>
      <c r="B636" s="65"/>
    </row>
    <row r="637" spans="1:2" ht="12.75">
      <c r="A637" s="64"/>
      <c r="B637" s="65"/>
    </row>
    <row r="638" spans="1:2" ht="12.75">
      <c r="A638" s="64"/>
      <c r="B638" s="65"/>
    </row>
    <row r="639" spans="1:2" ht="12.75">
      <c r="A639" s="64"/>
      <c r="B639" s="65"/>
    </row>
    <row r="640" spans="1:2" ht="12.75">
      <c r="A640" s="64"/>
      <c r="B640" s="65"/>
    </row>
    <row r="641" spans="1:2" ht="12.75">
      <c r="A641" s="64"/>
      <c r="B641" s="65"/>
    </row>
    <row r="642" spans="1:2" ht="12.75">
      <c r="A642" s="64"/>
      <c r="B642" s="65"/>
    </row>
    <row r="643" spans="1:2" ht="12.75">
      <c r="A643" s="64"/>
      <c r="B643" s="65"/>
    </row>
    <row r="644" spans="1:2" ht="12.75">
      <c r="A644" s="64"/>
      <c r="B644" s="65"/>
    </row>
    <row r="645" spans="1:2" ht="12.75">
      <c r="A645" s="64"/>
      <c r="B645" s="65"/>
    </row>
    <row r="646" spans="1:2" ht="12.75">
      <c r="A646" s="64"/>
      <c r="B646" s="65"/>
    </row>
    <row r="647" spans="1:2" ht="12.75">
      <c r="A647" s="64"/>
      <c r="B647" s="65"/>
    </row>
    <row r="648" spans="1:2" ht="12.75">
      <c r="A648" s="64"/>
      <c r="B648" s="65"/>
    </row>
    <row r="649" spans="1:2" ht="12.75">
      <c r="A649" s="64"/>
      <c r="B649" s="65"/>
    </row>
    <row r="650" spans="1:2" ht="12.75">
      <c r="A650" s="64"/>
      <c r="B650" s="65"/>
    </row>
    <row r="651" spans="1:2" ht="12.75">
      <c r="A651" s="64"/>
      <c r="B651" s="65"/>
    </row>
    <row r="652" spans="1:2" ht="12.75">
      <c r="A652" s="64"/>
      <c r="B652" s="65"/>
    </row>
    <row r="653" spans="1:2" ht="12.75">
      <c r="A653" s="64"/>
      <c r="B653" s="65"/>
    </row>
    <row r="654" spans="1:2" ht="12.75">
      <c r="A654" s="64"/>
      <c r="B654" s="65"/>
    </row>
    <row r="655" spans="1:2" ht="12.75">
      <c r="A655" s="64"/>
      <c r="B655" s="65"/>
    </row>
    <row r="656" spans="1:2" ht="12.75">
      <c r="A656" s="64"/>
      <c r="B656" s="65"/>
    </row>
    <row r="657" spans="1:2" ht="12.75">
      <c r="A657" s="64"/>
      <c r="B657" s="65"/>
    </row>
    <row r="658" spans="1:2" ht="12.75">
      <c r="A658" s="64"/>
      <c r="B658" s="65"/>
    </row>
    <row r="659" spans="1:2" ht="12.75">
      <c r="A659" s="64"/>
      <c r="B659" s="65"/>
    </row>
    <row r="660" spans="1:2" ht="12.75">
      <c r="A660" s="64"/>
      <c r="B660" s="65"/>
    </row>
    <row r="661" spans="1:2" ht="12.75">
      <c r="A661" s="64"/>
      <c r="B661" s="65"/>
    </row>
    <row r="662" spans="1:2" ht="12.75">
      <c r="A662" s="64"/>
      <c r="B662" s="65"/>
    </row>
    <row r="663" spans="1:2" ht="12.75">
      <c r="A663" s="64"/>
      <c r="B663" s="65"/>
    </row>
    <row r="664" spans="1:2" ht="12.75">
      <c r="A664" s="64"/>
      <c r="B664" s="65"/>
    </row>
    <row r="665" spans="1:2" ht="12.75">
      <c r="A665" s="64"/>
      <c r="B665" s="65"/>
    </row>
    <row r="666" spans="1:2" ht="12.75">
      <c r="A666" s="64"/>
      <c r="B666" s="65"/>
    </row>
    <row r="667" spans="1:2" ht="12.75">
      <c r="A667" s="64"/>
      <c r="B667" s="65"/>
    </row>
    <row r="668" spans="1:2" ht="12.75">
      <c r="A668" s="64"/>
      <c r="B668" s="65"/>
    </row>
    <row r="669" spans="1:2" ht="12.75">
      <c r="A669" s="64"/>
      <c r="B669" s="65"/>
    </row>
    <row r="670" spans="1:2" ht="12.75">
      <c r="A670" s="64"/>
      <c r="B670" s="65"/>
    </row>
    <row r="671" spans="1:2" ht="12.75">
      <c r="A671" s="64"/>
      <c r="B671" s="65"/>
    </row>
    <row r="672" spans="1:2" ht="12.75">
      <c r="A672" s="64"/>
      <c r="B672" s="65"/>
    </row>
    <row r="673" spans="1:2" ht="12.75">
      <c r="A673" s="64"/>
      <c r="B673" s="65"/>
    </row>
    <row r="674" spans="1:2" ht="12.75">
      <c r="A674" s="64"/>
      <c r="B674" s="65"/>
    </row>
    <row r="675" spans="1:2" ht="12.75">
      <c r="A675" s="64"/>
      <c r="B675" s="65"/>
    </row>
    <row r="676" spans="1:2" ht="12.75">
      <c r="A676" s="64"/>
      <c r="B676" s="65"/>
    </row>
    <row r="677" spans="1:2" ht="12.75">
      <c r="A677" s="64"/>
      <c r="B677" s="65"/>
    </row>
    <row r="678" spans="1:2" ht="12.75">
      <c r="A678" s="64"/>
      <c r="B678" s="65"/>
    </row>
    <row r="679" spans="1:2" ht="12.75">
      <c r="A679" s="64"/>
      <c r="B679" s="65"/>
    </row>
    <row r="680" spans="1:2" ht="12.75">
      <c r="A680" s="64"/>
      <c r="B680" s="65"/>
    </row>
    <row r="681" spans="1:2" ht="12.75">
      <c r="A681" s="64"/>
      <c r="B681" s="65"/>
    </row>
    <row r="682" spans="1:2" ht="12.75">
      <c r="A682" s="64"/>
      <c r="B682" s="65"/>
    </row>
    <row r="683" spans="1:2" ht="12.75">
      <c r="A683" s="64"/>
      <c r="B683" s="65"/>
    </row>
    <row r="684" spans="1:2" ht="12.75">
      <c r="A684" s="64"/>
      <c r="B684" s="65"/>
    </row>
    <row r="685" spans="1:2" ht="12.75">
      <c r="A685" s="64"/>
      <c r="B685" s="65"/>
    </row>
    <row r="686" spans="1:2" ht="12.75">
      <c r="A686" s="64"/>
      <c r="B686" s="65"/>
    </row>
    <row r="687" spans="1:2" ht="12.75">
      <c r="A687" s="64"/>
      <c r="B687" s="65"/>
    </row>
    <row r="688" spans="1:2" ht="12.75">
      <c r="A688" s="64"/>
      <c r="B688" s="65"/>
    </row>
    <row r="689" spans="1:2" ht="12.75">
      <c r="A689" s="64"/>
      <c r="B689" s="65"/>
    </row>
    <row r="690" spans="1:2" ht="12.75">
      <c r="A690" s="64"/>
      <c r="B690" s="65"/>
    </row>
    <row r="691" spans="1:2" ht="12.75">
      <c r="A691" s="64"/>
      <c r="B691" s="65"/>
    </row>
    <row r="692" spans="1:2" ht="12.75">
      <c r="A692" s="64"/>
      <c r="B692" s="65"/>
    </row>
    <row r="693" spans="1:2" ht="12.75">
      <c r="A693" s="64"/>
      <c r="B693" s="65"/>
    </row>
    <row r="694" spans="1:2" ht="12.75">
      <c r="A694" s="64"/>
      <c r="B694" s="65"/>
    </row>
    <row r="695" spans="1:2" ht="12.75">
      <c r="A695" s="64"/>
      <c r="B695" s="65"/>
    </row>
    <row r="696" spans="1:2" ht="12.75">
      <c r="A696" s="64"/>
      <c r="B696" s="65"/>
    </row>
    <row r="697" spans="1:2" ht="12.75">
      <c r="A697" s="64"/>
      <c r="B697" s="65"/>
    </row>
    <row r="698" spans="1:2" ht="12.75">
      <c r="A698" s="64"/>
      <c r="B698" s="65"/>
    </row>
    <row r="699" spans="1:2" ht="12.75">
      <c r="A699" s="64"/>
      <c r="B699" s="65"/>
    </row>
    <row r="700" spans="1:2" ht="12.75">
      <c r="A700" s="64"/>
      <c r="B700" s="65"/>
    </row>
    <row r="701" spans="1:2" ht="12.75">
      <c r="A701" s="64"/>
      <c r="B701" s="65"/>
    </row>
    <row r="702" spans="1:2" ht="12.75">
      <c r="A702" s="64"/>
      <c r="B702" s="65"/>
    </row>
    <row r="703" spans="1:2" ht="12.75">
      <c r="A703" s="64"/>
      <c r="B703" s="65"/>
    </row>
    <row r="704" spans="1:2" ht="12.75">
      <c r="A704" s="64"/>
      <c r="B704" s="65"/>
    </row>
    <row r="705" spans="1:2" ht="12.75">
      <c r="A705" s="64"/>
      <c r="B705" s="65"/>
    </row>
    <row r="706" spans="1:2" ht="12.75">
      <c r="A706" s="64"/>
      <c r="B706" s="65"/>
    </row>
    <row r="707" spans="1:2" ht="12.75">
      <c r="A707" s="64"/>
      <c r="B707" s="65"/>
    </row>
    <row r="708" spans="1:2" ht="12.75">
      <c r="A708" s="64"/>
      <c r="B708" s="65"/>
    </row>
    <row r="709" spans="1:2" ht="12.75">
      <c r="A709" s="64"/>
      <c r="B709" s="65"/>
    </row>
    <row r="710" spans="1:2" ht="12.75">
      <c r="A710" s="64"/>
      <c r="B710" s="65"/>
    </row>
    <row r="711" spans="1:2" ht="12.75">
      <c r="A711" s="64"/>
      <c r="B711" s="65"/>
    </row>
    <row r="712" spans="1:2" ht="12.75">
      <c r="A712" s="64"/>
      <c r="B712" s="65"/>
    </row>
    <row r="713" spans="1:2" ht="12.75">
      <c r="A713" s="64"/>
      <c r="B713" s="65"/>
    </row>
    <row r="714" spans="1:2" ht="12.75">
      <c r="A714" s="64"/>
      <c r="B714" s="65"/>
    </row>
    <row r="715" spans="1:2" ht="12.75">
      <c r="A715" s="64"/>
      <c r="B715" s="65"/>
    </row>
    <row r="716" spans="1:2" ht="12.75">
      <c r="A716" s="64"/>
      <c r="B716" s="65"/>
    </row>
    <row r="717" spans="1:2" ht="12.75">
      <c r="A717" s="64"/>
      <c r="B717" s="65"/>
    </row>
    <row r="718" spans="1:2" ht="12.75">
      <c r="A718" s="64"/>
      <c r="B718" s="65"/>
    </row>
    <row r="719" spans="1:2" ht="12.75">
      <c r="A719" s="64"/>
      <c r="B719" s="65"/>
    </row>
    <row r="720" spans="1:2" ht="12.75">
      <c r="A720" s="64"/>
      <c r="B720" s="65"/>
    </row>
    <row r="721" spans="1:2" ht="12.75">
      <c r="A721" s="64"/>
      <c r="B721" s="65"/>
    </row>
    <row r="722" spans="1:2" ht="12.75">
      <c r="A722" s="64"/>
      <c r="B722" s="65"/>
    </row>
    <row r="723" spans="1:2" ht="12.75">
      <c r="A723" s="64"/>
      <c r="B723" s="65"/>
    </row>
    <row r="724" spans="1:2" ht="12.75">
      <c r="A724" s="64"/>
      <c r="B724" s="65"/>
    </row>
    <row r="725" spans="1:2" ht="12.75">
      <c r="A725" s="64"/>
      <c r="B725" s="65"/>
    </row>
    <row r="726" spans="1:2" ht="12.75">
      <c r="A726" s="64"/>
      <c r="B726" s="65"/>
    </row>
    <row r="727" spans="1:2" ht="12.75">
      <c r="A727" s="64"/>
      <c r="B727" s="65"/>
    </row>
    <row r="728" spans="1:2" ht="12.75">
      <c r="A728" s="64"/>
      <c r="B728" s="65"/>
    </row>
    <row r="729" spans="1:2" ht="12.75">
      <c r="A729" s="64"/>
      <c r="B729" s="65"/>
    </row>
    <row r="730" spans="1:2" ht="12.75">
      <c r="A730" s="64"/>
      <c r="B730" s="65"/>
    </row>
    <row r="731" spans="1:2" ht="12.75">
      <c r="A731" s="64"/>
      <c r="B731" s="65"/>
    </row>
    <row r="732" spans="1:2" ht="12.75">
      <c r="A732" s="64"/>
      <c r="B732" s="65"/>
    </row>
    <row r="733" spans="1:2" ht="12.75">
      <c r="A733" s="64"/>
      <c r="B733" s="65"/>
    </row>
    <row r="734" spans="1:2" ht="12.75">
      <c r="A734" s="64"/>
      <c r="B734" s="65"/>
    </row>
    <row r="735" spans="1:2" ht="12.75">
      <c r="A735" s="64"/>
      <c r="B735" s="65"/>
    </row>
    <row r="736" spans="1:2" ht="12.75">
      <c r="A736" s="64"/>
      <c r="B736" s="65"/>
    </row>
    <row r="737" spans="1:2" ht="12.75">
      <c r="A737" s="64"/>
      <c r="B737" s="65"/>
    </row>
    <row r="738" spans="1:2" ht="12.75">
      <c r="A738" s="64"/>
      <c r="B738" s="65"/>
    </row>
    <row r="739" spans="1:2" ht="12.75">
      <c r="A739" s="64"/>
      <c r="B739" s="65"/>
    </row>
    <row r="740" spans="1:2" ht="12.75">
      <c r="A740" s="64"/>
      <c r="B740" s="65"/>
    </row>
    <row r="741" spans="1:2" ht="12.75">
      <c r="A741" s="64"/>
      <c r="B741" s="65"/>
    </row>
    <row r="742" spans="1:2" ht="12.75">
      <c r="A742" s="64"/>
      <c r="B742" s="65"/>
    </row>
    <row r="743" spans="1:2" ht="12.75">
      <c r="A743" s="64"/>
      <c r="B743" s="65"/>
    </row>
    <row r="744" spans="1:2" ht="12.75">
      <c r="A744" s="64"/>
      <c r="B744" s="65"/>
    </row>
    <row r="745" spans="1:2" ht="12.75">
      <c r="A745" s="64"/>
      <c r="B745" s="65"/>
    </row>
    <row r="746" spans="1:2" ht="12.75">
      <c r="A746" s="64"/>
      <c r="B746" s="65"/>
    </row>
    <row r="747" spans="1:2" ht="12.75">
      <c r="A747" s="64"/>
      <c r="B747" s="65"/>
    </row>
    <row r="748" spans="1:2" ht="12.75">
      <c r="A748" s="64"/>
      <c r="B748" s="65"/>
    </row>
    <row r="749" spans="1:2" ht="12.75">
      <c r="A749" s="64"/>
      <c r="B749" s="65"/>
    </row>
    <row r="750" spans="1:2" ht="12.75">
      <c r="A750" s="64"/>
      <c r="B750" s="65"/>
    </row>
    <row r="751" spans="1:2" ht="12.75">
      <c r="A751" s="64"/>
      <c r="B751" s="65"/>
    </row>
    <row r="752" spans="1:2" ht="12.75">
      <c r="A752" s="64"/>
      <c r="B752" s="65"/>
    </row>
    <row r="753" spans="1:2" ht="12.75">
      <c r="A753" s="64"/>
      <c r="B753" s="65"/>
    </row>
    <row r="754" spans="1:2" ht="12.75">
      <c r="A754" s="64"/>
      <c r="B754" s="65"/>
    </row>
    <row r="755" spans="1:2" ht="12.75">
      <c r="A755" s="64"/>
      <c r="B755" s="65"/>
    </row>
    <row r="756" spans="1:2" ht="12.75">
      <c r="A756" s="64"/>
      <c r="B756" s="65"/>
    </row>
    <row r="757" spans="1:2" ht="12.75">
      <c r="A757" s="64"/>
      <c r="B757" s="65"/>
    </row>
    <row r="758" spans="1:2" ht="12.75">
      <c r="A758" s="64"/>
      <c r="B758" s="65"/>
    </row>
    <row r="759" spans="1:2" ht="12.75">
      <c r="A759" s="64"/>
      <c r="B759" s="65"/>
    </row>
    <row r="760" spans="1:2" ht="12.75">
      <c r="A760" s="64"/>
      <c r="B760" s="65"/>
    </row>
    <row r="761" spans="1:2" ht="12.75">
      <c r="A761" s="64"/>
      <c r="B761" s="65"/>
    </row>
    <row r="762" spans="1:2" ht="12.75">
      <c r="A762" s="64"/>
      <c r="B762" s="65"/>
    </row>
    <row r="763" spans="1:2" ht="12.75">
      <c r="A763" s="64"/>
      <c r="B763" s="65"/>
    </row>
    <row r="764" spans="1:2" ht="12.75">
      <c r="A764" s="64"/>
      <c r="B764" s="65"/>
    </row>
    <row r="765" spans="1:2" ht="12.75">
      <c r="A765" s="64"/>
      <c r="B765" s="65"/>
    </row>
    <row r="766" spans="1:2" ht="12.75">
      <c r="A766" s="64"/>
      <c r="B766" s="65"/>
    </row>
    <row r="767" spans="1:2" ht="12.75">
      <c r="A767" s="64"/>
      <c r="B767" s="65"/>
    </row>
    <row r="768" spans="1:2" ht="12.75">
      <c r="A768" s="64"/>
      <c r="B768" s="65"/>
    </row>
    <row r="769" spans="1:2" ht="12.75">
      <c r="A769" s="64"/>
      <c r="B769" s="65"/>
    </row>
    <row r="770" spans="1:2" ht="12.75">
      <c r="A770" s="64"/>
      <c r="B770" s="65"/>
    </row>
    <row r="771" spans="1:2" ht="12.75">
      <c r="A771" s="64"/>
      <c r="B771" s="65"/>
    </row>
    <row r="772" spans="1:2" ht="12.75">
      <c r="A772" s="64"/>
      <c r="B772" s="65"/>
    </row>
    <row r="773" spans="1:2" ht="12.75">
      <c r="A773" s="64"/>
      <c r="B773" s="65"/>
    </row>
    <row r="774" spans="1:2" ht="12.75">
      <c r="A774" s="64"/>
      <c r="B774" s="65"/>
    </row>
    <row r="775" spans="1:2" ht="12.75">
      <c r="A775" s="64"/>
      <c r="B775" s="65"/>
    </row>
    <row r="776" spans="1:2" ht="12.75">
      <c r="A776" s="64"/>
      <c r="B776" s="65"/>
    </row>
    <row r="777" spans="1:2" ht="12.75">
      <c r="A777" s="64"/>
      <c r="B777" s="65"/>
    </row>
    <row r="778" spans="1:2" ht="12.75">
      <c r="A778" s="64"/>
      <c r="B778" s="65"/>
    </row>
    <row r="779" spans="1:2" ht="12.75">
      <c r="A779" s="64"/>
      <c r="B779" s="65"/>
    </row>
    <row r="780" spans="1:2" ht="12.75">
      <c r="A780" s="64"/>
      <c r="B780" s="65"/>
    </row>
    <row r="781" spans="1:2" ht="12.75">
      <c r="A781" s="64"/>
      <c r="B781" s="65"/>
    </row>
    <row r="782" spans="1:2" ht="12.75">
      <c r="A782" s="64"/>
      <c r="B782" s="65"/>
    </row>
    <row r="783" spans="1:2" ht="12.75">
      <c r="A783" s="64"/>
      <c r="B783" s="65"/>
    </row>
    <row r="784" spans="1:2" ht="12.75">
      <c r="A784" s="64"/>
      <c r="B784" s="65"/>
    </row>
    <row r="785" spans="1:2" ht="12.75">
      <c r="A785" s="64"/>
      <c r="B785" s="65"/>
    </row>
    <row r="786" spans="1:2" ht="12.75">
      <c r="A786" s="64"/>
      <c r="B786" s="65"/>
    </row>
    <row r="787" spans="1:2" ht="12.75">
      <c r="A787" s="64"/>
      <c r="B787" s="65"/>
    </row>
    <row r="788" spans="1:2" ht="12.75">
      <c r="A788" s="64"/>
      <c r="B788" s="65"/>
    </row>
    <row r="789" spans="1:2" ht="12.75">
      <c r="A789" s="64"/>
      <c r="B789" s="65"/>
    </row>
    <row r="790" spans="1:2" ht="12.75">
      <c r="A790" s="64"/>
      <c r="B790" s="65"/>
    </row>
    <row r="791" spans="1:2" ht="12.75">
      <c r="A791" s="64"/>
      <c r="B791" s="65"/>
    </row>
    <row r="792" spans="1:2" ht="12.75">
      <c r="A792" s="64"/>
      <c r="B792" s="65"/>
    </row>
    <row r="793" spans="1:2" ht="12.75">
      <c r="A793" s="64"/>
      <c r="B793" s="65"/>
    </row>
    <row r="794" spans="1:2" ht="12.75">
      <c r="A794" s="64"/>
      <c r="B794" s="65"/>
    </row>
    <row r="795" spans="1:2" ht="12.75">
      <c r="A795" s="64"/>
      <c r="B795" s="65"/>
    </row>
    <row r="796" spans="1:2" ht="12.75">
      <c r="A796" s="64"/>
      <c r="B796" s="65"/>
    </row>
    <row r="797" spans="1:2" ht="12.75">
      <c r="A797" s="64"/>
      <c r="B797" s="65"/>
    </row>
    <row r="798" spans="1:2" ht="12.75">
      <c r="A798" s="64"/>
      <c r="B798" s="65"/>
    </row>
    <row r="799" spans="1:2" ht="12.75">
      <c r="A799" s="64"/>
      <c r="B799" s="65"/>
    </row>
    <row r="800" spans="1:2" ht="12.75">
      <c r="A800" s="64"/>
      <c r="B800" s="65"/>
    </row>
    <row r="801" spans="1:2" ht="12.75">
      <c r="A801" s="64"/>
      <c r="B801" s="65"/>
    </row>
    <row r="802" spans="1:2" ht="12.75">
      <c r="A802" s="64"/>
      <c r="B802" s="65"/>
    </row>
    <row r="803" spans="1:2" ht="12.75">
      <c r="A803" s="64"/>
      <c r="B803" s="65"/>
    </row>
    <row r="804" spans="1:2" ht="12.75">
      <c r="A804" s="64"/>
      <c r="B804" s="65"/>
    </row>
    <row r="805" spans="1:2" ht="12.75">
      <c r="A805" s="64"/>
      <c r="B805" s="65"/>
    </row>
    <row r="806" spans="1:2" ht="12.75">
      <c r="A806" s="64"/>
      <c r="B806" s="65"/>
    </row>
    <row r="807" spans="1:2" ht="12.75">
      <c r="A807" s="64"/>
      <c r="B807" s="65"/>
    </row>
    <row r="808" spans="1:2" ht="12.75">
      <c r="A808" s="64"/>
      <c r="B808" s="65"/>
    </row>
    <row r="809" spans="1:2" ht="12.75">
      <c r="A809" s="64"/>
      <c r="B809" s="65"/>
    </row>
    <row r="810" spans="1:2" ht="12.75">
      <c r="A810" s="64"/>
      <c r="B810" s="65"/>
    </row>
    <row r="811" spans="1:2" ht="12.75">
      <c r="A811" s="64"/>
      <c r="B811" s="65"/>
    </row>
    <row r="812" spans="1:2" ht="12.75">
      <c r="A812" s="64"/>
      <c r="B812" s="65"/>
    </row>
    <row r="813" spans="1:2" ht="12.75">
      <c r="A813" s="64"/>
      <c r="B813" s="65"/>
    </row>
    <row r="814" spans="1:2" ht="12.75">
      <c r="A814" s="64"/>
      <c r="B814" s="65"/>
    </row>
    <row r="815" spans="1:2" ht="12.75">
      <c r="A815" s="64"/>
      <c r="B815" s="65"/>
    </row>
    <row r="816" spans="1:2" ht="12.75">
      <c r="A816" s="64"/>
      <c r="B816" s="65"/>
    </row>
    <row r="817" spans="1:2" ht="12.75">
      <c r="A817" s="64"/>
      <c r="B817" s="65"/>
    </row>
    <row r="818" spans="1:2" ht="12.75">
      <c r="A818" s="64"/>
      <c r="B818" s="65"/>
    </row>
    <row r="819" spans="1:2" ht="12.75">
      <c r="A819" s="64"/>
      <c r="B819" s="65"/>
    </row>
    <row r="820" spans="1:2" ht="12.75">
      <c r="A820" s="64"/>
      <c r="B820" s="65"/>
    </row>
    <row r="821" spans="1:2" ht="12.75">
      <c r="A821" s="64"/>
      <c r="B821" s="65"/>
    </row>
    <row r="822" spans="1:2" ht="12.75">
      <c r="A822" s="64"/>
      <c r="B822" s="65"/>
    </row>
    <row r="823" spans="1:2" ht="12.75">
      <c r="A823" s="64"/>
      <c r="B823" s="65"/>
    </row>
    <row r="824" spans="1:2" ht="12.75">
      <c r="A824" s="64"/>
      <c r="B824" s="65"/>
    </row>
    <row r="825" spans="1:2" ht="12.75">
      <c r="A825" s="64"/>
      <c r="B825" s="65"/>
    </row>
    <row r="826" spans="1:2" ht="12.75">
      <c r="A826" s="64"/>
      <c r="B826" s="65"/>
    </row>
    <row r="827" spans="1:2" ht="12.75">
      <c r="A827" s="64"/>
      <c r="B827" s="65"/>
    </row>
    <row r="828" spans="1:2" ht="12.75">
      <c r="A828" s="64"/>
      <c r="B828" s="65"/>
    </row>
    <row r="829" spans="1:2" ht="12.75">
      <c r="A829" s="64"/>
      <c r="B829" s="65"/>
    </row>
    <row r="830" spans="1:2" ht="12.75">
      <c r="A830" s="64"/>
      <c r="B830" s="65"/>
    </row>
    <row r="831" spans="1:2" ht="12.75">
      <c r="A831" s="64"/>
      <c r="B831" s="65"/>
    </row>
    <row r="832" spans="1:2" ht="12.75">
      <c r="A832" s="64"/>
      <c r="B832" s="65"/>
    </row>
    <row r="833" spans="1:2" ht="12.75">
      <c r="A833" s="64"/>
      <c r="B833" s="65"/>
    </row>
    <row r="834" spans="1:2" ht="12.75">
      <c r="A834" s="64"/>
      <c r="B834" s="65"/>
    </row>
    <row r="835" spans="1:2" ht="12.75">
      <c r="A835" s="64"/>
      <c r="B835" s="65"/>
    </row>
    <row r="836" spans="1:2" ht="12.75">
      <c r="A836" s="64"/>
      <c r="B836" s="65"/>
    </row>
    <row r="837" spans="1:2" ht="12.75">
      <c r="A837" s="64"/>
      <c r="B837" s="65"/>
    </row>
    <row r="838" spans="1:2" ht="12.75">
      <c r="A838" s="64"/>
      <c r="B838" s="65"/>
    </row>
    <row r="839" spans="1:2" ht="12.75">
      <c r="A839" s="64"/>
      <c r="B839" s="65"/>
    </row>
    <row r="840" spans="1:2" ht="12.75">
      <c r="A840" s="64"/>
      <c r="B840" s="65"/>
    </row>
    <row r="841" spans="1:2" ht="12.75">
      <c r="A841" s="64"/>
      <c r="B841" s="65"/>
    </row>
    <row r="842" spans="1:2" ht="12.75">
      <c r="A842" s="64"/>
      <c r="B842" s="65"/>
    </row>
    <row r="843" spans="1:2" ht="12.75">
      <c r="A843" s="64"/>
      <c r="B843" s="65"/>
    </row>
    <row r="844" spans="1:2" ht="12.75">
      <c r="A844" s="64"/>
      <c r="B844" s="65"/>
    </row>
    <row r="845" spans="1:2" ht="12.75">
      <c r="A845" s="64"/>
      <c r="B845" s="65"/>
    </row>
    <row r="846" spans="1:2" ht="12.75">
      <c r="A846" s="64"/>
      <c r="B846" s="65"/>
    </row>
    <row r="847" spans="1:2" ht="12.75">
      <c r="A847" s="64"/>
      <c r="B847" s="65"/>
    </row>
    <row r="848" spans="1:2" ht="12.75">
      <c r="A848" s="64"/>
      <c r="B848" s="65"/>
    </row>
    <row r="849" spans="1:2" ht="12.75">
      <c r="A849" s="64"/>
      <c r="B849" s="65"/>
    </row>
    <row r="850" spans="1:2" ht="12.75">
      <c r="A850" s="64"/>
      <c r="B850" s="65"/>
    </row>
    <row r="851" spans="1:2" ht="12.75">
      <c r="A851" s="64"/>
      <c r="B851" s="65"/>
    </row>
    <row r="852" spans="1:2" ht="12.75">
      <c r="A852" s="64"/>
      <c r="B852" s="65"/>
    </row>
    <row r="853" spans="1:2" ht="12.75">
      <c r="A853" s="64"/>
      <c r="B853" s="65"/>
    </row>
    <row r="854" spans="1:2" ht="12.75">
      <c r="A854" s="64"/>
      <c r="B854" s="65"/>
    </row>
    <row r="855" spans="1:2" ht="12.75">
      <c r="A855" s="64"/>
      <c r="B855" s="65"/>
    </row>
    <row r="856" spans="1:2" ht="12.75">
      <c r="A856" s="64"/>
      <c r="B856" s="65"/>
    </row>
    <row r="857" spans="1:2" ht="12.75">
      <c r="A857" s="64"/>
      <c r="B857" s="65"/>
    </row>
    <row r="858" spans="1:2" ht="12.75">
      <c r="A858" s="64"/>
      <c r="B858" s="65"/>
    </row>
    <row r="859" spans="1:2" ht="12.75">
      <c r="A859" s="64"/>
      <c r="B859" s="65"/>
    </row>
    <row r="860" spans="1:2" ht="12.75">
      <c r="A860" s="64"/>
      <c r="B860" s="65"/>
    </row>
    <row r="861" spans="1:2" ht="12.75">
      <c r="A861" s="64"/>
      <c r="B861" s="65"/>
    </row>
    <row r="862" spans="1:2" ht="12.75">
      <c r="A862" s="64"/>
      <c r="B862" s="65"/>
    </row>
    <row r="863" spans="1:2" ht="12.75">
      <c r="A863" s="64"/>
      <c r="B863" s="65"/>
    </row>
    <row r="864" spans="1:2" ht="12.75">
      <c r="A864" s="64"/>
      <c r="B864" s="65"/>
    </row>
    <row r="865" spans="1:2" ht="12.75">
      <c r="A865" s="64"/>
      <c r="B865" s="65"/>
    </row>
    <row r="866" spans="1:2" ht="12.75">
      <c r="A866" s="64"/>
      <c r="B866" s="65"/>
    </row>
    <row r="867" spans="1:2" ht="12.75">
      <c r="A867" s="64"/>
      <c r="B867" s="65"/>
    </row>
    <row r="868" spans="1:2" ht="12.75">
      <c r="A868" s="64"/>
      <c r="B868" s="65"/>
    </row>
    <row r="869" spans="1:2" ht="12.75">
      <c r="A869" s="64"/>
      <c r="B869" s="65"/>
    </row>
    <row r="870" spans="1:2" ht="12.75">
      <c r="A870" s="64"/>
      <c r="B870" s="65"/>
    </row>
    <row r="871" spans="1:2" ht="12.75">
      <c r="A871" s="64"/>
      <c r="B871" s="65"/>
    </row>
    <row r="872" spans="1:2" ht="12.75">
      <c r="A872" s="64"/>
      <c r="B872" s="65"/>
    </row>
    <row r="873" spans="1:2" ht="12.75">
      <c r="A873" s="64"/>
      <c r="B873" s="65"/>
    </row>
    <row r="874" spans="1:2" ht="12.75">
      <c r="A874" s="64"/>
      <c r="B874" s="65"/>
    </row>
    <row r="875" spans="1:2" ht="12.75">
      <c r="A875" s="64"/>
      <c r="B875" s="65"/>
    </row>
    <row r="876" spans="1:2" ht="12.75">
      <c r="A876" s="64"/>
      <c r="B876" s="65"/>
    </row>
    <row r="877" spans="1:2" ht="12.75">
      <c r="A877" s="64"/>
      <c r="B877" s="65"/>
    </row>
    <row r="878" spans="1:2" ht="12.75">
      <c r="A878" s="64"/>
      <c r="B878" s="65"/>
    </row>
    <row r="879" spans="1:2" ht="12.75">
      <c r="A879" s="64"/>
      <c r="B879" s="65"/>
    </row>
    <row r="880" spans="1:2" ht="12.75">
      <c r="A880" s="64"/>
      <c r="B880" s="65"/>
    </row>
    <row r="881" spans="1:2" ht="12.75">
      <c r="A881" s="64"/>
      <c r="B881" s="65"/>
    </row>
    <row r="882" spans="1:2" ht="12.75">
      <c r="A882" s="64"/>
      <c r="B882" s="65"/>
    </row>
    <row r="883" spans="1:2" ht="12.75">
      <c r="A883" s="64"/>
      <c r="B883" s="65"/>
    </row>
    <row r="884" spans="1:2" ht="12.75">
      <c r="A884" s="64"/>
      <c r="B884" s="65"/>
    </row>
    <row r="885" spans="1:2" ht="12.75">
      <c r="A885" s="64"/>
      <c r="B885" s="65"/>
    </row>
    <row r="886" spans="1:2" ht="12.75">
      <c r="A886" s="64"/>
      <c r="B886" s="65"/>
    </row>
    <row r="887" spans="1:2" ht="12.75">
      <c r="A887" s="64"/>
      <c r="B887" s="65"/>
    </row>
    <row r="888" spans="1:2" ht="12.75">
      <c r="A888" s="64"/>
      <c r="B888" s="65"/>
    </row>
    <row r="889" spans="1:2" ht="12.75">
      <c r="A889" s="64"/>
      <c r="B889" s="65"/>
    </row>
    <row r="890" spans="1:2" ht="12.75">
      <c r="A890" s="64"/>
      <c r="B890" s="65"/>
    </row>
    <row r="891" spans="1:2" ht="12.75">
      <c r="A891" s="64"/>
      <c r="B891" s="65"/>
    </row>
    <row r="892" spans="1:2" ht="12.75">
      <c r="A892" s="64"/>
      <c r="B892" s="65"/>
    </row>
    <row r="893" spans="1:2" ht="12.75">
      <c r="A893" s="64"/>
      <c r="B893" s="65"/>
    </row>
    <row r="894" spans="1:2" ht="12.75">
      <c r="A894" s="64"/>
      <c r="B894" s="65"/>
    </row>
    <row r="895" spans="1:2" ht="12.75">
      <c r="A895" s="64"/>
      <c r="B895" s="65"/>
    </row>
    <row r="896" spans="1:2" ht="12.75">
      <c r="A896" s="64"/>
      <c r="B896" s="65"/>
    </row>
    <row r="897" spans="1:2" ht="12.75">
      <c r="A897" s="64"/>
      <c r="B897" s="65"/>
    </row>
    <row r="898" spans="1:2" ht="12.75">
      <c r="A898" s="64"/>
      <c r="B898" s="65"/>
    </row>
    <row r="899" spans="1:2" ht="12.75">
      <c r="A899" s="64"/>
      <c r="B899" s="65"/>
    </row>
    <row r="900" spans="1:2" ht="12.75">
      <c r="A900" s="64"/>
      <c r="B900" s="65"/>
    </row>
    <row r="901" spans="1:2" ht="12.75">
      <c r="A901" s="64"/>
      <c r="B901" s="65"/>
    </row>
    <row r="902" spans="1:2" ht="12.75">
      <c r="A902" s="64"/>
      <c r="B902" s="65"/>
    </row>
    <row r="903" spans="1:2" ht="12.75">
      <c r="A903" s="64"/>
      <c r="B903" s="65"/>
    </row>
    <row r="904" spans="1:2" ht="12.75">
      <c r="A904" s="64"/>
      <c r="B904" s="65"/>
    </row>
    <row r="905" spans="1:2" ht="12.75">
      <c r="A905" s="64"/>
      <c r="B905" s="65"/>
    </row>
    <row r="906" spans="1:2" ht="12.75">
      <c r="A906" s="64"/>
      <c r="B906" s="65"/>
    </row>
    <row r="907" spans="1:2" ht="12.75">
      <c r="A907" s="64"/>
      <c r="B907" s="65"/>
    </row>
    <row r="908" spans="1:2" ht="12.75">
      <c r="A908" s="64"/>
      <c r="B908" s="65"/>
    </row>
    <row r="909" spans="1:2" ht="12.75">
      <c r="A909" s="64"/>
      <c r="B909" s="65"/>
    </row>
    <row r="910" spans="1:2" ht="12.75">
      <c r="A910" s="64"/>
      <c r="B910" s="65"/>
    </row>
    <row r="911" spans="1:2" ht="12.75">
      <c r="A911" s="64"/>
      <c r="B911" s="65"/>
    </row>
    <row r="912" spans="1:2" ht="12.75">
      <c r="A912" s="64"/>
      <c r="B912" s="65"/>
    </row>
    <row r="913" spans="1:2" ht="12.75">
      <c r="A913" s="64"/>
      <c r="B913" s="65"/>
    </row>
    <row r="914" spans="1:2" ht="12.75">
      <c r="A914" s="64"/>
      <c r="B914" s="65"/>
    </row>
    <row r="915" spans="1:2" ht="12.75">
      <c r="A915" s="64"/>
      <c r="B915" s="65"/>
    </row>
    <row r="916" spans="1:2" ht="12.75">
      <c r="A916" s="64"/>
      <c r="B916" s="65"/>
    </row>
    <row r="917" spans="1:2" ht="12.75">
      <c r="A917" s="64"/>
      <c r="B917" s="65"/>
    </row>
    <row r="918" spans="1:2" ht="12.75">
      <c r="A918" s="64"/>
      <c r="B918" s="65"/>
    </row>
    <row r="919" spans="1:2" ht="12.75">
      <c r="A919" s="64"/>
      <c r="B919" s="65"/>
    </row>
    <row r="920" spans="1:2" ht="12.75">
      <c r="A920" s="64"/>
      <c r="B920" s="65"/>
    </row>
    <row r="921" spans="1:2" ht="12.75">
      <c r="A921" s="64"/>
      <c r="B921" s="65"/>
    </row>
    <row r="922" spans="1:2" ht="12.75">
      <c r="A922" s="64"/>
      <c r="B922" s="65"/>
    </row>
    <row r="923" spans="1:2" ht="12.75">
      <c r="A923" s="64"/>
      <c r="B923" s="65"/>
    </row>
    <row r="924" spans="1:2" ht="12.75">
      <c r="A924" s="64"/>
      <c r="B924" s="65"/>
    </row>
    <row r="925" spans="1:2" ht="12.75">
      <c r="A925" s="64"/>
      <c r="B925" s="65"/>
    </row>
    <row r="926" spans="1:2" ht="12.75">
      <c r="A926" s="64"/>
      <c r="B926" s="65"/>
    </row>
    <row r="927" spans="1:2" ht="12.75">
      <c r="A927" s="64"/>
      <c r="B927" s="65"/>
    </row>
    <row r="928" spans="1:2" ht="12.75">
      <c r="A928" s="64"/>
      <c r="B928" s="65"/>
    </row>
    <row r="929" spans="1:2" ht="12.75">
      <c r="A929" s="64"/>
      <c r="B929" s="65"/>
    </row>
    <row r="930" spans="1:2" ht="12.75">
      <c r="A930" s="64"/>
      <c r="B930" s="65"/>
    </row>
    <row r="931" spans="1:2" ht="12.75">
      <c r="A931" s="64"/>
      <c r="B931" s="65"/>
    </row>
    <row r="932" spans="1:2" ht="12.75">
      <c r="A932" s="64"/>
      <c r="B932" s="65"/>
    </row>
    <row r="933" spans="1:2" ht="12.75">
      <c r="A933" s="64"/>
      <c r="B933" s="65"/>
    </row>
    <row r="934" spans="1:2" ht="12.75">
      <c r="A934" s="64"/>
      <c r="B934" s="65"/>
    </row>
    <row r="935" spans="1:2" ht="12.75">
      <c r="A935" s="64"/>
      <c r="B935" s="65"/>
    </row>
    <row r="936" spans="1:2" ht="12.75">
      <c r="A936" s="64"/>
      <c r="B936" s="65"/>
    </row>
    <row r="937" spans="1:2" ht="12.75">
      <c r="A937" s="64"/>
      <c r="B937" s="65"/>
    </row>
    <row r="938" spans="1:2" ht="12.75">
      <c r="A938" s="64"/>
      <c r="B938" s="65"/>
    </row>
    <row r="939" spans="1:2" ht="12.75">
      <c r="A939" s="64"/>
      <c r="B939" s="65"/>
    </row>
    <row r="940" spans="1:2" ht="12.75">
      <c r="A940" s="64"/>
      <c r="B940" s="65"/>
    </row>
    <row r="941" spans="1:2" ht="12.75">
      <c r="A941" s="64"/>
      <c r="B941" s="65"/>
    </row>
    <row r="942" spans="1:2" ht="12.75">
      <c r="A942" s="64"/>
      <c r="B942" s="65"/>
    </row>
    <row r="943" spans="1:2" ht="12.75">
      <c r="A943" s="64"/>
      <c r="B943" s="65"/>
    </row>
    <row r="944" spans="1:2" ht="12.75">
      <c r="A944" s="64"/>
      <c r="B944" s="65"/>
    </row>
    <row r="945" spans="1:2" ht="12.75">
      <c r="A945" s="64"/>
      <c r="B945" s="65"/>
    </row>
    <row r="946" spans="1:2" ht="12.75">
      <c r="A946" s="64"/>
      <c r="B946" s="65"/>
    </row>
    <row r="947" spans="1:2" ht="12.75">
      <c r="A947" s="64"/>
      <c r="B947" s="65"/>
    </row>
    <row r="948" spans="1:2" ht="12.75">
      <c r="A948" s="64"/>
      <c r="B948" s="65"/>
    </row>
    <row r="949" spans="1:2" ht="12.75">
      <c r="A949" s="64"/>
      <c r="B949" s="65"/>
    </row>
    <row r="950" spans="1:2" ht="12.75">
      <c r="A950" s="64"/>
      <c r="B950" s="65"/>
    </row>
    <row r="951" spans="1:2" ht="12.75">
      <c r="A951" s="64"/>
      <c r="B951" s="65"/>
    </row>
    <row r="952" spans="1:2" ht="12.75">
      <c r="A952" s="64"/>
      <c r="B952" s="65"/>
    </row>
    <row r="953" spans="1:2" ht="12.75">
      <c r="A953" s="64"/>
      <c r="B953" s="65"/>
    </row>
    <row r="954" spans="1:2" ht="12.75">
      <c r="A954" s="64"/>
      <c r="B954" s="65"/>
    </row>
    <row r="955" spans="1:2" ht="12.75">
      <c r="A955" s="64"/>
      <c r="B955" s="65"/>
    </row>
    <row r="956" spans="1:2" ht="12.75">
      <c r="A956" s="64"/>
      <c r="B956" s="65"/>
    </row>
    <row r="957" spans="1:2" ht="12.75">
      <c r="A957" s="64"/>
      <c r="B957" s="65"/>
    </row>
    <row r="958" spans="1:2" ht="12.75">
      <c r="A958" s="64"/>
      <c r="B958" s="65"/>
    </row>
    <row r="959" spans="1:2" ht="12.75">
      <c r="A959" s="64"/>
      <c r="B959" s="65"/>
    </row>
    <row r="960" spans="1:2" ht="12.75">
      <c r="A960" s="64"/>
      <c r="B960" s="65"/>
    </row>
    <row r="961" spans="1:2" ht="12.75">
      <c r="A961" s="64"/>
      <c r="B961" s="65"/>
    </row>
    <row r="962" spans="1:2" ht="12.75">
      <c r="A962" s="64"/>
      <c r="B962" s="65"/>
    </row>
    <row r="963" spans="1:2" ht="12.75">
      <c r="A963" s="64"/>
      <c r="B963" s="65"/>
    </row>
    <row r="964" spans="1:2" ht="12.75">
      <c r="A964" s="64"/>
      <c r="B964" s="65"/>
    </row>
    <row r="965" spans="1:2" ht="12.75">
      <c r="A965" s="64"/>
      <c r="B965" s="65"/>
    </row>
    <row r="966" spans="1:2" ht="12.75">
      <c r="A966" s="64"/>
      <c r="B966" s="65"/>
    </row>
    <row r="967" spans="1:2" ht="12.75">
      <c r="A967" s="64"/>
      <c r="B967" s="65"/>
    </row>
    <row r="968" spans="1:2" ht="12.75">
      <c r="A968" s="64"/>
      <c r="B968" s="65"/>
    </row>
    <row r="969" spans="1:2" ht="12.75">
      <c r="A969" s="64"/>
      <c r="B969" s="65"/>
    </row>
    <row r="970" spans="1:2" ht="12.75">
      <c r="A970" s="64"/>
      <c r="B970" s="65"/>
    </row>
    <row r="971" spans="1:2" ht="12.75">
      <c r="A971" s="64"/>
      <c r="B971" s="65"/>
    </row>
    <row r="972" spans="1:2" ht="12.75">
      <c r="A972" s="64"/>
      <c r="B972" s="65"/>
    </row>
    <row r="973" spans="1:2" ht="12.75">
      <c r="A973" s="64"/>
      <c r="B973" s="65"/>
    </row>
    <row r="974" spans="1:2" ht="12.75">
      <c r="A974" s="64"/>
      <c r="B974" s="65"/>
    </row>
    <row r="975" spans="1:2" ht="12.75">
      <c r="A975" s="64"/>
      <c r="B975" s="65"/>
    </row>
    <row r="976" spans="1:2" ht="12.75">
      <c r="A976" s="64"/>
      <c r="B976" s="65"/>
    </row>
    <row r="977" spans="1:2" ht="12.75">
      <c r="A977" s="64"/>
      <c r="B977" s="65"/>
    </row>
    <row r="978" spans="1:2" ht="12.75">
      <c r="A978" s="64"/>
      <c r="B978" s="65"/>
    </row>
    <row r="979" spans="1:2" ht="12.75">
      <c r="A979" s="64"/>
      <c r="B979" s="65"/>
    </row>
    <row r="980" spans="1:2" ht="12.75">
      <c r="A980" s="64"/>
      <c r="B980" s="65"/>
    </row>
    <row r="981" spans="1:2" ht="12.75">
      <c r="A981" s="64"/>
      <c r="B981" s="65"/>
    </row>
    <row r="982" spans="1:2" ht="12.75">
      <c r="A982" s="64"/>
      <c r="B982" s="65"/>
    </row>
    <row r="983" spans="1:2" ht="12.75">
      <c r="A983" s="64"/>
      <c r="B983" s="65"/>
    </row>
    <row r="984" spans="1:2" ht="12.75">
      <c r="A984" s="64"/>
      <c r="B984" s="65"/>
    </row>
    <row r="985" spans="1:2" ht="12.75">
      <c r="A985" s="64"/>
      <c r="B985" s="65"/>
    </row>
    <row r="986" spans="1:2" ht="12.75">
      <c r="A986" s="64"/>
      <c r="B986" s="65"/>
    </row>
    <row r="987" spans="1:2" ht="12.75">
      <c r="A987" s="64"/>
      <c r="B987" s="65"/>
    </row>
    <row r="988" spans="1:2" ht="12.75">
      <c r="A988" s="64"/>
      <c r="B988" s="65"/>
    </row>
    <row r="989" spans="1:2" ht="12.75">
      <c r="A989" s="64"/>
      <c r="B989" s="65"/>
    </row>
    <row r="990" spans="1:2" ht="12.75">
      <c r="A990" s="64"/>
      <c r="B990" s="65"/>
    </row>
    <row r="991" spans="1:2" ht="12.75">
      <c r="A991" s="64"/>
      <c r="B991" s="65"/>
    </row>
    <row r="992" spans="1:2" ht="12.75">
      <c r="A992" s="64"/>
      <c r="B992" s="65"/>
    </row>
    <row r="993" spans="1:2" ht="12.75">
      <c r="A993" s="64"/>
      <c r="B993" s="65"/>
    </row>
    <row r="994" spans="1:2" ht="12.75">
      <c r="A994" s="64"/>
      <c r="B994" s="65"/>
    </row>
    <row r="995" spans="1:2" ht="12.75">
      <c r="A995" s="64"/>
      <c r="B995" s="65"/>
    </row>
    <row r="996" spans="1:2" ht="12.75">
      <c r="A996" s="64"/>
      <c r="B996" s="65"/>
    </row>
    <row r="997" spans="1:2" ht="12.75">
      <c r="A997" s="64"/>
      <c r="B997" s="65"/>
    </row>
    <row r="998" spans="1:2" ht="12.75">
      <c r="A998" s="64"/>
      <c r="B998" s="65"/>
    </row>
    <row r="999" spans="1:2" ht="12.75">
      <c r="A999" s="64"/>
      <c r="B999" s="65"/>
    </row>
    <row r="1000" spans="1:2" ht="12.75">
      <c r="A1000" s="64"/>
      <c r="B1000" s="65"/>
    </row>
    <row r="1001" spans="1:2" ht="12.75">
      <c r="A1001" s="64"/>
      <c r="B1001" s="65"/>
    </row>
    <row r="1002" spans="1:2" ht="12.75">
      <c r="A1002" s="64"/>
      <c r="B1002" s="65"/>
    </row>
  </sheetData>
  <autoFilter ref="A1:B113" xr:uid="{00000000-0009-0000-0000-000002000000}"/>
  <hyperlinks>
    <hyperlink ref="B49"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M165"/>
  <sheetViews>
    <sheetView workbookViewId="0"/>
  </sheetViews>
  <sheetFormatPr baseColWidth="10" defaultColWidth="12.5703125" defaultRowHeight="15.75" customHeight="1"/>
  <cols>
    <col min="1" max="1" width="6.5703125" customWidth="1"/>
    <col min="2" max="2" width="24.140625" customWidth="1"/>
    <col min="3" max="3" width="23.140625" customWidth="1"/>
    <col min="4" max="4" width="23.5703125" customWidth="1"/>
    <col min="5" max="5" width="15.85546875" customWidth="1"/>
    <col min="7" max="7" width="38.42578125" customWidth="1"/>
  </cols>
  <sheetData>
    <row r="2" spans="1:13" ht="15.75" customHeight="1">
      <c r="A2" s="66"/>
      <c r="B2" s="66"/>
      <c r="C2" s="67" t="s">
        <v>12188</v>
      </c>
      <c r="D2" s="68" t="s">
        <v>42</v>
      </c>
      <c r="E2" s="68" t="s">
        <v>12189</v>
      </c>
      <c r="F2" s="68" t="s">
        <v>12190</v>
      </c>
      <c r="G2" s="68" t="s">
        <v>12191</v>
      </c>
      <c r="H2" s="69" t="s">
        <v>12192</v>
      </c>
      <c r="J2" s="70" t="s">
        <v>12193</v>
      </c>
      <c r="K2" s="9" t="e">
        <f>VLOOKUP(J2,'Datos filial'!$B$2:$B$148,1,0)</f>
        <v>#N/A</v>
      </c>
      <c r="L2" s="9" t="e">
        <f t="shared" ref="L2:L6" si="0">IF(K2=J2,"OK","NOK")</f>
        <v>#N/A</v>
      </c>
      <c r="M2" s="9" t="s">
        <v>12194</v>
      </c>
    </row>
    <row r="3" spans="1:13" ht="15.75" customHeight="1">
      <c r="A3" s="66"/>
      <c r="B3" s="21" t="s">
        <v>12195</v>
      </c>
      <c r="C3" s="71" t="s">
        <v>11676</v>
      </c>
      <c r="D3" s="71" t="s">
        <v>12196</v>
      </c>
      <c r="E3" s="72" t="s">
        <v>12197</v>
      </c>
      <c r="F3" s="73" t="s">
        <v>12198</v>
      </c>
      <c r="G3" s="74" t="s">
        <v>12199</v>
      </c>
      <c r="J3" s="70" t="s">
        <v>12200</v>
      </c>
      <c r="K3" s="9" t="e">
        <f>VLOOKUP(J3,'Datos filial'!$B$2:$B$148,1,0)</f>
        <v>#N/A</v>
      </c>
      <c r="L3" s="9" t="e">
        <f t="shared" si="0"/>
        <v>#N/A</v>
      </c>
      <c r="M3" s="9" t="s">
        <v>12201</v>
      </c>
    </row>
    <row r="4" spans="1:13" ht="15.75" customHeight="1">
      <c r="A4" s="66"/>
      <c r="B4" s="75" t="s">
        <v>12202</v>
      </c>
      <c r="C4" s="71" t="s">
        <v>260</v>
      </c>
      <c r="D4" s="71" t="s">
        <v>12203</v>
      </c>
      <c r="E4" s="76" t="s">
        <v>12204</v>
      </c>
      <c r="F4" s="73" t="s">
        <v>12205</v>
      </c>
      <c r="G4" s="74" t="s">
        <v>12206</v>
      </c>
      <c r="H4" s="9" t="s">
        <v>12207</v>
      </c>
      <c r="J4" s="70" t="s">
        <v>12208</v>
      </c>
      <c r="K4" s="9" t="e">
        <f>VLOOKUP(J4,'Datos filial'!$B$2:$B$148,1,0)</f>
        <v>#N/A</v>
      </c>
      <c r="L4" s="9" t="e">
        <f t="shared" si="0"/>
        <v>#N/A</v>
      </c>
      <c r="M4" s="9" t="s">
        <v>12209</v>
      </c>
    </row>
    <row r="5" spans="1:13" ht="15.75" customHeight="1">
      <c r="A5" s="66"/>
      <c r="B5" s="75" t="s">
        <v>12210</v>
      </c>
      <c r="C5" s="71" t="s">
        <v>11688</v>
      </c>
      <c r="D5" s="71" t="s">
        <v>12211</v>
      </c>
      <c r="E5" s="76" t="s">
        <v>12212</v>
      </c>
      <c r="F5" s="77" t="s">
        <v>12213</v>
      </c>
      <c r="G5" s="74" t="s">
        <v>12214</v>
      </c>
      <c r="H5" s="9" t="s">
        <v>12207</v>
      </c>
      <c r="J5" s="70" t="s">
        <v>12215</v>
      </c>
      <c r="K5" s="9" t="e">
        <f>VLOOKUP(J5,'Datos filial'!$B$2:$B$148,1,0)</f>
        <v>#N/A</v>
      </c>
      <c r="L5" s="9" t="e">
        <f t="shared" si="0"/>
        <v>#N/A</v>
      </c>
      <c r="M5" s="9" t="s">
        <v>12209</v>
      </c>
    </row>
    <row r="6" spans="1:13" ht="15.75" customHeight="1">
      <c r="A6" s="66"/>
      <c r="B6" s="75" t="s">
        <v>12216</v>
      </c>
      <c r="C6" s="71" t="s">
        <v>11660</v>
      </c>
      <c r="D6" s="71" t="s">
        <v>12217</v>
      </c>
      <c r="E6" s="76" t="s">
        <v>12218</v>
      </c>
      <c r="F6" s="73" t="s">
        <v>12219</v>
      </c>
      <c r="G6" s="74" t="s">
        <v>12220</v>
      </c>
      <c r="H6" s="9" t="s">
        <v>12207</v>
      </c>
      <c r="J6" s="70" t="s">
        <v>12221</v>
      </c>
      <c r="K6" s="9" t="e">
        <f>VLOOKUP(J6,'Datos filial'!$B$2:$B$148,1,0)</f>
        <v>#N/A</v>
      </c>
      <c r="L6" s="9" t="e">
        <f t="shared" si="0"/>
        <v>#N/A</v>
      </c>
      <c r="M6" s="9" t="s">
        <v>12209</v>
      </c>
    </row>
    <row r="7" spans="1:13" ht="15.75" customHeight="1">
      <c r="A7" s="66"/>
      <c r="B7" s="75" t="s">
        <v>12222</v>
      </c>
      <c r="C7" s="71" t="s">
        <v>11813</v>
      </c>
      <c r="D7" s="71" t="s">
        <v>12223</v>
      </c>
      <c r="E7" s="76" t="s">
        <v>12224</v>
      </c>
      <c r="F7" s="77" t="s">
        <v>12225</v>
      </c>
      <c r="G7" s="74" t="s">
        <v>12226</v>
      </c>
      <c r="H7" s="9" t="s">
        <v>12207</v>
      </c>
    </row>
    <row r="8" spans="1:13" ht="15.75" customHeight="1">
      <c r="A8" s="66"/>
      <c r="B8" s="75" t="s">
        <v>12227</v>
      </c>
      <c r="C8" s="71" t="s">
        <v>10526</v>
      </c>
      <c r="D8" s="71" t="s">
        <v>12228</v>
      </c>
      <c r="E8" s="76" t="s">
        <v>12229</v>
      </c>
      <c r="F8" s="73" t="s">
        <v>12230</v>
      </c>
      <c r="G8" s="74" t="s">
        <v>12231</v>
      </c>
    </row>
    <row r="9" spans="1:13" ht="15.75" customHeight="1">
      <c r="A9" s="66"/>
      <c r="B9" s="75" t="s">
        <v>12232</v>
      </c>
      <c r="C9" s="71" t="s">
        <v>11681</v>
      </c>
      <c r="D9" s="71" t="s">
        <v>12233</v>
      </c>
      <c r="E9" s="76" t="s">
        <v>12234</v>
      </c>
      <c r="F9" s="73" t="s">
        <v>12235</v>
      </c>
      <c r="G9" s="74" t="s">
        <v>12236</v>
      </c>
      <c r="H9" s="9" t="s">
        <v>12207</v>
      </c>
    </row>
    <row r="10" spans="1:13" ht="15.75" customHeight="1">
      <c r="A10" s="66"/>
      <c r="B10" s="75" t="s">
        <v>12237</v>
      </c>
      <c r="C10" s="71" t="s">
        <v>11667</v>
      </c>
      <c r="D10" s="71" t="s">
        <v>12238</v>
      </c>
      <c r="E10" s="76" t="s">
        <v>12239</v>
      </c>
      <c r="F10" s="73" t="s">
        <v>12240</v>
      </c>
      <c r="G10" s="74" t="s">
        <v>12241</v>
      </c>
      <c r="H10" s="9" t="s">
        <v>12207</v>
      </c>
    </row>
    <row r="11" spans="1:13" ht="15.75" customHeight="1">
      <c r="A11" s="66"/>
      <c r="B11" s="75" t="s">
        <v>12242</v>
      </c>
      <c r="C11" s="71" t="s">
        <v>11785</v>
      </c>
      <c r="D11" s="71" t="s">
        <v>12243</v>
      </c>
      <c r="E11" s="76" t="s">
        <v>12244</v>
      </c>
      <c r="F11" s="73" t="s">
        <v>12245</v>
      </c>
      <c r="G11" s="74" t="s">
        <v>12246</v>
      </c>
      <c r="H11" s="9" t="s">
        <v>12207</v>
      </c>
    </row>
    <row r="12" spans="1:13" ht="15.75" customHeight="1">
      <c r="A12" s="66"/>
      <c r="B12" s="75" t="s">
        <v>12247</v>
      </c>
      <c r="C12" s="71" t="s">
        <v>11705</v>
      </c>
      <c r="D12" s="71" t="s">
        <v>12248</v>
      </c>
      <c r="E12" s="76" t="s">
        <v>12249</v>
      </c>
      <c r="F12" s="73" t="s">
        <v>12250</v>
      </c>
      <c r="G12" s="74" t="s">
        <v>12251</v>
      </c>
      <c r="H12" s="9" t="s">
        <v>12207</v>
      </c>
    </row>
    <row r="13" spans="1:13" ht="15.75" customHeight="1">
      <c r="A13" s="66"/>
      <c r="B13" s="75" t="s">
        <v>12252</v>
      </c>
      <c r="C13" s="71" t="s">
        <v>11897</v>
      </c>
      <c r="D13" s="71" t="s">
        <v>12253</v>
      </c>
      <c r="E13" s="76" t="s">
        <v>12254</v>
      </c>
      <c r="F13" s="73" t="s">
        <v>12255</v>
      </c>
      <c r="G13" s="74" t="s">
        <v>12256</v>
      </c>
    </row>
    <row r="14" spans="1:13" ht="12.75">
      <c r="A14" s="9"/>
      <c r="B14" s="15" t="s">
        <v>12257</v>
      </c>
      <c r="C14" s="15" t="s">
        <v>11756</v>
      </c>
      <c r="D14" s="15" t="s">
        <v>12258</v>
      </c>
      <c r="E14" s="15"/>
      <c r="F14" s="15"/>
      <c r="G14" s="15"/>
    </row>
    <row r="15" spans="1:13" ht="12.75">
      <c r="G15" s="9" t="s">
        <v>12259</v>
      </c>
      <c r="H15" s="9">
        <f>COUNTA(H3:H14)</f>
        <v>8</v>
      </c>
    </row>
    <row r="16" spans="1:13" ht="15.75" customHeight="1">
      <c r="B16" s="9" t="s">
        <v>12260</v>
      </c>
      <c r="C16" s="78" t="s">
        <v>12261</v>
      </c>
    </row>
    <row r="17" spans="1:4" ht="15.75" customHeight="1">
      <c r="A17" s="79">
        <v>1</v>
      </c>
      <c r="B17" s="79" t="s">
        <v>35</v>
      </c>
      <c r="C17" s="9" t="str">
        <f>VLOOKUP(B17,'Datos filial'!$B$2:$B$148,1,0)</f>
        <v>Almendral</v>
      </c>
      <c r="D17" s="9" t="str">
        <f t="shared" ref="D17:D160" si="1">IF(C17=B17,"OK","NOK")</f>
        <v>OK</v>
      </c>
    </row>
    <row r="18" spans="1:4" ht="15.75" customHeight="1">
      <c r="A18" s="79">
        <v>2</v>
      </c>
      <c r="B18" s="79" t="s">
        <v>10687</v>
      </c>
      <c r="C18" s="9" t="str">
        <f>VLOOKUP(B18,'Datos filial'!$B$2:$B$148,1,0)</f>
        <v>Ancud</v>
      </c>
      <c r="D18" s="9" t="str">
        <f t="shared" si="1"/>
        <v>OK</v>
      </c>
    </row>
    <row r="19" spans="1:4" ht="15.75" customHeight="1">
      <c r="A19" s="79">
        <v>3</v>
      </c>
      <c r="B19" s="79" t="s">
        <v>77</v>
      </c>
      <c r="C19" s="9" t="str">
        <f>VLOOKUP(B19,'Datos filial'!$B$2:$B$148,1,0)</f>
        <v>Angol</v>
      </c>
      <c r="D19" s="9" t="str">
        <f t="shared" si="1"/>
        <v>OK</v>
      </c>
    </row>
    <row r="20" spans="1:4" ht="15.75" customHeight="1">
      <c r="A20" s="79">
        <v>4</v>
      </c>
      <c r="B20" s="79" t="s">
        <v>260</v>
      </c>
      <c r="C20" s="9" t="str">
        <f>VLOOKUP(B20,'Datos filial'!$B$2:$B$148,1,0)</f>
        <v>Antofagasta</v>
      </c>
      <c r="D20" s="9" t="str">
        <f t="shared" si="1"/>
        <v>OK</v>
      </c>
    </row>
    <row r="21" spans="1:4" ht="15.75" customHeight="1">
      <c r="A21" s="79">
        <v>5</v>
      </c>
      <c r="B21" s="79" t="s">
        <v>371</v>
      </c>
      <c r="C21" s="9" t="str">
        <f>VLOOKUP(B21,'Datos filial'!$B$2:$B$148,1,0)</f>
        <v>Arica y Parinacota</v>
      </c>
      <c r="D21" s="9" t="str">
        <f t="shared" si="1"/>
        <v>OK</v>
      </c>
    </row>
    <row r="22" spans="1:4" ht="15.75" customHeight="1">
      <c r="A22" s="79">
        <v>6</v>
      </c>
      <c r="B22" s="79" t="s">
        <v>538</v>
      </c>
      <c r="C22" s="9" t="str">
        <f>VLOOKUP(B22,'Datos filial'!$B$2:$B$148,1,0)</f>
        <v>Bulnes</v>
      </c>
      <c r="D22" s="9" t="str">
        <f t="shared" si="1"/>
        <v>OK</v>
      </c>
    </row>
    <row r="23" spans="1:4" ht="15.75" customHeight="1">
      <c r="A23" s="79">
        <v>7</v>
      </c>
      <c r="B23" s="79" t="s">
        <v>580</v>
      </c>
      <c r="C23" s="9" t="str">
        <f>VLOOKUP(B23,'Datos filial'!$B$2:$B$148,1,0)</f>
        <v>Cabrero</v>
      </c>
      <c r="D23" s="9" t="str">
        <f t="shared" si="1"/>
        <v>OK</v>
      </c>
    </row>
    <row r="24" spans="1:4" ht="15.75" customHeight="1">
      <c r="A24" s="79">
        <v>8</v>
      </c>
      <c r="B24" s="79" t="s">
        <v>637</v>
      </c>
      <c r="C24" s="9" t="str">
        <f>VLOOKUP(B24,'Datos filial'!$B$2:$B$148,1,0)</f>
        <v>Caldera</v>
      </c>
      <c r="D24" s="9" t="str">
        <f t="shared" si="1"/>
        <v>OK</v>
      </c>
    </row>
    <row r="25" spans="1:4" ht="15.75" customHeight="1">
      <c r="A25" s="79">
        <v>9</v>
      </c>
      <c r="B25" s="79" t="s">
        <v>738</v>
      </c>
      <c r="C25" s="9" t="str">
        <f>VLOOKUP(B25,'Datos filial'!$B$2:$B$148,1,0)</f>
        <v>Cañete</v>
      </c>
      <c r="D25" s="9" t="str">
        <f t="shared" si="1"/>
        <v>OK</v>
      </c>
    </row>
    <row r="26" spans="1:4" ht="15.75" customHeight="1">
      <c r="A26" s="79">
        <v>10</v>
      </c>
      <c r="B26" s="79" t="s">
        <v>879</v>
      </c>
      <c r="C26" s="9" t="str">
        <f>VLOOKUP(B26,'Datos filial'!$B$2:$B$148,1,0)</f>
        <v>Capitán Pastene</v>
      </c>
      <c r="D26" s="9" t="str">
        <f t="shared" si="1"/>
        <v>OK</v>
      </c>
    </row>
    <row r="27" spans="1:4">
      <c r="A27" s="79">
        <v>11</v>
      </c>
      <c r="B27" s="79" t="s">
        <v>973</v>
      </c>
      <c r="C27" s="9" t="str">
        <f>VLOOKUP(B27,'Datos filial'!$B$2:$B$148,1,0)</f>
        <v>Carahue</v>
      </c>
      <c r="D27" s="9" t="str">
        <f t="shared" si="1"/>
        <v>OK</v>
      </c>
    </row>
    <row r="28" spans="1:4">
      <c r="A28" s="79">
        <v>12</v>
      </c>
      <c r="B28" s="79" t="s">
        <v>1053</v>
      </c>
      <c r="C28" s="9" t="str">
        <f>VLOOKUP(B28,'Datos filial'!$B$2:$B$148,1,0)</f>
        <v>Cartagena</v>
      </c>
      <c r="D28" s="9" t="str">
        <f t="shared" si="1"/>
        <v>OK</v>
      </c>
    </row>
    <row r="29" spans="1:4">
      <c r="A29" s="79">
        <v>13</v>
      </c>
      <c r="B29" s="79" t="s">
        <v>1113</v>
      </c>
      <c r="C29" s="9" t="str">
        <f>VLOOKUP(B29,'Datos filial'!$B$2:$B$148,1,0)</f>
        <v>Castro</v>
      </c>
      <c r="D29" s="9" t="str">
        <f t="shared" si="1"/>
        <v>OK</v>
      </c>
    </row>
    <row r="30" spans="1:4">
      <c r="A30" s="79">
        <v>14</v>
      </c>
      <c r="B30" s="79" t="s">
        <v>1174</v>
      </c>
      <c r="C30" s="9" t="str">
        <f>VLOOKUP(B30,'Datos filial'!$B$2:$B$148,1,0)</f>
        <v>Cauquenes</v>
      </c>
      <c r="D30" s="9" t="str">
        <f t="shared" si="1"/>
        <v>OK</v>
      </c>
    </row>
    <row r="31" spans="1:4">
      <c r="A31" s="79">
        <v>15</v>
      </c>
      <c r="B31" s="79" t="s">
        <v>12262</v>
      </c>
      <c r="C31" s="9" t="e">
        <f>VLOOKUP(B31,'Datos filial'!$B$2:$B$148,1,0)</f>
        <v>#N/A</v>
      </c>
      <c r="D31" s="9" t="e">
        <f t="shared" si="1"/>
        <v>#N/A</v>
      </c>
    </row>
    <row r="32" spans="1:4">
      <c r="A32" s="79">
        <v>16</v>
      </c>
      <c r="B32" s="79" t="s">
        <v>1245</v>
      </c>
      <c r="C32" s="9" t="str">
        <f>VLOOKUP(B32,'Datos filial'!$B$2:$B$148,1,0)</f>
        <v>Chiguayante</v>
      </c>
      <c r="D32" s="9" t="str">
        <f t="shared" si="1"/>
        <v>OK</v>
      </c>
    </row>
    <row r="33" spans="1:4">
      <c r="A33" s="79">
        <v>17</v>
      </c>
      <c r="B33" s="79" t="s">
        <v>1477</v>
      </c>
      <c r="C33" s="9" t="str">
        <f>VLOOKUP(B33,'Datos filial'!$B$2:$B$148,1,0)</f>
        <v>Chillán</v>
      </c>
      <c r="D33" s="9" t="str">
        <f t="shared" si="1"/>
        <v>OK</v>
      </c>
    </row>
    <row r="34" spans="1:4">
      <c r="A34" s="79">
        <v>18</v>
      </c>
      <c r="B34" s="79" t="s">
        <v>10981</v>
      </c>
      <c r="C34" s="9" t="str">
        <f>VLOOKUP(B34,'Datos filial'!$B$2:$B$148,1,0)</f>
        <v>Chimbarongo</v>
      </c>
      <c r="D34" s="9" t="str">
        <f t="shared" si="1"/>
        <v>OK</v>
      </c>
    </row>
    <row r="35" spans="1:4">
      <c r="A35" s="79">
        <v>19</v>
      </c>
      <c r="B35" s="79" t="s">
        <v>1659</v>
      </c>
      <c r="C35" s="9" t="str">
        <f>VLOOKUP(B35,'Datos filial'!$B$2:$B$148,1,0)</f>
        <v>Coelemu</v>
      </c>
      <c r="D35" s="9" t="str">
        <f t="shared" si="1"/>
        <v>OK</v>
      </c>
    </row>
    <row r="36" spans="1:4">
      <c r="A36" s="79">
        <v>20</v>
      </c>
      <c r="B36" s="79" t="s">
        <v>1698</v>
      </c>
      <c r="C36" s="9" t="str">
        <f>VLOOKUP(B36,'Datos filial'!$B$2:$B$148,1,0)</f>
        <v>Collipulli</v>
      </c>
      <c r="D36" s="9" t="str">
        <f t="shared" si="1"/>
        <v>OK</v>
      </c>
    </row>
    <row r="37" spans="1:4">
      <c r="A37" s="79">
        <v>21</v>
      </c>
      <c r="B37" s="79" t="s">
        <v>1811</v>
      </c>
      <c r="C37" s="9" t="str">
        <f>VLOOKUP(B37,'Datos filial'!$B$2:$B$148,1,0)</f>
        <v>Concepción</v>
      </c>
      <c r="D37" s="9" t="str">
        <f t="shared" si="1"/>
        <v>OK</v>
      </c>
    </row>
    <row r="38" spans="1:4">
      <c r="A38" s="79">
        <v>22</v>
      </c>
      <c r="B38" s="79" t="s">
        <v>2235</v>
      </c>
      <c r="C38" s="9" t="str">
        <f>VLOOKUP(B38,'Datos filial'!$B$2:$B$148,1,0)</f>
        <v>Concón</v>
      </c>
      <c r="D38" s="9" t="str">
        <f t="shared" si="1"/>
        <v>OK</v>
      </c>
    </row>
    <row r="39" spans="1:4">
      <c r="A39" s="79">
        <v>23</v>
      </c>
      <c r="B39" s="79" t="s">
        <v>12263</v>
      </c>
      <c r="C39" s="9" t="e">
        <f>VLOOKUP(B39,'Datos filial'!$B$2:$B$148,1,0)</f>
        <v>#N/A</v>
      </c>
      <c r="D39" s="9" t="e">
        <f t="shared" si="1"/>
        <v>#N/A</v>
      </c>
    </row>
    <row r="40" spans="1:4">
      <c r="A40" s="79">
        <v>24</v>
      </c>
      <c r="B40" s="79" t="s">
        <v>2320</v>
      </c>
      <c r="C40" s="9" t="str">
        <f>VLOOKUP(B40,'Datos filial'!$B$2:$B$148,1,0)</f>
        <v>Copiapó</v>
      </c>
      <c r="D40" s="9" t="str">
        <f t="shared" si="1"/>
        <v>OK</v>
      </c>
    </row>
    <row r="41" spans="1:4">
      <c r="A41" s="79">
        <v>25</v>
      </c>
      <c r="B41" s="79" t="s">
        <v>2419</v>
      </c>
      <c r="C41" s="9" t="str">
        <f>VLOOKUP(B41,'Datos filial'!$B$2:$B$148,1,0)</f>
        <v>Coquimbo</v>
      </c>
      <c r="D41" s="9" t="str">
        <f t="shared" si="1"/>
        <v>OK</v>
      </c>
    </row>
    <row r="42" spans="1:4">
      <c r="A42" s="79">
        <v>26</v>
      </c>
      <c r="B42" s="79" t="s">
        <v>2513</v>
      </c>
      <c r="C42" s="9" t="str">
        <f>VLOOKUP(B42,'Datos filial'!$B$2:$B$148,1,0)</f>
        <v>Cordillera</v>
      </c>
      <c r="D42" s="9" t="str">
        <f t="shared" si="1"/>
        <v>OK</v>
      </c>
    </row>
    <row r="43" spans="1:4">
      <c r="A43" s="79">
        <v>27</v>
      </c>
      <c r="B43" s="79" t="s">
        <v>10521</v>
      </c>
      <c r="C43" s="9" t="str">
        <f>VLOOKUP(B43,'Datos filial'!$B$2:$B$148,1,0)</f>
        <v>Coronel</v>
      </c>
      <c r="D43" s="9" t="str">
        <f t="shared" si="1"/>
        <v>OK</v>
      </c>
    </row>
    <row r="44" spans="1:4">
      <c r="A44" s="79">
        <v>28</v>
      </c>
      <c r="B44" s="79" t="s">
        <v>2626</v>
      </c>
      <c r="C44" s="9" t="str">
        <f>VLOOKUP(B44,'Datos filial'!$B$2:$B$148,1,0)</f>
        <v>Coyhaique</v>
      </c>
      <c r="D44" s="9" t="str">
        <f t="shared" si="1"/>
        <v>OK</v>
      </c>
    </row>
    <row r="45" spans="1:4">
      <c r="A45" s="79">
        <v>29</v>
      </c>
      <c r="B45" s="79" t="s">
        <v>2663</v>
      </c>
      <c r="C45" s="9" t="str">
        <f>VLOOKUP(B45,'Datos filial'!$B$2:$B$148,1,0)</f>
        <v>Curanilahue</v>
      </c>
      <c r="D45" s="9" t="str">
        <f t="shared" si="1"/>
        <v>OK</v>
      </c>
    </row>
    <row r="46" spans="1:4">
      <c r="A46" s="79">
        <v>30</v>
      </c>
      <c r="B46" s="79" t="s">
        <v>11748</v>
      </c>
      <c r="C46" s="9" t="str">
        <f>VLOOKUP(B46,'Datos filial'!$B$2:$B$148,1,0)</f>
        <v>Curicó</v>
      </c>
      <c r="D46" s="9" t="str">
        <f t="shared" si="1"/>
        <v>OK</v>
      </c>
    </row>
    <row r="47" spans="1:4">
      <c r="A47" s="79">
        <v>31</v>
      </c>
      <c r="B47" s="79" t="s">
        <v>10562</v>
      </c>
      <c r="C47" s="9" t="str">
        <f>VLOOKUP(B47,'Datos filial'!$B$2:$B$148,1,0)</f>
        <v>Doñihue</v>
      </c>
      <c r="D47" s="9" t="str">
        <f t="shared" si="1"/>
        <v>OK</v>
      </c>
    </row>
    <row r="48" spans="1:4">
      <c r="A48" s="79">
        <v>32</v>
      </c>
      <c r="B48" s="79" t="s">
        <v>2848</v>
      </c>
      <c r="C48" s="9" t="str">
        <f>VLOOKUP(B48,'Datos filial'!$B$2:$B$148,1,0)</f>
        <v>El Loa</v>
      </c>
      <c r="D48" s="9" t="str">
        <f t="shared" si="1"/>
        <v>OK</v>
      </c>
    </row>
    <row r="49" spans="1:4">
      <c r="A49" s="79">
        <v>33</v>
      </c>
      <c r="B49" s="79" t="s">
        <v>3110</v>
      </c>
      <c r="C49" s="9" t="str">
        <f>VLOOKUP(B49,'Datos filial'!$B$2:$B$148,1,0)</f>
        <v>El Monte</v>
      </c>
      <c r="D49" s="9" t="str">
        <f t="shared" si="1"/>
        <v>OK</v>
      </c>
    </row>
    <row r="50" spans="1:4">
      <c r="A50" s="79">
        <v>34</v>
      </c>
      <c r="B50" s="79" t="s">
        <v>3169</v>
      </c>
      <c r="C50" s="9" t="str">
        <f>VLOOKUP(B50,'Datos filial'!$B$2:$B$148,1,0)</f>
        <v>El Quisco</v>
      </c>
      <c r="D50" s="9" t="str">
        <f t="shared" si="1"/>
        <v>OK</v>
      </c>
    </row>
    <row r="51" spans="1:4">
      <c r="A51" s="79">
        <v>35</v>
      </c>
      <c r="B51" s="79" t="s">
        <v>11085</v>
      </c>
      <c r="C51" s="9" t="str">
        <f>VLOOKUP(B51,'Datos filial'!$B$2:$B$148,1,0)</f>
        <v>El Tambo</v>
      </c>
      <c r="D51" s="9" t="str">
        <f t="shared" si="1"/>
        <v>OK</v>
      </c>
    </row>
    <row r="52" spans="1:4">
      <c r="A52" s="79">
        <v>36</v>
      </c>
      <c r="B52" s="79" t="s">
        <v>12264</v>
      </c>
      <c r="C52" s="9" t="e">
        <f>VLOOKUP(B52,'Datos filial'!$B$2:$B$148,1,0)</f>
        <v>#N/A</v>
      </c>
      <c r="D52" s="9" t="e">
        <f t="shared" si="1"/>
        <v>#N/A</v>
      </c>
    </row>
    <row r="53" spans="1:4">
      <c r="A53" s="79">
        <v>37</v>
      </c>
      <c r="B53" s="79" t="s">
        <v>3211</v>
      </c>
      <c r="C53" s="9" t="str">
        <f>VLOOKUP(B53,'Datos filial'!$B$2:$B$148,1,0)</f>
        <v>Frutillar</v>
      </c>
      <c r="D53" s="9" t="str">
        <f t="shared" si="1"/>
        <v>OK</v>
      </c>
    </row>
    <row r="54" spans="1:4">
      <c r="A54" s="79">
        <v>38</v>
      </c>
      <c r="B54" s="79" t="s">
        <v>3261</v>
      </c>
      <c r="C54" s="9" t="str">
        <f>VLOOKUP(B54,'Datos filial'!$B$2:$B$148,1,0)</f>
        <v>Gorbea</v>
      </c>
      <c r="D54" s="9" t="str">
        <f t="shared" si="1"/>
        <v>OK</v>
      </c>
    </row>
    <row r="55" spans="1:4">
      <c r="A55" s="79">
        <v>39</v>
      </c>
      <c r="B55" s="79" t="s">
        <v>10722</v>
      </c>
      <c r="C55" s="9" t="str">
        <f>VLOOKUP(B55,'Datos filial'!$B$2:$B$148,1,0)</f>
        <v>Graneros</v>
      </c>
      <c r="D55" s="9" t="str">
        <f t="shared" si="1"/>
        <v>OK</v>
      </c>
    </row>
    <row r="56" spans="1:4">
      <c r="A56" s="79">
        <v>40</v>
      </c>
      <c r="B56" s="79" t="s">
        <v>3319</v>
      </c>
      <c r="C56" s="9" t="str">
        <f>VLOOKUP(B56,'Datos filial'!$B$2:$B$148,1,0)</f>
        <v>Illapel</v>
      </c>
      <c r="D56" s="9" t="str">
        <f t="shared" si="1"/>
        <v>OK</v>
      </c>
    </row>
    <row r="57" spans="1:4">
      <c r="A57" s="79">
        <v>41</v>
      </c>
      <c r="B57" s="79" t="s">
        <v>3374</v>
      </c>
      <c r="C57" s="9" t="str">
        <f>VLOOKUP(B57,'Datos filial'!$B$2:$B$148,1,0)</f>
        <v>Iquique</v>
      </c>
      <c r="D57" s="9" t="str">
        <f t="shared" si="1"/>
        <v>OK</v>
      </c>
    </row>
    <row r="58" spans="1:4">
      <c r="A58" s="79">
        <v>42</v>
      </c>
      <c r="B58" s="79" t="s">
        <v>12265</v>
      </c>
      <c r="C58" s="9" t="str">
        <f>VLOOKUP(B58,'Datos filial'!$B$2:$B$148,1,0)</f>
        <v>Isla de Maipo</v>
      </c>
      <c r="D58" s="9" t="str">
        <f t="shared" si="1"/>
        <v>OK</v>
      </c>
    </row>
    <row r="59" spans="1:4">
      <c r="A59" s="79">
        <v>43</v>
      </c>
      <c r="B59" s="79" t="s">
        <v>10137</v>
      </c>
      <c r="C59" s="9" t="str">
        <f>VLOOKUP(B59,'Datos filial'!$B$2:$B$148,1,0)</f>
        <v>La Calera</v>
      </c>
      <c r="D59" s="9" t="str">
        <f t="shared" si="1"/>
        <v>OK</v>
      </c>
    </row>
    <row r="60" spans="1:4">
      <c r="A60" s="79">
        <v>44</v>
      </c>
      <c r="B60" s="79" t="s">
        <v>3557</v>
      </c>
      <c r="C60" s="9" t="str">
        <f>VLOOKUP(B60,'Datos filial'!$B$2:$B$148,1,0)</f>
        <v>La Cisterna</v>
      </c>
      <c r="D60" s="9" t="str">
        <f t="shared" si="1"/>
        <v>OK</v>
      </c>
    </row>
    <row r="61" spans="1:4">
      <c r="A61" s="79">
        <v>45</v>
      </c>
      <c r="B61" s="79" t="s">
        <v>9861</v>
      </c>
      <c r="C61" s="9" t="str">
        <f>VLOOKUP(B61,'Datos filial'!$B$2:$B$148,1,0)</f>
        <v>La Florida</v>
      </c>
      <c r="D61" s="9" t="str">
        <f t="shared" si="1"/>
        <v>OK</v>
      </c>
    </row>
    <row r="62" spans="1:4">
      <c r="A62" s="79">
        <v>46</v>
      </c>
      <c r="B62" s="79" t="s">
        <v>3610</v>
      </c>
      <c r="C62" s="9" t="str">
        <f>VLOOKUP(B62,'Datos filial'!$B$2:$B$148,1,0)</f>
        <v>La Serena</v>
      </c>
      <c r="D62" s="9" t="str">
        <f t="shared" si="1"/>
        <v>OK</v>
      </c>
    </row>
    <row r="63" spans="1:4">
      <c r="A63" s="79">
        <v>47</v>
      </c>
      <c r="B63" s="79" t="s">
        <v>11784</v>
      </c>
      <c r="C63" s="9" t="str">
        <f>VLOOKUP(B63,'Datos filial'!$B$2:$B$148,1,0)</f>
        <v>La Unión</v>
      </c>
      <c r="D63" s="9" t="str">
        <f t="shared" si="1"/>
        <v>OK</v>
      </c>
    </row>
    <row r="64" spans="1:4">
      <c r="A64" s="79">
        <v>48</v>
      </c>
      <c r="B64" s="79" t="s">
        <v>3796</v>
      </c>
      <c r="C64" s="9" t="str">
        <f>VLOOKUP(B64,'Datos filial'!$B$2:$B$148,1,0)</f>
        <v>Lago Ranco</v>
      </c>
      <c r="D64" s="9" t="str">
        <f t="shared" si="1"/>
        <v>OK</v>
      </c>
    </row>
    <row r="65" spans="1:4">
      <c r="A65" s="79">
        <v>49</v>
      </c>
      <c r="B65" s="79" t="s">
        <v>3849</v>
      </c>
      <c r="C65" s="9" t="str">
        <f>VLOOKUP(B65,'Datos filial'!$B$2:$B$148,1,0)</f>
        <v>Lanco</v>
      </c>
      <c r="D65" s="9" t="str">
        <f t="shared" si="1"/>
        <v>OK</v>
      </c>
    </row>
    <row r="66" spans="1:4">
      <c r="A66" s="79">
        <v>50</v>
      </c>
      <c r="B66" s="79" t="s">
        <v>10957</v>
      </c>
      <c r="C66" s="9" t="str">
        <f>VLOOKUP(B66,'Datos filial'!$B$2:$B$148,1,0)</f>
        <v>Las Cabras</v>
      </c>
      <c r="D66" s="9" t="str">
        <f t="shared" si="1"/>
        <v>OK</v>
      </c>
    </row>
    <row r="67" spans="1:4">
      <c r="A67" s="79">
        <v>51</v>
      </c>
      <c r="B67" s="79" t="s">
        <v>3885</v>
      </c>
      <c r="C67" s="9" t="str">
        <f>VLOOKUP(B67,'Datos filial'!$B$2:$B$148,1,0)</f>
        <v>Lastarria</v>
      </c>
      <c r="D67" s="9" t="str">
        <f t="shared" si="1"/>
        <v>OK</v>
      </c>
    </row>
    <row r="68" spans="1:4">
      <c r="A68" s="79">
        <v>52</v>
      </c>
      <c r="B68" s="79" t="s">
        <v>3935</v>
      </c>
      <c r="C68" s="9" t="str">
        <f>VLOOKUP(B68,'Datos filial'!$B$2:$B$148,1,0)</f>
        <v>Lebu</v>
      </c>
      <c r="D68" s="9" t="str">
        <f t="shared" si="1"/>
        <v>OK</v>
      </c>
    </row>
    <row r="69" spans="1:4">
      <c r="A69" s="79">
        <v>53</v>
      </c>
      <c r="B69" s="79" t="s">
        <v>12266</v>
      </c>
      <c r="C69" s="9" t="str">
        <f>VLOOKUP(B69,'Datos filial'!$B$2:$B$148,1,0)</f>
        <v>Lican Ray</v>
      </c>
      <c r="D69" s="9" t="str">
        <f t="shared" si="1"/>
        <v>OK</v>
      </c>
    </row>
    <row r="70" spans="1:4">
      <c r="A70" s="79">
        <v>54</v>
      </c>
      <c r="B70" s="79" t="s">
        <v>4104</v>
      </c>
      <c r="C70" s="9" t="str">
        <f>VLOOKUP(B70,'Datos filial'!$B$2:$B$148,1,0)</f>
        <v>Limache</v>
      </c>
      <c r="D70" s="9" t="str">
        <f t="shared" si="1"/>
        <v>OK</v>
      </c>
    </row>
    <row r="71" spans="1:4">
      <c r="A71" s="79">
        <v>55</v>
      </c>
      <c r="B71" s="79" t="s">
        <v>9779</v>
      </c>
      <c r="C71" s="9" t="str">
        <f>VLOOKUP(B71,'Datos filial'!$B$2:$B$148,1,0)</f>
        <v>Linares</v>
      </c>
      <c r="D71" s="9" t="str">
        <f t="shared" si="1"/>
        <v>OK</v>
      </c>
    </row>
    <row r="72" spans="1:4">
      <c r="A72" s="79">
        <v>56</v>
      </c>
      <c r="B72" s="79" t="s">
        <v>4214</v>
      </c>
      <c r="C72" s="9" t="str">
        <f>VLOOKUP(B72,'Datos filial'!$B$2:$B$148,1,0)</f>
        <v>Llanquihue</v>
      </c>
      <c r="D72" s="9" t="str">
        <f t="shared" si="1"/>
        <v>OK</v>
      </c>
    </row>
    <row r="73" spans="1:4">
      <c r="A73" s="79">
        <v>57</v>
      </c>
      <c r="B73" s="70" t="s">
        <v>4303</v>
      </c>
      <c r="C73" s="9" t="str">
        <f>VLOOKUP(B73,'Datos filial'!$B$2:$B$148,1,0)</f>
        <v>Llolleo</v>
      </c>
      <c r="D73" s="9" t="str">
        <f t="shared" si="1"/>
        <v>OK</v>
      </c>
    </row>
    <row r="74" spans="1:4">
      <c r="A74" s="79">
        <v>58</v>
      </c>
      <c r="B74" s="79" t="s">
        <v>4326</v>
      </c>
      <c r="C74" s="9" t="str">
        <f>VLOOKUP(B74,'Datos filial'!$B$2:$B$148,1,0)</f>
        <v>Lo Espejo</v>
      </c>
      <c r="D74" s="9" t="str">
        <f t="shared" si="1"/>
        <v>OK</v>
      </c>
    </row>
    <row r="75" spans="1:4">
      <c r="A75" s="79">
        <v>59</v>
      </c>
      <c r="B75" s="79" t="s">
        <v>4367</v>
      </c>
      <c r="C75" s="9" t="str">
        <f>VLOOKUP(B75,'Datos filial'!$B$2:$B$148,1,0)</f>
        <v>Lo Miranda</v>
      </c>
      <c r="D75" s="9" t="str">
        <f t="shared" si="1"/>
        <v>OK</v>
      </c>
    </row>
    <row r="76" spans="1:4">
      <c r="A76" s="79">
        <v>60</v>
      </c>
      <c r="B76" s="79" t="s">
        <v>4396</v>
      </c>
      <c r="C76" s="9" t="str">
        <f>VLOOKUP(B76,'Datos filial'!$B$2:$B$148,1,0)</f>
        <v>Loncoche</v>
      </c>
      <c r="D76" s="9" t="str">
        <f t="shared" si="1"/>
        <v>OK</v>
      </c>
    </row>
    <row r="77" spans="1:4">
      <c r="A77" s="79">
        <v>61</v>
      </c>
      <c r="B77" s="79" t="s">
        <v>4457</v>
      </c>
      <c r="C77" s="9" t="str">
        <f>VLOOKUP(B77,'Datos filial'!$B$2:$B$148,1,0)</f>
        <v>Los Andes</v>
      </c>
      <c r="D77" s="9" t="str">
        <f t="shared" si="1"/>
        <v>OK</v>
      </c>
    </row>
    <row r="78" spans="1:4">
      <c r="A78" s="79">
        <v>62</v>
      </c>
      <c r="B78" s="79" t="s">
        <v>4579</v>
      </c>
      <c r="C78" s="9" t="str">
        <f>VLOOKUP(B78,'Datos filial'!$B$2:$B$148,1,0)</f>
        <v>Los Ángeles</v>
      </c>
      <c r="D78" s="9" t="str">
        <f t="shared" si="1"/>
        <v>OK</v>
      </c>
    </row>
    <row r="79" spans="1:4">
      <c r="A79" s="79">
        <v>63</v>
      </c>
      <c r="B79" s="79" t="s">
        <v>4618</v>
      </c>
      <c r="C79" s="9" t="str">
        <f>VLOOKUP(B79,'Datos filial'!$B$2:$B$148,1,0)</f>
        <v>Los Placeres</v>
      </c>
      <c r="D79" s="9" t="str">
        <f t="shared" si="1"/>
        <v>OK</v>
      </c>
    </row>
    <row r="80" spans="1:4">
      <c r="A80" s="79">
        <v>64</v>
      </c>
      <c r="B80" s="79" t="s">
        <v>10029</v>
      </c>
      <c r="C80" s="9" t="str">
        <f>VLOOKUP(B80,'Datos filial'!$B$2:$B$148,1,0)</f>
        <v>Los Vilos</v>
      </c>
      <c r="D80" s="9" t="str">
        <f t="shared" si="1"/>
        <v>OK</v>
      </c>
    </row>
    <row r="81" spans="1:4">
      <c r="A81" s="79">
        <v>65</v>
      </c>
      <c r="B81" s="79" t="s">
        <v>4648</v>
      </c>
      <c r="C81" s="9" t="str">
        <f>VLOOKUP(B81,'Datos filial'!$B$2:$B$148,1,0)</f>
        <v>Lota</v>
      </c>
      <c r="D81" s="9" t="str">
        <f t="shared" si="1"/>
        <v>OK</v>
      </c>
    </row>
    <row r="82" spans="1:4">
      <c r="A82" s="79">
        <v>66</v>
      </c>
      <c r="B82" s="79" t="s">
        <v>12267</v>
      </c>
      <c r="C82" s="9" t="e">
        <f>VLOOKUP(B82,'Datos filial'!$B$2:$B$148,1,0)</f>
        <v>#N/A</v>
      </c>
      <c r="D82" s="9" t="e">
        <f t="shared" si="1"/>
        <v>#N/A</v>
      </c>
    </row>
    <row r="83" spans="1:4">
      <c r="A83" s="79">
        <v>67</v>
      </c>
      <c r="B83" s="79" t="s">
        <v>4702</v>
      </c>
      <c r="C83" s="9" t="str">
        <f>VLOOKUP(B83,'Datos filial'!$B$2:$B$148,1,0)</f>
        <v>Maipú</v>
      </c>
      <c r="D83" s="9" t="str">
        <f t="shared" si="1"/>
        <v>OK</v>
      </c>
    </row>
    <row r="84" spans="1:4">
      <c r="A84" s="79">
        <v>68</v>
      </c>
      <c r="B84" s="79" t="s">
        <v>4783</v>
      </c>
      <c r="C84" s="9" t="str">
        <f>VLOOKUP(B84,'Datos filial'!$B$2:$B$148,1,0)</f>
        <v>Mejillones</v>
      </c>
      <c r="D84" s="9" t="str">
        <f t="shared" si="1"/>
        <v>OK</v>
      </c>
    </row>
    <row r="85" spans="1:4">
      <c r="A85" s="79">
        <v>69</v>
      </c>
      <c r="B85" s="79" t="s">
        <v>4896</v>
      </c>
      <c r="C85" s="9" t="str">
        <f>VLOOKUP(B85,'Datos filial'!$B$2:$B$148,1,0)</f>
        <v>Melipilla</v>
      </c>
      <c r="D85" s="9" t="str">
        <f t="shared" si="1"/>
        <v>OK</v>
      </c>
    </row>
    <row r="86" spans="1:4">
      <c r="A86" s="79">
        <v>70</v>
      </c>
      <c r="B86" s="79" t="s">
        <v>5023</v>
      </c>
      <c r="C86" s="9" t="str">
        <f>VLOOKUP(B86,'Datos filial'!$B$2:$B$148,1,0)</f>
        <v>Molina</v>
      </c>
      <c r="D86" s="9" t="str">
        <f t="shared" si="1"/>
        <v>OK</v>
      </c>
    </row>
    <row r="87" spans="1:4">
      <c r="A87" s="79">
        <v>71</v>
      </c>
      <c r="B87" s="79" t="s">
        <v>5143</v>
      </c>
      <c r="C87" s="9" t="str">
        <f>VLOOKUP(B87,'Datos filial'!$B$2:$B$148,1,0)</f>
        <v>Monte Águila</v>
      </c>
      <c r="D87" s="9" t="str">
        <f t="shared" si="1"/>
        <v>OK</v>
      </c>
    </row>
    <row r="88" spans="1:4">
      <c r="A88" s="79">
        <v>72</v>
      </c>
      <c r="B88" s="79" t="s">
        <v>11844</v>
      </c>
      <c r="C88" s="9" t="str">
        <f>VLOOKUP(B88,'Datos filial'!$B$2:$B$148,1,0)</f>
        <v>Mulchén</v>
      </c>
      <c r="D88" s="9" t="str">
        <f t="shared" si="1"/>
        <v>OK</v>
      </c>
    </row>
    <row r="89" spans="1:4">
      <c r="A89" s="79">
        <v>73</v>
      </c>
      <c r="B89" s="79" t="s">
        <v>5291</v>
      </c>
      <c r="C89" s="9" t="str">
        <f>VLOOKUP(B89,'Datos filial'!$B$2:$B$148,1,0)</f>
        <v>Nacimiento</v>
      </c>
      <c r="D89" s="9" t="str">
        <f t="shared" si="1"/>
        <v>OK</v>
      </c>
    </row>
    <row r="90" spans="1:4">
      <c r="A90" s="79">
        <v>74</v>
      </c>
      <c r="B90" s="79" t="s">
        <v>10823</v>
      </c>
      <c r="C90" s="9" t="str">
        <f>VLOOKUP(B90,'Datos filial'!$B$2:$B$148,1,0)</f>
        <v>Nancagua</v>
      </c>
      <c r="D90" s="9" t="str">
        <f t="shared" si="1"/>
        <v>OK</v>
      </c>
    </row>
    <row r="91" spans="1:4">
      <c r="A91" s="79">
        <v>75</v>
      </c>
      <c r="B91" s="79" t="s">
        <v>5365</v>
      </c>
      <c r="C91" s="9" t="str">
        <f>VLOOKUP(B91,'Datos filial'!$B$2:$B$148,1,0)</f>
        <v>Negrete</v>
      </c>
      <c r="D91" s="9" t="str">
        <f t="shared" si="1"/>
        <v>OK</v>
      </c>
    </row>
    <row r="92" spans="1:4">
      <c r="A92" s="79">
        <v>76</v>
      </c>
      <c r="B92" s="79" t="s">
        <v>5484</v>
      </c>
      <c r="C92" s="9" t="str">
        <f>VLOOKUP(B92,'Datos filial'!$B$2:$B$148,1,0)</f>
        <v>Ñuñoa</v>
      </c>
      <c r="D92" s="9" t="str">
        <f t="shared" si="1"/>
        <v>OK</v>
      </c>
    </row>
    <row r="93" spans="1:4">
      <c r="A93" s="79">
        <v>77</v>
      </c>
      <c r="B93" s="79" t="s">
        <v>11858</v>
      </c>
      <c r="C93" s="9" t="str">
        <f>VLOOKUP(B93,'Datos filial'!$B$2:$B$148,1,0)</f>
        <v>Olmué</v>
      </c>
      <c r="D93" s="9" t="str">
        <f t="shared" si="1"/>
        <v>OK</v>
      </c>
    </row>
    <row r="94" spans="1:4">
      <c r="A94" s="79">
        <v>78</v>
      </c>
      <c r="B94" s="79" t="s">
        <v>5788</v>
      </c>
      <c r="C94" s="9" t="str">
        <f>VLOOKUP(B94,'Datos filial'!$B$2:$B$148,1,0)</f>
        <v>Osorno</v>
      </c>
      <c r="D94" s="9" t="str">
        <f t="shared" si="1"/>
        <v>OK</v>
      </c>
    </row>
    <row r="95" spans="1:4">
      <c r="A95" s="79">
        <v>79</v>
      </c>
      <c r="B95" s="79" t="s">
        <v>5824</v>
      </c>
      <c r="C95" s="9" t="str">
        <f>VLOOKUP(B95,'Datos filial'!$B$2:$B$148,1,0)</f>
        <v>Ovalle</v>
      </c>
      <c r="D95" s="9" t="str">
        <f t="shared" si="1"/>
        <v>OK</v>
      </c>
    </row>
    <row r="96" spans="1:4">
      <c r="A96" s="79">
        <v>80</v>
      </c>
      <c r="B96" s="79" t="s">
        <v>12268</v>
      </c>
      <c r="C96" s="9" t="e">
        <f>VLOOKUP(B96,'Datos filial'!$B$2:$B$148,1,0)</f>
        <v>#N/A</v>
      </c>
      <c r="D96" s="9" t="e">
        <f t="shared" si="1"/>
        <v>#N/A</v>
      </c>
    </row>
    <row r="97" spans="1:4">
      <c r="A97" s="79">
        <v>81</v>
      </c>
      <c r="B97" s="79" t="s">
        <v>5846</v>
      </c>
      <c r="C97" s="9" t="str">
        <f>VLOOKUP(B97,'Datos filial'!$B$2:$B$148,1,0)</f>
        <v>Parral</v>
      </c>
      <c r="D97" s="9" t="str">
        <f t="shared" si="1"/>
        <v>OK</v>
      </c>
    </row>
    <row r="98" spans="1:4">
      <c r="A98" s="79">
        <v>82</v>
      </c>
      <c r="B98" s="79" t="s">
        <v>12269</v>
      </c>
      <c r="C98" s="9" t="e">
        <f>VLOOKUP(B98,'Datos filial'!$B$2:$B$148,1,0)</f>
        <v>#N/A</v>
      </c>
      <c r="D98" s="9" t="e">
        <f t="shared" si="1"/>
        <v>#N/A</v>
      </c>
    </row>
    <row r="99" spans="1:4">
      <c r="A99" s="79">
        <v>83</v>
      </c>
      <c r="B99" s="79" t="s">
        <v>5912</v>
      </c>
      <c r="C99" s="9" t="str">
        <f>VLOOKUP(B99,'Datos filial'!$B$2:$B$148,1,0)</f>
        <v>Penco</v>
      </c>
      <c r="D99" s="9" t="str">
        <f t="shared" si="1"/>
        <v>OK</v>
      </c>
    </row>
    <row r="100" spans="1:4">
      <c r="A100" s="79">
        <v>84</v>
      </c>
      <c r="B100" s="79" t="s">
        <v>6041</v>
      </c>
      <c r="C100" s="9" t="str">
        <f>VLOOKUP(B100,'Datos filial'!$B$2:$B$148,1,0)</f>
        <v>Peñaflor Malloco</v>
      </c>
      <c r="D100" s="9" t="str">
        <f t="shared" si="1"/>
        <v>OK</v>
      </c>
    </row>
    <row r="101" spans="1:4">
      <c r="A101" s="79">
        <v>85</v>
      </c>
      <c r="B101" s="79" t="s">
        <v>12270</v>
      </c>
      <c r="C101" s="9" t="e">
        <f>VLOOKUP(B101,'Datos filial'!$B$2:$B$148,1,0)</f>
        <v>#N/A</v>
      </c>
      <c r="D101" s="9" t="e">
        <f t="shared" si="1"/>
        <v>#N/A</v>
      </c>
    </row>
    <row r="102" spans="1:4">
      <c r="A102" s="79">
        <v>86</v>
      </c>
      <c r="B102" s="79" t="s">
        <v>11116</v>
      </c>
      <c r="C102" s="9" t="str">
        <f>VLOOKUP(B102,'Datos filial'!$B$2:$B$148,1,0)</f>
        <v>Pichilemu</v>
      </c>
      <c r="D102" s="9" t="str">
        <f t="shared" si="1"/>
        <v>OK</v>
      </c>
    </row>
    <row r="103" spans="1:4">
      <c r="A103" s="79">
        <v>87</v>
      </c>
      <c r="B103" s="79" t="s">
        <v>12271</v>
      </c>
      <c r="C103" s="9" t="e">
        <f>VLOOKUP(B103,'Datos filial'!$B$2:$B$148,1,0)</f>
        <v>#N/A</v>
      </c>
      <c r="D103" s="9" t="e">
        <f t="shared" si="1"/>
        <v>#N/A</v>
      </c>
    </row>
    <row r="104" spans="1:4">
      <c r="A104" s="79">
        <v>88</v>
      </c>
      <c r="B104" s="79" t="s">
        <v>11873</v>
      </c>
      <c r="C104" s="9" t="str">
        <f>VLOOKUP(B104,'Datos filial'!$B$2:$B$148,1,0)</f>
        <v>Pitrufquén</v>
      </c>
      <c r="D104" s="9" t="str">
        <f t="shared" si="1"/>
        <v>OK</v>
      </c>
    </row>
    <row r="105" spans="1:4">
      <c r="A105" s="79">
        <v>89</v>
      </c>
      <c r="B105" s="79" t="s">
        <v>6146</v>
      </c>
      <c r="C105" s="9" t="str">
        <f>VLOOKUP(B105,'Datos filial'!$B$2:$B$148,1,0)</f>
        <v>Playa Ancha</v>
      </c>
      <c r="D105" s="9" t="str">
        <f t="shared" si="1"/>
        <v>OK</v>
      </c>
    </row>
    <row r="106" spans="1:4">
      <c r="A106" s="79">
        <v>90</v>
      </c>
      <c r="B106" s="79" t="s">
        <v>10632</v>
      </c>
      <c r="C106" s="9" t="str">
        <f>VLOOKUP(B106,'Datos filial'!$B$2:$B$148,1,0)</f>
        <v>Porvenir</v>
      </c>
      <c r="D106" s="9" t="str">
        <f t="shared" si="1"/>
        <v>OK</v>
      </c>
    </row>
    <row r="107" spans="1:4">
      <c r="A107" s="79">
        <v>91</v>
      </c>
      <c r="B107" s="79" t="s">
        <v>11879</v>
      </c>
      <c r="C107" s="9" t="str">
        <f>VLOOKUP(B107,'Datos filial'!$B$2:$B$148,1,0)</f>
        <v>Pozo Almonte</v>
      </c>
      <c r="D107" s="9" t="str">
        <f t="shared" si="1"/>
        <v>OK</v>
      </c>
    </row>
    <row r="108" spans="1:4">
      <c r="A108" s="79">
        <v>92</v>
      </c>
      <c r="B108" s="79" t="s">
        <v>11884</v>
      </c>
      <c r="C108" s="9" t="str">
        <f>VLOOKUP(B108,'Datos filial'!$B$2:$B$148,1,0)</f>
        <v>Providencia</v>
      </c>
      <c r="D108" s="9" t="str">
        <f t="shared" si="1"/>
        <v>OK</v>
      </c>
    </row>
    <row r="109" spans="1:4">
      <c r="A109" s="79">
        <v>93</v>
      </c>
      <c r="B109" s="79" t="s">
        <v>6657</v>
      </c>
      <c r="C109" s="9" t="str">
        <f>VLOOKUP(B109,'Datos filial'!$B$2:$B$148,1,0)</f>
        <v>Pucón</v>
      </c>
      <c r="D109" s="9" t="str">
        <f t="shared" si="1"/>
        <v>OK</v>
      </c>
    </row>
    <row r="110" spans="1:4">
      <c r="A110" s="79">
        <v>94</v>
      </c>
      <c r="B110" s="79" t="s">
        <v>11273</v>
      </c>
      <c r="C110" s="9" t="str">
        <f>VLOOKUP(B110,'Datos filial'!$B$2:$B$148,1,0)</f>
        <v>Puente Alto</v>
      </c>
      <c r="D110" s="9" t="str">
        <f t="shared" si="1"/>
        <v>OK</v>
      </c>
    </row>
    <row r="111" spans="1:4">
      <c r="A111" s="79">
        <v>95</v>
      </c>
      <c r="B111" s="79" t="s">
        <v>6787</v>
      </c>
      <c r="C111" s="9" t="str">
        <f>VLOOKUP(B111,'Datos filial'!$B$2:$B$148,1,0)</f>
        <v>Puerto Montt</v>
      </c>
      <c r="D111" s="9" t="str">
        <f t="shared" si="1"/>
        <v>OK</v>
      </c>
    </row>
    <row r="112" spans="1:4">
      <c r="A112" s="79">
        <v>96</v>
      </c>
      <c r="B112" s="79" t="s">
        <v>11896</v>
      </c>
      <c r="C112" s="9" t="str">
        <f>VLOOKUP(B112,'Datos filial'!$B$2:$B$148,1,0)</f>
        <v>Puerto Natales</v>
      </c>
      <c r="D112" s="9" t="str">
        <f t="shared" si="1"/>
        <v>OK</v>
      </c>
    </row>
    <row r="113" spans="1:4">
      <c r="A113" s="79">
        <v>97</v>
      </c>
      <c r="B113" s="79" t="s">
        <v>6838</v>
      </c>
      <c r="C113" s="9" t="str">
        <f>VLOOKUP(B113,'Datos filial'!$B$2:$B$148,1,0)</f>
        <v>Puerto Varas</v>
      </c>
      <c r="D113" s="9" t="str">
        <f t="shared" si="1"/>
        <v>OK</v>
      </c>
    </row>
    <row r="114" spans="1:4">
      <c r="A114" s="79">
        <v>98</v>
      </c>
      <c r="B114" s="79" t="s">
        <v>12272</v>
      </c>
      <c r="C114" s="9" t="e">
        <f>VLOOKUP(B114,'Datos filial'!$B$2:$B$148,1,0)</f>
        <v>#N/A</v>
      </c>
      <c r="D114" s="9" t="e">
        <f t="shared" si="1"/>
        <v>#N/A</v>
      </c>
    </row>
    <row r="115" spans="1:4">
      <c r="A115" s="79">
        <v>99</v>
      </c>
      <c r="B115" s="79" t="s">
        <v>10061</v>
      </c>
      <c r="C115" s="9" t="str">
        <f>VLOOKUP(B115,'Datos filial'!$B$2:$B$148,1,0)</f>
        <v>Punta Arenas</v>
      </c>
      <c r="D115" s="9" t="str">
        <f t="shared" si="1"/>
        <v>OK</v>
      </c>
    </row>
    <row r="116" spans="1:4">
      <c r="A116" s="79">
        <v>100</v>
      </c>
      <c r="B116" s="79" t="s">
        <v>6891</v>
      </c>
      <c r="C116" s="9" t="str">
        <f>VLOOKUP(B116,'Datos filial'!$B$2:$B$148,1,0)</f>
        <v>Purén</v>
      </c>
      <c r="D116" s="9" t="str">
        <f t="shared" si="1"/>
        <v>OK</v>
      </c>
    </row>
    <row r="117" spans="1:4">
      <c r="A117" s="79">
        <v>101</v>
      </c>
      <c r="B117" s="79" t="s">
        <v>6967</v>
      </c>
      <c r="C117" s="9" t="str">
        <f>VLOOKUP(B117,'Datos filial'!$B$2:$B$148,1,0)</f>
        <v>Quilicura</v>
      </c>
      <c r="D117" s="9" t="str">
        <f t="shared" si="1"/>
        <v>OK</v>
      </c>
    </row>
    <row r="118" spans="1:4">
      <c r="A118" s="79">
        <v>102</v>
      </c>
      <c r="B118" s="79" t="s">
        <v>7024</v>
      </c>
      <c r="C118" s="9" t="str">
        <f>VLOOKUP(B118,'Datos filial'!$B$2:$B$148,1,0)</f>
        <v>Quillota</v>
      </c>
      <c r="D118" s="9" t="str">
        <f t="shared" si="1"/>
        <v>OK</v>
      </c>
    </row>
    <row r="119" spans="1:4">
      <c r="A119" s="79">
        <v>103</v>
      </c>
      <c r="B119" s="79" t="s">
        <v>7126</v>
      </c>
      <c r="C119" s="9" t="str">
        <f>VLOOKUP(B119,'Datos filial'!$B$2:$B$148,1,0)</f>
        <v>Quilpué</v>
      </c>
      <c r="D119" s="9" t="str">
        <f t="shared" si="1"/>
        <v>OK</v>
      </c>
    </row>
    <row r="120" spans="1:4">
      <c r="A120" s="79">
        <v>104</v>
      </c>
      <c r="B120" s="79" t="s">
        <v>12273</v>
      </c>
      <c r="C120" s="9" t="e">
        <f>VLOOKUP(B120,'Datos filial'!$B$2:$B$148,1,0)</f>
        <v>#N/A</v>
      </c>
      <c r="D120" s="9" t="e">
        <f t="shared" si="1"/>
        <v>#N/A</v>
      </c>
    </row>
    <row r="121" spans="1:4">
      <c r="A121" s="79">
        <v>105</v>
      </c>
      <c r="B121" s="79" t="s">
        <v>7270</v>
      </c>
      <c r="C121" s="9" t="str">
        <f>VLOOKUP(B121,'Datos filial'!$B$2:$B$148,1,0)</f>
        <v>Quintero</v>
      </c>
      <c r="D121" s="9" t="str">
        <f t="shared" si="1"/>
        <v>OK</v>
      </c>
    </row>
    <row r="122" spans="1:4">
      <c r="A122" s="79">
        <v>106</v>
      </c>
      <c r="B122" s="79" t="s">
        <v>7360</v>
      </c>
      <c r="C122" s="9" t="str">
        <f>VLOOKUP(B122,'Datos filial'!$B$2:$B$148,1,0)</f>
        <v>Rancagua</v>
      </c>
      <c r="D122" s="9" t="str">
        <f t="shared" si="1"/>
        <v>OK</v>
      </c>
    </row>
    <row r="123" spans="1:4">
      <c r="A123" s="79">
        <v>107</v>
      </c>
      <c r="B123" s="79" t="s">
        <v>7434</v>
      </c>
      <c r="C123" s="9" t="str">
        <f>VLOOKUP(B123,'Datos filial'!$B$2:$B$148,1,0)</f>
        <v>Renca</v>
      </c>
      <c r="D123" s="9" t="str">
        <f t="shared" si="1"/>
        <v>OK</v>
      </c>
    </row>
    <row r="124" spans="1:4">
      <c r="A124" s="79">
        <v>108</v>
      </c>
      <c r="B124" s="79" t="s">
        <v>10854</v>
      </c>
      <c r="C124" s="9" t="str">
        <f>VLOOKUP(B124,'Datos filial'!$B$2:$B$148,1,0)</f>
        <v>Rengo</v>
      </c>
      <c r="D124" s="9" t="str">
        <f t="shared" si="1"/>
        <v>OK</v>
      </c>
    </row>
    <row r="125" spans="1:4">
      <c r="A125" s="79">
        <v>109</v>
      </c>
      <c r="B125" s="79" t="s">
        <v>10264</v>
      </c>
      <c r="C125" s="9" t="str">
        <f>VLOOKUP(B125,'Datos filial'!$B$2:$B$148,1,0)</f>
        <v>Requinoa</v>
      </c>
      <c r="D125" s="9" t="str">
        <f t="shared" si="1"/>
        <v>OK</v>
      </c>
    </row>
    <row r="126" spans="1:4">
      <c r="A126" s="79">
        <v>110</v>
      </c>
      <c r="B126" s="79" t="s">
        <v>11928</v>
      </c>
      <c r="C126" s="9" t="str">
        <f>VLOOKUP(B126,'Datos filial'!$B$2:$B$148,1,0)</f>
        <v>Reumén</v>
      </c>
      <c r="D126" s="9" t="str">
        <f t="shared" si="1"/>
        <v>OK</v>
      </c>
    </row>
    <row r="127" spans="1:4">
      <c r="A127" s="79">
        <v>111</v>
      </c>
      <c r="B127" s="79" t="s">
        <v>10391</v>
      </c>
      <c r="C127" s="9" t="str">
        <f>VLOOKUP(B127,'Datos filial'!$B$2:$B$148,1,0)</f>
        <v>Riachuelo</v>
      </c>
      <c r="D127" s="9" t="str">
        <f t="shared" si="1"/>
        <v>OK</v>
      </c>
    </row>
    <row r="128" spans="1:4">
      <c r="A128" s="79">
        <v>112</v>
      </c>
      <c r="B128" s="79" t="s">
        <v>7520</v>
      </c>
      <c r="C128" s="9" t="str">
        <f>VLOOKUP(B128,'Datos filial'!$B$2:$B$148,1,0)</f>
        <v>Río Bueno</v>
      </c>
      <c r="D128" s="9" t="str">
        <f t="shared" si="1"/>
        <v>OK</v>
      </c>
    </row>
    <row r="129" spans="1:4">
      <c r="A129" s="79">
        <v>113</v>
      </c>
      <c r="B129" s="79" t="s">
        <v>12274</v>
      </c>
      <c r="C129" s="9" t="e">
        <f>VLOOKUP(B129,'Datos filial'!$B$2:$B$148,1,0)</f>
        <v>#N/A</v>
      </c>
      <c r="D129" s="9" t="e">
        <f t="shared" si="1"/>
        <v>#N/A</v>
      </c>
    </row>
    <row r="130" spans="1:4">
      <c r="A130" s="79">
        <v>114</v>
      </c>
      <c r="B130" s="79" t="s">
        <v>7542</v>
      </c>
      <c r="C130" s="9" t="str">
        <f>VLOOKUP(B130,'Datos filial'!$B$2:$B$148,1,0)</f>
        <v>Salamanca</v>
      </c>
      <c r="D130" s="9" t="str">
        <f t="shared" si="1"/>
        <v>OK</v>
      </c>
    </row>
    <row r="131" spans="1:4">
      <c r="A131" s="79">
        <v>115</v>
      </c>
      <c r="B131" s="79" t="s">
        <v>7603</v>
      </c>
      <c r="C131" s="9" t="str">
        <f>VLOOKUP(B131,'Datos filial'!$B$2:$B$148,1,0)</f>
        <v>San Antonio</v>
      </c>
      <c r="D131" s="9" t="str">
        <f t="shared" si="1"/>
        <v>OK</v>
      </c>
    </row>
    <row r="132" spans="1:4">
      <c r="A132" s="79">
        <v>116</v>
      </c>
      <c r="B132" s="79" t="s">
        <v>11482</v>
      </c>
      <c r="C132" s="9" t="str">
        <f>VLOOKUP(B132,'Datos filial'!$B$2:$B$148,1,0)</f>
        <v>San Bernardo</v>
      </c>
      <c r="D132" s="9" t="str">
        <f t="shared" si="1"/>
        <v>OK</v>
      </c>
    </row>
    <row r="133" spans="1:4">
      <c r="A133" s="79">
        <v>117</v>
      </c>
      <c r="B133" s="79" t="s">
        <v>7680</v>
      </c>
      <c r="C133" s="9" t="str">
        <f>VLOOKUP(B133,'Datos filial'!$B$2:$B$148,1,0)</f>
        <v>San Carlos</v>
      </c>
      <c r="D133" s="9" t="str">
        <f t="shared" si="1"/>
        <v>OK</v>
      </c>
    </row>
    <row r="134" spans="1:4">
      <c r="A134" s="79">
        <v>118</v>
      </c>
      <c r="B134" s="79" t="s">
        <v>10436</v>
      </c>
      <c r="C134" s="9" t="str">
        <f>VLOOKUP(B134,'Datos filial'!$B$2:$B$148,1,0)</f>
        <v>San Clemente</v>
      </c>
      <c r="D134" s="9" t="str">
        <f t="shared" si="1"/>
        <v>OK</v>
      </c>
    </row>
    <row r="135" spans="1:4">
      <c r="A135" s="79">
        <v>119</v>
      </c>
      <c r="B135" s="79" t="s">
        <v>7896</v>
      </c>
      <c r="C135" s="9" t="str">
        <f>VLOOKUP(B135,'Datos filial'!$B$2:$B$148,1,0)</f>
        <v>San Felipe</v>
      </c>
      <c r="D135" s="9" t="str">
        <f t="shared" si="1"/>
        <v>OK</v>
      </c>
    </row>
    <row r="136" spans="1:4">
      <c r="A136" s="79">
        <v>120</v>
      </c>
      <c r="B136" s="79" t="s">
        <v>10314</v>
      </c>
      <c r="C136" s="9" t="str">
        <f>VLOOKUP(B136,'Datos filial'!$B$2:$B$148,1,0)</f>
        <v>San Fernando</v>
      </c>
      <c r="D136" s="9" t="str">
        <f t="shared" si="1"/>
        <v>OK</v>
      </c>
    </row>
    <row r="137" spans="1:4">
      <c r="A137" s="79">
        <v>121</v>
      </c>
      <c r="B137" s="79" t="s">
        <v>12275</v>
      </c>
      <c r="C137" s="9" t="str">
        <f>VLOOKUP(B137,'Datos filial'!$B$2:$B$148,1,0)</f>
        <v>San Francisco de Mostazal</v>
      </c>
      <c r="D137" s="9" t="str">
        <f t="shared" si="1"/>
        <v>OK</v>
      </c>
    </row>
    <row r="138" spans="1:4">
      <c r="A138" s="79">
        <v>122</v>
      </c>
      <c r="B138" s="79" t="s">
        <v>12276</v>
      </c>
      <c r="C138" s="9" t="e">
        <f>VLOOKUP(B138,'Datos filial'!$B$2:$B$148,1,0)</f>
        <v>#N/A</v>
      </c>
      <c r="D138" s="9" t="e">
        <f t="shared" si="1"/>
        <v>#N/A</v>
      </c>
    </row>
    <row r="139" spans="1:4">
      <c r="A139" s="79">
        <v>123</v>
      </c>
      <c r="B139" s="79" t="s">
        <v>11948</v>
      </c>
      <c r="C139" s="9" t="str">
        <f>VLOOKUP(B139,'Datos filial'!$B$2:$B$148,1,0)</f>
        <v>San José De La Mariquina</v>
      </c>
      <c r="D139" s="9" t="str">
        <f t="shared" si="1"/>
        <v>OK</v>
      </c>
    </row>
    <row r="140" spans="1:4">
      <c r="A140" s="79">
        <v>124</v>
      </c>
      <c r="B140" s="79" t="s">
        <v>7961</v>
      </c>
      <c r="C140" s="9" t="str">
        <f>VLOOKUP(B140,'Datos filial'!$B$2:$B$148,1,0)</f>
        <v>San Miguel</v>
      </c>
      <c r="D140" s="9" t="str">
        <f t="shared" si="1"/>
        <v>OK</v>
      </c>
    </row>
    <row r="141" spans="1:4">
      <c r="A141" s="79">
        <v>125</v>
      </c>
      <c r="B141" s="79" t="s">
        <v>7998</v>
      </c>
      <c r="C141" s="9" t="str">
        <f>VLOOKUP(B141,'Datos filial'!$B$2:$B$148,1,0)</f>
        <v>San Pablo</v>
      </c>
      <c r="D141" s="9" t="str">
        <f t="shared" si="1"/>
        <v>OK</v>
      </c>
    </row>
    <row r="142" spans="1:4">
      <c r="A142" s="79">
        <v>126</v>
      </c>
      <c r="B142" s="79" t="s">
        <v>8048</v>
      </c>
      <c r="C142" s="9" t="str">
        <f>VLOOKUP(B142,'Datos filial'!$B$2:$B$148,1,0)</f>
        <v>Santa Bárbara</v>
      </c>
      <c r="D142" s="9" t="str">
        <f t="shared" si="1"/>
        <v>OK</v>
      </c>
    </row>
    <row r="143" spans="1:4">
      <c r="A143" s="79">
        <v>127</v>
      </c>
      <c r="B143" s="79" t="s">
        <v>10888</v>
      </c>
      <c r="C143" s="9" t="str">
        <f>VLOOKUP(B143,'Datos filial'!$B$2:$B$148,1,0)</f>
        <v>Santa Cruz</v>
      </c>
      <c r="D143" s="9" t="str">
        <f t="shared" si="1"/>
        <v>OK</v>
      </c>
    </row>
    <row r="144" spans="1:4">
      <c r="A144" s="79">
        <v>128</v>
      </c>
      <c r="B144" s="79" t="s">
        <v>11958</v>
      </c>
      <c r="C144" s="9" t="str">
        <f>VLOOKUP(B144,'Datos filial'!$B$2:$B$148,1,0)</f>
        <v>Santiago Independencia</v>
      </c>
      <c r="D144" s="9" t="str">
        <f t="shared" si="1"/>
        <v>OK</v>
      </c>
    </row>
    <row r="145" spans="1:4">
      <c r="A145" s="79">
        <v>129</v>
      </c>
      <c r="B145" s="79" t="s">
        <v>8630</v>
      </c>
      <c r="C145" s="9" t="str">
        <f>VLOOKUP(B145,'Datos filial'!$B$2:$B$148,1,0)</f>
        <v>Tal Tal</v>
      </c>
      <c r="D145" s="9" t="str">
        <f t="shared" si="1"/>
        <v>OK</v>
      </c>
    </row>
    <row r="146" spans="1:4">
      <c r="A146" s="79">
        <v>130</v>
      </c>
      <c r="B146" s="79" t="s">
        <v>10232</v>
      </c>
      <c r="C146" s="9" t="str">
        <f>VLOOKUP(B146,'Datos filial'!$B$2:$B$148,1,0)</f>
        <v>Talagante</v>
      </c>
      <c r="D146" s="9" t="str">
        <f t="shared" si="1"/>
        <v>OK</v>
      </c>
    </row>
    <row r="147" spans="1:4">
      <c r="A147" s="79">
        <v>131</v>
      </c>
      <c r="B147" s="79" t="s">
        <v>8714</v>
      </c>
      <c r="C147" s="9" t="str">
        <f>VLOOKUP(B147,'Datos filial'!$B$2:$B$148,1,0)</f>
        <v>Talcahuano</v>
      </c>
      <c r="D147" s="9" t="str">
        <f t="shared" si="1"/>
        <v>OK</v>
      </c>
    </row>
    <row r="148" spans="1:4">
      <c r="A148" s="79">
        <v>132</v>
      </c>
      <c r="B148" s="79" t="s">
        <v>8852</v>
      </c>
      <c r="C148" s="9" t="str">
        <f>VLOOKUP(B148,'Datos filial'!$B$2:$B$148,1,0)</f>
        <v>Teno</v>
      </c>
      <c r="D148" s="9" t="str">
        <f t="shared" si="1"/>
        <v>OK</v>
      </c>
    </row>
    <row r="149" spans="1:4">
      <c r="A149" s="79">
        <v>133</v>
      </c>
      <c r="B149" s="79" t="s">
        <v>12277</v>
      </c>
      <c r="C149" s="9" t="e">
        <f>VLOOKUP(B149,'Datos filial'!$B$2:$B$148,1,0)</f>
        <v>#N/A</v>
      </c>
      <c r="D149" s="9" t="e">
        <f t="shared" si="1"/>
        <v>#N/A</v>
      </c>
    </row>
    <row r="150" spans="1:4">
      <c r="A150" s="79">
        <v>134</v>
      </c>
      <c r="B150" s="79" t="s">
        <v>11444</v>
      </c>
      <c r="C150" s="9" t="str">
        <f>VLOOKUP(B150,'Datos filial'!$B$2:$B$148,1,0)</f>
        <v>Tocopilla</v>
      </c>
      <c r="D150" s="9" t="str">
        <f t="shared" si="1"/>
        <v>OK</v>
      </c>
    </row>
    <row r="151" spans="1:4">
      <c r="A151" s="79">
        <v>135</v>
      </c>
      <c r="B151" s="79" t="s">
        <v>11995</v>
      </c>
      <c r="C151" s="9" t="str">
        <f>VLOOKUP(B151,'Datos filial'!$B$2:$B$148,1,0)</f>
        <v>Toltén</v>
      </c>
      <c r="D151" s="9" t="str">
        <f t="shared" si="1"/>
        <v>OK</v>
      </c>
    </row>
    <row r="152" spans="1:4">
      <c r="A152" s="79">
        <v>136</v>
      </c>
      <c r="B152" s="79" t="s">
        <v>8990</v>
      </c>
      <c r="C152" s="9" t="str">
        <f>VLOOKUP(B152,'Datos filial'!$B$2:$B$148,1,0)</f>
        <v>Tomé</v>
      </c>
      <c r="D152" s="9" t="str">
        <f t="shared" si="1"/>
        <v>OK</v>
      </c>
    </row>
    <row r="153" spans="1:4">
      <c r="A153" s="79">
        <v>137</v>
      </c>
      <c r="B153" s="79" t="s">
        <v>12002</v>
      </c>
      <c r="C153" s="9" t="str">
        <f>VLOOKUP(B153,'Datos filial'!$B$2:$B$148,1,0)</f>
        <v>Traiguén</v>
      </c>
      <c r="D153" s="9" t="str">
        <f t="shared" si="1"/>
        <v>OK</v>
      </c>
    </row>
    <row r="154" spans="1:4">
      <c r="A154" s="79">
        <v>138</v>
      </c>
      <c r="B154" s="79" t="s">
        <v>9239</v>
      </c>
      <c r="C154" s="9" t="str">
        <f>VLOOKUP(B154,'Datos filial'!$B$2:$B$148,1,0)</f>
        <v>Valdivia</v>
      </c>
      <c r="D154" s="9" t="str">
        <f t="shared" si="1"/>
        <v>OK</v>
      </c>
    </row>
    <row r="155" spans="1:4">
      <c r="A155" s="79">
        <v>139</v>
      </c>
      <c r="B155" s="79" t="s">
        <v>10618</v>
      </c>
      <c r="C155" s="9" t="str">
        <f>VLOOKUP(B155,'Datos filial'!$B$2:$B$148,1,0)</f>
        <v>Vallenar</v>
      </c>
      <c r="D155" s="9" t="str">
        <f t="shared" si="1"/>
        <v>OK</v>
      </c>
    </row>
    <row r="156" spans="1:4">
      <c r="A156" s="79">
        <v>140</v>
      </c>
      <c r="B156" s="79" t="s">
        <v>1309</v>
      </c>
      <c r="C156" s="9" t="str">
        <f>VLOOKUP(B156,'Datos filial'!$B$2:$B$148,1,0)</f>
        <v>Victoria</v>
      </c>
      <c r="D156" s="9" t="str">
        <f t="shared" si="1"/>
        <v>OK</v>
      </c>
    </row>
    <row r="157" spans="1:4">
      <c r="A157" s="79">
        <v>141</v>
      </c>
      <c r="B157" s="79" t="s">
        <v>9369</v>
      </c>
      <c r="C157" s="9" t="str">
        <f>VLOOKUP(B157,'Datos filial'!$B$2:$B$148,1,0)</f>
        <v>Villa Alemana</v>
      </c>
      <c r="D157" s="9" t="str">
        <f t="shared" si="1"/>
        <v>OK</v>
      </c>
    </row>
    <row r="158" spans="1:4">
      <c r="A158" s="79">
        <v>142</v>
      </c>
      <c r="B158" s="79" t="s">
        <v>9441</v>
      </c>
      <c r="C158" s="9" t="str">
        <f>VLOOKUP(B158,'Datos filial'!$B$2:$B$148,1,0)</f>
        <v>Villarrica</v>
      </c>
      <c r="D158" s="9" t="str">
        <f t="shared" si="1"/>
        <v>OK</v>
      </c>
    </row>
    <row r="159" spans="1:4">
      <c r="A159" s="79">
        <v>143</v>
      </c>
      <c r="B159" s="79" t="s">
        <v>9558</v>
      </c>
      <c r="C159" s="9" t="str">
        <f>VLOOKUP(B159,'Datos filial'!$B$2:$B$148,1,0)</f>
        <v>Viña del Mar</v>
      </c>
      <c r="D159" s="9" t="str">
        <f t="shared" si="1"/>
        <v>OK</v>
      </c>
    </row>
    <row r="160" spans="1:4">
      <c r="A160" s="79">
        <v>144</v>
      </c>
      <c r="B160" s="79" t="s">
        <v>9632</v>
      </c>
      <c r="C160" s="9" t="str">
        <f>VLOOKUP(B160,'Datos filial'!$B$2:$B$148,1,0)</f>
        <v>Yungay</v>
      </c>
      <c r="D160" s="9" t="str">
        <f t="shared" si="1"/>
        <v>OK</v>
      </c>
    </row>
    <row r="161" spans="3:4" ht="12.75">
      <c r="C161" s="9" t="s">
        <v>12278</v>
      </c>
      <c r="D161" s="9">
        <f>COUNTIF(D17:D160,"OK")</f>
        <v>131</v>
      </c>
    </row>
    <row r="162" spans="3:4" ht="12.75">
      <c r="C162" s="9" t="s">
        <v>12279</v>
      </c>
      <c r="D162" s="9">
        <f>H15</f>
        <v>8</v>
      </c>
    </row>
    <row r="163" spans="3:4" ht="12.75">
      <c r="C163" s="9" t="s">
        <v>12280</v>
      </c>
      <c r="D163" s="9">
        <f>SUM(D161:D162)</f>
        <v>139</v>
      </c>
    </row>
    <row r="164" spans="3:4" ht="12.75">
      <c r="C164" s="9" t="s">
        <v>12281</v>
      </c>
      <c r="D164" s="9">
        <f>A160+11</f>
        <v>155</v>
      </c>
    </row>
    <row r="165" spans="3:4" ht="12.75">
      <c r="C165" s="9" t="s">
        <v>12282</v>
      </c>
      <c r="D165" s="80">
        <f>D163/D164</f>
        <v>0.89677419354838706</v>
      </c>
    </row>
  </sheetData>
  <autoFilter ref="B16:D165" xr:uid="{00000000-0009-0000-0000-000004000000}">
    <sortState xmlns:xlrd2="http://schemas.microsoft.com/office/spreadsheetml/2017/richdata2" ref="B16:D165">
      <sortCondition ref="B16:B165"/>
    </sortState>
  </autoFilter>
  <hyperlinks>
    <hyperlink ref="G3" r:id="rId1" xr:uid="{00000000-0004-0000-0400-000000000000}"/>
    <hyperlink ref="G4" r:id="rId2" xr:uid="{00000000-0004-0000-0400-000001000000}"/>
    <hyperlink ref="G5" r:id="rId3" xr:uid="{00000000-0004-0000-0400-000002000000}"/>
    <hyperlink ref="G6" r:id="rId4" xr:uid="{00000000-0004-0000-0400-000003000000}"/>
    <hyperlink ref="G7" r:id="rId5" xr:uid="{00000000-0004-0000-0400-000004000000}"/>
    <hyperlink ref="G8" r:id="rId6" xr:uid="{00000000-0004-0000-0400-000005000000}"/>
    <hyperlink ref="G9" r:id="rId7" xr:uid="{00000000-0004-0000-0400-000006000000}"/>
    <hyperlink ref="G10" r:id="rId8" xr:uid="{00000000-0004-0000-0400-000007000000}"/>
    <hyperlink ref="G11" r:id="rId9" xr:uid="{00000000-0004-0000-0400-000008000000}"/>
    <hyperlink ref="G12" r:id="rId10" xr:uid="{00000000-0004-0000-0400-000009000000}"/>
    <hyperlink ref="G13" r:id="rId11" xr:uid="{00000000-0004-0000-0400-00000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F29"/>
  <sheetViews>
    <sheetView workbookViewId="0">
      <selection activeCell="C17" sqref="C17"/>
    </sheetView>
  </sheetViews>
  <sheetFormatPr baseColWidth="10" defaultColWidth="12.5703125" defaultRowHeight="15.75" customHeight="1"/>
  <cols>
    <col min="1" max="1" width="36.42578125" customWidth="1"/>
  </cols>
  <sheetData>
    <row r="3" spans="1:6">
      <c r="A3" s="81" t="s">
        <v>12283</v>
      </c>
      <c r="B3" s="81" t="s">
        <v>12</v>
      </c>
      <c r="C3" s="81" t="s">
        <v>12284</v>
      </c>
      <c r="D3" s="81" t="s">
        <v>11657</v>
      </c>
      <c r="E3" s="81" t="s">
        <v>12285</v>
      </c>
      <c r="F3" s="81" t="s">
        <v>12286</v>
      </c>
    </row>
    <row r="4" spans="1:6">
      <c r="A4" s="9" t="s">
        <v>42</v>
      </c>
      <c r="B4" s="9" t="s">
        <v>43</v>
      </c>
      <c r="C4" s="9" t="s">
        <v>36</v>
      </c>
      <c r="D4" s="9" t="s">
        <v>11666</v>
      </c>
      <c r="E4" s="9" t="s">
        <v>11671</v>
      </c>
      <c r="F4" s="9" t="s">
        <v>11663</v>
      </c>
    </row>
    <row r="5" spans="1:6">
      <c r="A5" s="9" t="s">
        <v>151</v>
      </c>
      <c r="B5" s="9" t="s">
        <v>272</v>
      </c>
      <c r="C5" s="9" t="s">
        <v>73</v>
      </c>
      <c r="D5" s="9" t="s">
        <v>11737</v>
      </c>
      <c r="E5" s="9" t="s">
        <v>11665</v>
      </c>
      <c r="F5" s="9" t="s">
        <v>11664</v>
      </c>
    </row>
    <row r="6" spans="1:6">
      <c r="A6" s="9" t="s">
        <v>49</v>
      </c>
      <c r="B6" s="9" t="s">
        <v>1151</v>
      </c>
      <c r="C6" s="9" t="s">
        <v>1151</v>
      </c>
      <c r="D6" s="9" t="s">
        <v>11675</v>
      </c>
      <c r="E6" s="9" t="s">
        <v>11700</v>
      </c>
    </row>
    <row r="7" spans="1:6">
      <c r="A7" s="9" t="s">
        <v>216</v>
      </c>
      <c r="D7" s="9" t="s">
        <v>11680</v>
      </c>
    </row>
    <row r="8" spans="1:6">
      <c r="A8" s="9" t="s">
        <v>54</v>
      </c>
      <c r="D8" s="9" t="s">
        <v>1151</v>
      </c>
    </row>
    <row r="9" spans="1:6">
      <c r="A9" s="9" t="s">
        <v>66</v>
      </c>
    </row>
    <row r="10" spans="1:6">
      <c r="A10" s="9" t="s">
        <v>167</v>
      </c>
    </row>
    <row r="11" spans="1:6">
      <c r="A11" s="9" t="s">
        <v>121</v>
      </c>
    </row>
    <row r="12" spans="1:6">
      <c r="A12" s="9" t="s">
        <v>72</v>
      </c>
    </row>
    <row r="13" spans="1:6">
      <c r="A13" s="9" t="s">
        <v>197</v>
      </c>
    </row>
    <row r="14" spans="1:6">
      <c r="A14" s="9" t="s">
        <v>60</v>
      </c>
    </row>
    <row r="29" spans="3:3">
      <c r="C29" s="9"/>
    </row>
  </sheetData>
  <dataValidations count="1">
    <dataValidation type="list" allowBlank="1" showErrorMessage="1" sqref="C29" xr:uid="{00000000-0002-0000-0500-000000000000}">
      <formula1>$A$4:$A$14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Datos voluntarios</vt:lpstr>
      <vt:lpstr>Datos filial</vt:lpstr>
      <vt:lpstr>Sugerencias</vt:lpstr>
      <vt:lpstr>Validación formularios</vt:lpstr>
      <vt:lpstr>Campos desplegables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Nicolás Ignacio Gallo Quinchén</cp:lastModifiedBy>
  <dcterms:modified xsi:type="dcterms:W3CDTF">2025-12-11T20:13:28Z</dcterms:modified>
</cp:coreProperties>
</file>